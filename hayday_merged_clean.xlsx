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rged_clean" sheetId="1" state="visible" r:id="rId3"/>
    <sheet name="hayday_info" sheetId="2" state="visible" r:id="rId4"/>
    <sheet name="fandom_all" sheetId="3" state="visible" r:id="rId5"/>
    <sheet name="Notes" sheetId="4" state="visible" r:id="rId6"/>
  </sheets>
  <definedNames>
    <definedName function="false" hidden="true" localSheetId="2" name="_xlnm._FilterDatabase" vbProcedure="false">fandom_all!$A$1:$P$239</definedName>
    <definedName function="false" hidden="true" localSheetId="1" name="_xlnm._FilterDatabase" vbProcedure="false">hayday_info!$A$1:$J$349</definedName>
    <definedName function="false" hidden="true" localSheetId="0" name="_xlnm._FilterDatabase" vbProcedure="false">merged_clean!$A$1:$S$351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<sst xmlns="http://schemas.openxmlformats.org/spreadsheetml/2006/main" count="3543" uniqueCount="837">
  <si>
    <t xml:space="preserve">Product</t>
  </si>
  <si>
    <t xml:space="preserve">Machine</t>
  </si>
  <si>
    <t xml:space="preserve">Level</t>
  </si>
  <si>
    <t xml:space="preserve">Time normal (min)</t>
  </si>
  <si>
    <t xml:space="preserve">Time mastered (min)</t>
  </si>
  <si>
    <t xml:space="preserve">Time in hayday.info (min)</t>
  </si>
  <si>
    <t xml:space="preserve">hayday.info time basis</t>
  </si>
  <si>
    <t xml:space="preserve">Sell price</t>
  </si>
  <si>
    <t xml:space="preserve">Sell price (Fandom, if different)</t>
  </si>
  <si>
    <t xml:space="preserve">XP</t>
  </si>
  <si>
    <t xml:space="preserve">XP (Fandom, if different)</t>
  </si>
  <si>
    <t xml:space="preserve">Profit/hr (site)</t>
  </si>
  <si>
    <t xml:space="preserve">XP/hr (site)</t>
  </si>
  <si>
    <t xml:space="preserve">Flag</t>
  </si>
  <si>
    <t xml:space="preserve">Found in</t>
  </si>
  <si>
    <t xml:space="preserve">Status</t>
  </si>
  <si>
    <t xml:space="preserve">Conflict fields</t>
  </si>
  <si>
    <t xml:space="preserve">Source</t>
  </si>
  <si>
    <t xml:space="preserve">Fandom page</t>
  </si>
  <si>
    <t xml:space="preserve">Egg</t>
  </si>
  <si>
    <t xml:space="preserve">Animal Products</t>
  </si>
  <si>
    <t xml:space="preserve">hayday.info</t>
  </si>
  <si>
    <t xml:space="preserve">hayday.info /api/production-data only</t>
  </si>
  <si>
    <t xml:space="preserve">Milk</t>
  </si>
  <si>
    <t xml:space="preserve">Bacon</t>
  </si>
  <si>
    <t xml:space="preserve">Wool</t>
  </si>
  <si>
    <t xml:space="preserve">Goat Milk</t>
  </si>
  <si>
    <t xml:space="preserve">Bread</t>
  </si>
  <si>
    <t xml:space="preserve">Bakery</t>
  </si>
  <si>
    <t xml:space="preserve">both</t>
  </si>
  <si>
    <t xml:space="preserve">hayday.info (primary values) + Fandom (times, cross-check)</t>
  </si>
  <si>
    <t xml:space="preserve">https://hayday.fandom.com/wiki/Bakery</t>
  </si>
  <si>
    <t xml:space="preserve">Corn Bread</t>
  </si>
  <si>
    <t xml:space="preserve">Cookie</t>
  </si>
  <si>
    <t xml:space="preserve">Raspberry Muffin</t>
  </si>
  <si>
    <t xml:space="preserve">Blackberry Muffin</t>
  </si>
  <si>
    <t xml:space="preserve">Pizza</t>
  </si>
  <si>
    <t xml:space="preserve">Spicy Pizza</t>
  </si>
  <si>
    <t xml:space="preserve">Potato Bread</t>
  </si>
  <si>
    <t xml:space="preserve">Frutti di Mare Pizza</t>
  </si>
  <si>
    <t xml:space="preserve">Gingerbread Cookie</t>
  </si>
  <si>
    <t xml:space="preserve">Banana Bread</t>
  </si>
  <si>
    <t xml:space="preserve">Macaroon</t>
  </si>
  <si>
    <t xml:space="preserve">Honey Soap</t>
  </si>
  <si>
    <t xml:space="preserve">Bath Kiosk</t>
  </si>
  <si>
    <t xml:space="preserve">Lemon Lotion</t>
  </si>
  <si>
    <t xml:space="preserve">Exfoliating Soap</t>
  </si>
  <si>
    <t xml:space="preserve">Honey Face Mask</t>
  </si>
  <si>
    <t xml:space="preserve">Pancake</t>
  </si>
  <si>
    <t xml:space="preserve">BBQ Grill</t>
  </si>
  <si>
    <t xml:space="preserve">Bacon and Eggs</t>
  </si>
  <si>
    <t xml:space="preserve">Hamburger</t>
  </si>
  <si>
    <t xml:space="preserve">Fish Burger</t>
  </si>
  <si>
    <t xml:space="preserve">Roasted Tomatoes</t>
  </si>
  <si>
    <t xml:space="preserve">Baked Potato</t>
  </si>
  <si>
    <t xml:space="preserve">Fish and Chips</t>
  </si>
  <si>
    <t xml:space="preserve">Lobster Skewer</t>
  </si>
  <si>
    <t xml:space="preserve">Garlic Bread</t>
  </si>
  <si>
    <t xml:space="preserve">Grilled Onion</t>
  </si>
  <si>
    <t xml:space="preserve">Winter Veggies</t>
  </si>
  <si>
    <t xml:space="preserve">Stuffed Peppers</t>
  </si>
  <si>
    <t xml:space="preserve">Grilled Eggplant</t>
  </si>
  <si>
    <t xml:space="preserve">Banana Pancakes</t>
  </si>
  <si>
    <t xml:space="preserve">Fish Skewer</t>
  </si>
  <si>
    <t xml:space="preserve">Carrot Cake</t>
  </si>
  <si>
    <t xml:space="preserve">Cake Oven</t>
  </si>
  <si>
    <t xml:space="preserve">https://hayday.fandom.com/wiki/Cake_Oven</t>
  </si>
  <si>
    <t xml:space="preserve">Cream Cake</t>
  </si>
  <si>
    <t xml:space="preserve">Red Berry Cake</t>
  </si>
  <si>
    <t xml:space="preserve">Cheesecake</t>
  </si>
  <si>
    <t xml:space="preserve">Strawberry Cake</t>
  </si>
  <si>
    <t xml:space="preserve">Chocolate Cake</t>
  </si>
  <si>
    <t xml:space="preserve">Potato Feta Cake</t>
  </si>
  <si>
    <t xml:space="preserve">Honey Apple Cake</t>
  </si>
  <si>
    <t xml:space="preserve">Fancy Cake</t>
  </si>
  <si>
    <t xml:space="preserve">Pineapple Cake</t>
  </si>
  <si>
    <t xml:space="preserve">Lemon Cake</t>
  </si>
  <si>
    <t xml:space="preserve">Fruit Cake</t>
  </si>
  <si>
    <t xml:space="preserve">Chocolate Roll</t>
  </si>
  <si>
    <t xml:space="preserve">Strawberry Candle</t>
  </si>
  <si>
    <t xml:space="preserve">Candle Maker</t>
  </si>
  <si>
    <t xml:space="preserve">https://hayday.fandom.com/wiki/Candle_Maker</t>
  </si>
  <si>
    <t xml:space="preserve">Raspberry Candle</t>
  </si>
  <si>
    <t xml:space="preserve">Lemon Candle</t>
  </si>
  <si>
    <t xml:space="preserve">Colorful Candles</t>
  </si>
  <si>
    <t xml:space="preserve">Floral Candle</t>
  </si>
  <si>
    <t xml:space="preserve">Caramel Apple</t>
  </si>
  <si>
    <t xml:space="preserve">Candy Machine</t>
  </si>
  <si>
    <t xml:space="preserve">https://hayday.fandom.com/wiki/Candy_Machine</t>
  </si>
  <si>
    <t xml:space="preserve">Toffee</t>
  </si>
  <si>
    <t xml:space="preserve">Chocolate</t>
  </si>
  <si>
    <t xml:space="preserve">Lollipop</t>
  </si>
  <si>
    <t xml:space="preserve">Jelly Beans</t>
  </si>
  <si>
    <t xml:space="preserve">Honey Peanuts</t>
  </si>
  <si>
    <t xml:space="preserve">Cotton Candy</t>
  </si>
  <si>
    <t xml:space="preserve">Sesame Brittle</t>
  </si>
  <si>
    <t xml:space="preserve">Espresso</t>
  </si>
  <si>
    <t xml:space="preserve">Coffee Kiosk</t>
  </si>
  <si>
    <t xml:space="preserve">https://hayday.fandom.com/wiki/Coffee_Kiosk</t>
  </si>
  <si>
    <t xml:space="preserve">Caffè Latte</t>
  </si>
  <si>
    <t xml:space="preserve">Caffè Mocha</t>
  </si>
  <si>
    <t xml:space="preserve">Raspberry Mocha</t>
  </si>
  <si>
    <t xml:space="preserve">Hot Chocolate</t>
  </si>
  <si>
    <t xml:space="preserve">Caramel Latte</t>
  </si>
  <si>
    <t xml:space="preserve">Iced Banana Latte</t>
  </si>
  <si>
    <t xml:space="preserve">Wheat</t>
  </si>
  <si>
    <t xml:space="preserve">Crops</t>
  </si>
  <si>
    <t xml:space="preserve">Corn</t>
  </si>
  <si>
    <t xml:space="preserve">Soybean</t>
  </si>
  <si>
    <t xml:space="preserve">Sugarcane</t>
  </si>
  <si>
    <t xml:space="preserve">Carrot</t>
  </si>
  <si>
    <t xml:space="preserve">Indigo</t>
  </si>
  <si>
    <t xml:space="preserve">Pumpkin</t>
  </si>
  <si>
    <t xml:space="preserve">Cotton</t>
  </si>
  <si>
    <t xml:space="preserve">Chili Pepper</t>
  </si>
  <si>
    <t xml:space="preserve">Tomato</t>
  </si>
  <si>
    <t xml:space="preserve">Strawberry</t>
  </si>
  <si>
    <t xml:space="preserve">Potato</t>
  </si>
  <si>
    <t xml:space="preserve">Sesame</t>
  </si>
  <si>
    <t xml:space="preserve">Pineapple</t>
  </si>
  <si>
    <t xml:space="preserve">Lily</t>
  </si>
  <si>
    <t xml:space="preserve">Rice</t>
  </si>
  <si>
    <t xml:space="preserve">Lettuce</t>
  </si>
  <si>
    <t xml:space="preserve">Garlic</t>
  </si>
  <si>
    <t xml:space="preserve">Sunflower</t>
  </si>
  <si>
    <t xml:space="preserve">Cabbage</t>
  </si>
  <si>
    <t xml:space="preserve">Onion</t>
  </si>
  <si>
    <t xml:space="preserve">Cucumber</t>
  </si>
  <si>
    <t xml:space="preserve">Beetroot</t>
  </si>
  <si>
    <t xml:space="preserve">Bell Pepper</t>
  </si>
  <si>
    <t xml:space="preserve">Ginger</t>
  </si>
  <si>
    <t xml:space="preserve">Tea Leaf</t>
  </si>
  <si>
    <t xml:space="preserve">Peony</t>
  </si>
  <si>
    <t xml:space="preserve">Broccoli</t>
  </si>
  <si>
    <t xml:space="preserve">Grapes</t>
  </si>
  <si>
    <t xml:space="preserve">Mint</t>
  </si>
  <si>
    <t xml:space="preserve">Passion Fruit</t>
  </si>
  <si>
    <t xml:space="preserve">Mushroom</t>
  </si>
  <si>
    <t xml:space="preserve">Eggplant</t>
  </si>
  <si>
    <t xml:space="preserve">Watermelon</t>
  </si>
  <si>
    <t xml:space="preserve">Clay</t>
  </si>
  <si>
    <t xml:space="preserve">Chickpea</t>
  </si>
  <si>
    <t xml:space="preserve">Guava Cupcake</t>
  </si>
  <si>
    <t xml:space="preserve">Cupcake Maker</t>
  </si>
  <si>
    <t xml:space="preserve">Plain Cupcake</t>
  </si>
  <si>
    <t xml:space="preserve">Tropical Cupcake</t>
  </si>
  <si>
    <t xml:space="preserve">Cookie Cupcake</t>
  </si>
  <si>
    <t xml:space="preserve">Cream</t>
  </si>
  <si>
    <t xml:space="preserve">Dairy</t>
  </si>
  <si>
    <t xml:space="preserve">https://hayday.fandom.com/wiki/Dairy</t>
  </si>
  <si>
    <t xml:space="preserve">Butter</t>
  </si>
  <si>
    <t xml:space="preserve">Cheese</t>
  </si>
  <si>
    <t xml:space="preserve">Goat Cheese</t>
  </si>
  <si>
    <t xml:space="preserve">Bacon Fries</t>
  </si>
  <si>
    <t xml:space="preserve">Deep Fryer</t>
  </si>
  <si>
    <t xml:space="preserve">Hand Pies</t>
  </si>
  <si>
    <t xml:space="preserve">Chili Poppers</t>
  </si>
  <si>
    <t xml:space="preserve">Falafel</t>
  </si>
  <si>
    <t xml:space="preserve">Fried Candy Bar</t>
  </si>
  <si>
    <t xml:space="preserve">Samosa</t>
  </si>
  <si>
    <t xml:space="preserve">Plain Donut</t>
  </si>
  <si>
    <t xml:space="preserve">Donut Maker</t>
  </si>
  <si>
    <t xml:space="preserve">https://hayday.fandom.com/wiki/Donut_Maker</t>
  </si>
  <si>
    <t xml:space="preserve">Sprinkled Donut</t>
  </si>
  <si>
    <t xml:space="preserve">Crunchy Donut</t>
  </si>
  <si>
    <t xml:space="preserve">Cream Donut</t>
  </si>
  <si>
    <t xml:space="preserve">Bacon Donut</t>
  </si>
  <si>
    <t xml:space="preserve">Filled Donut</t>
  </si>
  <si>
    <t xml:space="preserve">Duck Feather</t>
  </si>
  <si>
    <t xml:space="preserve">Duck Salon</t>
  </si>
  <si>
    <t xml:space="preserve">https://hayday.fandom.com/wiki/Duck_Salon</t>
  </si>
  <si>
    <t xml:space="preserve">Chicken Feed</t>
  </si>
  <si>
    <t xml:space="preserve">Feed Mill</t>
  </si>
  <si>
    <t xml:space="preserve">https://hayday.fandom.com/wiki/Feed_Mill</t>
  </si>
  <si>
    <t xml:space="preserve">Cow Feed</t>
  </si>
  <si>
    <t xml:space="preserve">Pig Feed</t>
  </si>
  <si>
    <t xml:space="preserve">Sheep Feed</t>
  </si>
  <si>
    <t xml:space="preserve">Goat Feed</t>
  </si>
  <si>
    <t xml:space="preserve">Meat Bucket</t>
  </si>
  <si>
    <t xml:space="preserve">Wheat Bundle</t>
  </si>
  <si>
    <t xml:space="preserve">Rustic Bouquet</t>
  </si>
  <si>
    <t xml:space="preserve">Flower Shop</t>
  </si>
  <si>
    <t xml:space="preserve">https://hayday.fandom.com/wiki/Flower_Shop</t>
  </si>
  <si>
    <t xml:space="preserve">Bright Bouquet</t>
  </si>
  <si>
    <t xml:space="preserve">Gracious Bouquet</t>
  </si>
  <si>
    <t xml:space="preserve">Candy Bouquet</t>
  </si>
  <si>
    <t xml:space="preserve">Birthday Bouquet</t>
  </si>
  <si>
    <t xml:space="preserve">Soft Bouquet</t>
  </si>
  <si>
    <t xml:space="preserve">Veggie Bouquet</t>
  </si>
  <si>
    <t xml:space="preserve">Chocolate Fondue</t>
  </si>
  <si>
    <t xml:space="preserve">Fondue Pot</t>
  </si>
  <si>
    <t xml:space="preserve">https://hayday.fandom.com/wiki/Fondue_Pot</t>
  </si>
  <si>
    <t xml:space="preserve">Bacon Fondue</t>
  </si>
  <si>
    <t xml:space="preserve">Cheese Fondue</t>
  </si>
  <si>
    <t xml:space="preserve">Tropical Fondue</t>
  </si>
  <si>
    <t xml:space="preserve">Rich Fudge</t>
  </si>
  <si>
    <t xml:space="preserve">Fudge Shop</t>
  </si>
  <si>
    <t xml:space="preserve">Mint Fudge</t>
  </si>
  <si>
    <t xml:space="preserve">Chili Fudge</t>
  </si>
  <si>
    <t xml:space="preserve">Lemon Fudge</t>
  </si>
  <si>
    <t xml:space="preserve">Peanut Fudge</t>
  </si>
  <si>
    <t xml:space="preserve">Cloche Hat</t>
  </si>
  <si>
    <t xml:space="preserve">Hat Maker</t>
  </si>
  <si>
    <t xml:space="preserve">https://hayday.fandom.com/wiki/Hat_Maker</t>
  </si>
  <si>
    <t xml:space="preserve">Top Hat</t>
  </si>
  <si>
    <t xml:space="preserve">Sun Hat</t>
  </si>
  <si>
    <t xml:space="preserve">Flower Crown</t>
  </si>
  <si>
    <t xml:space="preserve">Honey</t>
  </si>
  <si>
    <t xml:space="preserve">Honey Extractor</t>
  </si>
  <si>
    <t xml:space="preserve">https://hayday.fandom.com/wiki/Honey_Extractor</t>
  </si>
  <si>
    <t xml:space="preserve">Beeswax</t>
  </si>
  <si>
    <t xml:space="preserve">Hot Dog</t>
  </si>
  <si>
    <t xml:space="preserve">Hot Dog Stand</t>
  </si>
  <si>
    <t xml:space="preserve">https://hayday.fandom.com/wiki/Hot_Dog_Stand</t>
  </si>
  <si>
    <t xml:space="preserve">Tofu Dog</t>
  </si>
  <si>
    <t xml:space="preserve">Corn Dog</t>
  </si>
  <si>
    <t xml:space="preserve">Onion Dog</t>
  </si>
  <si>
    <t xml:space="preserve">Vanilla Ice Cream</t>
  </si>
  <si>
    <t xml:space="preserve">Ice Cream Maker</t>
  </si>
  <si>
    <t xml:space="preserve">https://hayday.fandom.com/wiki/Ice_Cream_Maker</t>
  </si>
  <si>
    <t xml:space="preserve">Cherry Popsicle</t>
  </si>
  <si>
    <t xml:space="preserve">Strawberry Ice Cream</t>
  </si>
  <si>
    <t xml:space="preserve">Chocolate Ice Cream</t>
  </si>
  <si>
    <t xml:space="preserve">Sesame Ice Cream</t>
  </si>
  <si>
    <t xml:space="preserve">Peanut Butter Milkshake</t>
  </si>
  <si>
    <t xml:space="preserve">Affogato</t>
  </si>
  <si>
    <t xml:space="preserve">Orange Sorbet</t>
  </si>
  <si>
    <t xml:space="preserve">Peach Ice Cream</t>
  </si>
  <si>
    <t xml:space="preserve">Mint Ice Cream</t>
  </si>
  <si>
    <t xml:space="preserve">Banana Split</t>
  </si>
  <si>
    <t xml:space="preserve">Coconut Ice Cream</t>
  </si>
  <si>
    <t xml:space="preserve">Fruit Sorbet</t>
  </si>
  <si>
    <t xml:space="preserve">Apple Jam</t>
  </si>
  <si>
    <t xml:space="preserve">Jam Maker</t>
  </si>
  <si>
    <t xml:space="preserve">https://hayday.fandom.com/wiki/Jam_Maker</t>
  </si>
  <si>
    <t xml:space="preserve">Raspberry Jam</t>
  </si>
  <si>
    <t xml:space="preserve">Blackberry Jam</t>
  </si>
  <si>
    <t xml:space="preserve">Cherry Jam</t>
  </si>
  <si>
    <t xml:space="preserve">Strawberry Jam</t>
  </si>
  <si>
    <t xml:space="preserve">Marmalade</t>
  </si>
  <si>
    <t xml:space="preserve">Peach Jam</t>
  </si>
  <si>
    <t xml:space="preserve">Grape Jam</t>
  </si>
  <si>
    <t xml:space="preserve">Plum Jam</t>
  </si>
  <si>
    <t xml:space="preserve">Passion Fruit Jam</t>
  </si>
  <si>
    <t xml:space="preserve">Bracelet</t>
  </si>
  <si>
    <t xml:space="preserve">Jeweler</t>
  </si>
  <si>
    <t xml:space="preserve">https://hayday.fandom.com/wiki/Jeweler</t>
  </si>
  <si>
    <t xml:space="preserve">Necklace</t>
  </si>
  <si>
    <t xml:space="preserve">Diamond Ring</t>
  </si>
  <si>
    <t xml:space="preserve">Iron Bracelet</t>
  </si>
  <si>
    <t xml:space="preserve">Flower Pendant</t>
  </si>
  <si>
    <t xml:space="preserve">Carrot Juice</t>
  </si>
  <si>
    <t xml:space="preserve">Juice Press</t>
  </si>
  <si>
    <t xml:space="preserve">https://hayday.fandom.com/wiki/Juice_Press</t>
  </si>
  <si>
    <t xml:space="preserve">Apple Juice</t>
  </si>
  <si>
    <t xml:space="preserve">Cherry Juice</t>
  </si>
  <si>
    <t xml:space="preserve">Berry Juice</t>
  </si>
  <si>
    <t xml:space="preserve">Tomato Juice</t>
  </si>
  <si>
    <t xml:space="preserve">Pineapple Juice</t>
  </si>
  <si>
    <t xml:space="preserve">Orange Juice</t>
  </si>
  <si>
    <t xml:space="preserve">Grape Juice</t>
  </si>
  <si>
    <t xml:space="preserve">Passion Fruit Juice</t>
  </si>
  <si>
    <t xml:space="preserve">Watermelon Juice</t>
  </si>
  <si>
    <t xml:space="preserve">Mango Juice</t>
  </si>
  <si>
    <t xml:space="preserve">Guava Juice</t>
  </si>
  <si>
    <t xml:space="preserve">Lobster Tail</t>
  </si>
  <si>
    <t xml:space="preserve">Lobster Pool</t>
  </si>
  <si>
    <t xml:space="preserve">https://hayday.fandom.com/wiki/Lobster_Pool</t>
  </si>
  <si>
    <t xml:space="preserve">Sweater</t>
  </si>
  <si>
    <t xml:space="preserve">Loom</t>
  </si>
  <si>
    <t xml:space="preserve">https://hayday.fandom.com/wiki/Loom</t>
  </si>
  <si>
    <t xml:space="preserve">Cotton Fabric</t>
  </si>
  <si>
    <t xml:space="preserve">Blue Woolly Hat</t>
  </si>
  <si>
    <t xml:space="preserve">Blue Sweater</t>
  </si>
  <si>
    <t xml:space="preserve">Red Scarf</t>
  </si>
  <si>
    <t xml:space="preserve">Flower Shawl</t>
  </si>
  <si>
    <t xml:space="preserve">Gnocchi</t>
  </si>
  <si>
    <t xml:space="preserve">Pasta Kitchen</t>
  </si>
  <si>
    <t xml:space="preserve">https://hayday.fandom.com/wiki/Pasta_Kitchen</t>
  </si>
  <si>
    <t xml:space="preserve">Veggie Lasagna</t>
  </si>
  <si>
    <t xml:space="preserve">Lobster Pasta</t>
  </si>
  <si>
    <t xml:space="preserve">Broccoli Pasta</t>
  </si>
  <si>
    <t xml:space="preserve">Pasta Carbonara</t>
  </si>
  <si>
    <t xml:space="preserve">Spicy Pasta</t>
  </si>
  <si>
    <t xml:space="preserve">Mushroom Pasta</t>
  </si>
  <si>
    <t xml:space="preserve">Fresh Pasta</t>
  </si>
  <si>
    <t xml:space="preserve">Pasta Maker</t>
  </si>
  <si>
    <t xml:space="preserve">https://hayday.fandom.com/wiki/Pasta_Maker</t>
  </si>
  <si>
    <t xml:space="preserve">Rice Noodles</t>
  </si>
  <si>
    <t xml:space="preserve">Carrot Pie</t>
  </si>
  <si>
    <t xml:space="preserve">Pie Oven</t>
  </si>
  <si>
    <t xml:space="preserve">https://hayday.fandom.com/wiki/Pie_Oven</t>
  </si>
  <si>
    <t xml:space="preserve">Pumpkin Pie</t>
  </si>
  <si>
    <t xml:space="preserve">Bacon Pie</t>
  </si>
  <si>
    <t xml:space="preserve">Apple Pie</t>
  </si>
  <si>
    <t xml:space="preserve">Fish Pie</t>
  </si>
  <si>
    <t xml:space="preserve">Feta Pie</t>
  </si>
  <si>
    <t xml:space="preserve">Casserole</t>
  </si>
  <si>
    <t xml:space="preserve">Shepherd's Pie</t>
  </si>
  <si>
    <t xml:space="preserve">Chocolate Pie</t>
  </si>
  <si>
    <t xml:space="preserve">Lemon Pie</t>
  </si>
  <si>
    <t xml:space="preserve">Peach Tart</t>
  </si>
  <si>
    <t xml:space="preserve">Passion Fruit Pie</t>
  </si>
  <si>
    <t xml:space="preserve">Mushroom Pot Pie</t>
  </si>
  <si>
    <t xml:space="preserve">Eggplant Parmesan</t>
  </si>
  <si>
    <t xml:space="preserve">Popcorn</t>
  </si>
  <si>
    <t xml:space="preserve">Popcorn Pot</t>
  </si>
  <si>
    <t xml:space="preserve">https://hayday.fandom.com/wiki/Popcorn_Pot</t>
  </si>
  <si>
    <t xml:space="preserve">Buttered Popcorn</t>
  </si>
  <si>
    <t xml:space="preserve">Chili Popcorn</t>
  </si>
  <si>
    <t xml:space="preserve">Honey Popcorn</t>
  </si>
  <si>
    <t xml:space="preserve">Chocolate Popcorn</t>
  </si>
  <si>
    <t xml:space="preserve">Snack Mix</t>
  </si>
  <si>
    <t xml:space="preserve">Tea Pot</t>
  </si>
  <si>
    <t xml:space="preserve">Pottery Studio</t>
  </si>
  <si>
    <t xml:space="preserve">https://hayday.fandom.com/wiki/Pottery_Studio</t>
  </si>
  <si>
    <t xml:space="preserve">Potted Plant</t>
  </si>
  <si>
    <t xml:space="preserve">Clay Mug</t>
  </si>
  <si>
    <t xml:space="preserve">Pickles</t>
  </si>
  <si>
    <t xml:space="preserve">Preservation Station</t>
  </si>
  <si>
    <t xml:space="preserve">https://hayday.fandom.com/wiki/Preservation_Station</t>
  </si>
  <si>
    <t xml:space="preserve">Canned Fish</t>
  </si>
  <si>
    <t xml:space="preserve">Kimchi</t>
  </si>
  <si>
    <t xml:space="preserve">Dried Fruit</t>
  </si>
  <si>
    <t xml:space="preserve">Guava Compote</t>
  </si>
  <si>
    <t xml:space="preserve">Feta Salad</t>
  </si>
  <si>
    <t xml:space="preserve">Salad Bar</t>
  </si>
  <si>
    <t xml:space="preserve">BLT Salad</t>
  </si>
  <si>
    <t xml:space="preserve">Seafood Salad</t>
  </si>
  <si>
    <t xml:space="preserve">Pasta Salad</t>
  </si>
  <si>
    <t xml:space="preserve">Veggie Platter</t>
  </si>
  <si>
    <t xml:space="preserve">Coleslaw</t>
  </si>
  <si>
    <t xml:space="preserve">Beetroot Salad</t>
  </si>
  <si>
    <t xml:space="preserve">Summer Rolls</t>
  </si>
  <si>
    <t xml:space="preserve">Fruit Salad</t>
  </si>
  <si>
    <t xml:space="preserve">Summer Salad</t>
  </si>
  <si>
    <t xml:space="preserve">Mushroom Salad</t>
  </si>
  <si>
    <t xml:space="preserve">Veggie Bagel</t>
  </si>
  <si>
    <t xml:space="preserve">Sandwich Bar</t>
  </si>
  <si>
    <t xml:space="preserve">https://hayday.fandom.com/wiki/Sandwich_Bar</t>
  </si>
  <si>
    <t xml:space="preserve">Bacon Toast</t>
  </si>
  <si>
    <t xml:space="preserve">Egg Sandwich</t>
  </si>
  <si>
    <t xml:space="preserve">Honey Toast</t>
  </si>
  <si>
    <t xml:space="preserve">Peanut Butter and Jelly Sandwich</t>
  </si>
  <si>
    <t xml:space="preserve">Cucumber Sandwich</t>
  </si>
  <si>
    <t xml:space="preserve">Onion Melt</t>
  </si>
  <si>
    <t xml:space="preserve">Goat Cheese Toast</t>
  </si>
  <si>
    <t xml:space="preserve">Hummus Wrap</t>
  </si>
  <si>
    <t xml:space="preserve">Soy Sauce</t>
  </si>
  <si>
    <t xml:space="preserve">Sauce Maker</t>
  </si>
  <si>
    <t xml:space="preserve">https://hayday.fandom.com/wiki/Sauce_Maker</t>
  </si>
  <si>
    <t xml:space="preserve">Olive Oil</t>
  </si>
  <si>
    <t xml:space="preserve">Mayonnaise</t>
  </si>
  <si>
    <t xml:space="preserve">Lemon Curd</t>
  </si>
  <si>
    <t xml:space="preserve">Olive Dip</t>
  </si>
  <si>
    <t xml:space="preserve">Tomato Sauce</t>
  </si>
  <si>
    <t xml:space="preserve">Salsa</t>
  </si>
  <si>
    <t xml:space="preserve">Hummus</t>
  </si>
  <si>
    <t xml:space="preserve">Tart Dressing</t>
  </si>
  <si>
    <t xml:space="preserve">Cotton Shirt</t>
  </si>
  <si>
    <t xml:space="preserve">Sewing Machine</t>
  </si>
  <si>
    <t xml:space="preserve">https://hayday.fandom.com/wiki/Sewing_Machine</t>
  </si>
  <si>
    <t xml:space="preserve">Wooly Chaps</t>
  </si>
  <si>
    <t xml:space="preserve">Violet Dress</t>
  </si>
  <si>
    <t xml:space="preserve">Pillow</t>
  </si>
  <si>
    <t xml:space="preserve">Blanket</t>
  </si>
  <si>
    <t xml:space="preserve">Silver Bar</t>
  </si>
  <si>
    <t xml:space="preserve">Smelter</t>
  </si>
  <si>
    <t xml:space="preserve">https://hayday.fandom.com/wiki/Smelter</t>
  </si>
  <si>
    <t xml:space="preserve">Gold Bar</t>
  </si>
  <si>
    <t xml:space="preserve">Platinum Bar</t>
  </si>
  <si>
    <t xml:space="preserve">Refined Coal</t>
  </si>
  <si>
    <t xml:space="preserve">Iron Bar</t>
  </si>
  <si>
    <t xml:space="preserve">Berry Smoothie</t>
  </si>
  <si>
    <t xml:space="preserve">Smoothie Mixer</t>
  </si>
  <si>
    <t xml:space="preserve">https://hayday.fandom.com/wiki/Smoothie_Mixer</t>
  </si>
  <si>
    <t xml:space="preserve">Green Smoothie</t>
  </si>
  <si>
    <t xml:space="preserve">Cucumber Smoothie</t>
  </si>
  <si>
    <t xml:space="preserve">Yogurt Smoothie</t>
  </si>
  <si>
    <t xml:space="preserve">Mixed Smoothie</t>
  </si>
  <si>
    <t xml:space="preserve">Black Sesame Smoothie</t>
  </si>
  <si>
    <t xml:space="preserve">Cocoa Smoothie</t>
  </si>
  <si>
    <t xml:space="preserve">Plum Smoothie</t>
  </si>
  <si>
    <t xml:space="preserve">Tropical Smoothie</t>
  </si>
  <si>
    <t xml:space="preserve">Lobster Soup</t>
  </si>
  <si>
    <t xml:space="preserve">Soup Kitchen</t>
  </si>
  <si>
    <t xml:space="preserve">https://hayday.fandom.com/wiki/Soup_Kitchen</t>
  </si>
  <si>
    <t xml:space="preserve">Tomato Soup</t>
  </si>
  <si>
    <t xml:space="preserve">Pumpkin Soup</t>
  </si>
  <si>
    <t xml:space="preserve">Fish Soup</t>
  </si>
  <si>
    <t xml:space="preserve">Cabbage Soup</t>
  </si>
  <si>
    <t xml:space="preserve">Onion Soup</t>
  </si>
  <si>
    <t xml:space="preserve">Noodle Soup</t>
  </si>
  <si>
    <t xml:space="preserve">Potato Soup</t>
  </si>
  <si>
    <t xml:space="preserve">Bell Pepper Soup</t>
  </si>
  <si>
    <t xml:space="preserve">Broccoli Soup</t>
  </si>
  <si>
    <t xml:space="preserve">Mushroom Soup</t>
  </si>
  <si>
    <t xml:space="preserve">Chickpea Stew</t>
  </si>
  <si>
    <t xml:space="preserve">Stew Pot</t>
  </si>
  <si>
    <t xml:space="preserve">https://hayday.fandom.com/wiki/Stew_Pot</t>
  </si>
  <si>
    <t xml:space="preserve">Chili Stew</t>
  </si>
  <si>
    <t xml:space="preserve">Winter Stew</t>
  </si>
  <si>
    <t xml:space="preserve">Brown Sugar</t>
  </si>
  <si>
    <t xml:space="preserve">Sugar Mill</t>
  </si>
  <si>
    <t xml:space="preserve">https://hayday.fandom.com/wiki/Sugar_Mill</t>
  </si>
  <si>
    <t xml:space="preserve">White Sugar</t>
  </si>
  <si>
    <t xml:space="preserve">Syrup</t>
  </si>
  <si>
    <t xml:space="preserve">Sushi Roll</t>
  </si>
  <si>
    <t xml:space="preserve">Sushi Bar</t>
  </si>
  <si>
    <t xml:space="preserve">https://hayday.fandom.com/wiki/Sushi_Bar</t>
  </si>
  <si>
    <t xml:space="preserve">Lobster Sushi</t>
  </si>
  <si>
    <t xml:space="preserve">Egg Sushi</t>
  </si>
  <si>
    <t xml:space="preserve">Big Sushi Roll</t>
  </si>
  <si>
    <t xml:space="preserve">Rice Ball</t>
  </si>
  <si>
    <t xml:space="preserve">Taco</t>
  </si>
  <si>
    <t xml:space="preserve">Taco Kitchen</t>
  </si>
  <si>
    <t xml:space="preserve">https://hayday.fandom.com/wiki/Taco_Kitchen</t>
  </si>
  <si>
    <t xml:space="preserve">Fish Taco</t>
  </si>
  <si>
    <t xml:space="preserve">Quesadilla</t>
  </si>
  <si>
    <t xml:space="preserve">Nachos</t>
  </si>
  <si>
    <t xml:space="preserve">Green Tea</t>
  </si>
  <si>
    <t xml:space="preserve">Tea Stand</t>
  </si>
  <si>
    <t xml:space="preserve">https://hayday.fandom.com/wiki/Tea_Stand</t>
  </si>
  <si>
    <t xml:space="preserve">Milk Tea</t>
  </si>
  <si>
    <t xml:space="preserve">Honey Tea</t>
  </si>
  <si>
    <t xml:space="preserve">Lemon Tea</t>
  </si>
  <si>
    <t xml:space="preserve">Apple Ginger Tea</t>
  </si>
  <si>
    <t xml:space="preserve">Orange Tea</t>
  </si>
  <si>
    <t xml:space="preserve">Iced Tea</t>
  </si>
  <si>
    <t xml:space="preserve">Mint Tea</t>
  </si>
  <si>
    <t xml:space="preserve">Apple</t>
  </si>
  <si>
    <t xml:space="preserve">Trees &amp; Bushes</t>
  </si>
  <si>
    <t xml:space="preserve">https://hayday.fandom.com/wiki/Trees_and_Bushes</t>
  </si>
  <si>
    <t xml:space="preserve">Raspberry</t>
  </si>
  <si>
    <t xml:space="preserve">Cherry</t>
  </si>
  <si>
    <t xml:space="preserve">Blackberry</t>
  </si>
  <si>
    <t xml:space="preserve">Cacao</t>
  </si>
  <si>
    <t xml:space="preserve">Honeycomb</t>
  </si>
  <si>
    <t xml:space="preserve">Coffee</t>
  </si>
  <si>
    <t xml:space="preserve">Olive</t>
  </si>
  <si>
    <t xml:space="preserve">Lemon</t>
  </si>
  <si>
    <t xml:space="preserve">Orange</t>
  </si>
  <si>
    <t xml:space="preserve">Peach</t>
  </si>
  <si>
    <t xml:space="preserve">Banana</t>
  </si>
  <si>
    <t xml:space="preserve">Plum</t>
  </si>
  <si>
    <t xml:space="preserve">Mango</t>
  </si>
  <si>
    <t xml:space="preserve">Coconut</t>
  </si>
  <si>
    <t xml:space="preserve">Guava</t>
  </si>
  <si>
    <t xml:space="preserve">Pomegranate</t>
  </si>
  <si>
    <t xml:space="preserve">Fandom</t>
  </si>
  <si>
    <t xml:space="preserve">Hay Day Wiki (Fandom) only</t>
  </si>
  <si>
    <t xml:space="preserve">Fried Rice</t>
  </si>
  <si>
    <t xml:space="preserve">Wok Kitchen</t>
  </si>
  <si>
    <t xml:space="preserve">https://hayday.fandom.com/wiki/Wok_Kitchen</t>
  </si>
  <si>
    <t xml:space="preserve">Spicy Fish</t>
  </si>
  <si>
    <t xml:space="preserve">Peanut Noodles</t>
  </si>
  <si>
    <t xml:space="preserve">Tofu Stir Fry</t>
  </si>
  <si>
    <t xml:space="preserve">Plain Yogurt</t>
  </si>
  <si>
    <t xml:space="preserve">Yogurt Maker</t>
  </si>
  <si>
    <t xml:space="preserve">https://hayday.fandom.com/wiki/Yogurt_Maker</t>
  </si>
  <si>
    <t xml:space="preserve">Strawberry Yogurt</t>
  </si>
  <si>
    <t xml:space="preserve">Tropical Yogurt</t>
  </si>
  <si>
    <t xml:space="preserve">Breakfast Bowl</t>
  </si>
  <si>
    <t xml:space="preserve">Time (min)</t>
  </si>
  <si>
    <t xml:space="preserve">hayday.info /api/production-data (https://hayday.info/api/production-data)</t>
  </si>
  <si>
    <t xml:space="preserve">Goat milk</t>
  </si>
  <si>
    <t xml:space="preserve">Corn bread</t>
  </si>
  <si>
    <t xml:space="preserve">Raspberry muffin</t>
  </si>
  <si>
    <t xml:space="preserve">Blackberry muffin</t>
  </si>
  <si>
    <t xml:space="preserve">Spicy pizza</t>
  </si>
  <si>
    <t xml:space="preserve">Potato bread</t>
  </si>
  <si>
    <t xml:space="preserve">Frutti di Mare pizza</t>
  </si>
  <si>
    <t xml:space="preserve">Gingerbread cookie</t>
  </si>
  <si>
    <t xml:space="preserve">Banana bread</t>
  </si>
  <si>
    <t xml:space="preserve">Honey soap</t>
  </si>
  <si>
    <t xml:space="preserve">Lemon lotion</t>
  </si>
  <si>
    <t xml:space="preserve">Exfoliating soap</t>
  </si>
  <si>
    <t xml:space="preserve">Honey face mask</t>
  </si>
  <si>
    <t xml:space="preserve">Bacon and eggs</t>
  </si>
  <si>
    <t xml:space="preserve">Fish burger</t>
  </si>
  <si>
    <t xml:space="preserve">Roasted tomatoes</t>
  </si>
  <si>
    <t xml:space="preserve">Baked potato</t>
  </si>
  <si>
    <t xml:space="preserve">Fish and chips</t>
  </si>
  <si>
    <t xml:space="preserve">Lobster skewer</t>
  </si>
  <si>
    <t xml:space="preserve">Garlic bread</t>
  </si>
  <si>
    <t xml:space="preserve">Grilled onion</t>
  </si>
  <si>
    <t xml:space="preserve">Winter veggies</t>
  </si>
  <si>
    <t xml:space="preserve">Stuffed peppers</t>
  </si>
  <si>
    <t xml:space="preserve">Grilled eggplant</t>
  </si>
  <si>
    <t xml:space="preserve">Banana pancakes</t>
  </si>
  <si>
    <t xml:space="preserve">Fish skewer</t>
  </si>
  <si>
    <t xml:space="preserve">Carrot cake</t>
  </si>
  <si>
    <t xml:space="preserve">Cream cake</t>
  </si>
  <si>
    <t xml:space="preserve">Red berry cake</t>
  </si>
  <si>
    <t xml:space="preserve">Strawberry cake</t>
  </si>
  <si>
    <t xml:space="preserve">Chocolate cake</t>
  </si>
  <si>
    <t xml:space="preserve">Potato feta cake</t>
  </si>
  <si>
    <t xml:space="preserve">Honey apple cake</t>
  </si>
  <si>
    <t xml:space="preserve">Fancy cake</t>
  </si>
  <si>
    <t xml:space="preserve">Pineapple cake</t>
  </si>
  <si>
    <t xml:space="preserve">Lemon cake</t>
  </si>
  <si>
    <t xml:space="preserve">Fruit cake</t>
  </si>
  <si>
    <t xml:space="preserve">Chocolate roll</t>
  </si>
  <si>
    <t xml:space="preserve">Strawberry candle</t>
  </si>
  <si>
    <t xml:space="preserve">Raspberry candle</t>
  </si>
  <si>
    <t xml:space="preserve">Lemon candle</t>
  </si>
  <si>
    <t xml:space="preserve">Floral candle</t>
  </si>
  <si>
    <t xml:space="preserve">Caramel apple</t>
  </si>
  <si>
    <t xml:space="preserve">Jelly beans</t>
  </si>
  <si>
    <t xml:space="preserve">Honey peanuts</t>
  </si>
  <si>
    <t xml:space="preserve">Sesame brittle</t>
  </si>
  <si>
    <t xml:space="preserve">Caffè latte</t>
  </si>
  <si>
    <t xml:space="preserve">Caffè mocha</t>
  </si>
  <si>
    <t xml:space="preserve">Raspberry mocha</t>
  </si>
  <si>
    <t xml:space="preserve">Hot chocolate</t>
  </si>
  <si>
    <t xml:space="preserve">Caramel latte</t>
  </si>
  <si>
    <t xml:space="preserve">Iced banana latte</t>
  </si>
  <si>
    <t xml:space="preserve">Chili pepper</t>
  </si>
  <si>
    <t xml:space="preserve">Bell pepper</t>
  </si>
  <si>
    <t xml:space="preserve">Tea leaf</t>
  </si>
  <si>
    <t xml:space="preserve">Passion fruit</t>
  </si>
  <si>
    <t xml:space="preserve">Goat cheese</t>
  </si>
  <si>
    <t xml:space="preserve">Bacon fries</t>
  </si>
  <si>
    <t xml:space="preserve">Hand pies</t>
  </si>
  <si>
    <t xml:space="preserve">Chili poppers</t>
  </si>
  <si>
    <t xml:space="preserve">Fried candy bar</t>
  </si>
  <si>
    <t xml:space="preserve">Donut maker</t>
  </si>
  <si>
    <t xml:space="preserve">Duck feather</t>
  </si>
  <si>
    <t xml:space="preserve">Chicken feed</t>
  </si>
  <si>
    <t xml:space="preserve">Cow feed</t>
  </si>
  <si>
    <t xml:space="preserve">Pig feed</t>
  </si>
  <si>
    <t xml:space="preserve">Sheep feed</t>
  </si>
  <si>
    <t xml:space="preserve">Goat feed</t>
  </si>
  <si>
    <t xml:space="preserve">Meat bucket</t>
  </si>
  <si>
    <t xml:space="preserve">Wheat bundle</t>
  </si>
  <si>
    <t xml:space="preserve">Rustic bouquet</t>
  </si>
  <si>
    <t xml:space="preserve">Bright bouquet</t>
  </si>
  <si>
    <t xml:space="preserve">Gracious bouquet</t>
  </si>
  <si>
    <t xml:space="preserve">Candy bouquet</t>
  </si>
  <si>
    <t xml:space="preserve">Soft bouquet</t>
  </si>
  <si>
    <t xml:space="preserve">Veggie bouquet</t>
  </si>
  <si>
    <t xml:space="preserve">Chocolate fondue</t>
  </si>
  <si>
    <t xml:space="preserve">Bacon fondue</t>
  </si>
  <si>
    <t xml:space="preserve">Cheese fondue</t>
  </si>
  <si>
    <t xml:space="preserve">Tropical fondue</t>
  </si>
  <si>
    <t xml:space="preserve">Rich fudge</t>
  </si>
  <si>
    <t xml:space="preserve">Mint fudge</t>
  </si>
  <si>
    <t xml:space="preserve">Chili fudge</t>
  </si>
  <si>
    <t xml:space="preserve">Lemon fudge</t>
  </si>
  <si>
    <t xml:space="preserve">Peanut fudge</t>
  </si>
  <si>
    <t xml:space="preserve">Cloche hat</t>
  </si>
  <si>
    <t xml:space="preserve">Top hat</t>
  </si>
  <si>
    <t xml:space="preserve">Sun hat</t>
  </si>
  <si>
    <t xml:space="preserve">Flower crown</t>
  </si>
  <si>
    <t xml:space="preserve">Hot dog</t>
  </si>
  <si>
    <t xml:space="preserve">Tofu dog</t>
  </si>
  <si>
    <t xml:space="preserve">Corn dog</t>
  </si>
  <si>
    <t xml:space="preserve">Onion dog</t>
  </si>
  <si>
    <t xml:space="preserve">Vanilla ice cream</t>
  </si>
  <si>
    <t xml:space="preserve">Cherry popsicle</t>
  </si>
  <si>
    <t xml:space="preserve">Strawberry ice cream</t>
  </si>
  <si>
    <t xml:space="preserve">Chocolate ice cream</t>
  </si>
  <si>
    <t xml:space="preserve">Sesame ice cream</t>
  </si>
  <si>
    <t xml:space="preserve">Peanut butter milkshake</t>
  </si>
  <si>
    <t xml:space="preserve">Orange sorbet</t>
  </si>
  <si>
    <t xml:space="preserve">Peach ice cream</t>
  </si>
  <si>
    <t xml:space="preserve">Mint ice cream</t>
  </si>
  <si>
    <t xml:space="preserve">Banana split</t>
  </si>
  <si>
    <t xml:space="preserve">Apple jam</t>
  </si>
  <si>
    <t xml:space="preserve">Raspberry jam</t>
  </si>
  <si>
    <t xml:space="preserve">Blackberry jam</t>
  </si>
  <si>
    <t xml:space="preserve">Cherry jam</t>
  </si>
  <si>
    <t xml:space="preserve">Strawberry jam</t>
  </si>
  <si>
    <t xml:space="preserve">Peach jam</t>
  </si>
  <si>
    <t xml:space="preserve">Grape jam</t>
  </si>
  <si>
    <t xml:space="preserve">Plum jam</t>
  </si>
  <si>
    <t xml:space="preserve">Passion fruit jam</t>
  </si>
  <si>
    <t xml:space="preserve">Jewler</t>
  </si>
  <si>
    <t xml:space="preserve">Diamond ring</t>
  </si>
  <si>
    <t xml:space="preserve">Iron bracelet</t>
  </si>
  <si>
    <t xml:space="preserve">Flower pendant</t>
  </si>
  <si>
    <t xml:space="preserve">Carrot juice</t>
  </si>
  <si>
    <t xml:space="preserve">Apple juice</t>
  </si>
  <si>
    <t xml:space="preserve">Cherry juice</t>
  </si>
  <si>
    <t xml:space="preserve">Berry juice</t>
  </si>
  <si>
    <t xml:space="preserve">Tomato juice</t>
  </si>
  <si>
    <t xml:space="preserve">Pineapple juice</t>
  </si>
  <si>
    <t xml:space="preserve">Orange juice</t>
  </si>
  <si>
    <t xml:space="preserve">Grape juice</t>
  </si>
  <si>
    <t xml:space="preserve">Passion fruit juice</t>
  </si>
  <si>
    <t xml:space="preserve">Watermelon juice</t>
  </si>
  <si>
    <t xml:space="preserve">Mango juice</t>
  </si>
  <si>
    <t xml:space="preserve">Lobster tail</t>
  </si>
  <si>
    <t xml:space="preserve">Cotton fabric</t>
  </si>
  <si>
    <t xml:space="preserve">Blue woolly hat</t>
  </si>
  <si>
    <t xml:space="preserve">Blue sweater</t>
  </si>
  <si>
    <t xml:space="preserve">Red scarf</t>
  </si>
  <si>
    <t xml:space="preserve">Flower shawl</t>
  </si>
  <si>
    <t xml:space="preserve">Veggie lasagna</t>
  </si>
  <si>
    <t xml:space="preserve">Lobster pasta</t>
  </si>
  <si>
    <t xml:space="preserve">Broccoli pasta</t>
  </si>
  <si>
    <t xml:space="preserve">Pasta carbonara</t>
  </si>
  <si>
    <t xml:space="preserve">Spicy pasta</t>
  </si>
  <si>
    <t xml:space="preserve">Mushroom pasta</t>
  </si>
  <si>
    <t xml:space="preserve">Fresh pasta</t>
  </si>
  <si>
    <t xml:space="preserve">Rice noodles</t>
  </si>
  <si>
    <t xml:space="preserve">Carrot pie</t>
  </si>
  <si>
    <t xml:space="preserve">Pumpkin pie</t>
  </si>
  <si>
    <t xml:space="preserve">Bacon pie</t>
  </si>
  <si>
    <t xml:space="preserve">Apple pie</t>
  </si>
  <si>
    <t xml:space="preserve">Fish pie</t>
  </si>
  <si>
    <t xml:space="preserve">Feta pie</t>
  </si>
  <si>
    <t xml:space="preserve">Shepherd's pie</t>
  </si>
  <si>
    <t xml:space="preserve">Chocolate pie</t>
  </si>
  <si>
    <t xml:space="preserve">Lemon pie</t>
  </si>
  <si>
    <t xml:space="preserve">Peach tart</t>
  </si>
  <si>
    <t xml:space="preserve">Passion fruit pie</t>
  </si>
  <si>
    <t xml:space="preserve">Mushroom pot pie</t>
  </si>
  <si>
    <t xml:space="preserve">Eggplant parmesan</t>
  </si>
  <si>
    <t xml:space="preserve">Buttered popcorn</t>
  </si>
  <si>
    <t xml:space="preserve">Chili popcorn</t>
  </si>
  <si>
    <t xml:space="preserve">Honey popcorn</t>
  </si>
  <si>
    <t xml:space="preserve">Chocolate popcorn</t>
  </si>
  <si>
    <t xml:space="preserve">Snack mix</t>
  </si>
  <si>
    <t xml:space="preserve">Tea pot</t>
  </si>
  <si>
    <t xml:space="preserve">Potted plant</t>
  </si>
  <si>
    <t xml:space="preserve">Clay mug</t>
  </si>
  <si>
    <t xml:space="preserve">Preservation station</t>
  </si>
  <si>
    <t xml:space="preserve">Canned fish</t>
  </si>
  <si>
    <t xml:space="preserve">Dried fruit</t>
  </si>
  <si>
    <t xml:space="preserve">Feta salad</t>
  </si>
  <si>
    <t xml:space="preserve">BLT salad</t>
  </si>
  <si>
    <t xml:space="preserve">Seafood salad</t>
  </si>
  <si>
    <t xml:space="preserve">Pasta salad</t>
  </si>
  <si>
    <t xml:space="preserve">Veggie platter</t>
  </si>
  <si>
    <t xml:space="preserve">Beetroot salad</t>
  </si>
  <si>
    <t xml:space="preserve">Summer rolls</t>
  </si>
  <si>
    <t xml:space="preserve">Fruit salad</t>
  </si>
  <si>
    <t xml:space="preserve">Summer salad</t>
  </si>
  <si>
    <t xml:space="preserve">Mushroom salad</t>
  </si>
  <si>
    <t xml:space="preserve">Veggie bagel</t>
  </si>
  <si>
    <t xml:space="preserve">Bacon toast</t>
  </si>
  <si>
    <t xml:space="preserve">Egg sandwich</t>
  </si>
  <si>
    <t xml:space="preserve">Honey toast</t>
  </si>
  <si>
    <t xml:space="preserve">Peanut butter and jelly sandwich</t>
  </si>
  <si>
    <t xml:space="preserve">Cucumber sandwich</t>
  </si>
  <si>
    <t xml:space="preserve">Onion melt</t>
  </si>
  <si>
    <t xml:space="preserve">Goat cheese toast</t>
  </si>
  <si>
    <t xml:space="preserve">Hummus wrap</t>
  </si>
  <si>
    <t xml:space="preserve">Soy sauce</t>
  </si>
  <si>
    <t xml:space="preserve">Olive oil</t>
  </si>
  <si>
    <t xml:space="preserve">Lemon curd</t>
  </si>
  <si>
    <t xml:space="preserve">Olive dip</t>
  </si>
  <si>
    <t xml:space="preserve">Tomato sauce</t>
  </si>
  <si>
    <t xml:space="preserve">Tart dressing</t>
  </si>
  <si>
    <t xml:space="preserve">Cotton shirt</t>
  </si>
  <si>
    <t xml:space="preserve">Wooly chaps</t>
  </si>
  <si>
    <t xml:space="preserve">Violet dress</t>
  </si>
  <si>
    <t xml:space="preserve">Silver bar</t>
  </si>
  <si>
    <t xml:space="preserve">Gold bar</t>
  </si>
  <si>
    <t xml:space="preserve">Platinum bar</t>
  </si>
  <si>
    <t xml:space="preserve">Refined coal</t>
  </si>
  <si>
    <t xml:space="preserve">Iron bar</t>
  </si>
  <si>
    <t xml:space="preserve">Berry smoothie</t>
  </si>
  <si>
    <t xml:space="preserve">Green smoothie</t>
  </si>
  <si>
    <t xml:space="preserve">Cucumber smoothie</t>
  </si>
  <si>
    <t xml:space="preserve">Yogurt smoothie</t>
  </si>
  <si>
    <t xml:space="preserve">Mixed smoothie</t>
  </si>
  <si>
    <t xml:space="preserve">Black sesame smoothie</t>
  </si>
  <si>
    <t xml:space="preserve">Cocoa smoothie</t>
  </si>
  <si>
    <t xml:space="preserve">Plum smoothie</t>
  </si>
  <si>
    <t xml:space="preserve">Lobster soup</t>
  </si>
  <si>
    <t xml:space="preserve">Tomato soup</t>
  </si>
  <si>
    <t xml:space="preserve">Pumpkin soup</t>
  </si>
  <si>
    <t xml:space="preserve">Fish soup</t>
  </si>
  <si>
    <t xml:space="preserve">Cabbage soup</t>
  </si>
  <si>
    <t xml:space="preserve">Onion soup</t>
  </si>
  <si>
    <t xml:space="preserve">Noodle soup</t>
  </si>
  <si>
    <t xml:space="preserve">Potato soup</t>
  </si>
  <si>
    <t xml:space="preserve">Bell pepper soup</t>
  </si>
  <si>
    <t xml:space="preserve">Broccoli soup</t>
  </si>
  <si>
    <t xml:space="preserve">Mushroom soup</t>
  </si>
  <si>
    <t xml:space="preserve">Brown sugar</t>
  </si>
  <si>
    <t xml:space="preserve">White sugar</t>
  </si>
  <si>
    <t xml:space="preserve">Sushi roll</t>
  </si>
  <si>
    <t xml:space="preserve">Lobster sushi</t>
  </si>
  <si>
    <t xml:space="preserve">Egg sushi</t>
  </si>
  <si>
    <t xml:space="preserve">Big sushi roll</t>
  </si>
  <si>
    <t xml:space="preserve">Rice ball</t>
  </si>
  <si>
    <t xml:space="preserve">Fish taco</t>
  </si>
  <si>
    <t xml:space="preserve">Green tea</t>
  </si>
  <si>
    <t xml:space="preserve">Milk tea</t>
  </si>
  <si>
    <t xml:space="preserve">Honey tea</t>
  </si>
  <si>
    <t xml:space="preserve">Lemon tea</t>
  </si>
  <si>
    <t xml:space="preserve">Apple ginger tea</t>
  </si>
  <si>
    <t xml:space="preserve">Orange tea</t>
  </si>
  <si>
    <t xml:space="preserve">Iced tea</t>
  </si>
  <si>
    <t xml:space="preserve">Mint tea</t>
  </si>
  <si>
    <t xml:space="preserve">Fried rice</t>
  </si>
  <si>
    <t xml:space="preserve">Spicy fish</t>
  </si>
  <si>
    <t xml:space="preserve">Peanut noodles</t>
  </si>
  <si>
    <t xml:space="preserve">Tofu stir fry</t>
  </si>
  <si>
    <t xml:space="preserve">Note</t>
  </si>
  <si>
    <t xml:space="preserve">hayday.info time</t>
  </si>
  <si>
    <t xml:space="preserve">Time check</t>
  </si>
  <si>
    <t xml:space="preserve">hayday.info price</t>
  </si>
  <si>
    <t xml:space="preserve">Price check</t>
  </si>
  <si>
    <t xml:space="preserve">hayday.info XP</t>
  </si>
  <si>
    <t xml:space="preserve">XP check</t>
  </si>
  <si>
    <t xml:space="preserve">Level check</t>
  </si>
  <si>
    <t xml:space="preserve">Hay Day Wiki (Fandom) https://hayday.fandom.com/wiki/Bakery</t>
  </si>
  <si>
    <t xml:space="preserve">Hay Day Wiki (Fandom) https://hayday.fandom.com/wiki/Dairy</t>
  </si>
  <si>
    <t xml:space="preserve">Hay Day Wiki (Fandom) https://hayday.fandom.com/wiki/Pie_Oven</t>
  </si>
  <si>
    <t xml:space="preserve">Hay Day Wiki (Fandom) https://hayday.fandom.com/wiki/Cake_Oven</t>
  </si>
  <si>
    <t xml:space="preserve">Hay Day Wiki (Fandom) https://hayday.fandom.com/wiki/Sugar_Mill</t>
  </si>
  <si>
    <t xml:space="preserve">Hay Day Wiki (Fandom) https://hayday.fandom.com/wiki/Popcorn_Pot</t>
  </si>
  <si>
    <t xml:space="preserve">Hay Day Wiki (Fandom) https://hayday.fandom.com/wiki/Feed_Mill</t>
  </si>
  <si>
    <t xml:space="preserve">Level shown on page as 'Rep 3' (reputation requirement), left blank</t>
  </si>
  <si>
    <t xml:space="preserve">Hay Day Wiki (Fandom) https://hayday.fandom.com/wiki/Loom</t>
  </si>
  <si>
    <t xml:space="preserve">Hay Day Wiki (Fandom) https://hayday.fandom.com/wiki/Sewing_Machine</t>
  </si>
  <si>
    <t xml:space="preserve">Hay Day Wiki (Fandom) https://hayday.fandom.com/wiki/Juice_Press</t>
  </si>
  <si>
    <t xml:space="preserve">Hay Day Wiki (Fandom) https://hayday.fandom.com/wiki/Ice_Cream_Maker</t>
  </si>
  <si>
    <t xml:space="preserve">Hay Day Wiki (Fandom) https://hayday.fandom.com/wiki/Jam_Maker</t>
  </si>
  <si>
    <t xml:space="preserve">Sell price and XP not listed on the page</t>
  </si>
  <si>
    <t xml:space="preserve">Hay Day Wiki (Fandom) https://hayday.fandom.com/wiki/Jeweler</t>
  </si>
  <si>
    <t xml:space="preserve">Hay Day Wiki (Fandom) https://hayday.fandom.com/wiki/Smelter</t>
  </si>
  <si>
    <t xml:space="preserve">Hay Day Wiki (Fandom) https://hayday.fandom.com/wiki/Candy_Machine</t>
  </si>
  <si>
    <t xml:space="preserve">Hay Day Wiki (Fandom) https://hayday.fandom.com/wiki/Candle_Maker</t>
  </si>
  <si>
    <t xml:space="preserve">Hay Day Wiki (Fandom) https://hayday.fandom.com/wiki/Soup_Kitchen</t>
  </si>
  <si>
    <t xml:space="preserve">Page reader inferred which column is price/XP; verify</t>
  </si>
  <si>
    <t xml:space="preserve">Hay Day Wiki (Fandom) https://hayday.fandom.com/wiki/Sandwich_Bar</t>
  </si>
  <si>
    <t xml:space="preserve">Hay Day Wiki (Fandom) https://hayday.fandom.com/wiki/Sauce_Maker</t>
  </si>
  <si>
    <t xml:space="preserve">Hay Day Wiki (Fandom) https://hayday.fandom.com/wiki/Smoothie_Mixer</t>
  </si>
  <si>
    <t xml:space="preserve">Hay Day Wiki (Fandom) https://hayday.fandom.com/wiki/Taco_Kitchen</t>
  </si>
  <si>
    <t xml:space="preserve">Hay Day Wiki (Fandom) https://hayday.fandom.com/wiki/Wok_Kitchen</t>
  </si>
  <si>
    <t xml:space="preserve">Hay Day Wiki (Fandom) https://hayday.fandom.com/wiki/Pasta_Kitchen</t>
  </si>
  <si>
    <t xml:space="preserve">Hay Day Wiki (Fandom) https://hayday.fandom.com/wiki/Hot_Dog_Stand</t>
  </si>
  <si>
    <t xml:space="preserve">Hay Day Wiki (Fandom) https://hayday.fandom.com/wiki/Tea_Stand</t>
  </si>
  <si>
    <t xml:space="preserve">Hay Day Wiki (Fandom) https://hayday.fandom.com/wiki/Fondue_Pot</t>
  </si>
  <si>
    <t xml:space="preserve">Hay Day Wiki (Fandom) https://hayday.fandom.com/wiki/Donut_Maker</t>
  </si>
  <si>
    <t xml:space="preserve">Hay Day Wiki (Fandom) https://hayday.fandom.com/wiki/Coffee_Kiosk</t>
  </si>
  <si>
    <t xml:space="preserve">Hay Day Wiki (Fandom) https://hayday.fandom.com/wiki/Flower_Shop</t>
  </si>
  <si>
    <t xml:space="preserve">Hay Day Wiki (Fandom) https://hayday.fandom.com/wiki/Sushi_Bar</t>
  </si>
  <si>
    <t xml:space="preserve">Hay Day Wiki (Fandom) https://hayday.fandom.com/wiki/Hat_Maker</t>
  </si>
  <si>
    <t xml:space="preserve">Hay Day Wiki (Fandom) https://hayday.fandom.com/wiki/Pasta_Maker</t>
  </si>
  <si>
    <t xml:space="preserve">Hay Day Wiki (Fandom) https://hayday.fandom.com/wiki/Preservation_Station</t>
  </si>
  <si>
    <t xml:space="preserve">Page table garbled: normal time left blank, mastered time inferred by the page reader</t>
  </si>
  <si>
    <t xml:space="preserve">Hay Day Wiki (Fandom) https://hayday.fandom.com/wiki/Yogurt_Maker</t>
  </si>
  <si>
    <t xml:space="preserve">Hay Day Wiki (Fandom) https://hayday.fandom.com/wiki/Stew_Pot</t>
  </si>
  <si>
    <t xml:space="preserve">Hay Day Wiki (Fandom) https://hayday.fandom.com/wiki/Pottery_Studio</t>
  </si>
  <si>
    <t xml:space="preserve">Hay Day Wiki (Fandom) https://hayday.fandom.com/wiki/Honey_Extractor</t>
  </si>
  <si>
    <t xml:space="preserve">Cannot be mastered; price and XP not stated on the page</t>
  </si>
  <si>
    <t xml:space="preserve">Hay Day Wiki (Fandom) https://hayday.fandom.com/wiki/Duck_Salon</t>
  </si>
  <si>
    <t xml:space="preserve">Cannot be mastered</t>
  </si>
  <si>
    <t xml:space="preserve">Hay Day Wiki (Fandom) https://hayday.fandom.com/wiki/Lobster_Pool</t>
  </si>
  <si>
    <t xml:space="preserve">Page lists 'Apple tree' with unlabeled value 160 (likely tree purchase cost, not sell price)</t>
  </si>
  <si>
    <t xml:space="preserve">Hay Day Wiki (Fandom) https://hayday.fandom.com/wiki/Trees_and_Bushes</t>
  </si>
  <si>
    <t xml:space="preserve">Page lists 'Raspberry bush' with unlabeled value 220 (likely purchase cost)</t>
  </si>
  <si>
    <t xml:space="preserve">Page lists 'Cherry tree' with unlabeled value 410 (likely purchase cost)</t>
  </si>
  <si>
    <t xml:space="preserve">Page lists 'Blackberry bush' with unlabeled value 530 (likely purchase cost)</t>
  </si>
  <si>
    <t xml:space="preserve">Page lists 'Cacao tree' with unlabeled value 550 (likely purchase cost)</t>
  </si>
  <si>
    <t xml:space="preserve">Page lists 'Coffee bush' with unlabeled value 375 (likely purchase cost)</t>
  </si>
  <si>
    <t xml:space="preserve">Page lists 'Olive tree' with unlabeled value 620 (likely purchase cost)</t>
  </si>
  <si>
    <t xml:space="preserve">Page lists 'Lemon tree' with unlabeled value 670 (likely purchase cost)</t>
  </si>
  <si>
    <t xml:space="preserve">Page lists 'Orange tree' with unlabeled value 720 (likely purchase cost)</t>
  </si>
  <si>
    <t xml:space="preserve">Page lists 'Peach tree' with unlabeled value 750 (likely purchase cost)</t>
  </si>
  <si>
    <t xml:space="preserve">Page lists 'Banana tree' with unlabeled value 800 (likely purchase cost)</t>
  </si>
  <si>
    <t xml:space="preserve">Page lists 'Plum tree' with unlabeled value 600 (likely purchase cost)</t>
  </si>
  <si>
    <t xml:space="preserve">Page lists 'Mango tree' with unlabeled value 770 (likely purchase cost)</t>
  </si>
  <si>
    <t xml:space="preserve">Page lists 'Coconut tree' with unlabeled value 810 (likely purchase cost)</t>
  </si>
  <si>
    <t xml:space="preserve">Page lists 'Guava tree' with unlabeled value 860 (likely purchase cost)</t>
  </si>
  <si>
    <t xml:space="preserve">Page lists 'Pomegranate tree' with unlabeled value 910 (likely purchase cost)</t>
  </si>
  <si>
    <t xml:space="preserve">Hay Day production data - notes</t>
  </si>
  <si>
    <t xml:space="preserve">Settings</t>
  </si>
  <si>
    <t xml:space="preserve">High-profit flag threshold (profit/hr)</t>
  </si>
  <si>
    <t xml:space="preserve">Assumption: chosen by me, not from any source. Values above are flagged in hayday_info column I.</t>
  </si>
  <si>
    <t xml:space="preserve">Comparison summary (live formulas over fandom_all)</t>
  </si>
  <si>
    <t xml:space="preserve">Fandom rows</t>
  </si>
  <si>
    <t xml:space="preserve">  found in hayday.info</t>
  </si>
  <si>
    <t xml:space="preserve">  not in hayday.info (new/renamed items)</t>
  </si>
  <si>
    <t xml:space="preserve">Time = Fandom mastered time</t>
  </si>
  <si>
    <t xml:space="preserve">Time = Fandom normal time (not mastered)</t>
  </si>
  <si>
    <t xml:space="preserve">Time differs from both</t>
  </si>
  <si>
    <t xml:space="preserve">Price matches</t>
  </si>
  <si>
    <t xml:space="preserve">Price differs</t>
  </si>
  <si>
    <t xml:space="preserve">XP matches</t>
  </si>
  <si>
    <t xml:space="preserve">XP differs</t>
  </si>
  <si>
    <t xml:space="preserve">Level differs</t>
  </si>
  <si>
    <t xml:space="preserve">Sources</t>
  </si>
  <si>
    <t xml:space="preserve">Community database. Endpoint https://hayday.info/api/production-data returned a flat JSON array of 348 records across 48 machines/categories. Retrieved 2026-10-13. Unofficial and undocumented - format may change.</t>
  </si>
  <si>
    <t xml:space="preserve">Hay Day Wiki (Fandom)</t>
  </si>
  <si>
    <t xml:space="preserve">Product tables read from individual machine pages (https://hayday.fandom.com/wiki/&lt;Machine&gt;), plus Trees_and_Bushes. Retrieved 2026-10-13 through a web page reader that summarises the page, so values may contain reader errors - 'differs' rows should be checked against the page or the game.</t>
  </si>
  <si>
    <t xml:space="preserve">Not retrieved</t>
  </si>
  <si>
    <t xml:space="preserve">Fandom pages that failed to load twice: BBQ Grill, Salad Bar, Deep Fryer, Cupcake Maker, Fudge Shop, Bath Kiosk. The Crops page had an empty table. Animal Products and the individual crop list were not fetched.</t>
  </si>
  <si>
    <t xml:space="preserve">Ingredients</t>
  </si>
  <si>
    <t xml:space="preserve">NOT available. Machine pages only give general notes (e.g. 'every jam needs 3 fruit'), not per-product recipes, so no ingredient or cost columns could be built.</t>
  </si>
  <si>
    <t xml:space="preserve">Findings</t>
  </si>
  <si>
    <t xml:space="preserve">Time = mastered time</t>
  </si>
  <si>
    <t xml:space="preserve">hayday.info 'time_min' is generally the Fandom mastered (3-star) time, not the normal time. See the summary above; exceptions are listed in fandom_all column K.</t>
  </si>
  <si>
    <t xml:space="preserve">profit_per_hour</t>
  </si>
  <si>
    <t xml:space="preserve">Computed by the site, formula not published. Consistent with (price - ingredient cost) / hours on Egg and Wheat; not verified for every row.</t>
  </si>
  <si>
    <t xml:space="preserve">Suspicious values</t>
  </si>
  <si>
    <t xml:space="preserve">Large negative or very high profit/hr rows are flagged in hayday_info column I. Not verified in-game.</t>
  </si>
  <si>
    <t xml:space="preserve">Items only on Fandom</t>
  </si>
  <si>
    <t xml:space="preserve">Some items appear on Fandom but not in hayday.info (e.g. Breakfast Bowl, Pomegranate) - see 'not in hayday.info' rows.</t>
  </si>
  <si>
    <t xml:space="preserve">Cleaning applied</t>
  </si>
  <si>
    <t xml:space="preserve">hayday_info</t>
  </si>
  <si>
    <t xml:space="preserve">Trailing zero-width characters removed from 'Ginger' and 'Affogato'. Rows sorted by machine, level, product. No values changed.</t>
  </si>
  <si>
    <t xml:space="preserve">fandom_all</t>
  </si>
  <si>
    <t xml:space="preserve">Times converted from 'h/min' text to minutes. Blank cell = value not on the page. Source column holds the exact page URL.</t>
  </si>
  <si>
    <t xml:space="preserve">How data was obtained</t>
  </si>
  <si>
    <t xml:space="preserve">Direct download from the shell was blocked by the workspace proxy (HTTP 403), so pages were read with the web fetch tool and the results typed into CSV files, then loaded here. Typing errors are possible; hayday_info row count (348) was checked against the source.</t>
  </si>
  <si>
    <t xml:space="preserve">Colour code</t>
  </si>
  <si>
    <t xml:space="preserve">Blue = values taken from a source; black = formulas / labels; brown header = comparison columns (formulas).</t>
  </si>
  <si>
    <t xml:space="preserve">Merged sheet (merged_clean)</t>
  </si>
  <si>
    <t xml:space="preserve">Rows</t>
  </si>
  <si>
    <t xml:space="preserve">  in both sources</t>
  </si>
  <si>
    <t xml:space="preserve">  hayday.info only</t>
  </si>
  <si>
    <t xml:space="preserve">  Fandom only</t>
  </si>
  <si>
    <t xml:space="preserve">  status = conflict</t>
  </si>
  <si>
    <t xml:space="preserve">  hayday.info time basis = mastered</t>
  </si>
  <si>
    <t xml:space="preserve">  hayday.info time basis = normal</t>
  </si>
  <si>
    <t xml:space="preserve">  hayday.info time basis = differs</t>
  </si>
  <si>
    <t xml:space="preserve">Merge key</t>
  </si>
  <si>
    <t xml:space="preserve">Product name, case-insensitive. One row per product.</t>
  </si>
  <si>
    <t xml:space="preserve">Primary values</t>
  </si>
  <si>
    <t xml:space="preserve">Where both sources have a value, hayday.info is kept as the primary (sell price, XP, level, time, profit/hr) because it is structured data; the Fandom values passed through a page reader that sometimes had to guess columns. This is my choice, not a verified ruling.</t>
  </si>
  <si>
    <t xml:space="preserve">Conflicts</t>
  </si>
  <si>
    <t xml:space="preserve">If Fandom disagrees on price or XP, the Fandom number is shown in the '(Fandom, if different)' column and Status = conflict. Time conflicts show as 'differs' in the time-basis column. Nothing is overwritten silently.</t>
  </si>
  <si>
    <t xml:space="preserve">Times</t>
  </si>
  <si>
    <t xml:space="preserve">Fandom normal and mastered times are kept next to hayday.info's time; 'time basis' says which one hayday.info used. Profit/hr from the site uses its own time, so rows with basis 'normal' or 'differs' are not comparable to 'mastered' rows.</t>
  </si>
  <si>
    <t xml:space="preserve">Fandom-only rows</t>
  </si>
  <si>
    <t xml:space="preserve">Items missing from hayday.info keep the Fandom values; site profit/hr columns are blank for them.</t>
  </si>
  <si>
    <t xml:space="preserve">Name cleaning</t>
  </si>
  <si>
    <t xml:space="preserve">Product names normalised to Title Case (small words 'and/di/of' lower-case, 'BLT' upper-case); 234 names changed. Machine names standardised ('Jewler' -&gt; 'Jeweler', 'Donut maker' -&gt; 'Donut Maker', 'Preservation station' -&gt; 'Preservation Station'). Zero-width characters and extra spaces removed. No duplicates remain.</t>
  </si>
  <si>
    <t xml:space="preserve">Raw sheets</t>
  </si>
  <si>
    <t xml:space="preserve">hayday_info and fandom_all are kept unchanged as the raw record behind merged_clean.</t>
  </si>
</sst>
</file>

<file path=xl/styles.xml><?xml version="1.0" encoding="utf-8"?>
<styleSheet xmlns="http://schemas.openxmlformats.org/spreadsheetml/2006/main">
  <numFmts count="6">
    <numFmt numFmtId="164" formatCode="General"/>
    <numFmt numFmtId="165" formatCode="#,##0.##"/>
    <numFmt numFmtId="166" formatCode="#,##0"/>
    <numFmt numFmtId="167" formatCode="#,##0.0;[RED]\-#,##0.0"/>
    <numFmt numFmtId="168" formatCode="#,##0.0"/>
    <numFmt numFmtId="169"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b val="true"/>
      <sz val="13"/>
      <name val="Arial"/>
      <family val="0"/>
      <charset val="1"/>
    </font>
    <font>
      <b val="true"/>
      <sz val="10"/>
      <name val="Arial"/>
      <family val="0"/>
      <charset val="1"/>
    </font>
  </fonts>
  <fills count="5">
    <fill>
      <patternFill patternType="none"/>
    </fill>
    <fill>
      <patternFill patternType="gray125"/>
    </fill>
    <fill>
      <patternFill patternType="solid">
        <fgColor rgb="FF305496"/>
        <bgColor rgb="FF666699"/>
      </patternFill>
    </fill>
    <fill>
      <patternFill patternType="solid">
        <fgColor rgb="FF375623"/>
        <bgColor rgb="FF333300"/>
      </patternFill>
    </fill>
    <fill>
      <patternFill patternType="solid">
        <fgColor rgb="FF7F6000"/>
        <bgColor rgb="FF993300"/>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9"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375623"/>
          <bgColor rgb="FF000000"/>
        </patternFill>
      </fill>
    </dxf>
    <dxf>
      <fill>
        <patternFill patternType="solid">
          <fgColor rgb="FFFFE699"/>
          <bgColor rgb="FF000000"/>
        </patternFill>
      </fill>
    </dxf>
    <dxf>
      <fill>
        <patternFill patternType="solid">
          <fgColor rgb="FFFF0000"/>
          <bgColor rgb="FF000000"/>
        </patternFill>
      </fill>
    </dxf>
    <dxf>
      <fill>
        <patternFill>
          <bgColor rgb="FFFFE699"/>
        </patternFill>
      </fill>
    </dxf>
    <dxf>
      <fill>
        <patternFill patternType="solid">
          <fgColor rgb="FF7F6000"/>
          <bgColor rgb="FF000000"/>
        </patternFill>
      </fill>
    </dxf>
    <dxf>
      <fill>
        <patternFill patternType="solid">
          <fgColor rgb="FFF8CBAD"/>
          <bgColor rgb="FF000000"/>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8"/>
    <col collapsed="false" customWidth="true" hidden="false" outlineLevel="0" max="4" min="4" style="0" width="11"/>
    <col collapsed="false" customWidth="true" hidden="false" outlineLevel="0" max="5" min="5" style="0" width="12"/>
    <col collapsed="false" customWidth="true" hidden="false" outlineLevel="0" max="6" min="6" style="0" width="13"/>
    <col collapsed="false" customWidth="true" hidden="false" outlineLevel="0" max="7" min="7" style="0" width="14"/>
    <col collapsed="false" customWidth="true" hidden="false" outlineLevel="0" max="8" min="8" style="0" width="10"/>
    <col collapsed="false" customWidth="true" hidden="false" outlineLevel="0" max="9" min="9" style="0" width="14"/>
    <col collapsed="false" customWidth="true" hidden="false" outlineLevel="0" max="10" min="10" style="0" width="7"/>
    <col collapsed="false" customWidth="true" hidden="false" outlineLevel="0" max="11" min="11" style="0" width="12"/>
    <col collapsed="false" customWidth="true" hidden="false" outlineLevel="0" max="12" min="12" style="0" width="13"/>
    <col collapsed="false" customWidth="true" hidden="false" outlineLevel="0" max="13" min="13" style="0" width="11"/>
    <col collapsed="false" customWidth="true" hidden="false" outlineLevel="0" max="14" min="14" style="0" width="22"/>
    <col collapsed="false" customWidth="true" hidden="false" outlineLevel="0" max="15" min="15" style="0" width="12"/>
    <col collapsed="false" customWidth="true" hidden="false" outlineLevel="0" max="16" min="16" style="0" width="17"/>
    <col collapsed="false" customWidth="true" hidden="false" outlineLevel="0" max="17" min="17" style="0" width="16"/>
    <col collapsed="false" customWidth="true" hidden="false" outlineLevel="0" max="18" min="18" style="0" width="52"/>
    <col collapsed="false" customWidth="true" hidden="false" outlineLevel="0" max="19" min="19" style="0" width="62"/>
  </cols>
  <sheetData>
    <row r="1" customFormat="false" ht="54" hidden="false" customHeight="true" outlineLevel="0" collapsed="false">
      <c r="A1" s="1" t="s">
        <v>0</v>
      </c>
      <c r="B1" s="1" t="s">
        <v>1</v>
      </c>
      <c r="C1" s="1" t="s">
        <v>2</v>
      </c>
      <c r="D1" s="1" t="s">
        <v>3</v>
      </c>
      <c r="E1" s="1" t="s">
        <v>4</v>
      </c>
      <c r="F1" s="1" t="s">
        <v>5</v>
      </c>
      <c r="G1" s="2" t="s">
        <v>6</v>
      </c>
      <c r="H1" s="1" t="s">
        <v>7</v>
      </c>
      <c r="I1" s="1" t="s">
        <v>8</v>
      </c>
      <c r="J1" s="1" t="s">
        <v>9</v>
      </c>
      <c r="K1" s="1" t="s">
        <v>10</v>
      </c>
      <c r="L1" s="1" t="s">
        <v>11</v>
      </c>
      <c r="M1" s="1" t="s">
        <v>12</v>
      </c>
      <c r="N1" s="2" t="s">
        <v>13</v>
      </c>
      <c r="O1" s="1" t="s">
        <v>14</v>
      </c>
      <c r="P1" s="2" t="s">
        <v>15</v>
      </c>
      <c r="Q1" s="2" t="s">
        <v>16</v>
      </c>
      <c r="R1" s="1" t="s">
        <v>17</v>
      </c>
      <c r="S1" s="1" t="s">
        <v>18</v>
      </c>
    </row>
    <row r="2" customFormat="false" ht="15" hidden="false" customHeight="false" outlineLevel="0" collapsed="false">
      <c r="A2" s="3" t="s">
        <v>19</v>
      </c>
      <c r="B2" s="3" t="s">
        <v>20</v>
      </c>
      <c r="C2" s="4" t="n">
        <v>1</v>
      </c>
      <c r="D2" s="5"/>
      <c r="E2" s="5"/>
      <c r="F2" s="5" t="n">
        <v>20</v>
      </c>
      <c r="G2" s="3" t="str">
        <f aca="false">IF(OR(F2="",AND(D2="",E2="")),"n/a",IF(F2=E2,"mastered",IF(F2=D2,"normal","differs")))</f>
        <v>n/a</v>
      </c>
      <c r="H2" s="6" t="n">
        <v>18</v>
      </c>
      <c r="I2" s="6"/>
      <c r="J2" s="4" t="n">
        <v>2</v>
      </c>
      <c r="K2" s="4"/>
      <c r="L2" s="7" t="n">
        <v>33</v>
      </c>
      <c r="M2" s="8" t="n">
        <v>6</v>
      </c>
      <c r="N2" s="3" t="str">
        <f aca="false">IF(L2="","",IF(L2&lt;0,"negative profit",IF(L2&gt;Notes!$B$4,"unusually high - verify","")))</f>
        <v/>
      </c>
      <c r="O2" s="3" t="s">
        <v>21</v>
      </c>
      <c r="P2" s="3" t="str">
        <f aca="false">IF(O2&lt;&gt;"both",O2&amp;" only",IF(Q2="","agree","conflict"))</f>
        <v>hayday.info only</v>
      </c>
      <c r="Q2" s="3" t="str">
        <f aca="false">IF(O2="both",TRIM(IF(I2&lt;&gt;"","price ","")&amp;IF(K2&lt;&gt;"","xp ","")&amp;IF(G2="differs","time","")),"")</f>
        <v/>
      </c>
      <c r="R2" s="3" t="s">
        <v>22</v>
      </c>
      <c r="S2" s="3"/>
    </row>
    <row r="3" customFormat="false" ht="15" hidden="false" customHeight="false" outlineLevel="0" collapsed="false">
      <c r="A3" s="3" t="s">
        <v>23</v>
      </c>
      <c r="B3" s="3" t="s">
        <v>20</v>
      </c>
      <c r="C3" s="4" t="n">
        <v>6</v>
      </c>
      <c r="D3" s="5"/>
      <c r="E3" s="5"/>
      <c r="F3" s="5" t="n">
        <v>60</v>
      </c>
      <c r="G3" s="3" t="str">
        <f aca="false">IF(OR(F3="",AND(D3="",E3="")),"n/a",IF(F3=E3,"mastered",IF(F3=D3,"normal","differs")))</f>
        <v>n/a</v>
      </c>
      <c r="H3" s="6" t="n">
        <v>32</v>
      </c>
      <c r="I3" s="6"/>
      <c r="J3" s="4" t="n">
        <v>3</v>
      </c>
      <c r="K3" s="4"/>
      <c r="L3" s="7" t="n">
        <v>18</v>
      </c>
      <c r="M3" s="8" t="n">
        <v>3</v>
      </c>
      <c r="N3" s="3" t="str">
        <f aca="false">IF(L3="","",IF(L3&lt;0,"negative profit",IF(L3&gt;Notes!$B$4,"unusually high - verify","")))</f>
        <v/>
      </c>
      <c r="O3" s="3" t="s">
        <v>21</v>
      </c>
      <c r="P3" s="3" t="str">
        <f aca="false">IF(O3&lt;&gt;"both",O3&amp;" only",IF(Q3="","agree","conflict"))</f>
        <v>hayday.info only</v>
      </c>
      <c r="Q3" s="3" t="str">
        <f aca="false">IF(O3="both",TRIM(IF(I3&lt;&gt;"","price ","")&amp;IF(K3&lt;&gt;"","xp ","")&amp;IF(G3="differs","time","")),"")</f>
        <v/>
      </c>
      <c r="R3" s="3" t="s">
        <v>22</v>
      </c>
      <c r="S3" s="3"/>
    </row>
    <row r="4" customFormat="false" ht="15" hidden="false" customHeight="false" outlineLevel="0" collapsed="false">
      <c r="A4" s="3" t="s">
        <v>24</v>
      </c>
      <c r="B4" s="3" t="s">
        <v>20</v>
      </c>
      <c r="C4" s="4" t="n">
        <v>10</v>
      </c>
      <c r="D4" s="5"/>
      <c r="E4" s="5"/>
      <c r="F4" s="5" t="n">
        <v>240</v>
      </c>
      <c r="G4" s="3" t="str">
        <f aca="false">IF(OR(F4="",AND(D4="",E4="")),"n/a",IF(F4=E4,"mastered",IF(F4=D4,"normal","differs")))</f>
        <v>n/a</v>
      </c>
      <c r="H4" s="6" t="n">
        <v>50</v>
      </c>
      <c r="I4" s="6"/>
      <c r="J4" s="4" t="n">
        <v>5</v>
      </c>
      <c r="K4" s="4"/>
      <c r="L4" s="7" t="n">
        <v>-2.5</v>
      </c>
      <c r="M4" s="8" t="n">
        <v>1.25</v>
      </c>
      <c r="N4" s="3" t="str">
        <f aca="false">IF(L4="","",IF(L4&lt;0,"negative profit",IF(L4&gt;Notes!$B$4,"unusually high - verify","")))</f>
        <v>negative profit</v>
      </c>
      <c r="O4" s="3" t="s">
        <v>21</v>
      </c>
      <c r="P4" s="3" t="str">
        <f aca="false">IF(O4&lt;&gt;"both",O4&amp;" only",IF(Q4="","agree","conflict"))</f>
        <v>hayday.info only</v>
      </c>
      <c r="Q4" s="3" t="str">
        <f aca="false">IF(O4="both",TRIM(IF(I4&lt;&gt;"","price ","")&amp;IF(K4&lt;&gt;"","xp ","")&amp;IF(G4="differs","time","")),"")</f>
        <v/>
      </c>
      <c r="R4" s="3" t="s">
        <v>22</v>
      </c>
      <c r="S4" s="3"/>
    </row>
    <row r="5" customFormat="false" ht="15" hidden="false" customHeight="false" outlineLevel="0" collapsed="false">
      <c r="A5" s="3" t="s">
        <v>25</v>
      </c>
      <c r="B5" s="3" t="s">
        <v>20</v>
      </c>
      <c r="C5" s="4" t="n">
        <v>16</v>
      </c>
      <c r="D5" s="5"/>
      <c r="E5" s="5"/>
      <c r="F5" s="5" t="n">
        <v>360</v>
      </c>
      <c r="G5" s="3" t="str">
        <f aca="false">IF(OR(F5="",AND(D5="",E5="")),"n/a",IF(F5=E5,"mastered",IF(F5=D5,"normal","differs")))</f>
        <v>n/a</v>
      </c>
      <c r="H5" s="6" t="n">
        <v>54</v>
      </c>
      <c r="I5" s="6"/>
      <c r="J5" s="4" t="n">
        <v>5</v>
      </c>
      <c r="K5" s="4"/>
      <c r="L5" s="7" t="n">
        <v>-0.8333333333</v>
      </c>
      <c r="M5" s="8" t="n">
        <v>0.8333333333</v>
      </c>
      <c r="N5" s="3" t="str">
        <f aca="false">IF(L5="","",IF(L5&lt;0,"negative profit",IF(L5&gt;Notes!$B$4,"unusually high - verify","")))</f>
        <v>negative profit</v>
      </c>
      <c r="O5" s="3" t="s">
        <v>21</v>
      </c>
      <c r="P5" s="3" t="str">
        <f aca="false">IF(O5&lt;&gt;"both",O5&amp;" only",IF(Q5="","agree","conflict"))</f>
        <v>hayday.info only</v>
      </c>
      <c r="Q5" s="3" t="str">
        <f aca="false">IF(O5="both",TRIM(IF(I5&lt;&gt;"","price ","")&amp;IF(K5&lt;&gt;"","xp ","")&amp;IF(G5="differs","time","")),"")</f>
        <v/>
      </c>
      <c r="R5" s="3" t="s">
        <v>22</v>
      </c>
      <c r="S5" s="3"/>
    </row>
    <row r="6" customFormat="false" ht="15" hidden="false" customHeight="false" outlineLevel="0" collapsed="false">
      <c r="A6" s="3" t="s">
        <v>26</v>
      </c>
      <c r="B6" s="3" t="s">
        <v>20</v>
      </c>
      <c r="C6" s="4" t="n">
        <v>32</v>
      </c>
      <c r="D6" s="5"/>
      <c r="E6" s="5"/>
      <c r="F6" s="5" t="n">
        <v>480</v>
      </c>
      <c r="G6" s="3" t="str">
        <f aca="false">IF(OR(F6="",AND(D6="",E6="")),"n/a",IF(F6=E6,"mastered",IF(F6=D6,"normal","differs")))</f>
        <v>n/a</v>
      </c>
      <c r="H6" s="6" t="n">
        <v>64</v>
      </c>
      <c r="I6" s="6"/>
      <c r="J6" s="4" t="n">
        <v>6</v>
      </c>
      <c r="K6" s="4"/>
      <c r="L6" s="7" t="n">
        <v>-1.25</v>
      </c>
      <c r="M6" s="8" t="n">
        <v>0.75</v>
      </c>
      <c r="N6" s="3" t="str">
        <f aca="false">IF(L6="","",IF(L6&lt;0,"negative profit",IF(L6&gt;Notes!$B$4,"unusually high - verify","")))</f>
        <v>negative profit</v>
      </c>
      <c r="O6" s="3" t="s">
        <v>21</v>
      </c>
      <c r="P6" s="3" t="str">
        <f aca="false">IF(O6&lt;&gt;"both",O6&amp;" only",IF(Q6="","agree","conflict"))</f>
        <v>hayday.info only</v>
      </c>
      <c r="Q6" s="3" t="str">
        <f aca="false">IF(O6="both",TRIM(IF(I6&lt;&gt;"","price ","")&amp;IF(K6&lt;&gt;"","xp ","")&amp;IF(G6="differs","time","")),"")</f>
        <v/>
      </c>
      <c r="R6" s="3" t="s">
        <v>22</v>
      </c>
      <c r="S6" s="3"/>
    </row>
    <row r="7" customFormat="false" ht="15" hidden="false" customHeight="false" outlineLevel="0" collapsed="false">
      <c r="A7" s="3" t="s">
        <v>27</v>
      </c>
      <c r="B7" s="3" t="s">
        <v>28</v>
      </c>
      <c r="C7" s="4" t="n">
        <v>2</v>
      </c>
      <c r="D7" s="5" t="n">
        <v>5</v>
      </c>
      <c r="E7" s="5" t="n">
        <v>4</v>
      </c>
      <c r="F7" s="5" t="n">
        <v>4</v>
      </c>
      <c r="G7" s="3" t="str">
        <f aca="false">IF(OR(F7="",AND(D7="",E7="")),"n/a",IF(F7=E7,"mastered",IF(F7=D7,"normal","differs")))</f>
        <v>mastered</v>
      </c>
      <c r="H7" s="6" t="n">
        <v>21</v>
      </c>
      <c r="I7" s="6"/>
      <c r="J7" s="4" t="n">
        <v>3</v>
      </c>
      <c r="K7" s="4"/>
      <c r="L7" s="7" t="n">
        <v>169.4117647</v>
      </c>
      <c r="M7" s="8" t="n">
        <v>42.35294118</v>
      </c>
      <c r="N7" s="3" t="str">
        <f aca="false">IF(L7="","",IF(L7&lt;0,"negative profit",IF(L7&gt;Notes!$B$4,"unusually high - verify","")))</f>
        <v/>
      </c>
      <c r="O7" s="3" t="s">
        <v>29</v>
      </c>
      <c r="P7" s="3" t="str">
        <f aca="false">IF(O7&lt;&gt;"both",O7&amp;" only",IF(Q7="","agree","conflict"))</f>
        <v>agree</v>
      </c>
      <c r="Q7" s="3" t="str">
        <f aca="false">IF(O7="both",TRIM(IF(I7&lt;&gt;"","price ","")&amp;IF(K7&lt;&gt;"","xp ","")&amp;IF(G7="differs","time","")),"")</f>
        <v/>
      </c>
      <c r="R7" s="3" t="s">
        <v>30</v>
      </c>
      <c r="S7" s="3" t="s">
        <v>31</v>
      </c>
    </row>
    <row r="8" customFormat="false" ht="15" hidden="false" customHeight="false" outlineLevel="0" collapsed="false">
      <c r="A8" s="3" t="s">
        <v>32</v>
      </c>
      <c r="B8" s="3" t="s">
        <v>28</v>
      </c>
      <c r="C8" s="4" t="n">
        <v>7</v>
      </c>
      <c r="D8" s="5" t="n">
        <v>30</v>
      </c>
      <c r="E8" s="5" t="n">
        <v>25</v>
      </c>
      <c r="F8" s="5" t="n">
        <v>25</v>
      </c>
      <c r="G8" s="3" t="str">
        <f aca="false">IF(OR(F8="",AND(D8="",E8="")),"n/a",IF(F8=E8,"mastered",IF(F8=D8,"normal","differs")))</f>
        <v>mastered</v>
      </c>
      <c r="H8" s="6" t="n">
        <v>72</v>
      </c>
      <c r="I8" s="6"/>
      <c r="J8" s="4" t="n">
        <v>8</v>
      </c>
      <c r="K8" s="4"/>
      <c r="L8" s="7" t="n">
        <v>51.76470588</v>
      </c>
      <c r="M8" s="8" t="n">
        <v>18.82352941</v>
      </c>
      <c r="N8" s="3" t="str">
        <f aca="false">IF(L8="","",IF(L8&lt;0,"negative profit",IF(L8&gt;Notes!$B$4,"unusually high - verify","")))</f>
        <v/>
      </c>
      <c r="O8" s="3" t="s">
        <v>29</v>
      </c>
      <c r="P8" s="3" t="str">
        <f aca="false">IF(O8&lt;&gt;"both",O8&amp;" only",IF(Q8="","agree","conflict"))</f>
        <v>agree</v>
      </c>
      <c r="Q8" s="3" t="str">
        <f aca="false">IF(O8="both",TRIM(IF(I8&lt;&gt;"","price ","")&amp;IF(K8&lt;&gt;"","xp ","")&amp;IF(G8="differs","time","")),"")</f>
        <v/>
      </c>
      <c r="R8" s="3" t="s">
        <v>30</v>
      </c>
      <c r="S8" s="3" t="s">
        <v>31</v>
      </c>
    </row>
    <row r="9" customFormat="false" ht="15" hidden="false" customHeight="false" outlineLevel="0" collapsed="false">
      <c r="A9" s="3" t="s">
        <v>33</v>
      </c>
      <c r="B9" s="3" t="s">
        <v>28</v>
      </c>
      <c r="C9" s="4" t="n">
        <v>10</v>
      </c>
      <c r="D9" s="5" t="n">
        <v>60</v>
      </c>
      <c r="E9" s="5" t="n">
        <v>51</v>
      </c>
      <c r="F9" s="5" t="n">
        <v>51</v>
      </c>
      <c r="G9" s="3" t="str">
        <f aca="false">IF(OR(F9="",AND(D9="",E9="")),"n/a",IF(F9=E9,"mastered",IF(F9=D9,"normal","differs")))</f>
        <v>mastered</v>
      </c>
      <c r="H9" s="6" t="n">
        <v>104</v>
      </c>
      <c r="I9" s="6"/>
      <c r="J9" s="4" t="n">
        <v>13</v>
      </c>
      <c r="K9" s="4"/>
      <c r="L9" s="7" t="n">
        <v>35.29411765</v>
      </c>
      <c r="M9" s="8" t="n">
        <v>15.29411765</v>
      </c>
      <c r="N9" s="3" t="str">
        <f aca="false">IF(L9="","",IF(L9&lt;0,"negative profit",IF(L9&gt;Notes!$B$4,"unusually high - verify","")))</f>
        <v/>
      </c>
      <c r="O9" s="3" t="s">
        <v>29</v>
      </c>
      <c r="P9" s="3" t="str">
        <f aca="false">IF(O9&lt;&gt;"both",O9&amp;" only",IF(Q9="","agree","conflict"))</f>
        <v>agree</v>
      </c>
      <c r="Q9" s="3" t="str">
        <f aca="false">IF(O9="both",TRIM(IF(I9&lt;&gt;"","price ","")&amp;IF(K9&lt;&gt;"","xp ","")&amp;IF(G9="differs","time","")),"")</f>
        <v/>
      </c>
      <c r="R9" s="3" t="s">
        <v>30</v>
      </c>
      <c r="S9" s="3" t="s">
        <v>31</v>
      </c>
    </row>
    <row r="10" customFormat="false" ht="15" hidden="false" customHeight="false" outlineLevel="0" collapsed="false">
      <c r="A10" s="3" t="s">
        <v>34</v>
      </c>
      <c r="B10" s="3" t="s">
        <v>28</v>
      </c>
      <c r="C10" s="4" t="n">
        <v>19</v>
      </c>
      <c r="D10" s="5" t="n">
        <v>45</v>
      </c>
      <c r="E10" s="5" t="n">
        <v>38</v>
      </c>
      <c r="F10" s="5" t="n">
        <v>38</v>
      </c>
      <c r="G10" s="3" t="str">
        <f aca="false">IF(OR(F10="",AND(D10="",E10="")),"n/a",IF(F10=E10,"mastered",IF(F10=D10,"normal","differs")))</f>
        <v>mastered</v>
      </c>
      <c r="H10" s="6" t="n">
        <v>140</v>
      </c>
      <c r="I10" s="6"/>
      <c r="J10" s="4" t="n">
        <v>17</v>
      </c>
      <c r="K10" s="4"/>
      <c r="L10" s="7" t="n">
        <v>37.64705882</v>
      </c>
      <c r="M10" s="8" t="n">
        <v>26.66666667</v>
      </c>
      <c r="N10" s="3" t="str">
        <f aca="false">IF(L10="","",IF(L10&lt;0,"negative profit",IF(L10&gt;Notes!$B$4,"unusually high - verify","")))</f>
        <v/>
      </c>
      <c r="O10" s="3" t="s">
        <v>29</v>
      </c>
      <c r="P10" s="3" t="str">
        <f aca="false">IF(O10&lt;&gt;"both",O10&amp;" only",IF(Q10="","agree","conflict"))</f>
        <v>agree</v>
      </c>
      <c r="Q10" s="3" t="str">
        <f aca="false">IF(O10="both",TRIM(IF(I10&lt;&gt;"","price ","")&amp;IF(K10&lt;&gt;"","xp ","")&amp;IF(G10="differs","time","")),"")</f>
        <v/>
      </c>
      <c r="R10" s="3" t="s">
        <v>30</v>
      </c>
      <c r="S10" s="3" t="s">
        <v>31</v>
      </c>
    </row>
    <row r="11" customFormat="false" ht="15" hidden="false" customHeight="false" outlineLevel="0" collapsed="false">
      <c r="A11" s="3" t="s">
        <v>35</v>
      </c>
      <c r="B11" s="3" t="s">
        <v>28</v>
      </c>
      <c r="C11" s="4" t="n">
        <v>26</v>
      </c>
      <c r="D11" s="5" t="n">
        <v>45</v>
      </c>
      <c r="E11" s="5" t="n">
        <v>38</v>
      </c>
      <c r="F11" s="5" t="n">
        <v>38</v>
      </c>
      <c r="G11" s="3" t="str">
        <f aca="false">IF(OR(F11="",AND(D11="",E11="")),"n/a",IF(F11=E11,"mastered",IF(F11=D11,"normal","differs")))</f>
        <v>mastered</v>
      </c>
      <c r="H11" s="6" t="n">
        <v>226</v>
      </c>
      <c r="I11" s="6"/>
      <c r="J11" s="4" t="n">
        <v>27</v>
      </c>
      <c r="K11" s="4"/>
      <c r="L11" s="7" t="n">
        <v>36.07843137</v>
      </c>
      <c r="M11" s="8" t="n">
        <v>42.35294118</v>
      </c>
      <c r="N11" s="3" t="str">
        <f aca="false">IF(L11="","",IF(L11&lt;0,"negative profit",IF(L11&gt;Notes!$B$4,"unusually high - verify","")))</f>
        <v/>
      </c>
      <c r="O11" s="3" t="s">
        <v>29</v>
      </c>
      <c r="P11" s="3" t="str">
        <f aca="false">IF(O11&lt;&gt;"both",O11&amp;" only",IF(Q11="","agree","conflict"))</f>
        <v>agree</v>
      </c>
      <c r="Q11" s="3" t="str">
        <f aca="false">IF(O11="both",TRIM(IF(I11&lt;&gt;"","price ","")&amp;IF(K11&lt;&gt;"","xp ","")&amp;IF(G11="differs","time","")),"")</f>
        <v/>
      </c>
      <c r="R11" s="3" t="s">
        <v>30</v>
      </c>
      <c r="S11" s="3" t="s">
        <v>31</v>
      </c>
    </row>
    <row r="12" customFormat="false" ht="15" hidden="false" customHeight="false" outlineLevel="0" collapsed="false">
      <c r="A12" s="3" t="s">
        <v>36</v>
      </c>
      <c r="B12" s="3" t="s">
        <v>28</v>
      </c>
      <c r="C12" s="4" t="n">
        <v>33</v>
      </c>
      <c r="D12" s="5" t="n">
        <v>15</v>
      </c>
      <c r="E12" s="5" t="n">
        <v>12</v>
      </c>
      <c r="F12" s="5" t="n">
        <v>12</v>
      </c>
      <c r="G12" s="3" t="str">
        <f aca="false">IF(OR(F12="",AND(D12="",E12="")),"n/a",IF(F12=E12,"mastered",IF(F12=D12,"normal","differs")))</f>
        <v>mastered</v>
      </c>
      <c r="H12" s="6" t="n">
        <v>190</v>
      </c>
      <c r="I12" s="6"/>
      <c r="J12" s="4" t="n">
        <v>23</v>
      </c>
      <c r="K12" s="4"/>
      <c r="L12" s="7" t="n">
        <v>89.41176471</v>
      </c>
      <c r="M12" s="8" t="n">
        <v>108.2352941</v>
      </c>
      <c r="N12" s="3" t="str">
        <f aca="false">IF(L12="","",IF(L12&lt;0,"negative profit",IF(L12&gt;Notes!$B$4,"unusually high - verify","")))</f>
        <v/>
      </c>
      <c r="O12" s="3" t="s">
        <v>29</v>
      </c>
      <c r="P12" s="3" t="str">
        <f aca="false">IF(O12&lt;&gt;"both",O12&amp;" only",IF(Q12="","agree","conflict"))</f>
        <v>agree</v>
      </c>
      <c r="Q12" s="3" t="str">
        <f aca="false">IF(O12="both",TRIM(IF(I12&lt;&gt;"","price ","")&amp;IF(K12&lt;&gt;"","xp ","")&amp;IF(G12="differs","time","")),"")</f>
        <v/>
      </c>
      <c r="R12" s="3" t="s">
        <v>30</v>
      </c>
      <c r="S12" s="3" t="s">
        <v>31</v>
      </c>
    </row>
    <row r="13" customFormat="false" ht="15" hidden="false" customHeight="false" outlineLevel="0" collapsed="false">
      <c r="A13" s="3" t="s">
        <v>37</v>
      </c>
      <c r="B13" s="3" t="s">
        <v>28</v>
      </c>
      <c r="C13" s="4" t="n">
        <v>37</v>
      </c>
      <c r="D13" s="5" t="n">
        <v>15</v>
      </c>
      <c r="E13" s="5" t="n">
        <v>12</v>
      </c>
      <c r="F13" s="5" t="n">
        <v>12</v>
      </c>
      <c r="G13" s="3" t="str">
        <f aca="false">IF(OR(F13="",AND(D13="",E13="")),"n/a",IF(F13=E13,"mastered",IF(F13=D13,"normal","differs")))</f>
        <v>mastered</v>
      </c>
      <c r="H13" s="6" t="n">
        <v>226</v>
      </c>
      <c r="I13" s="6"/>
      <c r="J13" s="4" t="n">
        <v>27</v>
      </c>
      <c r="K13" s="4"/>
      <c r="L13" s="7" t="n">
        <v>89.41176471</v>
      </c>
      <c r="M13" s="8" t="n">
        <v>127.0588235</v>
      </c>
      <c r="N13" s="3" t="str">
        <f aca="false">IF(L13="","",IF(L13&lt;0,"negative profit",IF(L13&gt;Notes!$B$4,"unusually high - verify","")))</f>
        <v/>
      </c>
      <c r="O13" s="3" t="s">
        <v>29</v>
      </c>
      <c r="P13" s="3" t="str">
        <f aca="false">IF(O13&lt;&gt;"both",O13&amp;" only",IF(Q13="","agree","conflict"))</f>
        <v>agree</v>
      </c>
      <c r="Q13" s="3" t="str">
        <f aca="false">IF(O13="both",TRIM(IF(I13&lt;&gt;"","price ","")&amp;IF(K13&lt;&gt;"","xp ","")&amp;IF(G13="differs","time","")),"")</f>
        <v/>
      </c>
      <c r="R13" s="3" t="s">
        <v>30</v>
      </c>
      <c r="S13" s="3" t="s">
        <v>31</v>
      </c>
    </row>
    <row r="14" customFormat="false" ht="15" hidden="false" customHeight="false" outlineLevel="0" collapsed="false">
      <c r="A14" s="3" t="s">
        <v>38</v>
      </c>
      <c r="B14" s="3" t="s">
        <v>28</v>
      </c>
      <c r="C14" s="4" t="n">
        <v>39</v>
      </c>
      <c r="D14" s="5" t="n">
        <v>45</v>
      </c>
      <c r="E14" s="5" t="n">
        <v>38</v>
      </c>
      <c r="F14" s="5" t="n">
        <v>38</v>
      </c>
      <c r="G14" s="3" t="str">
        <f aca="false">IF(OR(F14="",AND(D14="",E14="")),"n/a",IF(F14=E14,"mastered",IF(F14=D14,"normal","differs")))</f>
        <v>mastered</v>
      </c>
      <c r="H14" s="6" t="n">
        <v>284</v>
      </c>
      <c r="I14" s="6"/>
      <c r="J14" s="4" t="n">
        <v>34</v>
      </c>
      <c r="K14" s="4"/>
      <c r="L14" s="7" t="n">
        <v>40.78431373</v>
      </c>
      <c r="M14" s="8" t="n">
        <v>53.33333333</v>
      </c>
      <c r="N14" s="3" t="str">
        <f aca="false">IF(L14="","",IF(L14&lt;0,"negative profit",IF(L14&gt;Notes!$B$4,"unusually high - verify","")))</f>
        <v/>
      </c>
      <c r="O14" s="3" t="s">
        <v>29</v>
      </c>
      <c r="P14" s="3" t="str">
        <f aca="false">IF(O14&lt;&gt;"both",O14&amp;" only",IF(Q14="","agree","conflict"))</f>
        <v>agree</v>
      </c>
      <c r="Q14" s="3" t="str">
        <f aca="false">IF(O14="both",TRIM(IF(I14&lt;&gt;"","price ","")&amp;IF(K14&lt;&gt;"","xp ","")&amp;IF(G14="differs","time","")),"")</f>
        <v/>
      </c>
      <c r="R14" s="3" t="s">
        <v>30</v>
      </c>
      <c r="S14" s="3" t="s">
        <v>31</v>
      </c>
    </row>
    <row r="15" customFormat="false" ht="15" hidden="false" customHeight="false" outlineLevel="0" collapsed="false">
      <c r="A15" s="3" t="s">
        <v>39</v>
      </c>
      <c r="B15" s="3" t="s">
        <v>28</v>
      </c>
      <c r="C15" s="4" t="n">
        <v>45</v>
      </c>
      <c r="D15" s="5"/>
      <c r="E15" s="5"/>
      <c r="F15" s="5" t="n">
        <v>12</v>
      </c>
      <c r="G15" s="3" t="str">
        <f aca="false">IF(OR(F15="",AND(D15="",E15="")),"n/a",IF(F15=E15,"mastered",IF(F15=D15,"normal","differs")))</f>
        <v>n/a</v>
      </c>
      <c r="H15" s="6" t="n">
        <v>403</v>
      </c>
      <c r="I15" s="6"/>
      <c r="J15" s="4" t="n">
        <v>48</v>
      </c>
      <c r="K15" s="4"/>
      <c r="L15" s="7" t="n">
        <v>94.11764706</v>
      </c>
      <c r="M15" s="8" t="n">
        <v>225.8823529</v>
      </c>
      <c r="N15" s="3" t="str">
        <f aca="false">IF(L15="","",IF(L15&lt;0,"negative profit",IF(L15&gt;Notes!$B$4,"unusually high - verify","")))</f>
        <v/>
      </c>
      <c r="O15" s="3" t="s">
        <v>21</v>
      </c>
      <c r="P15" s="3" t="str">
        <f aca="false">IF(O15&lt;&gt;"both",O15&amp;" only",IF(Q15="","agree","conflict"))</f>
        <v>hayday.info only</v>
      </c>
      <c r="Q15" s="3" t="str">
        <f aca="false">IF(O15="both",TRIM(IF(I15&lt;&gt;"","price ","")&amp;IF(K15&lt;&gt;"","xp ","")&amp;IF(G15="differs","time","")),"")</f>
        <v/>
      </c>
      <c r="R15" s="3" t="s">
        <v>22</v>
      </c>
      <c r="S15" s="3"/>
    </row>
    <row r="16" customFormat="false" ht="15" hidden="false" customHeight="false" outlineLevel="0" collapsed="false">
      <c r="A16" s="3" t="s">
        <v>40</v>
      </c>
      <c r="B16" s="3" t="s">
        <v>28</v>
      </c>
      <c r="C16" s="4" t="n">
        <v>86</v>
      </c>
      <c r="D16" s="5"/>
      <c r="E16" s="5"/>
      <c r="F16" s="5" t="n">
        <v>25</v>
      </c>
      <c r="G16" s="3" t="str">
        <f aca="false">IF(OR(F16="",AND(D16="",E16="")),"n/a",IF(F16=E16,"mastered",IF(F16=D16,"normal","differs")))</f>
        <v>n/a</v>
      </c>
      <c r="H16" s="6" t="n">
        <v>273</v>
      </c>
      <c r="I16" s="6"/>
      <c r="J16" s="4" t="n">
        <v>33</v>
      </c>
      <c r="K16" s="4"/>
      <c r="L16" s="7" t="n">
        <v>70.58823529</v>
      </c>
      <c r="M16" s="8" t="n">
        <v>77.64705882</v>
      </c>
      <c r="N16" s="3" t="str">
        <f aca="false">IF(L16="","",IF(L16&lt;0,"negative profit",IF(L16&gt;Notes!$B$4,"unusually high - verify","")))</f>
        <v/>
      </c>
      <c r="O16" s="3" t="s">
        <v>21</v>
      </c>
      <c r="P16" s="3" t="str">
        <f aca="false">IF(O16&lt;&gt;"both",O16&amp;" only",IF(Q16="","agree","conflict"))</f>
        <v>hayday.info only</v>
      </c>
      <c r="Q16" s="3" t="str">
        <f aca="false">IF(O16="both",TRIM(IF(I16&lt;&gt;"","price ","")&amp;IF(K16&lt;&gt;"","xp ","")&amp;IF(G16="differs","time","")),"")</f>
        <v/>
      </c>
      <c r="R16" s="3" t="s">
        <v>22</v>
      </c>
      <c r="S16" s="3"/>
    </row>
    <row r="17" customFormat="false" ht="15" hidden="false" customHeight="false" outlineLevel="0" collapsed="false">
      <c r="A17" s="3" t="s">
        <v>41</v>
      </c>
      <c r="B17" s="3" t="s">
        <v>28</v>
      </c>
      <c r="C17" s="4" t="n">
        <v>91</v>
      </c>
      <c r="D17" s="5"/>
      <c r="E17" s="5"/>
      <c r="F17" s="5" t="n">
        <v>25</v>
      </c>
      <c r="G17" s="3" t="str">
        <f aca="false">IF(OR(F17="",AND(D17="",E17="")),"n/a",IF(F17=E17,"mastered",IF(F17=D17,"normal","differs")))</f>
        <v>n/a</v>
      </c>
      <c r="H17" s="6" t="n">
        <v>424</v>
      </c>
      <c r="I17" s="6"/>
      <c r="J17" s="4" t="n">
        <v>50</v>
      </c>
      <c r="K17" s="4"/>
      <c r="L17" s="7" t="n">
        <v>49.41176471</v>
      </c>
      <c r="M17" s="8" t="n">
        <v>117.6470588</v>
      </c>
      <c r="N17" s="3" t="str">
        <f aca="false">IF(L17="","",IF(L17&lt;0,"negative profit",IF(L17&gt;Notes!$B$4,"unusually high - verify","")))</f>
        <v/>
      </c>
      <c r="O17" s="3" t="s">
        <v>21</v>
      </c>
      <c r="P17" s="3" t="str">
        <f aca="false">IF(O17&lt;&gt;"both",O17&amp;" only",IF(Q17="","agree","conflict"))</f>
        <v>hayday.info only</v>
      </c>
      <c r="Q17" s="3" t="str">
        <f aca="false">IF(O17="both",TRIM(IF(I17&lt;&gt;"","price ","")&amp;IF(K17&lt;&gt;"","xp ","")&amp;IF(G17="differs","time","")),"")</f>
        <v/>
      </c>
      <c r="R17" s="3" t="s">
        <v>22</v>
      </c>
      <c r="S17" s="3"/>
    </row>
    <row r="18" customFormat="false" ht="15" hidden="false" customHeight="false" outlineLevel="0" collapsed="false">
      <c r="A18" s="3" t="s">
        <v>42</v>
      </c>
      <c r="B18" s="3" t="s">
        <v>28</v>
      </c>
      <c r="C18" s="4" t="n">
        <v>101</v>
      </c>
      <c r="D18" s="5"/>
      <c r="E18" s="5"/>
      <c r="F18" s="5" t="n">
        <v>30</v>
      </c>
      <c r="G18" s="3" t="str">
        <f aca="false">IF(OR(F18="",AND(D18="",E18="")),"n/a",IF(F18=E18,"mastered",IF(F18=D18,"normal","differs")))</f>
        <v>n/a</v>
      </c>
      <c r="H18" s="6" t="n">
        <v>421</v>
      </c>
      <c r="I18" s="6"/>
      <c r="J18" s="4" t="n">
        <v>50</v>
      </c>
      <c r="K18" s="4"/>
      <c r="L18" s="7" t="n">
        <v>38</v>
      </c>
      <c r="M18" s="8" t="n">
        <v>100</v>
      </c>
      <c r="N18" s="3" t="str">
        <f aca="false">IF(L18="","",IF(L18&lt;0,"negative profit",IF(L18&gt;Notes!$B$4,"unusually high - verify","")))</f>
        <v/>
      </c>
      <c r="O18" s="3" t="s">
        <v>21</v>
      </c>
      <c r="P18" s="3" t="str">
        <f aca="false">IF(O18&lt;&gt;"both",O18&amp;" only",IF(Q18="","agree","conflict"))</f>
        <v>hayday.info only</v>
      </c>
      <c r="Q18" s="3" t="str">
        <f aca="false">IF(O18="both",TRIM(IF(I18&lt;&gt;"","price ","")&amp;IF(K18&lt;&gt;"","xp ","")&amp;IF(G18="differs","time","")),"")</f>
        <v/>
      </c>
      <c r="R18" s="3" t="s">
        <v>22</v>
      </c>
      <c r="S18" s="3"/>
    </row>
    <row r="19" customFormat="false" ht="15" hidden="false" customHeight="false" outlineLevel="0" collapsed="false">
      <c r="A19" s="3" t="s">
        <v>43</v>
      </c>
      <c r="B19" s="3" t="s">
        <v>44</v>
      </c>
      <c r="C19" s="4" t="n">
        <v>84</v>
      </c>
      <c r="D19" s="5"/>
      <c r="E19" s="5"/>
      <c r="F19" s="5" t="n">
        <v>51</v>
      </c>
      <c r="G19" s="3" t="str">
        <f aca="false">IF(OR(F19="",AND(D19="",E19="")),"n/a",IF(F19=E19,"mastered",IF(F19=D19,"normal","differs")))</f>
        <v>n/a</v>
      </c>
      <c r="H19" s="6" t="n">
        <v>327</v>
      </c>
      <c r="I19" s="6"/>
      <c r="J19" s="4" t="n">
        <v>39</v>
      </c>
      <c r="K19" s="4"/>
      <c r="L19" s="7" t="n">
        <v>27.05882353</v>
      </c>
      <c r="M19" s="8" t="n">
        <v>45.88235294</v>
      </c>
      <c r="N19" s="3" t="str">
        <f aca="false">IF(L19="","",IF(L19&lt;0,"negative profit",IF(L19&gt;Notes!$B$4,"unusually high - verify","")))</f>
        <v/>
      </c>
      <c r="O19" s="3" t="s">
        <v>21</v>
      </c>
      <c r="P19" s="3" t="str">
        <f aca="false">IF(O19&lt;&gt;"both",O19&amp;" only",IF(Q19="","agree","conflict"))</f>
        <v>hayday.info only</v>
      </c>
      <c r="Q19" s="3" t="str">
        <f aca="false">IF(O19="both",TRIM(IF(I19&lt;&gt;"","price ","")&amp;IF(K19&lt;&gt;"","xp ","")&amp;IF(G19="differs","time","")),"")</f>
        <v/>
      </c>
      <c r="R19" s="3" t="s">
        <v>22</v>
      </c>
      <c r="S19" s="3"/>
    </row>
    <row r="20" customFormat="false" ht="15" hidden="false" customHeight="false" outlineLevel="0" collapsed="false">
      <c r="A20" s="3" t="s">
        <v>45</v>
      </c>
      <c r="B20" s="3" t="s">
        <v>44</v>
      </c>
      <c r="C20" s="4" t="n">
        <v>84</v>
      </c>
      <c r="D20" s="5"/>
      <c r="E20" s="5"/>
      <c r="F20" s="5" t="n">
        <v>63</v>
      </c>
      <c r="G20" s="3" t="str">
        <f aca="false">IF(OR(F20="",AND(D20="",E20="")),"n/a",IF(F20=E20,"mastered",IF(F20=D20,"normal","differs")))</f>
        <v>n/a</v>
      </c>
      <c r="H20" s="6" t="n">
        <v>403</v>
      </c>
      <c r="I20" s="6"/>
      <c r="J20" s="4" t="n">
        <v>48</v>
      </c>
      <c r="K20" s="4"/>
      <c r="L20" s="7" t="n">
        <v>31.05882353</v>
      </c>
      <c r="M20" s="8" t="n">
        <v>45.17647059</v>
      </c>
      <c r="N20" s="3" t="str">
        <f aca="false">IF(L20="","",IF(L20&lt;0,"negative profit",IF(L20&gt;Notes!$B$4,"unusually high - verify","")))</f>
        <v/>
      </c>
      <c r="O20" s="3" t="s">
        <v>21</v>
      </c>
      <c r="P20" s="3" t="str">
        <f aca="false">IF(O20&lt;&gt;"both",O20&amp;" only",IF(Q20="","agree","conflict"))</f>
        <v>hayday.info only</v>
      </c>
      <c r="Q20" s="3" t="str">
        <f aca="false">IF(O20="both",TRIM(IF(I20&lt;&gt;"","price ","")&amp;IF(K20&lt;&gt;"","xp ","")&amp;IF(G20="differs","time","")),"")</f>
        <v/>
      </c>
      <c r="R20" s="3" t="s">
        <v>22</v>
      </c>
      <c r="S20" s="3"/>
    </row>
    <row r="21" customFormat="false" ht="15" hidden="false" customHeight="false" outlineLevel="0" collapsed="false">
      <c r="A21" s="3" t="s">
        <v>46</v>
      </c>
      <c r="B21" s="3" t="s">
        <v>44</v>
      </c>
      <c r="C21" s="4" t="n">
        <v>93</v>
      </c>
      <c r="D21" s="5"/>
      <c r="E21" s="5"/>
      <c r="F21" s="5" t="n">
        <v>51</v>
      </c>
      <c r="G21" s="3" t="str">
        <f aca="false">IF(OR(F21="",AND(D21="",E21="")),"n/a",IF(F21=E21,"mastered",IF(F21=D21,"normal","differs")))</f>
        <v>n/a</v>
      </c>
      <c r="H21" s="6" t="n">
        <v>363</v>
      </c>
      <c r="I21" s="6"/>
      <c r="J21" s="4" t="n">
        <v>43</v>
      </c>
      <c r="K21" s="4"/>
      <c r="L21" s="7" t="n">
        <v>20</v>
      </c>
      <c r="M21" s="8" t="n">
        <v>50.58823529</v>
      </c>
      <c r="N21" s="3" t="str">
        <f aca="false">IF(L21="","",IF(L21&lt;0,"negative profit",IF(L21&gt;Notes!$B$4,"unusually high - verify","")))</f>
        <v/>
      </c>
      <c r="O21" s="3" t="s">
        <v>21</v>
      </c>
      <c r="P21" s="3" t="str">
        <f aca="false">IF(O21&lt;&gt;"both",O21&amp;" only",IF(Q21="","agree","conflict"))</f>
        <v>hayday.info only</v>
      </c>
      <c r="Q21" s="3" t="str">
        <f aca="false">IF(O21="both",TRIM(IF(I21&lt;&gt;"","price ","")&amp;IF(K21&lt;&gt;"","xp ","")&amp;IF(G21="differs","time","")),"")</f>
        <v/>
      </c>
      <c r="R21" s="3" t="s">
        <v>22</v>
      </c>
      <c r="S21" s="3"/>
    </row>
    <row r="22" customFormat="false" ht="15" hidden="false" customHeight="false" outlineLevel="0" collapsed="false">
      <c r="A22" s="3" t="s">
        <v>47</v>
      </c>
      <c r="B22" s="3" t="s">
        <v>44</v>
      </c>
      <c r="C22" s="4" t="n">
        <v>99</v>
      </c>
      <c r="D22" s="5"/>
      <c r="E22" s="5"/>
      <c r="F22" s="5" t="n">
        <v>76</v>
      </c>
      <c r="G22" s="3" t="str">
        <f aca="false">IF(OR(F22="",AND(D22="",E22="")),"n/a",IF(F22=E22,"mastered",IF(F22=D22,"normal","differs")))</f>
        <v>n/a</v>
      </c>
      <c r="H22" s="6" t="n">
        <v>320</v>
      </c>
      <c r="I22" s="6"/>
      <c r="J22" s="4" t="n">
        <v>38</v>
      </c>
      <c r="K22" s="4"/>
      <c r="L22" s="7" t="n">
        <v>29.01960784</v>
      </c>
      <c r="M22" s="8" t="n">
        <v>29.80392157</v>
      </c>
      <c r="N22" s="3" t="str">
        <f aca="false">IF(L22="","",IF(L22&lt;0,"negative profit",IF(L22&gt;Notes!$B$4,"unusually high - verify","")))</f>
        <v/>
      </c>
      <c r="O22" s="3" t="s">
        <v>21</v>
      </c>
      <c r="P22" s="3" t="str">
        <f aca="false">IF(O22&lt;&gt;"both",O22&amp;" only",IF(Q22="","agree","conflict"))</f>
        <v>hayday.info only</v>
      </c>
      <c r="Q22" s="3" t="str">
        <f aca="false">IF(O22="both",TRIM(IF(I22&lt;&gt;"","price ","")&amp;IF(K22&lt;&gt;"","xp ","")&amp;IF(G22="differs","time","")),"")</f>
        <v/>
      </c>
      <c r="R22" s="3" t="s">
        <v>22</v>
      </c>
      <c r="S22" s="3"/>
    </row>
    <row r="23" customFormat="false" ht="15" hidden="false" customHeight="false" outlineLevel="0" collapsed="false">
      <c r="A23" s="3" t="s">
        <v>48</v>
      </c>
      <c r="B23" s="3" t="s">
        <v>49</v>
      </c>
      <c r="C23" s="4" t="n">
        <v>9</v>
      </c>
      <c r="D23" s="5"/>
      <c r="E23" s="5"/>
      <c r="F23" s="5" t="n">
        <v>25</v>
      </c>
      <c r="G23" s="3" t="str">
        <f aca="false">IF(OR(F23="",AND(D23="",E23="")),"n/a",IF(F23=E23,"mastered",IF(F23=D23,"normal","differs")))</f>
        <v>n/a</v>
      </c>
      <c r="H23" s="6" t="n">
        <v>108</v>
      </c>
      <c r="I23" s="6"/>
      <c r="J23" s="4" t="n">
        <v>13</v>
      </c>
      <c r="K23" s="4"/>
      <c r="L23" s="7" t="n">
        <v>51.76470588</v>
      </c>
      <c r="M23" s="8" t="n">
        <v>30.58823529</v>
      </c>
      <c r="N23" s="3" t="str">
        <f aca="false">IF(L23="","",IF(L23&lt;0,"negative profit",IF(L23&gt;Notes!$B$4,"unusually high - verify","")))</f>
        <v/>
      </c>
      <c r="O23" s="3" t="s">
        <v>21</v>
      </c>
      <c r="P23" s="3" t="str">
        <f aca="false">IF(O23&lt;&gt;"both",O23&amp;" only",IF(Q23="","agree","conflict"))</f>
        <v>hayday.info only</v>
      </c>
      <c r="Q23" s="3" t="str">
        <f aca="false">IF(O23="both",TRIM(IF(I23&lt;&gt;"","price ","")&amp;IF(K23&lt;&gt;"","xp ","")&amp;IF(G23="differs","time","")),"")</f>
        <v/>
      </c>
      <c r="R23" s="3" t="s">
        <v>22</v>
      </c>
      <c r="S23" s="3"/>
    </row>
    <row r="24" customFormat="false" ht="15" hidden="false" customHeight="false" outlineLevel="0" collapsed="false">
      <c r="A24" s="3" t="s">
        <v>50</v>
      </c>
      <c r="B24" s="3" t="s">
        <v>49</v>
      </c>
      <c r="C24" s="4" t="n">
        <v>11</v>
      </c>
      <c r="D24" s="5"/>
      <c r="E24" s="5"/>
      <c r="F24" s="5" t="n">
        <v>51</v>
      </c>
      <c r="G24" s="3" t="str">
        <f aca="false">IF(OR(F24="",AND(D24="",E24="")),"n/a",IF(F24=E24,"mastered",IF(F24=D24,"normal","differs")))</f>
        <v>n/a</v>
      </c>
      <c r="H24" s="6" t="n">
        <v>201</v>
      </c>
      <c r="I24" s="6"/>
      <c r="J24" s="4" t="n">
        <v>24</v>
      </c>
      <c r="K24" s="4"/>
      <c r="L24" s="7" t="n">
        <v>34.11764706</v>
      </c>
      <c r="M24" s="8" t="n">
        <v>28.23529412</v>
      </c>
      <c r="N24" s="3" t="str">
        <f aca="false">IF(L24="","",IF(L24&lt;0,"negative profit",IF(L24&gt;Notes!$B$4,"unusually high - verify","")))</f>
        <v/>
      </c>
      <c r="O24" s="3" t="s">
        <v>21</v>
      </c>
      <c r="P24" s="3" t="str">
        <f aca="false">IF(O24&lt;&gt;"both",O24&amp;" only",IF(Q24="","agree","conflict"))</f>
        <v>hayday.info only</v>
      </c>
      <c r="Q24" s="3" t="str">
        <f aca="false">IF(O24="both",TRIM(IF(I24&lt;&gt;"","price ","")&amp;IF(K24&lt;&gt;"","xp ","")&amp;IF(G24="differs","time","")),"")</f>
        <v/>
      </c>
      <c r="R24" s="3" t="s">
        <v>22</v>
      </c>
      <c r="S24" s="3"/>
    </row>
    <row r="25" customFormat="false" ht="15" hidden="false" customHeight="false" outlineLevel="0" collapsed="false">
      <c r="A25" s="3" t="s">
        <v>51</v>
      </c>
      <c r="B25" s="3" t="s">
        <v>49</v>
      </c>
      <c r="C25" s="4" t="n">
        <v>18</v>
      </c>
      <c r="D25" s="5"/>
      <c r="E25" s="5"/>
      <c r="F25" s="5" t="n">
        <v>102</v>
      </c>
      <c r="G25" s="3" t="str">
        <f aca="false">IF(OR(F25="",AND(D25="",E25="")),"n/a",IF(F25=E25,"mastered",IF(F25=D25,"normal","differs")))</f>
        <v>n/a</v>
      </c>
      <c r="H25" s="6" t="n">
        <v>180</v>
      </c>
      <c r="I25" s="6"/>
      <c r="J25" s="4" t="n">
        <v>22</v>
      </c>
      <c r="K25" s="4"/>
      <c r="L25" s="7" t="n">
        <v>22.35294118</v>
      </c>
      <c r="M25" s="8" t="n">
        <v>12.94117647</v>
      </c>
      <c r="N25" s="3" t="str">
        <f aca="false">IF(L25="","",IF(L25&lt;0,"negative profit",IF(L25&gt;Notes!$B$4,"unusually high - verify","")))</f>
        <v/>
      </c>
      <c r="O25" s="3" t="s">
        <v>21</v>
      </c>
      <c r="P25" s="3" t="str">
        <f aca="false">IF(O25&lt;&gt;"both",O25&amp;" only",IF(Q25="","agree","conflict"))</f>
        <v>hayday.info only</v>
      </c>
      <c r="Q25" s="3" t="str">
        <f aca="false">IF(O25="both",TRIM(IF(I25&lt;&gt;"","price ","")&amp;IF(K25&lt;&gt;"","xp ","")&amp;IF(G25="differs","time","")),"")</f>
        <v/>
      </c>
      <c r="R25" s="3" t="s">
        <v>22</v>
      </c>
      <c r="S25" s="3"/>
    </row>
    <row r="26" customFormat="false" ht="15" hidden="false" customHeight="false" outlineLevel="0" collapsed="false">
      <c r="A26" s="3" t="s">
        <v>52</v>
      </c>
      <c r="B26" s="3" t="s">
        <v>49</v>
      </c>
      <c r="C26" s="4" t="n">
        <v>27</v>
      </c>
      <c r="D26" s="5"/>
      <c r="E26" s="5"/>
      <c r="F26" s="5" t="n">
        <v>102</v>
      </c>
      <c r="G26" s="3" t="str">
        <f aca="false">IF(OR(F26="",AND(D26="",E26="")),"n/a",IF(F26=E26,"mastered",IF(F26=D26,"normal","differs")))</f>
        <v>n/a</v>
      </c>
      <c r="H26" s="6" t="n">
        <v>226</v>
      </c>
      <c r="I26" s="6"/>
      <c r="J26" s="4" t="n">
        <v>27</v>
      </c>
      <c r="K26" s="4"/>
      <c r="L26" s="7" t="n">
        <v>23.52941176</v>
      </c>
      <c r="M26" s="8" t="n">
        <v>15.88235294</v>
      </c>
      <c r="N26" s="3" t="str">
        <f aca="false">IF(L26="","",IF(L26&lt;0,"negative profit",IF(L26&gt;Notes!$B$4,"unusually high - verify","")))</f>
        <v/>
      </c>
      <c r="O26" s="3" t="s">
        <v>21</v>
      </c>
      <c r="P26" s="3" t="str">
        <f aca="false">IF(O26&lt;&gt;"both",O26&amp;" only",IF(Q26="","agree","conflict"))</f>
        <v>hayday.info only</v>
      </c>
      <c r="Q26" s="3" t="str">
        <f aca="false">IF(O26="both",TRIM(IF(I26&lt;&gt;"","price ","")&amp;IF(K26&lt;&gt;"","xp ","")&amp;IF(G26="differs","time","")),"")</f>
        <v/>
      </c>
      <c r="R26" s="3" t="s">
        <v>22</v>
      </c>
      <c r="S26" s="3"/>
    </row>
    <row r="27" customFormat="false" ht="15" hidden="false" customHeight="false" outlineLevel="0" collapsed="false">
      <c r="A27" s="3" t="s">
        <v>53</v>
      </c>
      <c r="B27" s="3" t="s">
        <v>49</v>
      </c>
      <c r="C27" s="4" t="n">
        <v>30</v>
      </c>
      <c r="D27" s="5"/>
      <c r="E27" s="5"/>
      <c r="F27" s="5" t="n">
        <v>76</v>
      </c>
      <c r="G27" s="3" t="str">
        <f aca="false">IF(OR(F27="",AND(D27="",E27="")),"n/a",IF(F27=E27,"mastered",IF(F27=D27,"normal","differs")))</f>
        <v>n/a</v>
      </c>
      <c r="H27" s="6" t="n">
        <v>118</v>
      </c>
      <c r="I27" s="6"/>
      <c r="J27" s="4" t="n">
        <v>14</v>
      </c>
      <c r="K27" s="4"/>
      <c r="L27" s="7" t="n">
        <v>25.09803922</v>
      </c>
      <c r="M27" s="8" t="n">
        <v>10.98039216</v>
      </c>
      <c r="N27" s="3" t="str">
        <f aca="false">IF(L27="","",IF(L27&lt;0,"negative profit",IF(L27&gt;Notes!$B$4,"unusually high - verify","")))</f>
        <v/>
      </c>
      <c r="O27" s="3" t="s">
        <v>21</v>
      </c>
      <c r="P27" s="3" t="str">
        <f aca="false">IF(O27&lt;&gt;"both",O27&amp;" only",IF(Q27="","agree","conflict"))</f>
        <v>hayday.info only</v>
      </c>
      <c r="Q27" s="3" t="str">
        <f aca="false">IF(O27="both",TRIM(IF(I27&lt;&gt;"","price ","")&amp;IF(K27&lt;&gt;"","xp ","")&amp;IF(G27="differs","time","")),"")</f>
        <v/>
      </c>
      <c r="R27" s="3" t="s">
        <v>22</v>
      </c>
      <c r="S27" s="3"/>
    </row>
    <row r="28" customFormat="false" ht="15" hidden="false" customHeight="false" outlineLevel="0" collapsed="false">
      <c r="A28" s="3" t="s">
        <v>54</v>
      </c>
      <c r="B28" s="3" t="s">
        <v>49</v>
      </c>
      <c r="C28" s="4" t="n">
        <v>35</v>
      </c>
      <c r="D28" s="5"/>
      <c r="E28" s="5"/>
      <c r="F28" s="5" t="n">
        <v>29</v>
      </c>
      <c r="G28" s="3" t="str">
        <f aca="false">IF(OR(F28="",AND(D28="",E28="")),"n/a",IF(F28=E28,"mastered",IF(F28=D28,"normal","differs")))</f>
        <v>n/a</v>
      </c>
      <c r="H28" s="6" t="n">
        <v>298</v>
      </c>
      <c r="I28" s="6"/>
      <c r="J28" s="4" t="n">
        <v>36</v>
      </c>
      <c r="K28" s="4"/>
      <c r="L28" s="7" t="n">
        <v>36.30252101</v>
      </c>
      <c r="M28" s="8" t="n">
        <v>72.60504202</v>
      </c>
      <c r="N28" s="3" t="str">
        <f aca="false">IF(L28="","",IF(L28&lt;0,"negative profit",IF(L28&gt;Notes!$B$4,"unusually high - verify","")))</f>
        <v/>
      </c>
      <c r="O28" s="3" t="s">
        <v>21</v>
      </c>
      <c r="P28" s="3" t="str">
        <f aca="false">IF(O28&lt;&gt;"both",O28&amp;" only",IF(Q28="","agree","conflict"))</f>
        <v>hayday.info only</v>
      </c>
      <c r="Q28" s="3" t="str">
        <f aca="false">IF(O28="both",TRIM(IF(I28&lt;&gt;"","price ","")&amp;IF(K28&lt;&gt;"","xp ","")&amp;IF(G28="differs","time","")),"")</f>
        <v/>
      </c>
      <c r="R28" s="3" t="s">
        <v>22</v>
      </c>
      <c r="S28" s="3"/>
    </row>
    <row r="29" customFormat="false" ht="15" hidden="false" customHeight="false" outlineLevel="0" collapsed="false">
      <c r="A29" s="3" t="s">
        <v>55</v>
      </c>
      <c r="B29" s="3" t="s">
        <v>49</v>
      </c>
      <c r="C29" s="4" t="n">
        <v>41</v>
      </c>
      <c r="D29" s="5"/>
      <c r="E29" s="5"/>
      <c r="F29" s="5" t="n">
        <v>76</v>
      </c>
      <c r="G29" s="3" t="str">
        <f aca="false">IF(OR(F29="",AND(D29="",E29="")),"n/a",IF(F29=E29,"mastered",IF(F29=D29,"normal","differs")))</f>
        <v>n/a</v>
      </c>
      <c r="H29" s="6" t="n">
        <v>244</v>
      </c>
      <c r="I29" s="6"/>
      <c r="J29" s="4" t="n">
        <v>29</v>
      </c>
      <c r="K29" s="4"/>
      <c r="L29" s="7" t="n">
        <v>21.96078431</v>
      </c>
      <c r="M29" s="8" t="n">
        <v>22.74509804</v>
      </c>
      <c r="N29" s="3" t="str">
        <f aca="false">IF(L29="","",IF(L29&lt;0,"negative profit",IF(L29&gt;Notes!$B$4,"unusually high - verify","")))</f>
        <v/>
      </c>
      <c r="O29" s="3" t="s">
        <v>21</v>
      </c>
      <c r="P29" s="3" t="str">
        <f aca="false">IF(O29&lt;&gt;"both",O29&amp;" only",IF(Q29="","agree","conflict"))</f>
        <v>hayday.info only</v>
      </c>
      <c r="Q29" s="3" t="str">
        <f aca="false">IF(O29="both",TRIM(IF(I29&lt;&gt;"","price ","")&amp;IF(K29&lt;&gt;"","xp ","")&amp;IF(G29="differs","time","")),"")</f>
        <v/>
      </c>
      <c r="R29" s="3" t="s">
        <v>22</v>
      </c>
      <c r="S29" s="3"/>
    </row>
    <row r="30" customFormat="false" ht="15" hidden="false" customHeight="false" outlineLevel="0" collapsed="false">
      <c r="A30" s="3" t="s">
        <v>56</v>
      </c>
      <c r="B30" s="3" t="s">
        <v>49</v>
      </c>
      <c r="C30" s="4" t="n">
        <v>48</v>
      </c>
      <c r="D30" s="5"/>
      <c r="E30" s="5"/>
      <c r="F30" s="5" t="n">
        <v>34</v>
      </c>
      <c r="G30" s="3" t="str">
        <f aca="false">IF(OR(F30="",AND(D30="",E30="")),"n/a",IF(F30=E30,"mastered",IF(F30=D30,"normal","differs")))</f>
        <v>n/a</v>
      </c>
      <c r="H30" s="6" t="n">
        <v>417</v>
      </c>
      <c r="I30" s="6"/>
      <c r="J30" s="4" t="n">
        <v>50</v>
      </c>
      <c r="K30" s="4"/>
      <c r="L30" s="7" t="n">
        <v>45.88235294</v>
      </c>
      <c r="M30" s="8" t="n">
        <v>88.23529412</v>
      </c>
      <c r="N30" s="3" t="str">
        <f aca="false">IF(L30="","",IF(L30&lt;0,"negative profit",IF(L30&gt;Notes!$B$4,"unusually high - verify","")))</f>
        <v/>
      </c>
      <c r="O30" s="3" t="s">
        <v>21</v>
      </c>
      <c r="P30" s="3" t="str">
        <f aca="false">IF(O30&lt;&gt;"both",O30&amp;" only",IF(Q30="","agree","conflict"))</f>
        <v>hayday.info only</v>
      </c>
      <c r="Q30" s="3" t="str">
        <f aca="false">IF(O30="both",TRIM(IF(I30&lt;&gt;"","price ","")&amp;IF(K30&lt;&gt;"","xp ","")&amp;IF(G30="differs","time","")),"")</f>
        <v/>
      </c>
      <c r="R30" s="3" t="s">
        <v>22</v>
      </c>
      <c r="S30" s="3"/>
    </row>
    <row r="31" customFormat="false" ht="15" hidden="false" customHeight="false" outlineLevel="0" collapsed="false">
      <c r="A31" s="3" t="s">
        <v>57</v>
      </c>
      <c r="B31" s="3" t="s">
        <v>49</v>
      </c>
      <c r="C31" s="4" t="n">
        <v>60</v>
      </c>
      <c r="D31" s="5"/>
      <c r="E31" s="5"/>
      <c r="F31" s="5" t="n">
        <v>12</v>
      </c>
      <c r="G31" s="3" t="str">
        <f aca="false">IF(OR(F31="",AND(D31="",E31="")),"n/a",IF(F31=E31,"mastered",IF(F31=D31,"normal","differs")))</f>
        <v>n/a</v>
      </c>
      <c r="H31" s="6" t="n">
        <v>198</v>
      </c>
      <c r="I31" s="6"/>
      <c r="J31" s="4" t="n">
        <v>24</v>
      </c>
      <c r="K31" s="4"/>
      <c r="L31" s="7" t="n">
        <v>84.70588235</v>
      </c>
      <c r="M31" s="8" t="n">
        <v>112.9411765</v>
      </c>
      <c r="N31" s="3" t="str">
        <f aca="false">IF(L31="","",IF(L31&lt;0,"negative profit",IF(L31&gt;Notes!$B$4,"unusually high - verify","")))</f>
        <v/>
      </c>
      <c r="O31" s="3" t="s">
        <v>21</v>
      </c>
      <c r="P31" s="3" t="str">
        <f aca="false">IF(O31&lt;&gt;"both",O31&amp;" only",IF(Q31="","agree","conflict"))</f>
        <v>hayday.info only</v>
      </c>
      <c r="Q31" s="3" t="str">
        <f aca="false">IF(O31="both",TRIM(IF(I31&lt;&gt;"","price ","")&amp;IF(K31&lt;&gt;"","xp ","")&amp;IF(G31="differs","time","")),"")</f>
        <v/>
      </c>
      <c r="R31" s="3" t="s">
        <v>22</v>
      </c>
      <c r="S31" s="3"/>
    </row>
    <row r="32" customFormat="false" ht="15" hidden="false" customHeight="false" outlineLevel="0" collapsed="false">
      <c r="A32" s="3" t="s">
        <v>58</v>
      </c>
      <c r="B32" s="3" t="s">
        <v>49</v>
      </c>
      <c r="C32" s="4" t="n">
        <v>68</v>
      </c>
      <c r="D32" s="5"/>
      <c r="E32" s="5"/>
      <c r="F32" s="5" t="n">
        <v>51</v>
      </c>
      <c r="G32" s="3" t="str">
        <f aca="false">IF(OR(F32="",AND(D32="",E32="")),"n/a",IF(F32=E32,"mastered",IF(F32=D32,"normal","differs")))</f>
        <v>n/a</v>
      </c>
      <c r="H32" s="6" t="n">
        <v>190</v>
      </c>
      <c r="I32" s="6"/>
      <c r="J32" s="4" t="n">
        <v>23</v>
      </c>
      <c r="K32" s="4"/>
      <c r="L32" s="7" t="n">
        <v>35.29411765</v>
      </c>
      <c r="M32" s="8" t="n">
        <v>27.05882353</v>
      </c>
      <c r="N32" s="3" t="str">
        <f aca="false">IF(L32="","",IF(L32&lt;0,"negative profit",IF(L32&gt;Notes!$B$4,"unusually high - verify","")))</f>
        <v/>
      </c>
      <c r="O32" s="3" t="s">
        <v>21</v>
      </c>
      <c r="P32" s="3" t="str">
        <f aca="false">IF(O32&lt;&gt;"both",O32&amp;" only",IF(Q32="","agree","conflict"))</f>
        <v>hayday.info only</v>
      </c>
      <c r="Q32" s="3" t="str">
        <f aca="false">IF(O32="both",TRIM(IF(I32&lt;&gt;"","price ","")&amp;IF(K32&lt;&gt;"","xp ","")&amp;IF(G32="differs","time","")),"")</f>
        <v/>
      </c>
      <c r="R32" s="3" t="s">
        <v>22</v>
      </c>
      <c r="S32" s="3"/>
    </row>
    <row r="33" customFormat="false" ht="15" hidden="false" customHeight="false" outlineLevel="0" collapsed="false">
      <c r="A33" s="3" t="s">
        <v>59</v>
      </c>
      <c r="B33" s="3" t="s">
        <v>49</v>
      </c>
      <c r="C33" s="4" t="n">
        <v>72</v>
      </c>
      <c r="D33" s="5"/>
      <c r="E33" s="5"/>
      <c r="F33" s="5" t="n">
        <v>21</v>
      </c>
      <c r="G33" s="3" t="str">
        <f aca="false">IF(OR(F33="",AND(D33="",E33="")),"n/a",IF(F33=E33,"mastered",IF(F33=D33,"normal","differs")))</f>
        <v>n/a</v>
      </c>
      <c r="H33" s="6" t="n">
        <v>198</v>
      </c>
      <c r="I33" s="6"/>
      <c r="J33" s="4" t="n">
        <v>24</v>
      </c>
      <c r="K33" s="4"/>
      <c r="L33" s="7" t="n">
        <v>36.70588235</v>
      </c>
      <c r="M33" s="8" t="n">
        <v>67.76470588</v>
      </c>
      <c r="N33" s="3" t="str">
        <f aca="false">IF(L33="","",IF(L33&lt;0,"negative profit",IF(L33&gt;Notes!$B$4,"unusually high - verify","")))</f>
        <v/>
      </c>
      <c r="O33" s="3" t="s">
        <v>21</v>
      </c>
      <c r="P33" s="3" t="str">
        <f aca="false">IF(O33&lt;&gt;"both",O33&amp;" only",IF(Q33="","agree","conflict"))</f>
        <v>hayday.info only</v>
      </c>
      <c r="Q33" s="3" t="str">
        <f aca="false">IF(O33="both",TRIM(IF(I33&lt;&gt;"","price ","")&amp;IF(K33&lt;&gt;"","xp ","")&amp;IF(G33="differs","time","")),"")</f>
        <v/>
      </c>
      <c r="R33" s="3" t="s">
        <v>22</v>
      </c>
      <c r="S33" s="3"/>
    </row>
    <row r="34" customFormat="false" ht="15" hidden="false" customHeight="false" outlineLevel="0" collapsed="false">
      <c r="A34" s="3" t="s">
        <v>60</v>
      </c>
      <c r="B34" s="3" t="s">
        <v>49</v>
      </c>
      <c r="C34" s="4" t="n">
        <v>80</v>
      </c>
      <c r="D34" s="5"/>
      <c r="E34" s="5"/>
      <c r="F34" s="5" t="n">
        <v>17</v>
      </c>
      <c r="G34" s="3" t="str">
        <f aca="false">IF(OR(F34="",AND(D34="",E34="")),"n/a",IF(F34=E34,"mastered",IF(F34=D34,"normal","differs")))</f>
        <v>n/a</v>
      </c>
      <c r="H34" s="6" t="n">
        <v>352</v>
      </c>
      <c r="I34" s="6"/>
      <c r="J34" s="4" t="n">
        <v>42</v>
      </c>
      <c r="K34" s="4"/>
      <c r="L34" s="7" t="n">
        <v>63.52941176</v>
      </c>
      <c r="M34" s="8" t="n">
        <v>148.2352941</v>
      </c>
      <c r="N34" s="3" t="str">
        <f aca="false">IF(L34="","",IF(L34&lt;0,"negative profit",IF(L34&gt;Notes!$B$4,"unusually high - verify","")))</f>
        <v/>
      </c>
      <c r="O34" s="3" t="s">
        <v>21</v>
      </c>
      <c r="P34" s="3" t="str">
        <f aca="false">IF(O34&lt;&gt;"both",O34&amp;" only",IF(Q34="","agree","conflict"))</f>
        <v>hayday.info only</v>
      </c>
      <c r="Q34" s="3" t="str">
        <f aca="false">IF(O34="both",TRIM(IF(I34&lt;&gt;"","price ","")&amp;IF(K34&lt;&gt;"","xp ","")&amp;IF(G34="differs","time","")),"")</f>
        <v/>
      </c>
      <c r="R34" s="3" t="s">
        <v>22</v>
      </c>
      <c r="S34" s="3"/>
    </row>
    <row r="35" customFormat="false" ht="15" hidden="false" customHeight="false" outlineLevel="0" collapsed="false">
      <c r="A35" s="3" t="s">
        <v>61</v>
      </c>
      <c r="B35" s="3" t="s">
        <v>49</v>
      </c>
      <c r="C35" s="4" t="n">
        <v>90</v>
      </c>
      <c r="D35" s="5"/>
      <c r="E35" s="5"/>
      <c r="F35" s="5" t="n">
        <v>34</v>
      </c>
      <c r="G35" s="3" t="str">
        <f aca="false">IF(OR(F35="",AND(D35="",E35="")),"n/a",IF(F35=E35,"mastered",IF(F35=D35,"normal","differs")))</f>
        <v>n/a</v>
      </c>
      <c r="H35" s="6" t="n">
        <v>324</v>
      </c>
      <c r="I35" s="6"/>
      <c r="J35" s="4" t="n">
        <v>39</v>
      </c>
      <c r="K35" s="4"/>
      <c r="L35" s="7" t="n">
        <v>52.94117647</v>
      </c>
      <c r="M35" s="8" t="n">
        <v>68.82352941</v>
      </c>
      <c r="N35" s="3" t="str">
        <f aca="false">IF(L35="","",IF(L35&lt;0,"negative profit",IF(L35&gt;Notes!$B$4,"unusually high - verify","")))</f>
        <v/>
      </c>
      <c r="O35" s="3" t="s">
        <v>21</v>
      </c>
      <c r="P35" s="3" t="str">
        <f aca="false">IF(O35&lt;&gt;"both",O35&amp;" only",IF(Q35="","agree","conflict"))</f>
        <v>hayday.info only</v>
      </c>
      <c r="Q35" s="3" t="str">
        <f aca="false">IF(O35="both",TRIM(IF(I35&lt;&gt;"","price ","")&amp;IF(K35&lt;&gt;"","xp ","")&amp;IF(G35="differs","time","")),"")</f>
        <v/>
      </c>
      <c r="R35" s="3" t="s">
        <v>22</v>
      </c>
      <c r="S35" s="3"/>
    </row>
    <row r="36" customFormat="false" ht="15" hidden="false" customHeight="false" outlineLevel="0" collapsed="false">
      <c r="A36" s="3" t="s">
        <v>62</v>
      </c>
      <c r="B36" s="3" t="s">
        <v>49</v>
      </c>
      <c r="C36" s="4" t="n">
        <v>94</v>
      </c>
      <c r="D36" s="5"/>
      <c r="E36" s="5"/>
      <c r="F36" s="5" t="n">
        <v>51</v>
      </c>
      <c r="G36" s="3" t="str">
        <f aca="false">IF(OR(F36="",AND(D36="",E36="")),"n/a",IF(F36=E36,"mastered",IF(F36=D36,"normal","differs")))</f>
        <v>n/a</v>
      </c>
      <c r="H36" s="6" t="n">
        <v>352</v>
      </c>
      <c r="I36" s="6"/>
      <c r="J36" s="4" t="n">
        <v>42</v>
      </c>
      <c r="K36" s="4"/>
      <c r="L36" s="7" t="n">
        <v>29.41176471</v>
      </c>
      <c r="M36" s="8" t="n">
        <v>49.41176471</v>
      </c>
      <c r="N36" s="3" t="str">
        <f aca="false">IF(L36="","",IF(L36&lt;0,"negative profit",IF(L36&gt;Notes!$B$4,"unusually high - verify","")))</f>
        <v/>
      </c>
      <c r="O36" s="3" t="s">
        <v>21</v>
      </c>
      <c r="P36" s="3" t="str">
        <f aca="false">IF(O36&lt;&gt;"both",O36&amp;" only",IF(Q36="","agree","conflict"))</f>
        <v>hayday.info only</v>
      </c>
      <c r="Q36" s="3" t="str">
        <f aca="false">IF(O36="both",TRIM(IF(I36&lt;&gt;"","price ","")&amp;IF(K36&lt;&gt;"","xp ","")&amp;IF(G36="differs","time","")),"")</f>
        <v/>
      </c>
      <c r="R36" s="3" t="s">
        <v>22</v>
      </c>
      <c r="S36" s="3"/>
    </row>
    <row r="37" customFormat="false" ht="15" hidden="false" customHeight="false" outlineLevel="0" collapsed="false">
      <c r="A37" s="3" t="s">
        <v>63</v>
      </c>
      <c r="B37" s="3" t="s">
        <v>49</v>
      </c>
      <c r="C37" s="4" t="n">
        <v>96</v>
      </c>
      <c r="D37" s="5"/>
      <c r="E37" s="5"/>
      <c r="F37" s="5" t="n">
        <v>25</v>
      </c>
      <c r="G37" s="3" t="str">
        <f aca="false">IF(OR(F37="",AND(D37="",E37="")),"n/a",IF(F37=E37,"mastered",IF(F37=D37,"normal","differs")))</f>
        <v>n/a</v>
      </c>
      <c r="H37" s="6" t="n">
        <v>176</v>
      </c>
      <c r="I37" s="6"/>
      <c r="J37" s="4" t="n">
        <v>21</v>
      </c>
      <c r="K37" s="4"/>
      <c r="L37" s="7" t="n">
        <v>65.88235294</v>
      </c>
      <c r="M37" s="8" t="n">
        <v>49.41176471</v>
      </c>
      <c r="N37" s="3" t="str">
        <f aca="false">IF(L37="","",IF(L37&lt;0,"negative profit",IF(L37&gt;Notes!$B$4,"unusually high - verify","")))</f>
        <v/>
      </c>
      <c r="O37" s="3" t="s">
        <v>21</v>
      </c>
      <c r="P37" s="3" t="str">
        <f aca="false">IF(O37&lt;&gt;"both",O37&amp;" only",IF(Q37="","agree","conflict"))</f>
        <v>hayday.info only</v>
      </c>
      <c r="Q37" s="3" t="str">
        <f aca="false">IF(O37="both",TRIM(IF(I37&lt;&gt;"","price ","")&amp;IF(K37&lt;&gt;"","xp ","")&amp;IF(G37="differs","time","")),"")</f>
        <v/>
      </c>
      <c r="R37" s="3" t="s">
        <v>22</v>
      </c>
      <c r="S37" s="3"/>
    </row>
    <row r="38" customFormat="false" ht="15" hidden="false" customHeight="false" outlineLevel="0" collapsed="false">
      <c r="A38" s="3" t="s">
        <v>64</v>
      </c>
      <c r="B38" s="3" t="s">
        <v>65</v>
      </c>
      <c r="C38" s="4" t="n">
        <v>21</v>
      </c>
      <c r="D38" s="5" t="n">
        <v>90</v>
      </c>
      <c r="E38" s="5" t="n">
        <v>76</v>
      </c>
      <c r="F38" s="5" t="n">
        <v>76</v>
      </c>
      <c r="G38" s="3" t="str">
        <f aca="false">IF(OR(F38="",AND(D38="",E38="")),"n/a",IF(F38=E38,"mastered",IF(F38=D38,"normal","differs")))</f>
        <v>mastered</v>
      </c>
      <c r="H38" s="6" t="n">
        <v>165</v>
      </c>
      <c r="I38" s="6"/>
      <c r="J38" s="4" t="n">
        <v>20</v>
      </c>
      <c r="K38" s="4"/>
      <c r="L38" s="7" t="n">
        <v>29.01960784</v>
      </c>
      <c r="M38" s="8" t="n">
        <v>15.68627451</v>
      </c>
      <c r="N38" s="3" t="str">
        <f aca="false">IF(L38="","",IF(L38&lt;0,"negative profit",IF(L38&gt;Notes!$B$4,"unusually high - verify","")))</f>
        <v/>
      </c>
      <c r="O38" s="3" t="s">
        <v>29</v>
      </c>
      <c r="P38" s="3" t="str">
        <f aca="false">IF(O38&lt;&gt;"both",O38&amp;" only",IF(Q38="","agree","conflict"))</f>
        <v>agree</v>
      </c>
      <c r="Q38" s="3" t="str">
        <f aca="false">IF(O38="both",TRIM(IF(I38&lt;&gt;"","price ","")&amp;IF(K38&lt;&gt;"","xp ","")&amp;IF(G38="differs","time","")),"")</f>
        <v/>
      </c>
      <c r="R38" s="3" t="s">
        <v>30</v>
      </c>
      <c r="S38" s="3" t="s">
        <v>66</v>
      </c>
    </row>
    <row r="39" customFormat="false" ht="15" hidden="false" customHeight="false" outlineLevel="0" collapsed="false">
      <c r="A39" s="3" t="s">
        <v>67</v>
      </c>
      <c r="B39" s="3" t="s">
        <v>65</v>
      </c>
      <c r="C39" s="4" t="n">
        <v>23</v>
      </c>
      <c r="D39" s="5" t="n">
        <v>180</v>
      </c>
      <c r="E39" s="5" t="n">
        <v>153</v>
      </c>
      <c r="F39" s="5" t="n">
        <v>153</v>
      </c>
      <c r="G39" s="3" t="str">
        <f aca="false">IF(OR(F39="",AND(D39="",E39="")),"n/a",IF(F39=E39,"mastered",IF(F39=D39,"normal","differs")))</f>
        <v>mastered</v>
      </c>
      <c r="H39" s="6" t="n">
        <v>219</v>
      </c>
      <c r="I39" s="6"/>
      <c r="J39" s="4" t="n">
        <v>26</v>
      </c>
      <c r="K39" s="4"/>
      <c r="L39" s="7" t="n">
        <v>40.78431373</v>
      </c>
      <c r="M39" s="8" t="n">
        <v>10.19607843</v>
      </c>
      <c r="N39" s="3" t="str">
        <f aca="false">IF(L39="","",IF(L39&lt;0,"negative profit",IF(L39&gt;Notes!$B$4,"unusually high - verify","")))</f>
        <v/>
      </c>
      <c r="O39" s="3" t="s">
        <v>29</v>
      </c>
      <c r="P39" s="3" t="str">
        <f aca="false">IF(O39&lt;&gt;"both",O39&amp;" only",IF(Q39="","agree","conflict"))</f>
        <v>agree</v>
      </c>
      <c r="Q39" s="3" t="str">
        <f aca="false">IF(O39="both",TRIM(IF(I39&lt;&gt;"","price ","")&amp;IF(K39&lt;&gt;"","xp ","")&amp;IF(G39="differs","time","")),"")</f>
        <v/>
      </c>
      <c r="R39" s="3" t="s">
        <v>30</v>
      </c>
      <c r="S39" s="3" t="s">
        <v>66</v>
      </c>
    </row>
    <row r="40" customFormat="false" ht="15" hidden="false" customHeight="false" outlineLevel="0" collapsed="false">
      <c r="A40" s="3" t="s">
        <v>68</v>
      </c>
      <c r="B40" s="3" t="s">
        <v>65</v>
      </c>
      <c r="C40" s="4" t="n">
        <v>23</v>
      </c>
      <c r="D40" s="5" t="n">
        <v>60</v>
      </c>
      <c r="E40" s="5" t="n">
        <v>51</v>
      </c>
      <c r="F40" s="5" t="n">
        <v>51</v>
      </c>
      <c r="G40" s="3" t="str">
        <f aca="false">IF(OR(F40="",AND(D40="",E40="")),"n/a",IF(F40=E40,"mastered",IF(F40=D40,"normal","differs")))</f>
        <v>mastered</v>
      </c>
      <c r="H40" s="6" t="n">
        <v>255</v>
      </c>
      <c r="I40" s="6"/>
      <c r="J40" s="4" t="n">
        <v>31</v>
      </c>
      <c r="K40" s="4"/>
      <c r="L40" s="7" t="n">
        <v>27.05882353</v>
      </c>
      <c r="M40" s="8" t="n">
        <v>36.47058824</v>
      </c>
      <c r="N40" s="3" t="str">
        <f aca="false">IF(L40="","",IF(L40&lt;0,"negative profit",IF(L40&gt;Notes!$B$4,"unusually high - verify","")))</f>
        <v/>
      </c>
      <c r="O40" s="3" t="s">
        <v>29</v>
      </c>
      <c r="P40" s="3" t="str">
        <f aca="false">IF(O40&lt;&gt;"both",O40&amp;" only",IF(Q40="","agree","conflict"))</f>
        <v>agree</v>
      </c>
      <c r="Q40" s="3" t="str">
        <f aca="false">IF(O40="both",TRIM(IF(I40&lt;&gt;"","price ","")&amp;IF(K40&lt;&gt;"","xp ","")&amp;IF(G40="differs","time","")),"")</f>
        <v/>
      </c>
      <c r="R40" s="3" t="s">
        <v>30</v>
      </c>
      <c r="S40" s="3" t="s">
        <v>66</v>
      </c>
    </row>
    <row r="41" customFormat="false" ht="15" hidden="false" customHeight="false" outlineLevel="0" collapsed="false">
      <c r="A41" s="3" t="s">
        <v>69</v>
      </c>
      <c r="B41" s="3" t="s">
        <v>65</v>
      </c>
      <c r="C41" s="4" t="n">
        <v>24</v>
      </c>
      <c r="D41" s="5" t="n">
        <v>240</v>
      </c>
      <c r="E41" s="5" t="n">
        <v>204</v>
      </c>
      <c r="F41" s="5" t="n">
        <v>204</v>
      </c>
      <c r="G41" s="3" t="str">
        <f aca="false">IF(OR(F41="",AND(D41="",E41="")),"n/a",IF(F41=E41,"mastered",IF(F41=D41,"normal","differs")))</f>
        <v>mastered</v>
      </c>
      <c r="H41" s="6" t="n">
        <v>284</v>
      </c>
      <c r="I41" s="6"/>
      <c r="J41" s="4" t="n">
        <v>34</v>
      </c>
      <c r="K41" s="4"/>
      <c r="L41" s="7" t="n">
        <v>17.05882353</v>
      </c>
      <c r="M41" s="8" t="n">
        <v>10</v>
      </c>
      <c r="N41" s="3" t="str">
        <f aca="false">IF(L41="","",IF(L41&lt;0,"negative profit",IF(L41&gt;Notes!$B$4,"unusually high - verify","")))</f>
        <v/>
      </c>
      <c r="O41" s="3" t="s">
        <v>29</v>
      </c>
      <c r="P41" s="3" t="str">
        <f aca="false">IF(O41&lt;&gt;"both",O41&amp;" only",IF(Q41="","agree","conflict"))</f>
        <v>agree</v>
      </c>
      <c r="Q41" s="3" t="str">
        <f aca="false">IF(O41="both",TRIM(IF(I41&lt;&gt;"","price ","")&amp;IF(K41&lt;&gt;"","xp ","")&amp;IF(G41="differs","time","")),"")</f>
        <v/>
      </c>
      <c r="R41" s="3" t="s">
        <v>30</v>
      </c>
      <c r="S41" s="3" t="s">
        <v>66</v>
      </c>
    </row>
    <row r="42" customFormat="false" ht="15" hidden="false" customHeight="false" outlineLevel="0" collapsed="false">
      <c r="A42" s="3" t="s">
        <v>70</v>
      </c>
      <c r="B42" s="3" t="s">
        <v>65</v>
      </c>
      <c r="C42" s="4" t="n">
        <v>35</v>
      </c>
      <c r="D42" s="5" t="n">
        <v>180</v>
      </c>
      <c r="E42" s="5" t="n">
        <v>153</v>
      </c>
      <c r="F42" s="5" t="n">
        <v>153</v>
      </c>
      <c r="G42" s="3" t="str">
        <f aca="false">IF(OR(F42="",AND(D42="",E42="")),"n/a",IF(F42=E42,"mastered",IF(F42=D42,"normal","differs")))</f>
        <v>mastered</v>
      </c>
      <c r="H42" s="6" t="n">
        <v>316</v>
      </c>
      <c r="I42" s="6"/>
      <c r="J42" s="4" t="n">
        <v>38</v>
      </c>
      <c r="K42" s="4"/>
      <c r="L42" s="7" t="n">
        <v>41.96078431</v>
      </c>
      <c r="M42" s="8" t="n">
        <v>14.90196078</v>
      </c>
      <c r="N42" s="3" t="str">
        <f aca="false">IF(L42="","",IF(L42&lt;0,"negative profit",IF(L42&gt;Notes!$B$4,"unusually high - verify","")))</f>
        <v/>
      </c>
      <c r="O42" s="3" t="s">
        <v>29</v>
      </c>
      <c r="P42" s="3" t="str">
        <f aca="false">IF(O42&lt;&gt;"both",O42&amp;" only",IF(Q42="","agree","conflict"))</f>
        <v>agree</v>
      </c>
      <c r="Q42" s="3" t="str">
        <f aca="false">IF(O42="both",TRIM(IF(I42&lt;&gt;"","price ","")&amp;IF(K42&lt;&gt;"","xp ","")&amp;IF(G42="differs","time","")),"")</f>
        <v/>
      </c>
      <c r="R42" s="3" t="s">
        <v>30</v>
      </c>
      <c r="S42" s="3" t="s">
        <v>66</v>
      </c>
    </row>
    <row r="43" customFormat="false" ht="15" hidden="false" customHeight="false" outlineLevel="0" collapsed="false">
      <c r="A43" s="3" t="s">
        <v>71</v>
      </c>
      <c r="B43" s="3" t="s">
        <v>65</v>
      </c>
      <c r="C43" s="4" t="n">
        <v>36</v>
      </c>
      <c r="D43" s="5" t="n">
        <v>120</v>
      </c>
      <c r="E43" s="5" t="n">
        <v>102</v>
      </c>
      <c r="F43" s="5" t="n">
        <v>102</v>
      </c>
      <c r="G43" s="3" t="str">
        <f aca="false">IF(OR(F43="",AND(D43="",E43="")),"n/a",IF(F43=E43,"mastered",IF(F43=D43,"normal","differs")))</f>
        <v>mastered</v>
      </c>
      <c r="H43" s="6" t="n">
        <v>320</v>
      </c>
      <c r="I43" s="6"/>
      <c r="J43" s="4" t="n">
        <v>38</v>
      </c>
      <c r="K43" s="4"/>
      <c r="L43" s="7" t="n">
        <v>20</v>
      </c>
      <c r="M43" s="8" t="n">
        <v>22.35294118</v>
      </c>
      <c r="N43" s="3" t="str">
        <f aca="false">IF(L43="","",IF(L43&lt;0,"negative profit",IF(L43&gt;Notes!$B$4,"unusually high - verify","")))</f>
        <v/>
      </c>
      <c r="O43" s="3" t="s">
        <v>29</v>
      </c>
      <c r="P43" s="3" t="str">
        <f aca="false">IF(O43&lt;&gt;"both",O43&amp;" only",IF(Q43="","agree","conflict"))</f>
        <v>agree</v>
      </c>
      <c r="Q43" s="3" t="str">
        <f aca="false">IF(O43="both",TRIM(IF(I43&lt;&gt;"","price ","")&amp;IF(K43&lt;&gt;"","xp ","")&amp;IF(G43="differs","time","")),"")</f>
        <v/>
      </c>
      <c r="R43" s="3" t="s">
        <v>30</v>
      </c>
      <c r="S43" s="3" t="s">
        <v>66</v>
      </c>
    </row>
    <row r="44" customFormat="false" ht="15" hidden="false" customHeight="false" outlineLevel="0" collapsed="false">
      <c r="A44" s="3" t="s">
        <v>72</v>
      </c>
      <c r="B44" s="3" t="s">
        <v>65</v>
      </c>
      <c r="C44" s="4" t="n">
        <v>38</v>
      </c>
      <c r="D44" s="5" t="n">
        <v>120</v>
      </c>
      <c r="E44" s="5" t="n">
        <v>102</v>
      </c>
      <c r="F44" s="5" t="n">
        <v>102</v>
      </c>
      <c r="G44" s="3" t="str">
        <f aca="false">IF(OR(F44="",AND(D44="",E44="")),"n/a",IF(F44=E44,"mastered",IF(F44=D44,"normal","differs")))</f>
        <v>mastered</v>
      </c>
      <c r="H44" s="6" t="n">
        <v>309</v>
      </c>
      <c r="I44" s="6"/>
      <c r="J44" s="4" t="n">
        <v>37</v>
      </c>
      <c r="K44" s="4"/>
      <c r="L44" s="7" t="n">
        <v>22.94117647</v>
      </c>
      <c r="M44" s="8" t="n">
        <v>21.76470588</v>
      </c>
      <c r="N44" s="3" t="str">
        <f aca="false">IF(L44="","",IF(L44&lt;0,"negative profit",IF(L44&gt;Notes!$B$4,"unusually high - verify","")))</f>
        <v/>
      </c>
      <c r="O44" s="3" t="s">
        <v>29</v>
      </c>
      <c r="P44" s="3" t="str">
        <f aca="false">IF(O44&lt;&gt;"both",O44&amp;" only",IF(Q44="","agree","conflict"))</f>
        <v>agree</v>
      </c>
      <c r="Q44" s="3" t="str">
        <f aca="false">IF(O44="both",TRIM(IF(I44&lt;&gt;"","price ","")&amp;IF(K44&lt;&gt;"","xp ","")&amp;IF(G44="differs","time","")),"")</f>
        <v/>
      </c>
      <c r="R44" s="3" t="s">
        <v>30</v>
      </c>
      <c r="S44" s="3" t="s">
        <v>66</v>
      </c>
    </row>
    <row r="45" customFormat="false" ht="15" hidden="false" customHeight="false" outlineLevel="0" collapsed="false">
      <c r="A45" s="3" t="s">
        <v>73</v>
      </c>
      <c r="B45" s="3" t="s">
        <v>65</v>
      </c>
      <c r="C45" s="4" t="n">
        <v>42</v>
      </c>
      <c r="D45" s="5" t="n">
        <v>200</v>
      </c>
      <c r="E45" s="5" t="n">
        <v>170</v>
      </c>
      <c r="F45" s="5" t="n">
        <v>170</v>
      </c>
      <c r="G45" s="3" t="str">
        <f aca="false">IF(OR(F45="",AND(D45="",E45="")),"n/a",IF(F45=E45,"mastered",IF(F45=D45,"normal","differs")))</f>
        <v>mastered</v>
      </c>
      <c r="H45" s="6" t="n">
        <v>482</v>
      </c>
      <c r="I45" s="6"/>
      <c r="J45" s="4" t="n">
        <v>57</v>
      </c>
      <c r="K45" s="4"/>
      <c r="L45" s="7" t="n">
        <v>19.05882353</v>
      </c>
      <c r="M45" s="8" t="n">
        <v>20.11764706</v>
      </c>
      <c r="N45" s="3" t="str">
        <f aca="false">IF(L45="","",IF(L45&lt;0,"negative profit",IF(L45&gt;Notes!$B$4,"unusually high - verify","")))</f>
        <v/>
      </c>
      <c r="O45" s="3" t="s">
        <v>29</v>
      </c>
      <c r="P45" s="3" t="str">
        <f aca="false">IF(O45&lt;&gt;"both",O45&amp;" only",IF(Q45="","agree","conflict"))</f>
        <v>agree</v>
      </c>
      <c r="Q45" s="3" t="str">
        <f aca="false">IF(O45="both",TRIM(IF(I45&lt;&gt;"","price ","")&amp;IF(K45&lt;&gt;"","xp ","")&amp;IF(G45="differs","time","")),"")</f>
        <v/>
      </c>
      <c r="R45" s="3" t="s">
        <v>30</v>
      </c>
      <c r="S45" s="3" t="s">
        <v>66</v>
      </c>
    </row>
    <row r="46" customFormat="false" ht="15" hidden="false" customHeight="false" outlineLevel="0" collapsed="false">
      <c r="A46" s="3" t="s">
        <v>74</v>
      </c>
      <c r="B46" s="3" t="s">
        <v>65</v>
      </c>
      <c r="C46" s="4" t="n">
        <v>54</v>
      </c>
      <c r="D46" s="5" t="n">
        <v>15</v>
      </c>
      <c r="E46" s="5" t="n">
        <v>12</v>
      </c>
      <c r="F46" s="5" t="n">
        <v>12</v>
      </c>
      <c r="G46" s="3" t="str">
        <f aca="false">IF(OR(F46="",AND(D46="",E46="")),"n/a",IF(F46=E46,"mastered",IF(F46=D46,"normal","differs")))</f>
        <v>mastered</v>
      </c>
      <c r="H46" s="6" t="n">
        <v>450</v>
      </c>
      <c r="I46" s="6"/>
      <c r="J46" s="4" t="n">
        <v>49</v>
      </c>
      <c r="K46" s="4"/>
      <c r="L46" s="7" t="n">
        <v>42.35294118</v>
      </c>
      <c r="M46" s="8" t="n">
        <v>230.5882353</v>
      </c>
      <c r="N46" s="3" t="str">
        <f aca="false">IF(L46="","",IF(L46&lt;0,"negative profit",IF(L46&gt;Notes!$B$4,"unusually high - verify","")))</f>
        <v/>
      </c>
      <c r="O46" s="3" t="s">
        <v>29</v>
      </c>
      <c r="P46" s="3" t="str">
        <f aca="false">IF(O46&lt;&gt;"both",O46&amp;" only",IF(Q46="","agree","conflict"))</f>
        <v>agree</v>
      </c>
      <c r="Q46" s="3" t="str">
        <f aca="false">IF(O46="both",TRIM(IF(I46&lt;&gt;"","price ","")&amp;IF(K46&lt;&gt;"","xp ","")&amp;IF(G46="differs","time","")),"")</f>
        <v/>
      </c>
      <c r="R46" s="3" t="s">
        <v>30</v>
      </c>
      <c r="S46" s="3" t="s">
        <v>66</v>
      </c>
    </row>
    <row r="47" customFormat="false" ht="15" hidden="false" customHeight="false" outlineLevel="0" collapsed="false">
      <c r="A47" s="3" t="s">
        <v>75</v>
      </c>
      <c r="B47" s="3" t="s">
        <v>65</v>
      </c>
      <c r="C47" s="4" t="n">
        <v>65</v>
      </c>
      <c r="D47" s="5" t="n">
        <v>75</v>
      </c>
      <c r="E47" s="5" t="n">
        <v>63</v>
      </c>
      <c r="F47" s="5" t="n">
        <v>63</v>
      </c>
      <c r="G47" s="3" t="str">
        <f aca="false">IF(OR(F47="",AND(D47="",E47="")),"n/a",IF(F47=E47,"mastered",IF(F47=D47,"normal","differs")))</f>
        <v>mastered</v>
      </c>
      <c r="H47" s="6" t="n">
        <v>259</v>
      </c>
      <c r="I47" s="6"/>
      <c r="J47" s="4" t="n">
        <v>31</v>
      </c>
      <c r="K47" s="4"/>
      <c r="L47" s="7" t="n">
        <v>31.05882353</v>
      </c>
      <c r="M47" s="8" t="n">
        <v>29.17647059</v>
      </c>
      <c r="N47" s="3" t="str">
        <f aca="false">IF(L47="","",IF(L47&lt;0,"negative profit",IF(L47&gt;Notes!$B$4,"unusually high - verify","")))</f>
        <v/>
      </c>
      <c r="O47" s="3" t="s">
        <v>29</v>
      </c>
      <c r="P47" s="3" t="str">
        <f aca="false">IF(O47&lt;&gt;"both",O47&amp;" only",IF(Q47="","agree","conflict"))</f>
        <v>agree</v>
      </c>
      <c r="Q47" s="3" t="str">
        <f aca="false">IF(O47="both",TRIM(IF(I47&lt;&gt;"","price ","")&amp;IF(K47&lt;&gt;"","xp ","")&amp;IF(G47="differs","time","")),"")</f>
        <v/>
      </c>
      <c r="R47" s="3" t="s">
        <v>30</v>
      </c>
      <c r="S47" s="3" t="s">
        <v>66</v>
      </c>
    </row>
    <row r="48" customFormat="false" ht="15" hidden="false" customHeight="false" outlineLevel="0" collapsed="false">
      <c r="A48" s="3" t="s">
        <v>76</v>
      </c>
      <c r="B48" s="3" t="s">
        <v>65</v>
      </c>
      <c r="C48" s="4" t="n">
        <v>68</v>
      </c>
      <c r="D48" s="5" t="n">
        <v>150</v>
      </c>
      <c r="E48" s="5" t="n">
        <v>127</v>
      </c>
      <c r="F48" s="5" t="n">
        <v>127</v>
      </c>
      <c r="G48" s="3" t="str">
        <f aca="false">IF(OR(F48="",AND(D48="",E48="")),"n/a",IF(F48=E48,"mastered",IF(F48=D48,"normal","differs")))</f>
        <v>mastered</v>
      </c>
      <c r="H48" s="6" t="n">
        <v>896</v>
      </c>
      <c r="I48" s="6"/>
      <c r="J48" s="4" t="n">
        <v>107</v>
      </c>
      <c r="K48" s="4"/>
      <c r="L48" s="7" t="n">
        <v>21.17647059</v>
      </c>
      <c r="M48" s="8" t="n">
        <v>50.35294118</v>
      </c>
      <c r="N48" s="3" t="str">
        <f aca="false">IF(L48="","",IF(L48&lt;0,"negative profit",IF(L48&gt;Notes!$B$4,"unusually high - verify","")))</f>
        <v/>
      </c>
      <c r="O48" s="3" t="s">
        <v>29</v>
      </c>
      <c r="P48" s="3" t="str">
        <f aca="false">IF(O48&lt;&gt;"both",O48&amp;" only",IF(Q48="","agree","conflict"))</f>
        <v>agree</v>
      </c>
      <c r="Q48" s="3" t="str">
        <f aca="false">IF(O48="both",TRIM(IF(I48&lt;&gt;"","price ","")&amp;IF(K48&lt;&gt;"","xp ","")&amp;IF(G48="differs","time","")),"")</f>
        <v/>
      </c>
      <c r="R48" s="3" t="s">
        <v>30</v>
      </c>
      <c r="S48" s="3" t="s">
        <v>66</v>
      </c>
    </row>
    <row r="49" customFormat="false" ht="15" hidden="false" customHeight="false" outlineLevel="0" collapsed="false">
      <c r="A49" s="3" t="s">
        <v>77</v>
      </c>
      <c r="B49" s="3" t="s">
        <v>65</v>
      </c>
      <c r="C49" s="4" t="n">
        <v>89</v>
      </c>
      <c r="D49" s="5" t="n">
        <v>180</v>
      </c>
      <c r="E49" s="5" t="n">
        <v>153</v>
      </c>
      <c r="F49" s="5" t="n">
        <v>153</v>
      </c>
      <c r="G49" s="3" t="str">
        <f aca="false">IF(OR(F49="",AND(D49="",E49="")),"n/a",IF(F49=E49,"mastered",IF(F49=D49,"normal","differs")))</f>
        <v>mastered</v>
      </c>
      <c r="H49" s="6" t="n">
        <v>450</v>
      </c>
      <c r="I49" s="6"/>
      <c r="J49" s="4" t="n">
        <v>54</v>
      </c>
      <c r="K49" s="4"/>
      <c r="L49" s="7" t="n">
        <v>18.43137255</v>
      </c>
      <c r="M49" s="8" t="n">
        <v>21.17647059</v>
      </c>
      <c r="N49" s="3" t="str">
        <f aca="false">IF(L49="","",IF(L49&lt;0,"negative profit",IF(L49&gt;Notes!$B$4,"unusually high - verify","")))</f>
        <v/>
      </c>
      <c r="O49" s="3" t="s">
        <v>29</v>
      </c>
      <c r="P49" s="3" t="str">
        <f aca="false">IF(O49&lt;&gt;"both",O49&amp;" only",IF(Q49="","agree","conflict"))</f>
        <v>agree</v>
      </c>
      <c r="Q49" s="3" t="str">
        <f aca="false">IF(O49="both",TRIM(IF(I49&lt;&gt;"","price ","")&amp;IF(K49&lt;&gt;"","xp ","")&amp;IF(G49="differs","time","")),"")</f>
        <v/>
      </c>
      <c r="R49" s="3" t="s">
        <v>30</v>
      </c>
      <c r="S49" s="3" t="s">
        <v>66</v>
      </c>
    </row>
    <row r="50" customFormat="false" ht="15" hidden="false" customHeight="false" outlineLevel="0" collapsed="false">
      <c r="A50" s="3" t="s">
        <v>78</v>
      </c>
      <c r="B50" s="3" t="s">
        <v>65</v>
      </c>
      <c r="C50" s="4" t="n">
        <v>95</v>
      </c>
      <c r="D50" s="5"/>
      <c r="E50" s="5"/>
      <c r="F50" s="5" t="n">
        <v>76</v>
      </c>
      <c r="G50" s="3" t="str">
        <f aca="false">IF(OR(F50="",AND(D50="",E50="")),"n/a",IF(F50=E50,"mastered",IF(F50=D50,"normal","differs")))</f>
        <v>n/a</v>
      </c>
      <c r="H50" s="6" t="n">
        <v>604</v>
      </c>
      <c r="I50" s="6"/>
      <c r="J50" s="4" t="n">
        <v>72</v>
      </c>
      <c r="K50" s="4"/>
      <c r="L50" s="7" t="n">
        <v>14.90196078</v>
      </c>
      <c r="M50" s="8" t="n">
        <v>56.47058824</v>
      </c>
      <c r="N50" s="3" t="str">
        <f aca="false">IF(L50="","",IF(L50&lt;0,"negative profit",IF(L50&gt;Notes!$B$4,"unusually high - verify","")))</f>
        <v/>
      </c>
      <c r="O50" s="3" t="s">
        <v>21</v>
      </c>
      <c r="P50" s="3" t="str">
        <f aca="false">IF(O50&lt;&gt;"both",O50&amp;" only",IF(Q50="","agree","conflict"))</f>
        <v>hayday.info only</v>
      </c>
      <c r="Q50" s="3" t="str">
        <f aca="false">IF(O50="both",TRIM(IF(I50&lt;&gt;"","price ","")&amp;IF(K50&lt;&gt;"","xp ","")&amp;IF(G50="differs","time","")),"")</f>
        <v/>
      </c>
      <c r="R50" s="3" t="s">
        <v>22</v>
      </c>
      <c r="S50" s="3"/>
    </row>
    <row r="51" customFormat="false" ht="15" hidden="false" customHeight="false" outlineLevel="0" collapsed="false">
      <c r="A51" s="3" t="s">
        <v>79</v>
      </c>
      <c r="B51" s="3" t="s">
        <v>80</v>
      </c>
      <c r="C51" s="4" t="n">
        <v>48</v>
      </c>
      <c r="D51" s="5" t="n">
        <v>120</v>
      </c>
      <c r="E51" s="5" t="n">
        <v>102</v>
      </c>
      <c r="F51" s="5" t="n">
        <v>102</v>
      </c>
      <c r="G51" s="3" t="str">
        <f aca="false">IF(OR(F51="",AND(D51="",E51="")),"n/a",IF(F51=E51,"mastered",IF(F51=D51,"normal","differs")))</f>
        <v>mastered</v>
      </c>
      <c r="H51" s="6" t="n">
        <v>370</v>
      </c>
      <c r="I51" s="6"/>
      <c r="J51" s="4" t="n">
        <v>44</v>
      </c>
      <c r="K51" s="4"/>
      <c r="L51" s="7" t="n">
        <v>21.17647059</v>
      </c>
      <c r="M51" s="8" t="n">
        <v>25.88235294</v>
      </c>
      <c r="N51" s="3" t="str">
        <f aca="false">IF(L51="","",IF(L51&lt;0,"negative profit",IF(L51&gt;Notes!$B$4,"unusually high - verify","")))</f>
        <v/>
      </c>
      <c r="O51" s="3" t="s">
        <v>29</v>
      </c>
      <c r="P51" s="3" t="str">
        <f aca="false">IF(O51&lt;&gt;"both",O51&amp;" only",IF(Q51="","agree","conflict"))</f>
        <v>agree</v>
      </c>
      <c r="Q51" s="3" t="str">
        <f aca="false">IF(O51="both",TRIM(IF(I51&lt;&gt;"","price ","")&amp;IF(K51&lt;&gt;"","xp ","")&amp;IF(G51="differs","time","")),"")</f>
        <v/>
      </c>
      <c r="R51" s="3" t="s">
        <v>30</v>
      </c>
      <c r="S51" s="3" t="s">
        <v>81</v>
      </c>
    </row>
    <row r="52" customFormat="false" ht="15" hidden="false" customHeight="false" outlineLevel="0" collapsed="false">
      <c r="A52" s="3" t="s">
        <v>82</v>
      </c>
      <c r="B52" s="3" t="s">
        <v>80</v>
      </c>
      <c r="C52" s="4" t="n">
        <v>52</v>
      </c>
      <c r="D52" s="5" t="n">
        <v>105</v>
      </c>
      <c r="E52" s="5" t="n">
        <v>89</v>
      </c>
      <c r="F52" s="5" t="n">
        <v>89</v>
      </c>
      <c r="G52" s="3" t="str">
        <f aca="false">IF(OR(F52="",AND(D52="",E52="")),"n/a",IF(F52=E52,"mastered",IF(F52=D52,"normal","differs")))</f>
        <v>mastered</v>
      </c>
      <c r="H52" s="6" t="n">
        <v>360</v>
      </c>
      <c r="I52" s="6"/>
      <c r="J52" s="4" t="n">
        <v>43</v>
      </c>
      <c r="K52" s="4"/>
      <c r="L52" s="7" t="n">
        <v>22.85714286</v>
      </c>
      <c r="M52" s="8" t="n">
        <v>28.90756303</v>
      </c>
      <c r="N52" s="3" t="str">
        <f aca="false">IF(L52="","",IF(L52&lt;0,"negative profit",IF(L52&gt;Notes!$B$4,"unusually high - verify","")))</f>
        <v/>
      </c>
      <c r="O52" s="3" t="s">
        <v>29</v>
      </c>
      <c r="P52" s="3" t="str">
        <f aca="false">IF(O52&lt;&gt;"both",O52&amp;" only",IF(Q52="","agree","conflict"))</f>
        <v>agree</v>
      </c>
      <c r="Q52" s="3" t="str">
        <f aca="false">IF(O52="both",TRIM(IF(I52&lt;&gt;"","price ","")&amp;IF(K52&lt;&gt;"","xp ","")&amp;IF(G52="differs","time","")),"")</f>
        <v/>
      </c>
      <c r="R52" s="3" t="s">
        <v>30</v>
      </c>
      <c r="S52" s="3" t="s">
        <v>81</v>
      </c>
    </row>
    <row r="53" customFormat="false" ht="15" hidden="false" customHeight="false" outlineLevel="0" collapsed="false">
      <c r="A53" s="3" t="s">
        <v>83</v>
      </c>
      <c r="B53" s="3" t="s">
        <v>80</v>
      </c>
      <c r="C53" s="4" t="n">
        <v>72</v>
      </c>
      <c r="D53" s="5" t="n">
        <v>135</v>
      </c>
      <c r="E53" s="5" t="n">
        <v>114</v>
      </c>
      <c r="F53" s="5" t="n">
        <v>114</v>
      </c>
      <c r="G53" s="3" t="str">
        <f aca="false">IF(OR(F53="",AND(D53="",E53="")),"n/a",IF(F53=E53,"mastered",IF(F53=D53,"normal","differs")))</f>
        <v>mastered</v>
      </c>
      <c r="H53" s="6" t="n">
        <v>457</v>
      </c>
      <c r="I53" s="6"/>
      <c r="J53" s="4" t="n">
        <v>55</v>
      </c>
      <c r="K53" s="4"/>
      <c r="L53" s="7" t="n">
        <v>19.34640523</v>
      </c>
      <c r="M53" s="8" t="n">
        <v>28.75816993</v>
      </c>
      <c r="N53" s="3" t="str">
        <f aca="false">IF(L53="","",IF(L53&lt;0,"negative profit",IF(L53&gt;Notes!$B$4,"unusually high - verify","")))</f>
        <v/>
      </c>
      <c r="O53" s="3" t="s">
        <v>29</v>
      </c>
      <c r="P53" s="3" t="str">
        <f aca="false">IF(O53&lt;&gt;"both",O53&amp;" only",IF(Q53="","agree","conflict"))</f>
        <v>agree</v>
      </c>
      <c r="Q53" s="3" t="str">
        <f aca="false">IF(O53="both",TRIM(IF(I53&lt;&gt;"","price ","")&amp;IF(K53&lt;&gt;"","xp ","")&amp;IF(G53="differs","time","")),"")</f>
        <v/>
      </c>
      <c r="R53" s="3" t="s">
        <v>30</v>
      </c>
      <c r="S53" s="3" t="s">
        <v>81</v>
      </c>
    </row>
    <row r="54" customFormat="false" ht="15" hidden="false" customHeight="false" outlineLevel="0" collapsed="false">
      <c r="A54" s="3" t="s">
        <v>84</v>
      </c>
      <c r="B54" s="3" t="s">
        <v>80</v>
      </c>
      <c r="C54" s="4" t="n">
        <v>84</v>
      </c>
      <c r="D54" s="5" t="n">
        <v>110</v>
      </c>
      <c r="E54" s="5" t="n">
        <v>93</v>
      </c>
      <c r="F54" s="5" t="n">
        <v>93</v>
      </c>
      <c r="G54" s="3" t="str">
        <f aca="false">IF(OR(F54="",AND(D54="",E54="")),"n/a",IF(F54=E54,"mastered",IF(F54=D54,"normal","differs")))</f>
        <v>mastered</v>
      </c>
      <c r="H54" s="6" t="n">
        <v>324</v>
      </c>
      <c r="I54" s="6"/>
      <c r="J54" s="4" t="n">
        <v>39</v>
      </c>
      <c r="K54" s="4"/>
      <c r="L54" s="7" t="n">
        <v>23.74331551</v>
      </c>
      <c r="M54" s="8" t="n">
        <v>25.02673797</v>
      </c>
      <c r="N54" s="3" t="str">
        <f aca="false">IF(L54="","",IF(L54&lt;0,"negative profit",IF(L54&gt;Notes!$B$4,"unusually high - verify","")))</f>
        <v/>
      </c>
      <c r="O54" s="3" t="s">
        <v>29</v>
      </c>
      <c r="P54" s="3" t="str">
        <f aca="false">IF(O54&lt;&gt;"both",O54&amp;" only",IF(Q54="","agree","conflict"))</f>
        <v>agree</v>
      </c>
      <c r="Q54" s="3" t="str">
        <f aca="false">IF(O54="both",TRIM(IF(I54&lt;&gt;"","price ","")&amp;IF(K54&lt;&gt;"","xp ","")&amp;IF(G54="differs","time","")),"")</f>
        <v/>
      </c>
      <c r="R54" s="3" t="s">
        <v>30</v>
      </c>
      <c r="S54" s="3" t="s">
        <v>81</v>
      </c>
    </row>
    <row r="55" customFormat="false" ht="15" hidden="false" customHeight="false" outlineLevel="0" collapsed="false">
      <c r="A55" s="3" t="s">
        <v>85</v>
      </c>
      <c r="B55" s="3" t="s">
        <v>80</v>
      </c>
      <c r="C55" s="4" t="n">
        <v>95</v>
      </c>
      <c r="D55" s="5" t="n">
        <v>120</v>
      </c>
      <c r="E55" s="5" t="n">
        <v>102</v>
      </c>
      <c r="F55" s="5" t="n">
        <v>102</v>
      </c>
      <c r="G55" s="3" t="str">
        <f aca="false">IF(OR(F55="",AND(D55="",E55="")),"n/a",IF(F55=E55,"mastered",IF(F55=D55,"normal","differs")))</f>
        <v>mastered</v>
      </c>
      <c r="H55" s="6" t="n">
        <v>442</v>
      </c>
      <c r="I55" s="6"/>
      <c r="J55" s="4" t="n">
        <v>53</v>
      </c>
      <c r="K55" s="4"/>
      <c r="L55" s="7" t="n">
        <v>11.17647059</v>
      </c>
      <c r="M55" s="8" t="n">
        <v>31.17647059</v>
      </c>
      <c r="N55" s="3" t="str">
        <f aca="false">IF(L55="","",IF(L55&lt;0,"negative profit",IF(L55&gt;Notes!$B$4,"unusually high - verify","")))</f>
        <v/>
      </c>
      <c r="O55" s="3" t="s">
        <v>29</v>
      </c>
      <c r="P55" s="3" t="str">
        <f aca="false">IF(O55&lt;&gt;"both",O55&amp;" only",IF(Q55="","agree","conflict"))</f>
        <v>agree</v>
      </c>
      <c r="Q55" s="3" t="str">
        <f aca="false">IF(O55="both",TRIM(IF(I55&lt;&gt;"","price ","")&amp;IF(K55&lt;&gt;"","xp ","")&amp;IF(G55="differs","time","")),"")</f>
        <v/>
      </c>
      <c r="R55" s="3" t="s">
        <v>30</v>
      </c>
      <c r="S55" s="3" t="s">
        <v>81</v>
      </c>
    </row>
    <row r="56" customFormat="false" ht="15" hidden="false" customHeight="false" outlineLevel="0" collapsed="false">
      <c r="A56" s="3" t="s">
        <v>86</v>
      </c>
      <c r="B56" s="3" t="s">
        <v>87</v>
      </c>
      <c r="C56" s="4" t="n">
        <v>51</v>
      </c>
      <c r="D56" s="5" t="n">
        <v>120</v>
      </c>
      <c r="E56" s="5" t="n">
        <v>102</v>
      </c>
      <c r="F56" s="5" t="n">
        <v>102</v>
      </c>
      <c r="G56" s="3" t="str">
        <f aca="false">IF(OR(F56="",AND(D56="",E56="")),"n/a",IF(F56=E56,"mastered",IF(F56=D56,"normal","differs")))</f>
        <v>mastered</v>
      </c>
      <c r="H56" s="6" t="n">
        <v>255</v>
      </c>
      <c r="I56" s="6"/>
      <c r="J56" s="4" t="n">
        <v>31</v>
      </c>
      <c r="K56" s="4"/>
      <c r="L56" s="7" t="n">
        <v>21.17647059</v>
      </c>
      <c r="M56" s="8" t="n">
        <v>18.23529412</v>
      </c>
      <c r="N56" s="3" t="str">
        <f aca="false">IF(L56="","",IF(L56&lt;0,"negative profit",IF(L56&gt;Notes!$B$4,"unusually high - verify","")))</f>
        <v/>
      </c>
      <c r="O56" s="3" t="s">
        <v>29</v>
      </c>
      <c r="P56" s="3" t="str">
        <f aca="false">IF(O56&lt;&gt;"both",O56&amp;" only",IF(Q56="","agree","conflict"))</f>
        <v>agree</v>
      </c>
      <c r="Q56" s="3" t="str">
        <f aca="false">IF(O56="both",TRIM(IF(I56&lt;&gt;"","price ","")&amp;IF(K56&lt;&gt;"","xp ","")&amp;IF(G56="differs","time","")),"")</f>
        <v/>
      </c>
      <c r="R56" s="3" t="s">
        <v>30</v>
      </c>
      <c r="S56" s="3" t="s">
        <v>88</v>
      </c>
    </row>
    <row r="57" customFormat="false" ht="15" hidden="false" customHeight="false" outlineLevel="0" collapsed="false">
      <c r="A57" s="3" t="s">
        <v>89</v>
      </c>
      <c r="B57" s="3" t="s">
        <v>87</v>
      </c>
      <c r="C57" s="4" t="n">
        <v>52</v>
      </c>
      <c r="D57" s="5" t="n">
        <v>90</v>
      </c>
      <c r="E57" s="5" t="n">
        <v>76</v>
      </c>
      <c r="F57" s="5" t="n">
        <v>76</v>
      </c>
      <c r="G57" s="3" t="str">
        <f aca="false">IF(OR(F57="",AND(D57="",E57="")),"n/a",IF(F57=E57,"mastered",IF(F57=D57,"normal","differs")))</f>
        <v>mastered</v>
      </c>
      <c r="H57" s="6" t="n">
        <v>176</v>
      </c>
      <c r="I57" s="6"/>
      <c r="J57" s="4" t="n">
        <v>21</v>
      </c>
      <c r="K57" s="4"/>
      <c r="L57" s="7" t="n">
        <v>32.15686275</v>
      </c>
      <c r="M57" s="8" t="n">
        <v>16.47058824</v>
      </c>
      <c r="N57" s="3" t="str">
        <f aca="false">IF(L57="","",IF(L57&lt;0,"negative profit",IF(L57&gt;Notes!$B$4,"unusually high - verify","")))</f>
        <v/>
      </c>
      <c r="O57" s="3" t="s">
        <v>29</v>
      </c>
      <c r="P57" s="3" t="str">
        <f aca="false">IF(O57&lt;&gt;"both",O57&amp;" only",IF(Q57="","agree","conflict"))</f>
        <v>agree</v>
      </c>
      <c r="Q57" s="3" t="str">
        <f aca="false">IF(O57="both",TRIM(IF(I57&lt;&gt;"","price ","")&amp;IF(K57&lt;&gt;"","xp ","")&amp;IF(G57="differs","time","")),"")</f>
        <v/>
      </c>
      <c r="R57" s="3" t="s">
        <v>30</v>
      </c>
      <c r="S57" s="3" t="s">
        <v>88</v>
      </c>
    </row>
    <row r="58" customFormat="false" ht="15" hidden="false" customHeight="false" outlineLevel="0" collapsed="false">
      <c r="A58" s="3" t="s">
        <v>90</v>
      </c>
      <c r="B58" s="3" t="s">
        <v>87</v>
      </c>
      <c r="C58" s="4" t="n">
        <v>54</v>
      </c>
      <c r="D58" s="5" t="n">
        <v>1200</v>
      </c>
      <c r="E58" s="5" t="n">
        <v>1020</v>
      </c>
      <c r="F58" s="5" t="n">
        <v>1020</v>
      </c>
      <c r="G58" s="3" t="str">
        <f aca="false">IF(OR(F58="",AND(D58="",E58="")),"n/a",IF(F58=E58,"mastered",IF(F58=D58,"normal","differs")))</f>
        <v>mastered</v>
      </c>
      <c r="H58" s="6" t="n">
        <v>460</v>
      </c>
      <c r="I58" s="6"/>
      <c r="J58" s="4" t="n">
        <v>55</v>
      </c>
      <c r="K58" s="4"/>
      <c r="L58" s="7" t="n">
        <v>6</v>
      </c>
      <c r="M58" s="8" t="n">
        <v>3.235294118</v>
      </c>
      <c r="N58" s="3" t="str">
        <f aca="false">IF(L58="","",IF(L58&lt;0,"negative profit",IF(L58&gt;Notes!$B$4,"unusually high - verify","")))</f>
        <v/>
      </c>
      <c r="O58" s="3" t="s">
        <v>29</v>
      </c>
      <c r="P58" s="3" t="str">
        <f aca="false">IF(O58&lt;&gt;"both",O58&amp;" only",IF(Q58="","agree","conflict"))</f>
        <v>agree</v>
      </c>
      <c r="Q58" s="3" t="str">
        <f aca="false">IF(O58="both",TRIM(IF(I58&lt;&gt;"","price ","")&amp;IF(K58&lt;&gt;"","xp ","")&amp;IF(G58="differs","time","")),"")</f>
        <v/>
      </c>
      <c r="R58" s="3" t="s">
        <v>30</v>
      </c>
      <c r="S58" s="3" t="s">
        <v>88</v>
      </c>
    </row>
    <row r="59" customFormat="false" ht="15" hidden="false" customHeight="false" outlineLevel="0" collapsed="false">
      <c r="A59" s="3" t="s">
        <v>91</v>
      </c>
      <c r="B59" s="3" t="s">
        <v>87</v>
      </c>
      <c r="C59" s="4" t="n">
        <v>57</v>
      </c>
      <c r="D59" s="5" t="n">
        <v>720</v>
      </c>
      <c r="E59" s="5" t="n">
        <v>612</v>
      </c>
      <c r="F59" s="5" t="n">
        <v>612</v>
      </c>
      <c r="G59" s="3" t="str">
        <f aca="false">IF(OR(F59="",AND(D59="",E59="")),"n/a",IF(F59=E59,"mastered",IF(F59=D59,"normal","differs")))</f>
        <v>mastered</v>
      </c>
      <c r="H59" s="6" t="n">
        <v>342</v>
      </c>
      <c r="I59" s="6"/>
      <c r="J59" s="4" t="n">
        <v>41</v>
      </c>
      <c r="K59" s="4"/>
      <c r="L59" s="7" t="n">
        <v>8.235294118</v>
      </c>
      <c r="M59" s="8" t="n">
        <v>4.019607843</v>
      </c>
      <c r="N59" s="3" t="str">
        <f aca="false">IF(L59="","",IF(L59&lt;0,"negative profit",IF(L59&gt;Notes!$B$4,"unusually high - verify","")))</f>
        <v/>
      </c>
      <c r="O59" s="3" t="s">
        <v>29</v>
      </c>
      <c r="P59" s="3" t="str">
        <f aca="false">IF(O59&lt;&gt;"both",O59&amp;" only",IF(Q59="","agree","conflict"))</f>
        <v>agree</v>
      </c>
      <c r="Q59" s="3" t="str">
        <f aca="false">IF(O59="both",TRIM(IF(I59&lt;&gt;"","price ","")&amp;IF(K59&lt;&gt;"","xp ","")&amp;IF(G59="differs","time","")),"")</f>
        <v/>
      </c>
      <c r="R59" s="3" t="s">
        <v>30</v>
      </c>
      <c r="S59" s="3" t="s">
        <v>88</v>
      </c>
    </row>
    <row r="60" customFormat="false" ht="15" hidden="false" customHeight="false" outlineLevel="0" collapsed="false">
      <c r="A60" s="3" t="s">
        <v>92</v>
      </c>
      <c r="B60" s="3" t="s">
        <v>87</v>
      </c>
      <c r="C60" s="4" t="n">
        <v>60</v>
      </c>
      <c r="D60" s="5" t="n">
        <v>1440</v>
      </c>
      <c r="E60" s="5" t="n">
        <v>1224</v>
      </c>
      <c r="F60" s="5" t="n">
        <v>1224</v>
      </c>
      <c r="G60" s="3" t="str">
        <f aca="false">IF(OR(F60="",AND(D60="",E60="")),"n/a",IF(F60=E60,"mastered",IF(F60=D60,"normal","differs")))</f>
        <v>mastered</v>
      </c>
      <c r="H60" s="6" t="n">
        <v>684</v>
      </c>
      <c r="I60" s="6"/>
      <c r="J60" s="4" t="n">
        <v>81</v>
      </c>
      <c r="K60" s="4"/>
      <c r="L60" s="7" t="n">
        <v>-0.2941176471</v>
      </c>
      <c r="M60" s="8" t="n">
        <v>3.970588235</v>
      </c>
      <c r="N60" s="3" t="str">
        <f aca="false">IF(L60="","",IF(L60&lt;0,"negative profit",IF(L60&gt;Notes!$B$4,"unusually high - verify","")))</f>
        <v>negative profit</v>
      </c>
      <c r="O60" s="3" t="s">
        <v>29</v>
      </c>
      <c r="P60" s="3" t="str">
        <f aca="false">IF(O60&lt;&gt;"both",O60&amp;" only",IF(Q60="","agree","conflict"))</f>
        <v>agree</v>
      </c>
      <c r="Q60" s="3" t="str">
        <f aca="false">IF(O60="both",TRIM(IF(I60&lt;&gt;"","price ","")&amp;IF(K60&lt;&gt;"","xp ","")&amp;IF(G60="differs","time","")),"")</f>
        <v/>
      </c>
      <c r="R60" s="3" t="s">
        <v>30</v>
      </c>
      <c r="S60" s="3" t="s">
        <v>88</v>
      </c>
    </row>
    <row r="61" customFormat="false" ht="15" hidden="false" customHeight="false" outlineLevel="0" collapsed="false">
      <c r="A61" s="3" t="s">
        <v>93</v>
      </c>
      <c r="B61" s="3" t="s">
        <v>87</v>
      </c>
      <c r="C61" s="4" t="n">
        <v>63</v>
      </c>
      <c r="D61" s="5" t="n">
        <v>40</v>
      </c>
      <c r="E61" s="5" t="n">
        <v>34</v>
      </c>
      <c r="F61" s="5" t="n">
        <v>34</v>
      </c>
      <c r="G61" s="3" t="str">
        <f aca="false">IF(OR(F61="",AND(D61="",E61="")),"n/a",IF(F61=E61,"mastered",IF(F61=D61,"normal","differs")))</f>
        <v>mastered</v>
      </c>
      <c r="H61" s="6" t="n">
        <v>540</v>
      </c>
      <c r="I61" s="6"/>
      <c r="J61" s="4" t="n">
        <v>64</v>
      </c>
      <c r="K61" s="4"/>
      <c r="L61" s="7" t="n">
        <v>268.2352941</v>
      </c>
      <c r="M61" s="8" t="n">
        <v>112.9411765</v>
      </c>
      <c r="N61" s="3" t="str">
        <f aca="false">IF(L61="","",IF(L61&lt;0,"negative profit",IF(L61&gt;Notes!$B$4,"unusually high - verify","")))</f>
        <v>unusually high - verify</v>
      </c>
      <c r="O61" s="3" t="s">
        <v>29</v>
      </c>
      <c r="P61" s="3" t="str">
        <f aca="false">IF(O61&lt;&gt;"both",O61&amp;" only",IF(Q61="","agree","conflict"))</f>
        <v>agree</v>
      </c>
      <c r="Q61" s="3" t="str">
        <f aca="false">IF(O61="both",TRIM(IF(I61&lt;&gt;"","price ","")&amp;IF(K61&lt;&gt;"","xp ","")&amp;IF(G61="differs","time","")),"")</f>
        <v/>
      </c>
      <c r="R61" s="3" t="s">
        <v>30</v>
      </c>
      <c r="S61" s="3" t="s">
        <v>88</v>
      </c>
    </row>
    <row r="62" customFormat="false" ht="15" hidden="false" customHeight="false" outlineLevel="0" collapsed="false">
      <c r="A62" s="3" t="s">
        <v>94</v>
      </c>
      <c r="B62" s="3" t="s">
        <v>87</v>
      </c>
      <c r="C62" s="4" t="n">
        <v>75</v>
      </c>
      <c r="D62" s="5"/>
      <c r="E62" s="5"/>
      <c r="F62" s="5" t="n">
        <v>25</v>
      </c>
      <c r="G62" s="3" t="str">
        <f aca="false">IF(OR(F62="",AND(D62="",E62="")),"n/a",IF(F62=E62,"mastered",IF(F62=D62,"normal","differs")))</f>
        <v>n/a</v>
      </c>
      <c r="H62" s="6" t="n">
        <v>226</v>
      </c>
      <c r="I62" s="6"/>
      <c r="J62" s="4" t="n">
        <v>27</v>
      </c>
      <c r="K62" s="4"/>
      <c r="L62" s="7" t="n">
        <v>61.17647059</v>
      </c>
      <c r="M62" s="8" t="n">
        <v>63.52941176</v>
      </c>
      <c r="N62" s="3" t="str">
        <f aca="false">IF(L62="","",IF(L62&lt;0,"negative profit",IF(L62&gt;Notes!$B$4,"unusually high - verify","")))</f>
        <v/>
      </c>
      <c r="O62" s="3" t="s">
        <v>21</v>
      </c>
      <c r="P62" s="3" t="str">
        <f aca="false">IF(O62&lt;&gt;"both",O62&amp;" only",IF(Q62="","agree","conflict"))</f>
        <v>hayday.info only</v>
      </c>
      <c r="Q62" s="3" t="str">
        <f aca="false">IF(O62="both",TRIM(IF(I62&lt;&gt;"","price ","")&amp;IF(K62&lt;&gt;"","xp ","")&amp;IF(G62="differs","time","")),"")</f>
        <v/>
      </c>
      <c r="R62" s="3" t="s">
        <v>22</v>
      </c>
      <c r="S62" s="3"/>
    </row>
    <row r="63" customFormat="false" ht="15" hidden="false" customHeight="false" outlineLevel="0" collapsed="false">
      <c r="A63" s="3" t="s">
        <v>95</v>
      </c>
      <c r="B63" s="3" t="s">
        <v>87</v>
      </c>
      <c r="C63" s="4" t="n">
        <v>78</v>
      </c>
      <c r="D63" s="5" t="n">
        <v>60</v>
      </c>
      <c r="E63" s="5" t="n">
        <v>51</v>
      </c>
      <c r="F63" s="5" t="n">
        <v>51</v>
      </c>
      <c r="G63" s="3" t="str">
        <f aca="false">IF(OR(F63="",AND(D63="",E63="")),"n/a",IF(F63=E63,"mastered",IF(F63=D63,"normal","differs")))</f>
        <v>mastered</v>
      </c>
      <c r="H63" s="6" t="n">
        <v>270</v>
      </c>
      <c r="I63" s="6"/>
      <c r="J63" s="4" t="n">
        <v>32</v>
      </c>
      <c r="K63" s="4"/>
      <c r="L63" s="7" t="n">
        <v>40</v>
      </c>
      <c r="M63" s="8" t="n">
        <v>37.64705882</v>
      </c>
      <c r="N63" s="3" t="str">
        <f aca="false">IF(L63="","",IF(L63&lt;0,"negative profit",IF(L63&gt;Notes!$B$4,"unusually high - verify","")))</f>
        <v/>
      </c>
      <c r="O63" s="3" t="s">
        <v>29</v>
      </c>
      <c r="P63" s="3" t="str">
        <f aca="false">IF(O63&lt;&gt;"both",O63&amp;" only",IF(Q63="","agree","conflict"))</f>
        <v>agree</v>
      </c>
      <c r="Q63" s="3" t="str">
        <f aca="false">IF(O63="both",TRIM(IF(I63&lt;&gt;"","price ","")&amp;IF(K63&lt;&gt;"","xp ","")&amp;IF(G63="differs","time","")),"")</f>
        <v/>
      </c>
      <c r="R63" s="3" t="s">
        <v>30</v>
      </c>
      <c r="S63" s="3" t="s">
        <v>88</v>
      </c>
    </row>
    <row r="64" customFormat="false" ht="15" hidden="false" customHeight="false" outlineLevel="0" collapsed="false">
      <c r="A64" s="3" t="s">
        <v>96</v>
      </c>
      <c r="B64" s="3" t="s">
        <v>97</v>
      </c>
      <c r="C64" s="4" t="n">
        <v>42</v>
      </c>
      <c r="D64" s="5" t="n">
        <v>5</v>
      </c>
      <c r="E64" s="5" t="n">
        <v>4</v>
      </c>
      <c r="F64" s="5" t="n">
        <v>4</v>
      </c>
      <c r="G64" s="3" t="str">
        <f aca="false">IF(OR(F64="",AND(D64="",E64="")),"n/a",IF(F64=E64,"mastered",IF(F64=D64,"normal","differs")))</f>
        <v>mastered</v>
      </c>
      <c r="H64" s="6" t="n">
        <v>248</v>
      </c>
      <c r="I64" s="6"/>
      <c r="J64" s="4" t="n">
        <v>29</v>
      </c>
      <c r="K64" s="4"/>
      <c r="L64" s="7" t="n">
        <v>84.70588235</v>
      </c>
      <c r="M64" s="8" t="n">
        <v>409.4117647</v>
      </c>
      <c r="N64" s="3" t="str">
        <f aca="false">IF(L64="","",IF(L64&lt;0,"negative profit",IF(L64&gt;Notes!$B$4,"unusually high - verify","")))</f>
        <v/>
      </c>
      <c r="O64" s="3" t="s">
        <v>29</v>
      </c>
      <c r="P64" s="3" t="str">
        <f aca="false">IF(O64&lt;&gt;"both",O64&amp;" only",IF(Q64="","agree","conflict"))</f>
        <v>agree</v>
      </c>
      <c r="Q64" s="3" t="str">
        <f aca="false">IF(O64="both",TRIM(IF(I64&lt;&gt;"","price ","")&amp;IF(K64&lt;&gt;"","xp ","")&amp;IF(G64="differs","time","")),"")</f>
        <v/>
      </c>
      <c r="R64" s="3" t="s">
        <v>30</v>
      </c>
      <c r="S64" s="3" t="s">
        <v>98</v>
      </c>
    </row>
    <row r="65" customFormat="false" ht="15" hidden="false" customHeight="false" outlineLevel="0" collapsed="false">
      <c r="A65" s="3" t="s">
        <v>99</v>
      </c>
      <c r="B65" s="3" t="s">
        <v>97</v>
      </c>
      <c r="C65" s="4" t="n">
        <v>43</v>
      </c>
      <c r="D65" s="5" t="n">
        <v>10</v>
      </c>
      <c r="E65" s="5" t="n">
        <v>8</v>
      </c>
      <c r="F65" s="5" t="n">
        <v>8</v>
      </c>
      <c r="G65" s="3" t="str">
        <f aca="false">IF(OR(F65="",AND(D65="",E65="")),"n/a",IF(F65=E65,"mastered",IF(F65=D65,"normal","differs")))</f>
        <v>mastered</v>
      </c>
      <c r="H65" s="6" t="n">
        <v>219</v>
      </c>
      <c r="I65" s="6"/>
      <c r="J65" s="4" t="n">
        <v>26</v>
      </c>
      <c r="K65" s="4"/>
      <c r="L65" s="7" t="n">
        <v>63.52941176</v>
      </c>
      <c r="M65" s="8" t="n">
        <v>183.5294118</v>
      </c>
      <c r="N65" s="3" t="str">
        <f aca="false">IF(L65="","",IF(L65&lt;0,"negative profit",IF(L65&gt;Notes!$B$4,"unusually high - verify","")))</f>
        <v/>
      </c>
      <c r="O65" s="3" t="s">
        <v>29</v>
      </c>
      <c r="P65" s="3" t="str">
        <f aca="false">IF(O65&lt;&gt;"both",O65&amp;" only",IF(Q65="","agree","conflict"))</f>
        <v>agree</v>
      </c>
      <c r="Q65" s="3" t="str">
        <f aca="false">IF(O65="both",TRIM(IF(I65&lt;&gt;"","price ","")&amp;IF(K65&lt;&gt;"","xp ","")&amp;IF(G65="differs","time","")),"")</f>
        <v/>
      </c>
      <c r="R65" s="3" t="s">
        <v>30</v>
      </c>
      <c r="S65" s="3" t="s">
        <v>98</v>
      </c>
    </row>
    <row r="66" customFormat="false" ht="15" hidden="false" customHeight="false" outlineLevel="0" collapsed="false">
      <c r="A66" s="3" t="s">
        <v>100</v>
      </c>
      <c r="B66" s="3" t="s">
        <v>97</v>
      </c>
      <c r="C66" s="4" t="n">
        <v>45</v>
      </c>
      <c r="D66" s="5" t="n">
        <v>15</v>
      </c>
      <c r="E66" s="5" t="n">
        <v>12</v>
      </c>
      <c r="F66" s="5" t="n">
        <v>12</v>
      </c>
      <c r="G66" s="3" t="str">
        <f aca="false">IF(OR(F66="",AND(D66="",E66="")),"n/a",IF(F66=E66,"mastered",IF(F66=D66,"normal","differs")))</f>
        <v>mastered</v>
      </c>
      <c r="H66" s="6" t="n">
        <v>291</v>
      </c>
      <c r="I66" s="6"/>
      <c r="J66" s="4" t="n">
        <v>35</v>
      </c>
      <c r="K66" s="4"/>
      <c r="L66" s="7" t="n">
        <v>23.52941176</v>
      </c>
      <c r="M66" s="8" t="n">
        <v>164.7058824</v>
      </c>
      <c r="N66" s="3" t="str">
        <f aca="false">IF(L66="","",IF(L66&lt;0,"negative profit",IF(L66&gt;Notes!$B$4,"unusually high - verify","")))</f>
        <v/>
      </c>
      <c r="O66" s="3" t="s">
        <v>29</v>
      </c>
      <c r="P66" s="3" t="str">
        <f aca="false">IF(O66&lt;&gt;"both",O66&amp;" only",IF(Q66="","agree","conflict"))</f>
        <v>agree</v>
      </c>
      <c r="Q66" s="3" t="str">
        <f aca="false">IF(O66="both",TRIM(IF(I66&lt;&gt;"","price ","")&amp;IF(K66&lt;&gt;"","xp ","")&amp;IF(G66="differs","time","")),"")</f>
        <v/>
      </c>
      <c r="R66" s="3" t="s">
        <v>30</v>
      </c>
      <c r="S66" s="3" t="s">
        <v>98</v>
      </c>
    </row>
    <row r="67" customFormat="false" ht="15" hidden="false" customHeight="false" outlineLevel="0" collapsed="false">
      <c r="A67" s="3" t="s">
        <v>101</v>
      </c>
      <c r="B67" s="3" t="s">
        <v>97</v>
      </c>
      <c r="C67" s="4" t="n">
        <v>46</v>
      </c>
      <c r="D67" s="5" t="n">
        <v>30</v>
      </c>
      <c r="E67" s="5" t="n">
        <v>25</v>
      </c>
      <c r="F67" s="5" t="n">
        <v>25</v>
      </c>
      <c r="G67" s="3" t="str">
        <f aca="false">IF(OR(F67="",AND(D67="",E67="")),"n/a",IF(F67=E67,"mastered",IF(F67=D67,"normal","differs")))</f>
        <v>mastered</v>
      </c>
      <c r="H67" s="6" t="n">
        <v>259</v>
      </c>
      <c r="I67" s="6"/>
      <c r="J67" s="4" t="n">
        <v>31</v>
      </c>
      <c r="K67" s="4"/>
      <c r="L67" s="7" t="n">
        <v>30.58823529</v>
      </c>
      <c r="M67" s="8" t="n">
        <v>72.94117647</v>
      </c>
      <c r="N67" s="3" t="str">
        <f aca="false">IF(L67="","",IF(L67&lt;0,"negative profit",IF(L67&gt;Notes!$B$4,"unusually high - verify","")))</f>
        <v/>
      </c>
      <c r="O67" s="3" t="s">
        <v>29</v>
      </c>
      <c r="P67" s="3" t="str">
        <f aca="false">IF(O67&lt;&gt;"both",O67&amp;" only",IF(Q67="","agree","conflict"))</f>
        <v>agree</v>
      </c>
      <c r="Q67" s="3" t="str">
        <f aca="false">IF(O67="both",TRIM(IF(I67&lt;&gt;"","price ","")&amp;IF(K67&lt;&gt;"","xp ","")&amp;IF(G67="differs","time","")),"")</f>
        <v/>
      </c>
      <c r="R67" s="3" t="s">
        <v>30</v>
      </c>
      <c r="S67" s="3" t="s">
        <v>98</v>
      </c>
    </row>
    <row r="68" customFormat="false" ht="15" hidden="false" customHeight="false" outlineLevel="0" collapsed="false">
      <c r="A68" s="3" t="s">
        <v>102</v>
      </c>
      <c r="B68" s="3" t="s">
        <v>97</v>
      </c>
      <c r="C68" s="4" t="n">
        <v>47</v>
      </c>
      <c r="D68" s="5" t="n">
        <v>25</v>
      </c>
      <c r="E68" s="5" t="n">
        <v>21</v>
      </c>
      <c r="F68" s="5" t="n">
        <v>21</v>
      </c>
      <c r="G68" s="3" t="str">
        <f aca="false">IF(OR(F68="",AND(D68="",E68="")),"n/a",IF(F68=E68,"mastered",IF(F68=D68,"normal","differs")))</f>
        <v>mastered</v>
      </c>
      <c r="H68" s="6" t="n">
        <v>316</v>
      </c>
      <c r="I68" s="6"/>
      <c r="J68" s="4" t="n">
        <v>38</v>
      </c>
      <c r="K68" s="4" t="n">
        <v>32</v>
      </c>
      <c r="L68" s="7" t="n">
        <v>33.88235294</v>
      </c>
      <c r="M68" s="8" t="n">
        <v>107.2941176</v>
      </c>
      <c r="N68" s="3" t="str">
        <f aca="false">IF(L68="","",IF(L68&lt;0,"negative profit",IF(L68&gt;Notes!$B$4,"unusually high - verify","")))</f>
        <v/>
      </c>
      <c r="O68" s="3" t="s">
        <v>29</v>
      </c>
      <c r="P68" s="3" t="str">
        <f aca="false">IF(O68&lt;&gt;"both",O68&amp;" only",IF(Q68="","agree","conflict"))</f>
        <v>conflict</v>
      </c>
      <c r="Q68" s="3" t="str">
        <f aca="false">IF(O68="both",TRIM(IF(I68&lt;&gt;"","price ","")&amp;IF(K68&lt;&gt;"","xp ","")&amp;IF(G68="differs","time","")),"")</f>
        <v>xp</v>
      </c>
      <c r="R68" s="3" t="s">
        <v>30</v>
      </c>
      <c r="S68" s="3" t="s">
        <v>98</v>
      </c>
    </row>
    <row r="69" customFormat="false" ht="15" hidden="false" customHeight="false" outlineLevel="0" collapsed="false">
      <c r="A69" s="3" t="s">
        <v>103</v>
      </c>
      <c r="B69" s="3" t="s">
        <v>97</v>
      </c>
      <c r="C69" s="4" t="n">
        <v>62</v>
      </c>
      <c r="D69" s="5" t="n">
        <v>15</v>
      </c>
      <c r="E69" s="5" t="n">
        <v>12</v>
      </c>
      <c r="F69" s="5" t="n">
        <v>12</v>
      </c>
      <c r="G69" s="3" t="str">
        <f aca="false">IF(OR(F69="",AND(D69="",E69="")),"n/a",IF(F69=E69,"mastered",IF(F69=D69,"normal","differs")))</f>
        <v>mastered</v>
      </c>
      <c r="H69" s="6" t="n">
        <v>345</v>
      </c>
      <c r="I69" s="6"/>
      <c r="J69" s="4" t="n">
        <v>41</v>
      </c>
      <c r="K69" s="4"/>
      <c r="L69" s="7" t="n">
        <v>42.35294118</v>
      </c>
      <c r="M69" s="8" t="n">
        <v>192.9411765</v>
      </c>
      <c r="N69" s="3" t="str">
        <f aca="false">IF(L69="","",IF(L69&lt;0,"negative profit",IF(L69&gt;Notes!$B$4,"unusually high - verify","")))</f>
        <v/>
      </c>
      <c r="O69" s="3" t="s">
        <v>29</v>
      </c>
      <c r="P69" s="3" t="str">
        <f aca="false">IF(O69&lt;&gt;"both",O69&amp;" only",IF(Q69="","agree","conflict"))</f>
        <v>agree</v>
      </c>
      <c r="Q69" s="3" t="str">
        <f aca="false">IF(O69="both",TRIM(IF(I69&lt;&gt;"","price ","")&amp;IF(K69&lt;&gt;"","xp ","")&amp;IF(G69="differs","time","")),"")</f>
        <v/>
      </c>
      <c r="R69" s="3" t="s">
        <v>30</v>
      </c>
      <c r="S69" s="3" t="s">
        <v>98</v>
      </c>
    </row>
    <row r="70" customFormat="false" ht="15" hidden="false" customHeight="false" outlineLevel="0" collapsed="false">
      <c r="A70" s="3" t="s">
        <v>104</v>
      </c>
      <c r="B70" s="3" t="s">
        <v>97</v>
      </c>
      <c r="C70" s="4" t="n">
        <v>88</v>
      </c>
      <c r="D70" s="5" t="n">
        <v>20</v>
      </c>
      <c r="E70" s="5" t="n">
        <v>17</v>
      </c>
      <c r="F70" s="5" t="n">
        <v>17</v>
      </c>
      <c r="G70" s="3" t="str">
        <f aca="false">IF(OR(F70="",AND(D70="",E70="")),"n/a",IF(F70=E70,"mastered",IF(F70=D70,"normal","differs")))</f>
        <v>mastered</v>
      </c>
      <c r="H70" s="6" t="n">
        <v>277</v>
      </c>
      <c r="I70" s="6"/>
      <c r="J70" s="4" t="n">
        <v>33</v>
      </c>
      <c r="K70" s="4"/>
      <c r="L70" s="7" t="n">
        <v>45.88235294</v>
      </c>
      <c r="M70" s="8" t="n">
        <v>116.4705882</v>
      </c>
      <c r="N70" s="3" t="str">
        <f aca="false">IF(L70="","",IF(L70&lt;0,"negative profit",IF(L70&gt;Notes!$B$4,"unusually high - verify","")))</f>
        <v/>
      </c>
      <c r="O70" s="3" t="s">
        <v>29</v>
      </c>
      <c r="P70" s="3" t="str">
        <f aca="false">IF(O70&lt;&gt;"both",O70&amp;" only",IF(Q70="","agree","conflict"))</f>
        <v>agree</v>
      </c>
      <c r="Q70" s="3" t="str">
        <f aca="false">IF(O70="both",TRIM(IF(I70&lt;&gt;"","price ","")&amp;IF(K70&lt;&gt;"","xp ","")&amp;IF(G70="differs","time","")),"")</f>
        <v/>
      </c>
      <c r="R70" s="3" t="s">
        <v>30</v>
      </c>
      <c r="S70" s="3" t="s">
        <v>98</v>
      </c>
    </row>
    <row r="71" customFormat="false" ht="15" hidden="false" customHeight="false" outlineLevel="0" collapsed="false">
      <c r="A71" s="3" t="s">
        <v>105</v>
      </c>
      <c r="B71" s="3" t="s">
        <v>106</v>
      </c>
      <c r="C71" s="4" t="n">
        <v>1</v>
      </c>
      <c r="D71" s="5"/>
      <c r="E71" s="5"/>
      <c r="F71" s="5" t="n">
        <v>2</v>
      </c>
      <c r="G71" s="3" t="str">
        <f aca="false">IF(OR(F71="",AND(D71="",E71="")),"n/a",IF(F71=E71,"mastered",IF(F71=D71,"normal","differs")))</f>
        <v>n/a</v>
      </c>
      <c r="H71" s="6" t="n">
        <v>3</v>
      </c>
      <c r="I71" s="6"/>
      <c r="J71" s="4" t="n">
        <v>1</v>
      </c>
      <c r="K71" s="4"/>
      <c r="L71" s="7" t="n">
        <v>90</v>
      </c>
      <c r="M71" s="8" t="n">
        <v>30</v>
      </c>
      <c r="N71" s="3" t="str">
        <f aca="false">IF(L71="","",IF(L71&lt;0,"negative profit",IF(L71&gt;Notes!$B$4,"unusually high - verify","")))</f>
        <v/>
      </c>
      <c r="O71" s="3" t="s">
        <v>21</v>
      </c>
      <c r="P71" s="3" t="str">
        <f aca="false">IF(O71&lt;&gt;"both",O71&amp;" only",IF(Q71="","agree","conflict"))</f>
        <v>hayday.info only</v>
      </c>
      <c r="Q71" s="3" t="str">
        <f aca="false">IF(O71="both",TRIM(IF(I71&lt;&gt;"","price ","")&amp;IF(K71&lt;&gt;"","xp ","")&amp;IF(G71="differs","time","")),"")</f>
        <v/>
      </c>
      <c r="R71" s="3" t="s">
        <v>22</v>
      </c>
      <c r="S71" s="3"/>
    </row>
    <row r="72" customFormat="false" ht="15" hidden="false" customHeight="false" outlineLevel="0" collapsed="false">
      <c r="A72" s="3" t="s">
        <v>107</v>
      </c>
      <c r="B72" s="3" t="s">
        <v>106</v>
      </c>
      <c r="C72" s="4" t="n">
        <v>2</v>
      </c>
      <c r="D72" s="5"/>
      <c r="E72" s="5"/>
      <c r="F72" s="5" t="n">
        <v>5</v>
      </c>
      <c r="G72" s="3" t="str">
        <f aca="false">IF(OR(F72="",AND(D72="",E72="")),"n/a",IF(F72=E72,"mastered",IF(F72=D72,"normal","differs")))</f>
        <v>n/a</v>
      </c>
      <c r="H72" s="6" t="n">
        <v>7</v>
      </c>
      <c r="I72" s="6"/>
      <c r="J72" s="4" t="n">
        <v>1</v>
      </c>
      <c r="K72" s="4"/>
      <c r="L72" s="7" t="n">
        <v>84</v>
      </c>
      <c r="M72" s="8" t="n">
        <v>12</v>
      </c>
      <c r="N72" s="3" t="str">
        <f aca="false">IF(L72="","",IF(L72&lt;0,"negative profit",IF(L72&gt;Notes!$B$4,"unusually high - verify","")))</f>
        <v/>
      </c>
      <c r="O72" s="3" t="s">
        <v>21</v>
      </c>
      <c r="P72" s="3" t="str">
        <f aca="false">IF(O72&lt;&gt;"both",O72&amp;" only",IF(Q72="","agree","conflict"))</f>
        <v>hayday.info only</v>
      </c>
      <c r="Q72" s="3" t="str">
        <f aca="false">IF(O72="both",TRIM(IF(I72&lt;&gt;"","price ","")&amp;IF(K72&lt;&gt;"","xp ","")&amp;IF(G72="differs","time","")),"")</f>
        <v/>
      </c>
      <c r="R72" s="3" t="s">
        <v>22</v>
      </c>
      <c r="S72" s="3"/>
    </row>
    <row r="73" customFormat="false" ht="15" hidden="false" customHeight="false" outlineLevel="0" collapsed="false">
      <c r="A73" s="3" t="s">
        <v>108</v>
      </c>
      <c r="B73" s="3" t="s">
        <v>106</v>
      </c>
      <c r="C73" s="4" t="n">
        <v>5</v>
      </c>
      <c r="D73" s="5"/>
      <c r="E73" s="5"/>
      <c r="F73" s="5" t="n">
        <v>20</v>
      </c>
      <c r="G73" s="3" t="str">
        <f aca="false">IF(OR(F73="",AND(D73="",E73="")),"n/a",IF(F73=E73,"mastered",IF(F73=D73,"normal","differs")))</f>
        <v>n/a</v>
      </c>
      <c r="H73" s="6" t="n">
        <v>10</v>
      </c>
      <c r="I73" s="6"/>
      <c r="J73" s="4" t="n">
        <v>2</v>
      </c>
      <c r="K73" s="4"/>
      <c r="L73" s="7" t="n">
        <v>30</v>
      </c>
      <c r="M73" s="8" t="n">
        <v>6</v>
      </c>
      <c r="N73" s="3" t="str">
        <f aca="false">IF(L73="","",IF(L73&lt;0,"negative profit",IF(L73&gt;Notes!$B$4,"unusually high - verify","")))</f>
        <v/>
      </c>
      <c r="O73" s="3" t="s">
        <v>21</v>
      </c>
      <c r="P73" s="3" t="str">
        <f aca="false">IF(O73&lt;&gt;"both",O73&amp;" only",IF(Q73="","agree","conflict"))</f>
        <v>hayday.info only</v>
      </c>
      <c r="Q73" s="3" t="str">
        <f aca="false">IF(O73="both",TRIM(IF(I73&lt;&gt;"","price ","")&amp;IF(K73&lt;&gt;"","xp ","")&amp;IF(G73="differs","time","")),"")</f>
        <v/>
      </c>
      <c r="R73" s="3" t="s">
        <v>22</v>
      </c>
      <c r="S73" s="3"/>
    </row>
    <row r="74" customFormat="false" ht="15" hidden="false" customHeight="false" outlineLevel="0" collapsed="false">
      <c r="A74" s="3" t="s">
        <v>109</v>
      </c>
      <c r="B74" s="3" t="s">
        <v>106</v>
      </c>
      <c r="C74" s="4" t="n">
        <v>7</v>
      </c>
      <c r="D74" s="5"/>
      <c r="E74" s="5"/>
      <c r="F74" s="5" t="n">
        <v>30</v>
      </c>
      <c r="G74" s="3" t="str">
        <f aca="false">IF(OR(F74="",AND(D74="",E74="")),"n/a",IF(F74=E74,"mastered",IF(F74=D74,"normal","differs")))</f>
        <v>n/a</v>
      </c>
      <c r="H74" s="6" t="n">
        <v>14</v>
      </c>
      <c r="I74" s="6"/>
      <c r="J74" s="4" t="n">
        <v>3</v>
      </c>
      <c r="K74" s="4"/>
      <c r="L74" s="7" t="n">
        <v>28</v>
      </c>
      <c r="M74" s="8" t="n">
        <v>6</v>
      </c>
      <c r="N74" s="3" t="str">
        <f aca="false">IF(L74="","",IF(L74&lt;0,"negative profit",IF(L74&gt;Notes!$B$4,"unusually high - verify","")))</f>
        <v/>
      </c>
      <c r="O74" s="3" t="s">
        <v>21</v>
      </c>
      <c r="P74" s="3" t="str">
        <f aca="false">IF(O74&lt;&gt;"both",O74&amp;" only",IF(Q74="","agree","conflict"))</f>
        <v>hayday.info only</v>
      </c>
      <c r="Q74" s="3" t="str">
        <f aca="false">IF(O74="both",TRIM(IF(I74&lt;&gt;"","price ","")&amp;IF(K74&lt;&gt;"","xp ","")&amp;IF(G74="differs","time","")),"")</f>
        <v/>
      </c>
      <c r="R74" s="3" t="s">
        <v>22</v>
      </c>
      <c r="S74" s="3"/>
    </row>
    <row r="75" customFormat="false" ht="15" hidden="false" customHeight="false" outlineLevel="0" collapsed="false">
      <c r="A75" s="3" t="s">
        <v>110</v>
      </c>
      <c r="B75" s="3" t="s">
        <v>106</v>
      </c>
      <c r="C75" s="4" t="n">
        <v>9</v>
      </c>
      <c r="D75" s="5"/>
      <c r="E75" s="5"/>
      <c r="F75" s="5" t="n">
        <v>10</v>
      </c>
      <c r="G75" s="3" t="str">
        <f aca="false">IF(OR(F75="",AND(D75="",E75="")),"n/a",IF(F75=E75,"mastered",IF(F75=D75,"normal","differs")))</f>
        <v>n/a</v>
      </c>
      <c r="H75" s="6" t="n">
        <v>7</v>
      </c>
      <c r="I75" s="6"/>
      <c r="J75" s="4" t="n">
        <v>2</v>
      </c>
      <c r="K75" s="4"/>
      <c r="L75" s="7" t="n">
        <v>42</v>
      </c>
      <c r="M75" s="8" t="n">
        <v>12</v>
      </c>
      <c r="N75" s="3" t="str">
        <f aca="false">IF(L75="","",IF(L75&lt;0,"negative profit",IF(L75&gt;Notes!$B$4,"unusually high - verify","")))</f>
        <v/>
      </c>
      <c r="O75" s="3" t="s">
        <v>21</v>
      </c>
      <c r="P75" s="3" t="str">
        <f aca="false">IF(O75&lt;&gt;"both",O75&amp;" only",IF(Q75="","agree","conflict"))</f>
        <v>hayday.info only</v>
      </c>
      <c r="Q75" s="3" t="str">
        <f aca="false">IF(O75="both",TRIM(IF(I75&lt;&gt;"","price ","")&amp;IF(K75&lt;&gt;"","xp ","")&amp;IF(G75="differs","time","")),"")</f>
        <v/>
      </c>
      <c r="R75" s="3" t="s">
        <v>22</v>
      </c>
      <c r="S75" s="3"/>
    </row>
    <row r="76" customFormat="false" ht="15" hidden="false" customHeight="false" outlineLevel="0" collapsed="false">
      <c r="A76" s="3" t="s">
        <v>111</v>
      </c>
      <c r="B76" s="3" t="s">
        <v>106</v>
      </c>
      <c r="C76" s="4" t="n">
        <v>13</v>
      </c>
      <c r="D76" s="5"/>
      <c r="E76" s="5"/>
      <c r="F76" s="5" t="n">
        <v>120</v>
      </c>
      <c r="G76" s="3" t="str">
        <f aca="false">IF(OR(F76="",AND(D76="",E76="")),"n/a",IF(F76=E76,"mastered",IF(F76=D76,"normal","differs")))</f>
        <v>n/a</v>
      </c>
      <c r="H76" s="6" t="n">
        <v>25</v>
      </c>
      <c r="I76" s="6"/>
      <c r="J76" s="4" t="n">
        <v>5</v>
      </c>
      <c r="K76" s="4"/>
      <c r="L76" s="7" t="n">
        <v>12.5</v>
      </c>
      <c r="M76" s="8" t="n">
        <v>2.5</v>
      </c>
      <c r="N76" s="3" t="str">
        <f aca="false">IF(L76="","",IF(L76&lt;0,"negative profit",IF(L76&gt;Notes!$B$4,"unusually high - verify","")))</f>
        <v/>
      </c>
      <c r="O76" s="3" t="s">
        <v>21</v>
      </c>
      <c r="P76" s="3" t="str">
        <f aca="false">IF(O76&lt;&gt;"both",O76&amp;" only",IF(Q76="","agree","conflict"))</f>
        <v>hayday.info only</v>
      </c>
      <c r="Q76" s="3" t="str">
        <f aca="false">IF(O76="both",TRIM(IF(I76&lt;&gt;"","price ","")&amp;IF(K76&lt;&gt;"","xp ","")&amp;IF(G76="differs","time","")),"")</f>
        <v/>
      </c>
      <c r="R76" s="3" t="s">
        <v>22</v>
      </c>
      <c r="S76" s="3"/>
    </row>
    <row r="77" customFormat="false" ht="15" hidden="false" customHeight="false" outlineLevel="0" collapsed="false">
      <c r="A77" s="3" t="s">
        <v>112</v>
      </c>
      <c r="B77" s="3" t="s">
        <v>106</v>
      </c>
      <c r="C77" s="4" t="n">
        <v>15</v>
      </c>
      <c r="D77" s="5"/>
      <c r="E77" s="5"/>
      <c r="F77" s="5" t="n">
        <v>180</v>
      </c>
      <c r="G77" s="3" t="str">
        <f aca="false">IF(OR(F77="",AND(D77="",E77="")),"n/a",IF(F77=E77,"mastered",IF(F77=D77,"normal","differs")))</f>
        <v>n/a</v>
      </c>
      <c r="H77" s="6" t="n">
        <v>32</v>
      </c>
      <c r="I77" s="6"/>
      <c r="J77" s="4" t="n">
        <v>6</v>
      </c>
      <c r="K77" s="4"/>
      <c r="L77" s="7" t="n">
        <v>10.66666667</v>
      </c>
      <c r="M77" s="8" t="n">
        <v>2</v>
      </c>
      <c r="N77" s="3" t="str">
        <f aca="false">IF(L77="","",IF(L77&lt;0,"negative profit",IF(L77&gt;Notes!$B$4,"unusually high - verify","")))</f>
        <v/>
      </c>
      <c r="O77" s="3" t="s">
        <v>21</v>
      </c>
      <c r="P77" s="3" t="str">
        <f aca="false">IF(O77&lt;&gt;"both",O77&amp;" only",IF(Q77="","agree","conflict"))</f>
        <v>hayday.info only</v>
      </c>
      <c r="Q77" s="3" t="str">
        <f aca="false">IF(O77="both",TRIM(IF(I77&lt;&gt;"","price ","")&amp;IF(K77&lt;&gt;"","xp ","")&amp;IF(G77="differs","time","")),"")</f>
        <v/>
      </c>
      <c r="R77" s="3" t="s">
        <v>22</v>
      </c>
      <c r="S77" s="3"/>
    </row>
    <row r="78" customFormat="false" ht="15" hidden="false" customHeight="false" outlineLevel="0" collapsed="false">
      <c r="A78" s="3" t="s">
        <v>113</v>
      </c>
      <c r="B78" s="3" t="s">
        <v>106</v>
      </c>
      <c r="C78" s="4" t="n">
        <v>18</v>
      </c>
      <c r="D78" s="5"/>
      <c r="E78" s="5"/>
      <c r="F78" s="5" t="n">
        <v>150</v>
      </c>
      <c r="G78" s="3" t="str">
        <f aca="false">IF(OR(F78="",AND(D78="",E78="")),"n/a",IF(F78=E78,"mastered",IF(F78=D78,"normal","differs")))</f>
        <v>n/a</v>
      </c>
      <c r="H78" s="6" t="n">
        <v>28</v>
      </c>
      <c r="I78" s="6"/>
      <c r="J78" s="4" t="n">
        <v>6</v>
      </c>
      <c r="K78" s="4"/>
      <c r="L78" s="7" t="n">
        <v>11.2</v>
      </c>
      <c r="M78" s="8" t="n">
        <v>2.4</v>
      </c>
      <c r="N78" s="3" t="str">
        <f aca="false">IF(L78="","",IF(L78&lt;0,"negative profit",IF(L78&gt;Notes!$B$4,"unusually high - verify","")))</f>
        <v/>
      </c>
      <c r="O78" s="3" t="s">
        <v>21</v>
      </c>
      <c r="P78" s="3" t="str">
        <f aca="false">IF(O78&lt;&gt;"both",O78&amp;" only",IF(Q78="","agree","conflict"))</f>
        <v>hayday.info only</v>
      </c>
      <c r="Q78" s="3" t="str">
        <f aca="false">IF(O78="both",TRIM(IF(I78&lt;&gt;"","price ","")&amp;IF(K78&lt;&gt;"","xp ","")&amp;IF(G78="differs","time","")),"")</f>
        <v/>
      </c>
      <c r="R78" s="3" t="s">
        <v>22</v>
      </c>
      <c r="S78" s="3"/>
    </row>
    <row r="79" customFormat="false" ht="15" hidden="false" customHeight="false" outlineLevel="0" collapsed="false">
      <c r="A79" s="3" t="s">
        <v>114</v>
      </c>
      <c r="B79" s="3" t="s">
        <v>106</v>
      </c>
      <c r="C79" s="4" t="n">
        <v>25</v>
      </c>
      <c r="D79" s="5"/>
      <c r="E79" s="5"/>
      <c r="F79" s="5" t="n">
        <v>240</v>
      </c>
      <c r="G79" s="3" t="str">
        <f aca="false">IF(OR(F79="",AND(D79="",E79="")),"n/a",IF(F79=E79,"mastered",IF(F79=D79,"normal","differs")))</f>
        <v>n/a</v>
      </c>
      <c r="H79" s="6" t="n">
        <v>36</v>
      </c>
      <c r="I79" s="6"/>
      <c r="J79" s="4" t="n">
        <v>4</v>
      </c>
      <c r="K79" s="4"/>
      <c r="L79" s="7" t="n">
        <v>9</v>
      </c>
      <c r="M79" s="8" t="n">
        <v>1</v>
      </c>
      <c r="N79" s="3" t="str">
        <f aca="false">IF(L79="","",IF(L79&lt;0,"negative profit",IF(L79&gt;Notes!$B$4,"unusually high - verify","")))</f>
        <v/>
      </c>
      <c r="O79" s="3" t="s">
        <v>21</v>
      </c>
      <c r="P79" s="3" t="str">
        <f aca="false">IF(O79&lt;&gt;"both",O79&amp;" only",IF(Q79="","agree","conflict"))</f>
        <v>hayday.info only</v>
      </c>
      <c r="Q79" s="3" t="str">
        <f aca="false">IF(O79="both",TRIM(IF(I79&lt;&gt;"","price ","")&amp;IF(K79&lt;&gt;"","xp ","")&amp;IF(G79="differs","time","")),"")</f>
        <v/>
      </c>
      <c r="R79" s="3" t="s">
        <v>22</v>
      </c>
      <c r="S79" s="3"/>
    </row>
    <row r="80" customFormat="false" ht="15" hidden="false" customHeight="false" outlineLevel="0" collapsed="false">
      <c r="A80" s="3" t="s">
        <v>115</v>
      </c>
      <c r="B80" s="3" t="s">
        <v>106</v>
      </c>
      <c r="C80" s="4" t="n">
        <v>30</v>
      </c>
      <c r="D80" s="5"/>
      <c r="E80" s="5"/>
      <c r="F80" s="5" t="n">
        <v>360</v>
      </c>
      <c r="G80" s="3" t="str">
        <f aca="false">IF(OR(F80="",AND(D80="",E80="")),"n/a",IF(F80=E80,"mastered",IF(F80=D80,"normal","differs")))</f>
        <v>n/a</v>
      </c>
      <c r="H80" s="6" t="n">
        <v>43</v>
      </c>
      <c r="I80" s="6"/>
      <c r="J80" s="4" t="n">
        <v>8</v>
      </c>
      <c r="K80" s="4"/>
      <c r="L80" s="7" t="n">
        <v>7.166666667</v>
      </c>
      <c r="M80" s="8" t="n">
        <v>1.333333333</v>
      </c>
      <c r="N80" s="3" t="str">
        <f aca="false">IF(L80="","",IF(L80&lt;0,"negative profit",IF(L80&gt;Notes!$B$4,"unusually high - verify","")))</f>
        <v/>
      </c>
      <c r="O80" s="3" t="s">
        <v>21</v>
      </c>
      <c r="P80" s="3" t="str">
        <f aca="false">IF(O80&lt;&gt;"both",O80&amp;" only",IF(Q80="","agree","conflict"))</f>
        <v>hayday.info only</v>
      </c>
      <c r="Q80" s="3" t="str">
        <f aca="false">IF(O80="both",TRIM(IF(I80&lt;&gt;"","price ","")&amp;IF(K80&lt;&gt;"","xp ","")&amp;IF(G80="differs","time","")),"")</f>
        <v/>
      </c>
      <c r="R80" s="3" t="s">
        <v>22</v>
      </c>
      <c r="S80" s="3"/>
    </row>
    <row r="81" customFormat="false" ht="15" hidden="false" customHeight="false" outlineLevel="0" collapsed="false">
      <c r="A81" s="3" t="s">
        <v>116</v>
      </c>
      <c r="B81" s="3" t="s">
        <v>106</v>
      </c>
      <c r="C81" s="4" t="n">
        <v>34</v>
      </c>
      <c r="D81" s="5"/>
      <c r="E81" s="5"/>
      <c r="F81" s="5" t="n">
        <v>480</v>
      </c>
      <c r="G81" s="3" t="str">
        <f aca="false">IF(OR(F81="",AND(D81="",E81="")),"n/a",IF(F81=E81,"mastered",IF(F81=D81,"normal","differs")))</f>
        <v>n/a</v>
      </c>
      <c r="H81" s="6" t="n">
        <v>50</v>
      </c>
      <c r="I81" s="6"/>
      <c r="J81" s="4" t="n">
        <v>10</v>
      </c>
      <c r="K81" s="4"/>
      <c r="L81" s="7" t="n">
        <v>6.25</v>
      </c>
      <c r="M81" s="8" t="n">
        <v>1.25</v>
      </c>
      <c r="N81" s="3" t="str">
        <f aca="false">IF(L81="","",IF(L81&lt;0,"negative profit",IF(L81&gt;Notes!$B$4,"unusually high - verify","")))</f>
        <v/>
      </c>
      <c r="O81" s="3" t="s">
        <v>21</v>
      </c>
      <c r="P81" s="3" t="str">
        <f aca="false">IF(O81&lt;&gt;"both",O81&amp;" only",IF(Q81="","agree","conflict"))</f>
        <v>hayday.info only</v>
      </c>
      <c r="Q81" s="3" t="str">
        <f aca="false">IF(O81="both",TRIM(IF(I81&lt;&gt;"","price ","")&amp;IF(K81&lt;&gt;"","xp ","")&amp;IF(G81="differs","time","")),"")</f>
        <v/>
      </c>
      <c r="R81" s="3" t="s">
        <v>22</v>
      </c>
      <c r="S81" s="3"/>
    </row>
    <row r="82" customFormat="false" ht="15" hidden="false" customHeight="false" outlineLevel="0" collapsed="false">
      <c r="A82" s="3" t="s">
        <v>117</v>
      </c>
      <c r="B82" s="3" t="s">
        <v>106</v>
      </c>
      <c r="C82" s="4" t="n">
        <v>35</v>
      </c>
      <c r="D82" s="5"/>
      <c r="E82" s="5"/>
      <c r="F82" s="5" t="n">
        <v>220</v>
      </c>
      <c r="G82" s="3" t="str">
        <f aca="false">IF(OR(F82="",AND(D82="",E82="")),"n/a",IF(F82=E82,"mastered",IF(F82=D82,"normal","differs")))</f>
        <v>n/a</v>
      </c>
      <c r="H82" s="6" t="n">
        <v>36</v>
      </c>
      <c r="I82" s="6"/>
      <c r="J82" s="4" t="n">
        <v>7</v>
      </c>
      <c r="K82" s="4"/>
      <c r="L82" s="7" t="n">
        <v>9.818181818</v>
      </c>
      <c r="M82" s="8" t="n">
        <v>1.909090909</v>
      </c>
      <c r="N82" s="3" t="str">
        <f aca="false">IF(L82="","",IF(L82&lt;0,"negative profit",IF(L82&gt;Notes!$B$4,"unusually high - verify","")))</f>
        <v/>
      </c>
      <c r="O82" s="3" t="s">
        <v>21</v>
      </c>
      <c r="P82" s="3" t="str">
        <f aca="false">IF(O82&lt;&gt;"both",O82&amp;" only",IF(Q82="","agree","conflict"))</f>
        <v>hayday.info only</v>
      </c>
      <c r="Q82" s="3" t="str">
        <f aca="false">IF(O82="both",TRIM(IF(I82&lt;&gt;"","price ","")&amp;IF(K82&lt;&gt;"","xp ","")&amp;IF(G82="differs","time","")),"")</f>
        <v/>
      </c>
      <c r="R82" s="3" t="s">
        <v>22</v>
      </c>
      <c r="S82" s="3"/>
    </row>
    <row r="83" customFormat="false" ht="15" hidden="false" customHeight="false" outlineLevel="0" collapsed="false">
      <c r="A83" s="3" t="s">
        <v>118</v>
      </c>
      <c r="B83" s="3" t="s">
        <v>106</v>
      </c>
      <c r="C83" s="4" t="n">
        <v>50</v>
      </c>
      <c r="D83" s="5"/>
      <c r="E83" s="5"/>
      <c r="F83" s="5" t="n">
        <v>60</v>
      </c>
      <c r="G83" s="3" t="str">
        <f aca="false">IF(OR(F83="",AND(D83="",E83="")),"n/a",IF(F83=E83,"mastered",IF(F83=D83,"normal","differs")))</f>
        <v>n/a</v>
      </c>
      <c r="H83" s="6" t="n">
        <v>18</v>
      </c>
      <c r="I83" s="6"/>
      <c r="J83" s="4" t="n">
        <v>4</v>
      </c>
      <c r="K83" s="4"/>
      <c r="L83" s="7" t="n">
        <v>18</v>
      </c>
      <c r="M83" s="8" t="n">
        <v>4</v>
      </c>
      <c r="N83" s="3" t="str">
        <f aca="false">IF(L83="","",IF(L83&lt;0,"negative profit",IF(L83&gt;Notes!$B$4,"unusually high - verify","")))</f>
        <v/>
      </c>
      <c r="O83" s="3" t="s">
        <v>21</v>
      </c>
      <c r="P83" s="3" t="str">
        <f aca="false">IF(O83&lt;&gt;"both",O83&amp;" only",IF(Q83="","agree","conflict"))</f>
        <v>hayday.info only</v>
      </c>
      <c r="Q83" s="3" t="str">
        <f aca="false">IF(O83="both",TRIM(IF(I83&lt;&gt;"","price ","")&amp;IF(K83&lt;&gt;"","xp ","")&amp;IF(G83="differs","time","")),"")</f>
        <v/>
      </c>
      <c r="R83" s="3" t="s">
        <v>22</v>
      </c>
      <c r="S83" s="3"/>
    </row>
    <row r="84" customFormat="false" ht="15" hidden="false" customHeight="false" outlineLevel="0" collapsed="false">
      <c r="A84" s="3" t="s">
        <v>119</v>
      </c>
      <c r="B84" s="3" t="s">
        <v>106</v>
      </c>
      <c r="C84" s="4" t="n">
        <v>52</v>
      </c>
      <c r="D84" s="5"/>
      <c r="E84" s="5"/>
      <c r="F84" s="5" t="n">
        <v>30</v>
      </c>
      <c r="G84" s="3" t="str">
        <f aca="false">IF(OR(F84="",AND(D84="",E84="")),"n/a",IF(F84=E84,"mastered",IF(F84=D84,"normal","differs")))</f>
        <v>n/a</v>
      </c>
      <c r="H84" s="6" t="n">
        <v>14</v>
      </c>
      <c r="I84" s="6"/>
      <c r="J84" s="4" t="n">
        <v>3</v>
      </c>
      <c r="K84" s="4"/>
      <c r="L84" s="7" t="n">
        <v>28</v>
      </c>
      <c r="M84" s="8" t="n">
        <v>6</v>
      </c>
      <c r="N84" s="3" t="str">
        <f aca="false">IF(L84="","",IF(L84&lt;0,"negative profit",IF(L84&gt;Notes!$B$4,"unusually high - verify","")))</f>
        <v/>
      </c>
      <c r="O84" s="3" t="s">
        <v>21</v>
      </c>
      <c r="P84" s="3" t="str">
        <f aca="false">IF(O84&lt;&gt;"both",O84&amp;" only",IF(Q84="","agree","conflict"))</f>
        <v>hayday.info only</v>
      </c>
      <c r="Q84" s="3" t="str">
        <f aca="false">IF(O84="both",TRIM(IF(I84&lt;&gt;"","price ","")&amp;IF(K84&lt;&gt;"","xp ","")&amp;IF(G84="differs","time","")),"")</f>
        <v/>
      </c>
      <c r="R84" s="3" t="s">
        <v>22</v>
      </c>
      <c r="S84" s="3"/>
    </row>
    <row r="85" customFormat="false" ht="15" hidden="false" customHeight="false" outlineLevel="0" collapsed="false">
      <c r="A85" s="3" t="s">
        <v>120</v>
      </c>
      <c r="B85" s="3" t="s">
        <v>106</v>
      </c>
      <c r="C85" s="4" t="n">
        <v>53</v>
      </c>
      <c r="D85" s="5"/>
      <c r="E85" s="5"/>
      <c r="F85" s="5" t="n">
        <v>90</v>
      </c>
      <c r="G85" s="3" t="str">
        <f aca="false">IF(OR(F85="",AND(D85="",E85="")),"n/a",IF(F85=E85,"mastered",IF(F85=D85,"normal","differs")))</f>
        <v>n/a</v>
      </c>
      <c r="H85" s="6" t="n">
        <v>21</v>
      </c>
      <c r="I85" s="6"/>
      <c r="J85" s="4" t="n">
        <v>5</v>
      </c>
      <c r="K85" s="4"/>
      <c r="L85" s="7" t="n">
        <v>14</v>
      </c>
      <c r="M85" s="8" t="n">
        <v>3.333333333</v>
      </c>
      <c r="N85" s="3" t="str">
        <f aca="false">IF(L85="","",IF(L85&lt;0,"negative profit",IF(L85&gt;Notes!$B$4,"unusually high - verify","")))</f>
        <v/>
      </c>
      <c r="O85" s="3" t="s">
        <v>21</v>
      </c>
      <c r="P85" s="3" t="str">
        <f aca="false">IF(O85&lt;&gt;"both",O85&amp;" only",IF(Q85="","agree","conflict"))</f>
        <v>hayday.info only</v>
      </c>
      <c r="Q85" s="3" t="str">
        <f aca="false">IF(O85="both",TRIM(IF(I85&lt;&gt;"","price ","")&amp;IF(K85&lt;&gt;"","xp ","")&amp;IF(G85="differs","time","")),"")</f>
        <v/>
      </c>
      <c r="R85" s="3" t="s">
        <v>22</v>
      </c>
      <c r="S85" s="3"/>
    </row>
    <row r="86" customFormat="false" ht="15" hidden="false" customHeight="false" outlineLevel="0" collapsed="false">
      <c r="A86" s="3" t="s">
        <v>121</v>
      </c>
      <c r="B86" s="3" t="s">
        <v>106</v>
      </c>
      <c r="C86" s="4" t="n">
        <v>56</v>
      </c>
      <c r="D86" s="5"/>
      <c r="E86" s="5"/>
      <c r="F86" s="5" t="n">
        <v>45</v>
      </c>
      <c r="G86" s="3" t="str">
        <f aca="false">IF(OR(F86="",AND(D86="",E86="")),"n/a",IF(F86=E86,"mastered",IF(F86=D86,"normal","differs")))</f>
        <v>n/a</v>
      </c>
      <c r="H86" s="6" t="n">
        <v>18</v>
      </c>
      <c r="I86" s="6"/>
      <c r="J86" s="4" t="n">
        <v>3</v>
      </c>
      <c r="K86" s="4"/>
      <c r="L86" s="7" t="n">
        <v>24</v>
      </c>
      <c r="M86" s="8" t="n">
        <v>4</v>
      </c>
      <c r="N86" s="3" t="str">
        <f aca="false">IF(L86="","",IF(L86&lt;0,"negative profit",IF(L86&gt;Notes!$B$4,"unusually high - verify","")))</f>
        <v/>
      </c>
      <c r="O86" s="3" t="s">
        <v>21</v>
      </c>
      <c r="P86" s="3" t="str">
        <f aca="false">IF(O86&lt;&gt;"both",O86&amp;" only",IF(Q86="","agree","conflict"))</f>
        <v>hayday.info only</v>
      </c>
      <c r="Q86" s="3" t="str">
        <f aca="false">IF(O86="both",TRIM(IF(I86&lt;&gt;"","price ","")&amp;IF(K86&lt;&gt;"","xp ","")&amp;IF(G86="differs","time","")),"")</f>
        <v/>
      </c>
      <c r="R86" s="3" t="s">
        <v>22</v>
      </c>
      <c r="S86" s="3"/>
    </row>
    <row r="87" customFormat="false" ht="15" hidden="false" customHeight="false" outlineLevel="0" collapsed="false">
      <c r="A87" s="3" t="s">
        <v>122</v>
      </c>
      <c r="B87" s="3" t="s">
        <v>106</v>
      </c>
      <c r="C87" s="4" t="n">
        <v>58</v>
      </c>
      <c r="D87" s="5"/>
      <c r="E87" s="5"/>
      <c r="F87" s="5" t="n">
        <v>210</v>
      </c>
      <c r="G87" s="3" t="str">
        <f aca="false">IF(OR(F87="",AND(D87="",E87="")),"n/a",IF(F87=E87,"mastered",IF(F87=D87,"normal","differs")))</f>
        <v>n/a</v>
      </c>
      <c r="H87" s="6" t="n">
        <v>32</v>
      </c>
      <c r="I87" s="6"/>
      <c r="J87" s="4" t="n">
        <v>7</v>
      </c>
      <c r="K87" s="4"/>
      <c r="L87" s="7" t="n">
        <v>9.142857143</v>
      </c>
      <c r="M87" s="8" t="n">
        <v>2</v>
      </c>
      <c r="N87" s="3" t="str">
        <f aca="false">IF(L87="","",IF(L87&lt;0,"negative profit",IF(L87&gt;Notes!$B$4,"unusually high - verify","")))</f>
        <v/>
      </c>
      <c r="O87" s="3" t="s">
        <v>21</v>
      </c>
      <c r="P87" s="3" t="str">
        <f aca="false">IF(O87&lt;&gt;"both",O87&amp;" only",IF(Q87="","agree","conflict"))</f>
        <v>hayday.info only</v>
      </c>
      <c r="Q87" s="3" t="str">
        <f aca="false">IF(O87="both",TRIM(IF(I87&lt;&gt;"","price ","")&amp;IF(K87&lt;&gt;"","xp ","")&amp;IF(G87="differs","time","")),"")</f>
        <v/>
      </c>
      <c r="R87" s="3" t="s">
        <v>22</v>
      </c>
      <c r="S87" s="3"/>
    </row>
    <row r="88" customFormat="false" ht="15" hidden="false" customHeight="false" outlineLevel="0" collapsed="false">
      <c r="A88" s="3" t="s">
        <v>123</v>
      </c>
      <c r="B88" s="3" t="s">
        <v>106</v>
      </c>
      <c r="C88" s="4" t="n">
        <v>60</v>
      </c>
      <c r="D88" s="5"/>
      <c r="E88" s="5"/>
      <c r="F88" s="5" t="n">
        <v>30</v>
      </c>
      <c r="G88" s="3" t="str">
        <f aca="false">IF(OR(F88="",AND(D88="",E88="")),"n/a",IF(F88=E88,"mastered",IF(F88=D88,"normal","differs")))</f>
        <v>n/a</v>
      </c>
      <c r="H88" s="6" t="n">
        <v>14</v>
      </c>
      <c r="I88" s="6"/>
      <c r="J88" s="4" t="n">
        <v>3</v>
      </c>
      <c r="K88" s="4"/>
      <c r="L88" s="7" t="n">
        <v>28</v>
      </c>
      <c r="M88" s="8" t="n">
        <v>6</v>
      </c>
      <c r="N88" s="3" t="str">
        <f aca="false">IF(L88="","",IF(L88&lt;0,"negative profit",IF(L88&gt;Notes!$B$4,"unusually high - verify","")))</f>
        <v/>
      </c>
      <c r="O88" s="3" t="s">
        <v>21</v>
      </c>
      <c r="P88" s="3" t="str">
        <f aca="false">IF(O88&lt;&gt;"both",O88&amp;" only",IF(Q88="","agree","conflict"))</f>
        <v>hayday.info only</v>
      </c>
      <c r="Q88" s="3" t="str">
        <f aca="false">IF(O88="both",TRIM(IF(I88&lt;&gt;"","price ","")&amp;IF(K88&lt;&gt;"","xp ","")&amp;IF(G88="differs","time","")),"")</f>
        <v/>
      </c>
      <c r="R88" s="3" t="s">
        <v>22</v>
      </c>
      <c r="S88" s="3"/>
    </row>
    <row r="89" customFormat="false" ht="15" hidden="false" customHeight="false" outlineLevel="0" collapsed="false">
      <c r="A89" s="3" t="s">
        <v>124</v>
      </c>
      <c r="B89" s="3" t="s">
        <v>106</v>
      </c>
      <c r="C89" s="4" t="n">
        <v>63</v>
      </c>
      <c r="D89" s="5"/>
      <c r="E89" s="5"/>
      <c r="F89" s="5" t="n">
        <v>90</v>
      </c>
      <c r="G89" s="3" t="str">
        <f aca="false">IF(OR(F89="",AND(D89="",E89="")),"n/a",IF(F89=E89,"mastered",IF(F89=D89,"normal","differs")))</f>
        <v>n/a</v>
      </c>
      <c r="H89" s="6" t="n">
        <v>21</v>
      </c>
      <c r="I89" s="6"/>
      <c r="J89" s="4" t="n">
        <v>5</v>
      </c>
      <c r="K89" s="4"/>
      <c r="L89" s="7" t="n">
        <v>14</v>
      </c>
      <c r="M89" s="8" t="n">
        <v>3.333333333</v>
      </c>
      <c r="N89" s="3" t="str">
        <f aca="false">IF(L89="","",IF(L89&lt;0,"negative profit",IF(L89&gt;Notes!$B$4,"unusually high - verify","")))</f>
        <v/>
      </c>
      <c r="O89" s="3" t="s">
        <v>21</v>
      </c>
      <c r="P89" s="3" t="str">
        <f aca="false">IF(O89&lt;&gt;"both",O89&amp;" only",IF(Q89="","agree","conflict"))</f>
        <v>hayday.info only</v>
      </c>
      <c r="Q89" s="3" t="str">
        <f aca="false">IF(O89="both",TRIM(IF(I89&lt;&gt;"","price ","")&amp;IF(K89&lt;&gt;"","xp ","")&amp;IF(G89="differs","time","")),"")</f>
        <v/>
      </c>
      <c r="R89" s="3" t="s">
        <v>22</v>
      </c>
      <c r="S89" s="3"/>
    </row>
    <row r="90" customFormat="false" ht="15" hidden="false" customHeight="false" outlineLevel="0" collapsed="false">
      <c r="A90" s="3" t="s">
        <v>125</v>
      </c>
      <c r="B90" s="3" t="s">
        <v>106</v>
      </c>
      <c r="C90" s="4" t="n">
        <v>65</v>
      </c>
      <c r="D90" s="5"/>
      <c r="E90" s="5"/>
      <c r="F90" s="5" t="n">
        <v>45</v>
      </c>
      <c r="G90" s="3" t="str">
        <f aca="false">IF(OR(F90="",AND(D90="",E90="")),"n/a",IF(F90=E90,"mastered",IF(F90=D90,"normal","differs")))</f>
        <v>n/a</v>
      </c>
      <c r="H90" s="6" t="n">
        <v>18</v>
      </c>
      <c r="I90" s="6"/>
      <c r="J90" s="4" t="n">
        <v>3</v>
      </c>
      <c r="K90" s="4"/>
      <c r="L90" s="7" t="n">
        <v>24</v>
      </c>
      <c r="M90" s="8" t="n">
        <v>4</v>
      </c>
      <c r="N90" s="3" t="str">
        <f aca="false">IF(L90="","",IF(L90&lt;0,"negative profit",IF(L90&gt;Notes!$B$4,"unusually high - verify","")))</f>
        <v/>
      </c>
      <c r="O90" s="3" t="s">
        <v>21</v>
      </c>
      <c r="P90" s="3" t="str">
        <f aca="false">IF(O90&lt;&gt;"both",O90&amp;" only",IF(Q90="","agree","conflict"))</f>
        <v>hayday.info only</v>
      </c>
      <c r="Q90" s="3" t="str">
        <f aca="false">IF(O90="both",TRIM(IF(I90&lt;&gt;"","price ","")&amp;IF(K90&lt;&gt;"","xp ","")&amp;IF(G90="differs","time","")),"")</f>
        <v/>
      </c>
      <c r="R90" s="3" t="s">
        <v>22</v>
      </c>
      <c r="S90" s="3"/>
    </row>
    <row r="91" customFormat="false" ht="15" hidden="false" customHeight="false" outlineLevel="0" collapsed="false">
      <c r="A91" s="3" t="s">
        <v>126</v>
      </c>
      <c r="B91" s="3" t="s">
        <v>106</v>
      </c>
      <c r="C91" s="4" t="n">
        <v>68</v>
      </c>
      <c r="D91" s="5"/>
      <c r="E91" s="5"/>
      <c r="F91" s="5" t="n">
        <v>300</v>
      </c>
      <c r="G91" s="3" t="str">
        <f aca="false">IF(OR(F91="",AND(D91="",E91="")),"n/a",IF(F91=E91,"mastered",IF(F91=D91,"normal","differs")))</f>
        <v>n/a</v>
      </c>
      <c r="H91" s="6" t="n">
        <v>39</v>
      </c>
      <c r="I91" s="6"/>
      <c r="J91" s="4" t="n">
        <v>8</v>
      </c>
      <c r="K91" s="4"/>
      <c r="L91" s="7" t="n">
        <v>7.8</v>
      </c>
      <c r="M91" s="8" t="n">
        <v>1.6</v>
      </c>
      <c r="N91" s="3" t="str">
        <f aca="false">IF(L91="","",IF(L91&lt;0,"negative profit",IF(L91&gt;Notes!$B$4,"unusually high - verify","")))</f>
        <v/>
      </c>
      <c r="O91" s="3" t="s">
        <v>21</v>
      </c>
      <c r="P91" s="3" t="str">
        <f aca="false">IF(O91&lt;&gt;"both",O91&amp;" only",IF(Q91="","agree","conflict"))</f>
        <v>hayday.info only</v>
      </c>
      <c r="Q91" s="3" t="str">
        <f aca="false">IF(O91="both",TRIM(IF(I91&lt;&gt;"","price ","")&amp;IF(K91&lt;&gt;"","xp ","")&amp;IF(G91="differs","time","")),"")</f>
        <v/>
      </c>
      <c r="R91" s="3" t="s">
        <v>22</v>
      </c>
      <c r="S91" s="3"/>
    </row>
    <row r="92" customFormat="false" ht="15" hidden="false" customHeight="false" outlineLevel="0" collapsed="false">
      <c r="A92" s="3" t="s">
        <v>127</v>
      </c>
      <c r="B92" s="3" t="s">
        <v>106</v>
      </c>
      <c r="C92" s="4" t="n">
        <v>70</v>
      </c>
      <c r="D92" s="5"/>
      <c r="E92" s="5"/>
      <c r="F92" s="5" t="n">
        <v>35</v>
      </c>
      <c r="G92" s="3" t="str">
        <f aca="false">IF(OR(F92="",AND(D92="",E92="")),"n/a",IF(F92=E92,"mastered",IF(F92=D92,"normal","differs")))</f>
        <v>n/a</v>
      </c>
      <c r="H92" s="6" t="n">
        <v>14</v>
      </c>
      <c r="I92" s="6"/>
      <c r="J92" s="4" t="n">
        <v>3</v>
      </c>
      <c r="K92" s="4"/>
      <c r="L92" s="7" t="n">
        <v>24</v>
      </c>
      <c r="M92" s="8" t="n">
        <v>5.142857143</v>
      </c>
      <c r="N92" s="3" t="str">
        <f aca="false">IF(L92="","",IF(L92&lt;0,"negative profit",IF(L92&gt;Notes!$B$4,"unusually high - verify","")))</f>
        <v/>
      </c>
      <c r="O92" s="3" t="s">
        <v>21</v>
      </c>
      <c r="P92" s="3" t="str">
        <f aca="false">IF(O92&lt;&gt;"both",O92&amp;" only",IF(Q92="","agree","conflict"))</f>
        <v>hayday.info only</v>
      </c>
      <c r="Q92" s="3" t="str">
        <f aca="false">IF(O92="both",TRIM(IF(I92&lt;&gt;"","price ","")&amp;IF(K92&lt;&gt;"","xp ","")&amp;IF(G92="differs","time","")),"")</f>
        <v/>
      </c>
      <c r="R92" s="3" t="s">
        <v>22</v>
      </c>
      <c r="S92" s="3"/>
    </row>
    <row r="93" customFormat="false" ht="15" hidden="false" customHeight="false" outlineLevel="0" collapsed="false">
      <c r="A93" s="3" t="s">
        <v>128</v>
      </c>
      <c r="B93" s="3" t="s">
        <v>106</v>
      </c>
      <c r="C93" s="4" t="n">
        <v>72</v>
      </c>
      <c r="D93" s="5"/>
      <c r="E93" s="5"/>
      <c r="F93" s="5" t="n">
        <v>40</v>
      </c>
      <c r="G93" s="3" t="str">
        <f aca="false">IF(OR(F93="",AND(D93="",E93="")),"n/a",IF(F93=E93,"mastered",IF(F93=D93,"normal","differs")))</f>
        <v>n/a</v>
      </c>
      <c r="H93" s="6" t="n">
        <v>14</v>
      </c>
      <c r="I93" s="6"/>
      <c r="J93" s="4" t="n">
        <v>3</v>
      </c>
      <c r="K93" s="4"/>
      <c r="L93" s="7" t="n">
        <v>21</v>
      </c>
      <c r="M93" s="8" t="n">
        <v>4.5</v>
      </c>
      <c r="N93" s="3" t="str">
        <f aca="false">IF(L93="","",IF(L93&lt;0,"negative profit",IF(L93&gt;Notes!$B$4,"unusually high - verify","")))</f>
        <v/>
      </c>
      <c r="O93" s="3" t="s">
        <v>21</v>
      </c>
      <c r="P93" s="3" t="str">
        <f aca="false">IF(O93&lt;&gt;"both",O93&amp;" only",IF(Q93="","agree","conflict"))</f>
        <v>hayday.info only</v>
      </c>
      <c r="Q93" s="3" t="str">
        <f aca="false">IF(O93="both",TRIM(IF(I93&lt;&gt;"","price ","")&amp;IF(K93&lt;&gt;"","xp ","")&amp;IF(G93="differs","time","")),"")</f>
        <v/>
      </c>
      <c r="R93" s="3" t="s">
        <v>22</v>
      </c>
      <c r="S93" s="3"/>
    </row>
    <row r="94" customFormat="false" ht="15" hidden="false" customHeight="false" outlineLevel="0" collapsed="false">
      <c r="A94" s="3" t="s">
        <v>129</v>
      </c>
      <c r="B94" s="3" t="s">
        <v>106</v>
      </c>
      <c r="C94" s="4" t="n">
        <v>74</v>
      </c>
      <c r="D94" s="5"/>
      <c r="E94" s="5"/>
      <c r="F94" s="5" t="n">
        <v>270</v>
      </c>
      <c r="G94" s="3" t="str">
        <f aca="false">IF(OR(F94="",AND(D94="",E94="")),"n/a",IF(F94=E94,"mastered",IF(F94=D94,"normal","differs")))</f>
        <v>n/a</v>
      </c>
      <c r="H94" s="6" t="n">
        <v>36</v>
      </c>
      <c r="I94" s="6"/>
      <c r="J94" s="4" t="n">
        <v>7</v>
      </c>
      <c r="K94" s="4"/>
      <c r="L94" s="7" t="n">
        <v>8</v>
      </c>
      <c r="M94" s="8" t="n">
        <v>1.555555556</v>
      </c>
      <c r="N94" s="3" t="str">
        <f aca="false">IF(L94="","",IF(L94&lt;0,"negative profit",IF(L94&gt;Notes!$B$4,"unusually high - verify","")))</f>
        <v/>
      </c>
      <c r="O94" s="3" t="s">
        <v>21</v>
      </c>
      <c r="P94" s="3" t="str">
        <f aca="false">IF(O94&lt;&gt;"both",O94&amp;" only",IF(Q94="","agree","conflict"))</f>
        <v>hayday.info only</v>
      </c>
      <c r="Q94" s="3" t="str">
        <f aca="false">IF(O94="both",TRIM(IF(I94&lt;&gt;"","price ","")&amp;IF(K94&lt;&gt;"","xp ","")&amp;IF(G94="differs","time","")),"")</f>
        <v/>
      </c>
      <c r="R94" s="3" t="s">
        <v>22</v>
      </c>
      <c r="S94" s="3"/>
    </row>
    <row r="95" customFormat="false" ht="15" hidden="false" customHeight="false" outlineLevel="0" collapsed="false">
      <c r="A95" s="3" t="s">
        <v>130</v>
      </c>
      <c r="B95" s="3" t="s">
        <v>106</v>
      </c>
      <c r="C95" s="4" t="n">
        <v>78</v>
      </c>
      <c r="D95" s="5"/>
      <c r="E95" s="5"/>
      <c r="F95" s="5" t="n">
        <v>150</v>
      </c>
      <c r="G95" s="3" t="str">
        <f aca="false">IF(OR(F95="",AND(D95="",E95="")),"n/a",IF(F95=E95,"mastered",IF(F95=D95,"normal","differs")))</f>
        <v>n/a</v>
      </c>
      <c r="H95" s="6" t="n">
        <v>28</v>
      </c>
      <c r="I95" s="6"/>
      <c r="J95" s="4" t="n">
        <v>6</v>
      </c>
      <c r="K95" s="4"/>
      <c r="L95" s="7" t="n">
        <v>11.2</v>
      </c>
      <c r="M95" s="8" t="n">
        <v>2.4</v>
      </c>
      <c r="N95" s="3" t="str">
        <f aca="false">IF(L95="","",IF(L95&lt;0,"negative profit",IF(L95&gt;Notes!$B$4,"unusually high - verify","")))</f>
        <v/>
      </c>
      <c r="O95" s="3" t="s">
        <v>21</v>
      </c>
      <c r="P95" s="3" t="str">
        <f aca="false">IF(O95&lt;&gt;"both",O95&amp;" only",IF(Q95="","agree","conflict"))</f>
        <v>hayday.info only</v>
      </c>
      <c r="Q95" s="3" t="str">
        <f aca="false">IF(O95="both",TRIM(IF(I95&lt;&gt;"","price ","")&amp;IF(K95&lt;&gt;"","xp ","")&amp;IF(G95="differs","time","")),"")</f>
        <v/>
      </c>
      <c r="R95" s="3" t="s">
        <v>22</v>
      </c>
      <c r="S95" s="3"/>
    </row>
    <row r="96" customFormat="false" ht="15" hidden="false" customHeight="false" outlineLevel="0" collapsed="false">
      <c r="A96" s="3" t="s">
        <v>131</v>
      </c>
      <c r="B96" s="3" t="s">
        <v>106</v>
      </c>
      <c r="C96" s="4" t="n">
        <v>80</v>
      </c>
      <c r="D96" s="5"/>
      <c r="E96" s="5"/>
      <c r="F96" s="5" t="n">
        <v>390</v>
      </c>
      <c r="G96" s="3" t="str">
        <f aca="false">IF(OR(F96="",AND(D96="",E96="")),"n/a",IF(F96=E96,"mastered",IF(F96=D96,"normal","differs")))</f>
        <v>n/a</v>
      </c>
      <c r="H96" s="6" t="n">
        <v>43</v>
      </c>
      <c r="I96" s="6"/>
      <c r="J96" s="4" t="n">
        <v>9</v>
      </c>
      <c r="K96" s="4"/>
      <c r="L96" s="7" t="n">
        <v>6.615384615</v>
      </c>
      <c r="M96" s="8" t="n">
        <v>1.384615385</v>
      </c>
      <c r="N96" s="3" t="str">
        <f aca="false">IF(L96="","",IF(L96&lt;0,"negative profit",IF(L96&gt;Notes!$B$4,"unusually high - verify","")))</f>
        <v/>
      </c>
      <c r="O96" s="3" t="s">
        <v>21</v>
      </c>
      <c r="P96" s="3" t="str">
        <f aca="false">IF(O96&lt;&gt;"both",O96&amp;" only",IF(Q96="","agree","conflict"))</f>
        <v>hayday.info only</v>
      </c>
      <c r="Q96" s="3" t="str">
        <f aca="false">IF(O96="both",TRIM(IF(I96&lt;&gt;"","price ","")&amp;IF(K96&lt;&gt;"","xp ","")&amp;IF(G96="differs","time","")),"")</f>
        <v/>
      </c>
      <c r="R96" s="3" t="s">
        <v>22</v>
      </c>
      <c r="S96" s="3"/>
    </row>
    <row r="97" customFormat="false" ht="15" hidden="false" customHeight="false" outlineLevel="0" collapsed="false">
      <c r="A97" s="3" t="s">
        <v>132</v>
      </c>
      <c r="B97" s="3" t="s">
        <v>106</v>
      </c>
      <c r="C97" s="4" t="n">
        <v>82</v>
      </c>
      <c r="D97" s="5"/>
      <c r="E97" s="5"/>
      <c r="F97" s="5" t="n">
        <v>240</v>
      </c>
      <c r="G97" s="3" t="str">
        <f aca="false">IF(OR(F97="",AND(D97="",E97="")),"n/a",IF(F97=E97,"mastered",IF(F97=D97,"normal","differs")))</f>
        <v>n/a</v>
      </c>
      <c r="H97" s="6" t="n">
        <v>36</v>
      </c>
      <c r="I97" s="6"/>
      <c r="J97" s="4" t="n">
        <v>7</v>
      </c>
      <c r="K97" s="4"/>
      <c r="L97" s="7" t="n">
        <v>9</v>
      </c>
      <c r="M97" s="8" t="n">
        <v>1.75</v>
      </c>
      <c r="N97" s="3" t="str">
        <f aca="false">IF(L97="","",IF(L97&lt;0,"negative profit",IF(L97&gt;Notes!$B$4,"unusually high - verify","")))</f>
        <v/>
      </c>
      <c r="O97" s="3" t="s">
        <v>21</v>
      </c>
      <c r="P97" s="3" t="str">
        <f aca="false">IF(O97&lt;&gt;"both",O97&amp;" only",IF(Q97="","agree","conflict"))</f>
        <v>hayday.info only</v>
      </c>
      <c r="Q97" s="3" t="str">
        <f aca="false">IF(O97="both",TRIM(IF(I97&lt;&gt;"","price ","")&amp;IF(K97&lt;&gt;"","xp ","")&amp;IF(G97="differs","time","")),"")</f>
        <v/>
      </c>
      <c r="R97" s="3" t="s">
        <v>22</v>
      </c>
      <c r="S97" s="3"/>
    </row>
    <row r="98" customFormat="false" ht="15" hidden="false" customHeight="false" outlineLevel="0" collapsed="false">
      <c r="A98" s="3" t="s">
        <v>133</v>
      </c>
      <c r="B98" s="3" t="s">
        <v>106</v>
      </c>
      <c r="C98" s="4" t="n">
        <v>83</v>
      </c>
      <c r="D98" s="5"/>
      <c r="E98" s="5"/>
      <c r="F98" s="5" t="n">
        <v>90</v>
      </c>
      <c r="G98" s="3" t="str">
        <f aca="false">IF(OR(F98="",AND(D98="",E98="")),"n/a",IF(F98=E98,"mastered",IF(F98=D98,"normal","differs")))</f>
        <v>n/a</v>
      </c>
      <c r="H98" s="6" t="n">
        <v>21</v>
      </c>
      <c r="I98" s="6"/>
      <c r="J98" s="4" t="n">
        <v>4</v>
      </c>
      <c r="K98" s="4"/>
      <c r="L98" s="7" t="n">
        <v>14</v>
      </c>
      <c r="M98" s="8" t="n">
        <v>2.666666667</v>
      </c>
      <c r="N98" s="3" t="str">
        <f aca="false">IF(L98="","",IF(L98&lt;0,"negative profit",IF(L98&gt;Notes!$B$4,"unusually high - verify","")))</f>
        <v/>
      </c>
      <c r="O98" s="3" t="s">
        <v>21</v>
      </c>
      <c r="P98" s="3" t="str">
        <f aca="false">IF(O98&lt;&gt;"both",O98&amp;" only",IF(Q98="","agree","conflict"))</f>
        <v>hayday.info only</v>
      </c>
      <c r="Q98" s="3" t="str">
        <f aca="false">IF(O98="both",TRIM(IF(I98&lt;&gt;"","price ","")&amp;IF(K98&lt;&gt;"","xp ","")&amp;IF(G98="differs","time","")),"")</f>
        <v/>
      </c>
      <c r="R98" s="3" t="s">
        <v>22</v>
      </c>
      <c r="S98" s="3"/>
    </row>
    <row r="99" customFormat="false" ht="15" hidden="false" customHeight="false" outlineLevel="0" collapsed="false">
      <c r="A99" s="3" t="s">
        <v>134</v>
      </c>
      <c r="B99" s="3" t="s">
        <v>106</v>
      </c>
      <c r="C99" s="4" t="n">
        <v>84</v>
      </c>
      <c r="D99" s="5"/>
      <c r="E99" s="5"/>
      <c r="F99" s="5" t="n">
        <v>180</v>
      </c>
      <c r="G99" s="3" t="str">
        <f aca="false">IF(OR(F99="",AND(D99="",E99="")),"n/a",IF(F99=E99,"mastered",IF(F99=D99,"normal","differs")))</f>
        <v>n/a</v>
      </c>
      <c r="H99" s="6" t="n">
        <v>32</v>
      </c>
      <c r="I99" s="6"/>
      <c r="J99" s="4" t="n">
        <v>6</v>
      </c>
      <c r="K99" s="4"/>
      <c r="L99" s="7" t="n">
        <v>10.66666667</v>
      </c>
      <c r="M99" s="8" t="n">
        <v>2</v>
      </c>
      <c r="N99" s="3" t="str">
        <f aca="false">IF(L99="","",IF(L99&lt;0,"negative profit",IF(L99&gt;Notes!$B$4,"unusually high - verify","")))</f>
        <v/>
      </c>
      <c r="O99" s="3" t="s">
        <v>21</v>
      </c>
      <c r="P99" s="3" t="str">
        <f aca="false">IF(O99&lt;&gt;"both",O99&amp;" only",IF(Q99="","agree","conflict"))</f>
        <v>hayday.info only</v>
      </c>
      <c r="Q99" s="3" t="str">
        <f aca="false">IF(O99="both",TRIM(IF(I99&lt;&gt;"","price ","")&amp;IF(K99&lt;&gt;"","xp ","")&amp;IF(G99="differs","time","")),"")</f>
        <v/>
      </c>
      <c r="R99" s="3" t="s">
        <v>22</v>
      </c>
      <c r="S99" s="3"/>
    </row>
    <row r="100" customFormat="false" ht="15" hidden="false" customHeight="false" outlineLevel="0" collapsed="false">
      <c r="A100" s="3" t="s">
        <v>135</v>
      </c>
      <c r="B100" s="3" t="s">
        <v>106</v>
      </c>
      <c r="C100" s="4" t="n">
        <v>85</v>
      </c>
      <c r="D100" s="5"/>
      <c r="E100" s="5"/>
      <c r="F100" s="5" t="n">
        <v>180</v>
      </c>
      <c r="G100" s="3" t="str">
        <f aca="false">IF(OR(F100="",AND(D100="",E100="")),"n/a",IF(F100=E100,"mastered",IF(F100=D100,"normal","differs")))</f>
        <v>n/a</v>
      </c>
      <c r="H100" s="6" t="n">
        <v>32</v>
      </c>
      <c r="I100" s="6"/>
      <c r="J100" s="4" t="n">
        <v>6</v>
      </c>
      <c r="K100" s="4"/>
      <c r="L100" s="7" t="n">
        <v>10.66666667</v>
      </c>
      <c r="M100" s="8" t="n">
        <v>2</v>
      </c>
      <c r="N100" s="3" t="str">
        <f aca="false">IF(L100="","",IF(L100&lt;0,"negative profit",IF(L100&gt;Notes!$B$4,"unusually high - verify","")))</f>
        <v/>
      </c>
      <c r="O100" s="3" t="s">
        <v>21</v>
      </c>
      <c r="P100" s="3" t="str">
        <f aca="false">IF(O100&lt;&gt;"both",O100&amp;" only",IF(Q100="","agree","conflict"))</f>
        <v>hayday.info only</v>
      </c>
      <c r="Q100" s="3" t="str">
        <f aca="false">IF(O100="both",TRIM(IF(I100&lt;&gt;"","price ","")&amp;IF(K100&lt;&gt;"","xp ","")&amp;IF(G100="differs","time","")),"")</f>
        <v/>
      </c>
      <c r="R100" s="3" t="s">
        <v>22</v>
      </c>
      <c r="S100" s="3"/>
    </row>
    <row r="101" customFormat="false" ht="15" hidden="false" customHeight="false" outlineLevel="0" collapsed="false">
      <c r="A101" s="3" t="s">
        <v>136</v>
      </c>
      <c r="B101" s="3" t="s">
        <v>106</v>
      </c>
      <c r="C101" s="4" t="n">
        <v>88</v>
      </c>
      <c r="D101" s="5"/>
      <c r="E101" s="5"/>
      <c r="F101" s="5" t="n">
        <v>60</v>
      </c>
      <c r="G101" s="3" t="str">
        <f aca="false">IF(OR(F101="",AND(D101="",E101="")),"n/a",IF(F101=E101,"mastered",IF(F101=D101,"normal","differs")))</f>
        <v>n/a</v>
      </c>
      <c r="H101" s="6" t="n">
        <v>18</v>
      </c>
      <c r="I101" s="6"/>
      <c r="J101" s="4" t="n">
        <v>4</v>
      </c>
      <c r="K101" s="4"/>
      <c r="L101" s="7" t="n">
        <v>18</v>
      </c>
      <c r="M101" s="8" t="n">
        <v>4</v>
      </c>
      <c r="N101" s="3" t="str">
        <f aca="false">IF(L101="","",IF(L101&lt;0,"negative profit",IF(L101&gt;Notes!$B$4,"unusually high - verify","")))</f>
        <v/>
      </c>
      <c r="O101" s="3" t="s">
        <v>21</v>
      </c>
      <c r="P101" s="3" t="str">
        <f aca="false">IF(O101&lt;&gt;"both",O101&amp;" only",IF(Q101="","agree","conflict"))</f>
        <v>hayday.info only</v>
      </c>
      <c r="Q101" s="3" t="str">
        <f aca="false">IF(O101="both",TRIM(IF(I101&lt;&gt;"","price ","")&amp;IF(K101&lt;&gt;"","xp ","")&amp;IF(G101="differs","time","")),"")</f>
        <v/>
      </c>
      <c r="R101" s="3" t="s">
        <v>22</v>
      </c>
      <c r="S101" s="3"/>
    </row>
    <row r="102" customFormat="false" ht="15" hidden="false" customHeight="false" outlineLevel="0" collapsed="false">
      <c r="A102" s="3" t="s">
        <v>137</v>
      </c>
      <c r="B102" s="3" t="s">
        <v>106</v>
      </c>
      <c r="C102" s="4" t="n">
        <v>89</v>
      </c>
      <c r="D102" s="5"/>
      <c r="E102" s="5"/>
      <c r="F102" s="5" t="n">
        <v>20</v>
      </c>
      <c r="G102" s="3" t="str">
        <f aca="false">IF(OR(F102="",AND(D102="",E102="")),"n/a",IF(F102=E102,"mastered",IF(F102=D102,"normal","differs")))</f>
        <v>n/a</v>
      </c>
      <c r="H102" s="6" t="n">
        <v>10</v>
      </c>
      <c r="I102" s="6"/>
      <c r="J102" s="4" t="n">
        <v>2</v>
      </c>
      <c r="K102" s="4"/>
      <c r="L102" s="7" t="n">
        <v>30</v>
      </c>
      <c r="M102" s="8" t="n">
        <v>6</v>
      </c>
      <c r="N102" s="3" t="str">
        <f aca="false">IF(L102="","",IF(L102&lt;0,"negative profit",IF(L102&gt;Notes!$B$4,"unusually high - verify","")))</f>
        <v/>
      </c>
      <c r="O102" s="3" t="s">
        <v>21</v>
      </c>
      <c r="P102" s="3" t="str">
        <f aca="false">IF(O102&lt;&gt;"both",O102&amp;" only",IF(Q102="","agree","conflict"))</f>
        <v>hayday.info only</v>
      </c>
      <c r="Q102" s="3" t="str">
        <f aca="false">IF(O102="both",TRIM(IF(I102&lt;&gt;"","price ","")&amp;IF(K102&lt;&gt;"","xp ","")&amp;IF(G102="differs","time","")),"")</f>
        <v/>
      </c>
      <c r="R102" s="3" t="s">
        <v>22</v>
      </c>
      <c r="S102" s="3"/>
    </row>
    <row r="103" customFormat="false" ht="15" hidden="false" customHeight="false" outlineLevel="0" collapsed="false">
      <c r="A103" s="3" t="s">
        <v>138</v>
      </c>
      <c r="B103" s="3" t="s">
        <v>106</v>
      </c>
      <c r="C103" s="4" t="n">
        <v>90</v>
      </c>
      <c r="D103" s="5"/>
      <c r="E103" s="5"/>
      <c r="F103" s="5" t="n">
        <v>40</v>
      </c>
      <c r="G103" s="3" t="str">
        <f aca="false">IF(OR(F103="",AND(D103="",E103="")),"n/a",IF(F103=E103,"mastered",IF(F103=D103,"normal","differs")))</f>
        <v>n/a</v>
      </c>
      <c r="H103" s="6" t="n">
        <v>14</v>
      </c>
      <c r="I103" s="6"/>
      <c r="J103" s="4" t="n">
        <v>3</v>
      </c>
      <c r="K103" s="4"/>
      <c r="L103" s="7" t="n">
        <v>21</v>
      </c>
      <c r="M103" s="8" t="n">
        <v>4.5</v>
      </c>
      <c r="N103" s="3" t="str">
        <f aca="false">IF(L103="","",IF(L103&lt;0,"negative profit",IF(L103&gt;Notes!$B$4,"unusually high - verify","")))</f>
        <v/>
      </c>
      <c r="O103" s="3" t="s">
        <v>21</v>
      </c>
      <c r="P103" s="3" t="str">
        <f aca="false">IF(O103&lt;&gt;"both",O103&amp;" only",IF(Q103="","agree","conflict"))</f>
        <v>hayday.info only</v>
      </c>
      <c r="Q103" s="3" t="str">
        <f aca="false">IF(O103="both",TRIM(IF(I103&lt;&gt;"","price ","")&amp;IF(K103&lt;&gt;"","xp ","")&amp;IF(G103="differs","time","")),"")</f>
        <v/>
      </c>
      <c r="R103" s="3" t="s">
        <v>22</v>
      </c>
      <c r="S103" s="3"/>
    </row>
    <row r="104" customFormat="false" ht="15" hidden="false" customHeight="false" outlineLevel="0" collapsed="false">
      <c r="A104" s="3" t="s">
        <v>139</v>
      </c>
      <c r="B104" s="3" t="s">
        <v>106</v>
      </c>
      <c r="C104" s="4" t="n">
        <v>92</v>
      </c>
      <c r="D104" s="5"/>
      <c r="E104" s="5"/>
      <c r="F104" s="5" t="n">
        <v>300</v>
      </c>
      <c r="G104" s="3" t="str">
        <f aca="false">IF(OR(F104="",AND(D104="",E104="")),"n/a",IF(F104=E104,"mastered",IF(F104=D104,"normal","differs")))</f>
        <v>n/a</v>
      </c>
      <c r="H104" s="6" t="n">
        <v>39</v>
      </c>
      <c r="I104" s="6"/>
      <c r="J104" s="4" t="n">
        <v>8</v>
      </c>
      <c r="K104" s="4"/>
      <c r="L104" s="7" t="n">
        <v>7.8</v>
      </c>
      <c r="M104" s="8" t="n">
        <v>1.6</v>
      </c>
      <c r="N104" s="3" t="str">
        <f aca="false">IF(L104="","",IF(L104&lt;0,"negative profit",IF(L104&gt;Notes!$B$4,"unusually high - verify","")))</f>
        <v/>
      </c>
      <c r="O104" s="3" t="s">
        <v>21</v>
      </c>
      <c r="P104" s="3" t="str">
        <f aca="false">IF(O104&lt;&gt;"both",O104&amp;" only",IF(Q104="","agree","conflict"))</f>
        <v>hayday.info only</v>
      </c>
      <c r="Q104" s="3" t="str">
        <f aca="false">IF(O104="both",TRIM(IF(I104&lt;&gt;"","price ","")&amp;IF(K104&lt;&gt;"","xp ","")&amp;IF(G104="differs","time","")),"")</f>
        <v/>
      </c>
      <c r="R104" s="3" t="s">
        <v>22</v>
      </c>
      <c r="S104" s="3"/>
    </row>
    <row r="105" customFormat="false" ht="15" hidden="false" customHeight="false" outlineLevel="0" collapsed="false">
      <c r="A105" s="3" t="s">
        <v>140</v>
      </c>
      <c r="B105" s="3" t="s">
        <v>106</v>
      </c>
      <c r="C105" s="4" t="n">
        <v>94</v>
      </c>
      <c r="D105" s="5"/>
      <c r="E105" s="5"/>
      <c r="F105" s="5" t="n">
        <v>110</v>
      </c>
      <c r="G105" s="3" t="str">
        <f aca="false">IF(OR(F105="",AND(D105="",E105="")),"n/a",IF(F105=E105,"mastered",IF(F105=D105,"normal","differs")))</f>
        <v>n/a</v>
      </c>
      <c r="H105" s="6" t="n">
        <v>18</v>
      </c>
      <c r="I105" s="6"/>
      <c r="J105" s="4" t="n">
        <v>5</v>
      </c>
      <c r="K105" s="4"/>
      <c r="L105" s="7" t="n">
        <v>9.818181818</v>
      </c>
      <c r="M105" s="8" t="n">
        <v>2.727272727</v>
      </c>
      <c r="N105" s="3" t="str">
        <f aca="false">IF(L105="","",IF(L105&lt;0,"negative profit",IF(L105&gt;Notes!$B$4,"unusually high - verify","")))</f>
        <v/>
      </c>
      <c r="O105" s="3" t="s">
        <v>21</v>
      </c>
      <c r="P105" s="3" t="str">
        <f aca="false">IF(O105&lt;&gt;"both",O105&amp;" only",IF(Q105="","agree","conflict"))</f>
        <v>hayday.info only</v>
      </c>
      <c r="Q105" s="3" t="str">
        <f aca="false">IF(O105="both",TRIM(IF(I105&lt;&gt;"","price ","")&amp;IF(K105&lt;&gt;"","xp ","")&amp;IF(G105="differs","time","")),"")</f>
        <v/>
      </c>
      <c r="R105" s="3" t="s">
        <v>22</v>
      </c>
      <c r="S105" s="3"/>
    </row>
    <row r="106" customFormat="false" ht="15" hidden="false" customHeight="false" outlineLevel="0" collapsed="false">
      <c r="A106" s="3" t="s">
        <v>141</v>
      </c>
      <c r="B106" s="3" t="s">
        <v>106</v>
      </c>
      <c r="C106" s="4" t="n">
        <v>95</v>
      </c>
      <c r="D106" s="5"/>
      <c r="E106" s="5"/>
      <c r="F106" s="5" t="n">
        <v>60</v>
      </c>
      <c r="G106" s="3" t="str">
        <f aca="false">IF(OR(F106="",AND(D106="",E106="")),"n/a",IF(F106=E106,"mastered",IF(F106=D106,"normal","differs")))</f>
        <v>n/a</v>
      </c>
      <c r="H106" s="6" t="n">
        <v>18</v>
      </c>
      <c r="I106" s="6"/>
      <c r="J106" s="4" t="n">
        <v>4</v>
      </c>
      <c r="K106" s="4"/>
      <c r="L106" s="7" t="n">
        <v>18</v>
      </c>
      <c r="M106" s="8" t="n">
        <v>4</v>
      </c>
      <c r="N106" s="3" t="str">
        <f aca="false">IF(L106="","",IF(L106&lt;0,"negative profit",IF(L106&gt;Notes!$B$4,"unusually high - verify","")))</f>
        <v/>
      </c>
      <c r="O106" s="3" t="s">
        <v>21</v>
      </c>
      <c r="P106" s="3" t="str">
        <f aca="false">IF(O106&lt;&gt;"both",O106&amp;" only",IF(Q106="","agree","conflict"))</f>
        <v>hayday.info only</v>
      </c>
      <c r="Q106" s="3" t="str">
        <f aca="false">IF(O106="both",TRIM(IF(I106&lt;&gt;"","price ","")&amp;IF(K106&lt;&gt;"","xp ","")&amp;IF(G106="differs","time","")),"")</f>
        <v/>
      </c>
      <c r="R106" s="3" t="s">
        <v>22</v>
      </c>
      <c r="S106" s="3"/>
    </row>
    <row r="107" customFormat="false" ht="15" hidden="false" customHeight="false" outlineLevel="0" collapsed="false">
      <c r="A107" s="3" t="s">
        <v>142</v>
      </c>
      <c r="B107" s="3" t="s">
        <v>143</v>
      </c>
      <c r="C107" s="4" t="n">
        <v>109</v>
      </c>
      <c r="D107" s="5"/>
      <c r="E107" s="5"/>
      <c r="F107" s="5" t="n">
        <v>70</v>
      </c>
      <c r="G107" s="3" t="str">
        <f aca="false">IF(OR(F107="",AND(D107="",E107="")),"n/a",IF(F107=E107,"mastered",IF(F107=D107,"normal","differs")))</f>
        <v>n/a</v>
      </c>
      <c r="H107" s="6" t="n">
        <v>583</v>
      </c>
      <c r="I107" s="6"/>
      <c r="J107" s="4" t="n">
        <v>70</v>
      </c>
      <c r="K107" s="4"/>
      <c r="L107" s="7" t="n">
        <v>26.57142857</v>
      </c>
      <c r="M107" s="8" t="n">
        <v>60</v>
      </c>
      <c r="N107" s="3" t="str">
        <f aca="false">IF(L107="","",IF(L107&lt;0,"negative profit",IF(L107&gt;Notes!$B$4,"unusually high - verify","")))</f>
        <v/>
      </c>
      <c r="O107" s="3" t="s">
        <v>21</v>
      </c>
      <c r="P107" s="3" t="str">
        <f aca="false">IF(O107&lt;&gt;"both",O107&amp;" only",IF(Q107="","agree","conflict"))</f>
        <v>hayday.info only</v>
      </c>
      <c r="Q107" s="3" t="str">
        <f aca="false">IF(O107="both",TRIM(IF(I107&lt;&gt;"","price ","")&amp;IF(K107&lt;&gt;"","xp ","")&amp;IF(G107="differs","time","")),"")</f>
        <v/>
      </c>
      <c r="R107" s="3" t="s">
        <v>22</v>
      </c>
      <c r="S107" s="3"/>
    </row>
    <row r="108" customFormat="false" ht="15" hidden="false" customHeight="false" outlineLevel="0" collapsed="false">
      <c r="A108" s="3" t="s">
        <v>144</v>
      </c>
      <c r="B108" s="3" t="s">
        <v>143</v>
      </c>
      <c r="C108" s="4" t="n">
        <v>109</v>
      </c>
      <c r="D108" s="5"/>
      <c r="E108" s="5"/>
      <c r="F108" s="5" t="n">
        <v>40</v>
      </c>
      <c r="G108" s="3" t="str">
        <f aca="false">IF(OR(F108="",AND(D108="",E108="")),"n/a",IF(F108=E108,"mastered",IF(F108=D108,"normal","differs")))</f>
        <v>n/a</v>
      </c>
      <c r="H108" s="6" t="n">
        <v>280</v>
      </c>
      <c r="I108" s="6"/>
      <c r="J108" s="4" t="n">
        <v>34</v>
      </c>
      <c r="K108" s="4"/>
      <c r="L108" s="7" t="n">
        <v>43.5</v>
      </c>
      <c r="M108" s="8" t="n">
        <v>51</v>
      </c>
      <c r="N108" s="3" t="str">
        <f aca="false">IF(L108="","",IF(L108&lt;0,"negative profit",IF(L108&gt;Notes!$B$4,"unusually high - verify","")))</f>
        <v/>
      </c>
      <c r="O108" s="3" t="s">
        <v>21</v>
      </c>
      <c r="P108" s="3" t="str">
        <f aca="false">IF(O108&lt;&gt;"both",O108&amp;" only",IF(Q108="","agree","conflict"))</f>
        <v>hayday.info only</v>
      </c>
      <c r="Q108" s="3" t="str">
        <f aca="false">IF(O108="both",TRIM(IF(I108&lt;&gt;"","price ","")&amp;IF(K108&lt;&gt;"","xp ","")&amp;IF(G108="differs","time","")),"")</f>
        <v/>
      </c>
      <c r="R108" s="3" t="s">
        <v>22</v>
      </c>
      <c r="S108" s="3"/>
    </row>
    <row r="109" customFormat="false" ht="15" hidden="false" customHeight="false" outlineLevel="0" collapsed="false">
      <c r="A109" s="3" t="s">
        <v>145</v>
      </c>
      <c r="B109" s="3" t="s">
        <v>143</v>
      </c>
      <c r="C109" s="4" t="n">
        <v>112</v>
      </c>
      <c r="D109" s="5"/>
      <c r="E109" s="5"/>
      <c r="F109" s="5" t="n">
        <v>90</v>
      </c>
      <c r="G109" s="3" t="str">
        <f aca="false">IF(OR(F109="",AND(D109="",E109="")),"n/a",IF(F109=E109,"mastered",IF(F109=D109,"normal","differs")))</f>
        <v>n/a</v>
      </c>
      <c r="H109" s="6" t="n">
        <v>572</v>
      </c>
      <c r="I109" s="6"/>
      <c r="J109" s="4" t="n">
        <v>68</v>
      </c>
      <c r="K109" s="4"/>
      <c r="L109" s="7" t="n">
        <v>22.66666667</v>
      </c>
      <c r="M109" s="8" t="n">
        <v>45.33333333</v>
      </c>
      <c r="N109" s="3" t="str">
        <f aca="false">IF(L109="","",IF(L109&lt;0,"negative profit",IF(L109&gt;Notes!$B$4,"unusually high - verify","")))</f>
        <v/>
      </c>
      <c r="O109" s="3" t="s">
        <v>21</v>
      </c>
      <c r="P109" s="3" t="str">
        <f aca="false">IF(O109&lt;&gt;"both",O109&amp;" only",IF(Q109="","agree","conflict"))</f>
        <v>hayday.info only</v>
      </c>
      <c r="Q109" s="3" t="str">
        <f aca="false">IF(O109="both",TRIM(IF(I109&lt;&gt;"","price ","")&amp;IF(K109&lt;&gt;"","xp ","")&amp;IF(G109="differs","time","")),"")</f>
        <v/>
      </c>
      <c r="R109" s="3" t="s">
        <v>22</v>
      </c>
      <c r="S109" s="3"/>
    </row>
    <row r="110" customFormat="false" ht="15" hidden="false" customHeight="false" outlineLevel="0" collapsed="false">
      <c r="A110" s="3" t="s">
        <v>146</v>
      </c>
      <c r="B110" s="3" t="s">
        <v>143</v>
      </c>
      <c r="C110" s="4" t="n">
        <v>114</v>
      </c>
      <c r="D110" s="5"/>
      <c r="E110" s="5"/>
      <c r="F110" s="5" t="n">
        <v>120</v>
      </c>
      <c r="G110" s="3" t="str">
        <f aca="false">IF(OR(F110="",AND(D110="",E110="")),"n/a",IF(F110=E110,"mastered",IF(F110=D110,"normal","differs")))</f>
        <v>n/a</v>
      </c>
      <c r="H110" s="6" t="n">
        <v>712</v>
      </c>
      <c r="I110" s="6"/>
      <c r="J110" s="4" t="n">
        <v>85</v>
      </c>
      <c r="K110" s="4"/>
      <c r="L110" s="7" t="n">
        <v>69</v>
      </c>
      <c r="M110" s="8" t="n">
        <v>42.5</v>
      </c>
      <c r="N110" s="3" t="str">
        <f aca="false">IF(L110="","",IF(L110&lt;0,"negative profit",IF(L110&gt;Notes!$B$4,"unusually high - verify","")))</f>
        <v/>
      </c>
      <c r="O110" s="3" t="s">
        <v>21</v>
      </c>
      <c r="P110" s="3" t="str">
        <f aca="false">IF(O110&lt;&gt;"both",O110&amp;" only",IF(Q110="","agree","conflict"))</f>
        <v>hayday.info only</v>
      </c>
      <c r="Q110" s="3" t="str">
        <f aca="false">IF(O110="both",TRIM(IF(I110&lt;&gt;"","price ","")&amp;IF(K110&lt;&gt;"","xp ","")&amp;IF(G110="differs","time","")),"")</f>
        <v/>
      </c>
      <c r="R110" s="3" t="s">
        <v>22</v>
      </c>
      <c r="S110" s="3"/>
    </row>
    <row r="111" customFormat="false" ht="15" hidden="false" customHeight="false" outlineLevel="0" collapsed="false">
      <c r="A111" s="3" t="s">
        <v>147</v>
      </c>
      <c r="B111" s="3" t="s">
        <v>148</v>
      </c>
      <c r="C111" s="4" t="n">
        <v>6</v>
      </c>
      <c r="D111" s="5" t="n">
        <v>20</v>
      </c>
      <c r="E111" s="5" t="n">
        <v>17</v>
      </c>
      <c r="F111" s="5" t="n">
        <v>17</v>
      </c>
      <c r="G111" s="3" t="str">
        <f aca="false">IF(OR(F111="",AND(D111="",E111="")),"n/a",IF(F111=E111,"mastered",IF(F111=D111,"normal","differs")))</f>
        <v>mastered</v>
      </c>
      <c r="H111" s="6" t="n">
        <v>50</v>
      </c>
      <c r="I111" s="6"/>
      <c r="J111" s="4" t="n">
        <v>6</v>
      </c>
      <c r="K111" s="4"/>
      <c r="L111" s="7" t="n">
        <v>63.52941176</v>
      </c>
      <c r="M111" s="8" t="n">
        <v>21.17647059</v>
      </c>
      <c r="N111" s="3" t="str">
        <f aca="false">IF(L111="","",IF(L111&lt;0,"negative profit",IF(L111&gt;Notes!$B$4,"unusually high - verify","")))</f>
        <v/>
      </c>
      <c r="O111" s="3" t="s">
        <v>29</v>
      </c>
      <c r="P111" s="3" t="str">
        <f aca="false">IF(O111&lt;&gt;"both",O111&amp;" only",IF(Q111="","agree","conflict"))</f>
        <v>agree</v>
      </c>
      <c r="Q111" s="3" t="str">
        <f aca="false">IF(O111="both",TRIM(IF(I111&lt;&gt;"","price ","")&amp;IF(K111&lt;&gt;"","xp ","")&amp;IF(G111="differs","time","")),"")</f>
        <v/>
      </c>
      <c r="R111" s="3" t="s">
        <v>30</v>
      </c>
      <c r="S111" s="3" t="s">
        <v>149</v>
      </c>
    </row>
    <row r="112" customFormat="false" ht="15" hidden="false" customHeight="false" outlineLevel="0" collapsed="false">
      <c r="A112" s="3" t="s">
        <v>150</v>
      </c>
      <c r="B112" s="3" t="s">
        <v>148</v>
      </c>
      <c r="C112" s="4" t="n">
        <v>9</v>
      </c>
      <c r="D112" s="5" t="n">
        <v>30</v>
      </c>
      <c r="E112" s="5" t="n">
        <v>25</v>
      </c>
      <c r="F112" s="5" t="n">
        <v>25</v>
      </c>
      <c r="G112" s="3" t="str">
        <f aca="false">IF(OR(F112="",AND(D112="",E112="")),"n/a",IF(F112=E112,"mastered",IF(F112=D112,"normal","differs")))</f>
        <v>mastered</v>
      </c>
      <c r="H112" s="6" t="n">
        <v>82</v>
      </c>
      <c r="I112" s="6"/>
      <c r="J112" s="4" t="n">
        <v>10</v>
      </c>
      <c r="K112" s="4"/>
      <c r="L112" s="7" t="n">
        <v>42.35294118</v>
      </c>
      <c r="M112" s="8" t="n">
        <v>23.52941176</v>
      </c>
      <c r="N112" s="3" t="str">
        <f aca="false">IF(L112="","",IF(L112&lt;0,"negative profit",IF(L112&gt;Notes!$B$4,"unusually high - verify","")))</f>
        <v/>
      </c>
      <c r="O112" s="3" t="s">
        <v>29</v>
      </c>
      <c r="P112" s="3" t="str">
        <f aca="false">IF(O112&lt;&gt;"both",O112&amp;" only",IF(Q112="","agree","conflict"))</f>
        <v>agree</v>
      </c>
      <c r="Q112" s="3" t="str">
        <f aca="false">IF(O112="both",TRIM(IF(I112&lt;&gt;"","price ","")&amp;IF(K112&lt;&gt;"","xp ","")&amp;IF(G112="differs","time","")),"")</f>
        <v/>
      </c>
      <c r="R112" s="3" t="s">
        <v>30</v>
      </c>
      <c r="S112" s="3" t="s">
        <v>149</v>
      </c>
    </row>
    <row r="113" customFormat="false" ht="15" hidden="false" customHeight="false" outlineLevel="0" collapsed="false">
      <c r="A113" s="3" t="s">
        <v>151</v>
      </c>
      <c r="B113" s="3" t="s">
        <v>148</v>
      </c>
      <c r="C113" s="4" t="n">
        <v>12</v>
      </c>
      <c r="D113" s="5" t="n">
        <v>60</v>
      </c>
      <c r="E113" s="5" t="n">
        <v>51</v>
      </c>
      <c r="F113" s="5" t="n">
        <v>51</v>
      </c>
      <c r="G113" s="3" t="str">
        <f aca="false">IF(OR(F113="",AND(D113="",E113="")),"n/a",IF(F113=E113,"mastered",IF(F113=D113,"normal","differs")))</f>
        <v>mastered</v>
      </c>
      <c r="H113" s="6" t="n">
        <v>122</v>
      </c>
      <c r="I113" s="6"/>
      <c r="J113" s="4" t="n">
        <v>15</v>
      </c>
      <c r="K113" s="4"/>
      <c r="L113" s="7" t="n">
        <v>30.58823529</v>
      </c>
      <c r="M113" s="8" t="n">
        <v>17.64705882</v>
      </c>
      <c r="N113" s="3" t="str">
        <f aca="false">IF(L113="","",IF(L113&lt;0,"negative profit",IF(L113&gt;Notes!$B$4,"unusually high - verify","")))</f>
        <v/>
      </c>
      <c r="O113" s="3" t="s">
        <v>29</v>
      </c>
      <c r="P113" s="3" t="str">
        <f aca="false">IF(O113&lt;&gt;"both",O113&amp;" only",IF(Q113="","agree","conflict"))</f>
        <v>agree</v>
      </c>
      <c r="Q113" s="3" t="str">
        <f aca="false">IF(O113="both",TRIM(IF(I113&lt;&gt;"","price ","")&amp;IF(K113&lt;&gt;"","xp ","")&amp;IF(G113="differs","time","")),"")</f>
        <v/>
      </c>
      <c r="R113" s="3" t="s">
        <v>30</v>
      </c>
      <c r="S113" s="3" t="s">
        <v>149</v>
      </c>
    </row>
    <row r="114" customFormat="false" ht="15" hidden="false" customHeight="false" outlineLevel="0" collapsed="false">
      <c r="A114" s="3" t="s">
        <v>152</v>
      </c>
      <c r="B114" s="3" t="s">
        <v>148</v>
      </c>
      <c r="C114" s="4" t="n">
        <v>33</v>
      </c>
      <c r="D114" s="5" t="n">
        <v>90</v>
      </c>
      <c r="E114" s="5" t="n">
        <v>76</v>
      </c>
      <c r="F114" s="5" t="n">
        <v>76</v>
      </c>
      <c r="G114" s="3" t="str">
        <f aca="false">IF(OR(F114="",AND(D114="",E114="")),"n/a",IF(F114=E114,"mastered",IF(F114=D114,"normal","differs")))</f>
        <v>mastered</v>
      </c>
      <c r="H114" s="6" t="n">
        <v>162</v>
      </c>
      <c r="I114" s="6"/>
      <c r="J114" s="4" t="n">
        <v>19</v>
      </c>
      <c r="K114" s="4"/>
      <c r="L114" s="7" t="n">
        <v>26.66666667</v>
      </c>
      <c r="M114" s="8" t="n">
        <v>14.90196078</v>
      </c>
      <c r="N114" s="3" t="str">
        <f aca="false">IF(L114="","",IF(L114&lt;0,"negative profit",IF(L114&gt;Notes!$B$4,"unusually high - verify","")))</f>
        <v/>
      </c>
      <c r="O114" s="3" t="s">
        <v>29</v>
      </c>
      <c r="P114" s="3" t="str">
        <f aca="false">IF(O114&lt;&gt;"both",O114&amp;" only",IF(Q114="","agree","conflict"))</f>
        <v>agree</v>
      </c>
      <c r="Q114" s="3" t="str">
        <f aca="false">IF(O114="both",TRIM(IF(I114&lt;&gt;"","price ","")&amp;IF(K114&lt;&gt;"","xp ","")&amp;IF(G114="differs","time","")),"")</f>
        <v/>
      </c>
      <c r="R114" s="3" t="s">
        <v>30</v>
      </c>
      <c r="S114" s="3" t="s">
        <v>149</v>
      </c>
    </row>
    <row r="115" customFormat="false" ht="15" hidden="false" customHeight="false" outlineLevel="0" collapsed="false">
      <c r="A115" s="3" t="s">
        <v>153</v>
      </c>
      <c r="B115" s="3" t="s">
        <v>154</v>
      </c>
      <c r="C115" s="4" t="n">
        <v>87</v>
      </c>
      <c r="D115" s="5"/>
      <c r="E115" s="5"/>
      <c r="F115" s="5" t="n">
        <v>21</v>
      </c>
      <c r="G115" s="3" t="str">
        <f aca="false">IF(OR(F115="",AND(D115="",E115="")),"n/a",IF(F115=E115,"mastered",IF(F115=D115,"normal","differs")))</f>
        <v>n/a</v>
      </c>
      <c r="H115" s="6" t="n">
        <v>302</v>
      </c>
      <c r="I115" s="6"/>
      <c r="J115" s="4" t="n">
        <v>36</v>
      </c>
      <c r="K115" s="4"/>
      <c r="L115" s="7" t="n">
        <v>22.58823529</v>
      </c>
      <c r="M115" s="8" t="n">
        <v>101.6470588</v>
      </c>
      <c r="N115" s="3" t="str">
        <f aca="false">IF(L115="","",IF(L115&lt;0,"negative profit",IF(L115&gt;Notes!$B$4,"unusually high - verify","")))</f>
        <v/>
      </c>
      <c r="O115" s="3" t="s">
        <v>21</v>
      </c>
      <c r="P115" s="3" t="str">
        <f aca="false">IF(O115&lt;&gt;"both",O115&amp;" only",IF(Q115="","agree","conflict"))</f>
        <v>hayday.info only</v>
      </c>
      <c r="Q115" s="3" t="str">
        <f aca="false">IF(O115="both",TRIM(IF(I115&lt;&gt;"","price ","")&amp;IF(K115&lt;&gt;"","xp ","")&amp;IF(G115="differs","time","")),"")</f>
        <v/>
      </c>
      <c r="R115" s="3" t="s">
        <v>22</v>
      </c>
      <c r="S115" s="3"/>
    </row>
    <row r="116" customFormat="false" ht="15" hidden="false" customHeight="false" outlineLevel="0" collapsed="false">
      <c r="A116" s="3" t="s">
        <v>155</v>
      </c>
      <c r="B116" s="3" t="s">
        <v>154</v>
      </c>
      <c r="C116" s="4" t="n">
        <v>91</v>
      </c>
      <c r="D116" s="5"/>
      <c r="E116" s="5"/>
      <c r="F116" s="5" t="n">
        <v>17</v>
      </c>
      <c r="G116" s="3" t="str">
        <f aca="false">IF(OR(F116="",AND(D116="",E116="")),"n/a",IF(F116=E116,"mastered",IF(F116=D116,"normal","differs")))</f>
        <v>n/a</v>
      </c>
      <c r="H116" s="6" t="n">
        <v>295</v>
      </c>
      <c r="I116" s="6"/>
      <c r="J116" s="4" t="n">
        <v>35</v>
      </c>
      <c r="K116" s="4"/>
      <c r="L116" s="7" t="n">
        <v>88.23529412</v>
      </c>
      <c r="M116" s="8" t="n">
        <v>123.5294118</v>
      </c>
      <c r="N116" s="3" t="str">
        <f aca="false">IF(L116="","",IF(L116&lt;0,"negative profit",IF(L116&gt;Notes!$B$4,"unusually high - verify","")))</f>
        <v/>
      </c>
      <c r="O116" s="3" t="s">
        <v>21</v>
      </c>
      <c r="P116" s="3" t="str">
        <f aca="false">IF(O116&lt;&gt;"both",O116&amp;" only",IF(Q116="","agree","conflict"))</f>
        <v>hayday.info only</v>
      </c>
      <c r="Q116" s="3" t="str">
        <f aca="false">IF(O116="both",TRIM(IF(I116&lt;&gt;"","price ","")&amp;IF(K116&lt;&gt;"","xp ","")&amp;IF(G116="differs","time","")),"")</f>
        <v/>
      </c>
      <c r="R116" s="3" t="s">
        <v>22</v>
      </c>
      <c r="S116" s="3"/>
    </row>
    <row r="117" customFormat="false" ht="15" hidden="false" customHeight="false" outlineLevel="0" collapsed="false">
      <c r="A117" s="3" t="s">
        <v>156</v>
      </c>
      <c r="B117" s="3" t="s">
        <v>154</v>
      </c>
      <c r="C117" s="4" t="n">
        <v>98</v>
      </c>
      <c r="D117" s="5"/>
      <c r="E117" s="5"/>
      <c r="F117" s="5" t="n">
        <v>34</v>
      </c>
      <c r="G117" s="3" t="str">
        <f aca="false">IF(OR(F117="",AND(D117="",E117="")),"n/a",IF(F117=E117,"mastered",IF(F117=D117,"normal","differs")))</f>
        <v>n/a</v>
      </c>
      <c r="H117" s="6" t="n">
        <v>406</v>
      </c>
      <c r="I117" s="6"/>
      <c r="J117" s="4" t="n">
        <v>48</v>
      </c>
      <c r="K117" s="4"/>
      <c r="L117" s="7" t="n">
        <v>40.58823529</v>
      </c>
      <c r="M117" s="8" t="n">
        <v>84.70588235</v>
      </c>
      <c r="N117" s="3" t="str">
        <f aca="false">IF(L117="","",IF(L117&lt;0,"negative profit",IF(L117&gt;Notes!$B$4,"unusually high - verify","")))</f>
        <v/>
      </c>
      <c r="O117" s="3" t="s">
        <v>21</v>
      </c>
      <c r="P117" s="3" t="str">
        <f aca="false">IF(O117&lt;&gt;"both",O117&amp;" only",IF(Q117="","agree","conflict"))</f>
        <v>hayday.info only</v>
      </c>
      <c r="Q117" s="3" t="str">
        <f aca="false">IF(O117="both",TRIM(IF(I117&lt;&gt;"","price ","")&amp;IF(K117&lt;&gt;"","xp ","")&amp;IF(G117="differs","time","")),"")</f>
        <v/>
      </c>
      <c r="R117" s="3" t="s">
        <v>22</v>
      </c>
      <c r="S117" s="3"/>
    </row>
    <row r="118" customFormat="false" ht="15" hidden="false" customHeight="false" outlineLevel="0" collapsed="false">
      <c r="A118" s="3" t="s">
        <v>157</v>
      </c>
      <c r="B118" s="3" t="s">
        <v>154</v>
      </c>
      <c r="C118" s="4" t="n">
        <v>98</v>
      </c>
      <c r="D118" s="5"/>
      <c r="E118" s="5"/>
      <c r="F118" s="5" t="n">
        <v>46</v>
      </c>
      <c r="G118" s="3" t="str">
        <f aca="false">IF(OR(F118="",AND(D118="",E118="")),"n/a",IF(F118=E118,"mastered",IF(F118=D118,"normal","differs")))</f>
        <v>n/a</v>
      </c>
      <c r="H118" s="6" t="n">
        <v>226</v>
      </c>
      <c r="I118" s="6"/>
      <c r="J118" s="4" t="n">
        <v>27</v>
      </c>
      <c r="K118" s="4"/>
      <c r="L118" s="7" t="n">
        <v>38.5026738</v>
      </c>
      <c r="M118" s="8" t="n">
        <v>34.65240642</v>
      </c>
      <c r="N118" s="3" t="str">
        <f aca="false">IF(L118="","",IF(L118&lt;0,"negative profit",IF(L118&gt;Notes!$B$4,"unusually high - verify","")))</f>
        <v/>
      </c>
      <c r="O118" s="3" t="s">
        <v>21</v>
      </c>
      <c r="P118" s="3" t="str">
        <f aca="false">IF(O118&lt;&gt;"both",O118&amp;" only",IF(Q118="","agree","conflict"))</f>
        <v>hayday.info only</v>
      </c>
      <c r="Q118" s="3" t="str">
        <f aca="false">IF(O118="both",TRIM(IF(I118&lt;&gt;"","price ","")&amp;IF(K118&lt;&gt;"","xp ","")&amp;IF(G118="differs","time","")),"")</f>
        <v/>
      </c>
      <c r="R118" s="3" t="s">
        <v>22</v>
      </c>
      <c r="S118" s="3"/>
    </row>
    <row r="119" customFormat="false" ht="15" hidden="false" customHeight="false" outlineLevel="0" collapsed="false">
      <c r="A119" s="3" t="s">
        <v>158</v>
      </c>
      <c r="B119" s="3" t="s">
        <v>154</v>
      </c>
      <c r="C119" s="4" t="n">
        <v>100</v>
      </c>
      <c r="D119" s="5"/>
      <c r="E119" s="5"/>
      <c r="F119" s="5" t="n">
        <v>12</v>
      </c>
      <c r="G119" s="3" t="str">
        <f aca="false">IF(OR(F119="",AND(D119="",E119="")),"n/a",IF(F119=E119,"mastered",IF(F119=D119,"normal","differs")))</f>
        <v>n/a</v>
      </c>
      <c r="H119" s="6" t="n">
        <v>658</v>
      </c>
      <c r="I119" s="6"/>
      <c r="J119" s="4" t="n">
        <v>87</v>
      </c>
      <c r="K119" s="4"/>
      <c r="L119" s="7" t="n">
        <v>291.7647059</v>
      </c>
      <c r="M119" s="8" t="n">
        <v>409.4117647</v>
      </c>
      <c r="N119" s="3" t="str">
        <f aca="false">IF(L119="","",IF(L119&lt;0,"negative profit",IF(L119&gt;Notes!$B$4,"unusually high - verify","")))</f>
        <v>unusually high - verify</v>
      </c>
      <c r="O119" s="3" t="s">
        <v>21</v>
      </c>
      <c r="P119" s="3" t="str">
        <f aca="false">IF(O119&lt;&gt;"both",O119&amp;" only",IF(Q119="","agree","conflict"))</f>
        <v>hayday.info only</v>
      </c>
      <c r="Q119" s="3" t="str">
        <f aca="false">IF(O119="both",TRIM(IF(I119&lt;&gt;"","price ","")&amp;IF(K119&lt;&gt;"","xp ","")&amp;IF(G119="differs","time","")),"")</f>
        <v/>
      </c>
      <c r="R119" s="3" t="s">
        <v>22</v>
      </c>
      <c r="S119" s="3"/>
    </row>
    <row r="120" customFormat="false" ht="15" hidden="false" customHeight="false" outlineLevel="0" collapsed="false">
      <c r="A120" s="3" t="s">
        <v>159</v>
      </c>
      <c r="B120" s="3" t="s">
        <v>154</v>
      </c>
      <c r="C120" s="4" t="n">
        <v>103</v>
      </c>
      <c r="D120" s="5"/>
      <c r="E120" s="5"/>
      <c r="F120" s="5" t="n">
        <v>63</v>
      </c>
      <c r="G120" s="3" t="str">
        <f aca="false">IF(OR(F120="",AND(D120="",E120="")),"n/a",IF(F120=E120,"mastered",IF(F120=D120,"normal","differs")))</f>
        <v>n/a</v>
      </c>
      <c r="H120" s="6" t="n">
        <v>223</v>
      </c>
      <c r="I120" s="6"/>
      <c r="J120" s="4" t="n">
        <v>27</v>
      </c>
      <c r="K120" s="4"/>
      <c r="L120" s="7" t="n">
        <v>29.17647059</v>
      </c>
      <c r="M120" s="8" t="n">
        <v>25.41176471</v>
      </c>
      <c r="N120" s="3" t="str">
        <f aca="false">IF(L120="","",IF(L120&lt;0,"negative profit",IF(L120&gt;Notes!$B$4,"unusually high - verify","")))</f>
        <v/>
      </c>
      <c r="O120" s="3" t="s">
        <v>21</v>
      </c>
      <c r="P120" s="3" t="str">
        <f aca="false">IF(O120&lt;&gt;"both",O120&amp;" only",IF(Q120="","agree","conflict"))</f>
        <v>hayday.info only</v>
      </c>
      <c r="Q120" s="3" t="str">
        <f aca="false">IF(O120="both",TRIM(IF(I120&lt;&gt;"","price ","")&amp;IF(K120&lt;&gt;"","xp ","")&amp;IF(G120="differs","time","")),"")</f>
        <v/>
      </c>
      <c r="R120" s="3" t="s">
        <v>22</v>
      </c>
      <c r="S120" s="3"/>
    </row>
    <row r="121" customFormat="false" ht="15" hidden="false" customHeight="false" outlineLevel="0" collapsed="false">
      <c r="A121" s="3" t="s">
        <v>160</v>
      </c>
      <c r="B121" s="3" t="s">
        <v>161</v>
      </c>
      <c r="C121" s="4" t="n">
        <v>76</v>
      </c>
      <c r="D121" s="5" t="n">
        <v>15</v>
      </c>
      <c r="E121" s="5" t="n">
        <v>12</v>
      </c>
      <c r="F121" s="5" t="n">
        <v>12</v>
      </c>
      <c r="G121" s="3" t="str">
        <f aca="false">IF(OR(F121="",AND(D121="",E121="")),"n/a",IF(F121=E121,"mastered",IF(F121=D121,"normal","differs")))</f>
        <v>mastered</v>
      </c>
      <c r="H121" s="6" t="n">
        <v>129</v>
      </c>
      <c r="I121" s="6"/>
      <c r="J121" s="4" t="n">
        <v>15</v>
      </c>
      <c r="K121" s="4"/>
      <c r="L121" s="7" t="n">
        <v>94.11764706</v>
      </c>
      <c r="M121" s="8" t="n">
        <v>70.58823529</v>
      </c>
      <c r="N121" s="3" t="str">
        <f aca="false">IF(L121="","",IF(L121&lt;0,"negative profit",IF(L121&gt;Notes!$B$4,"unusually high - verify","")))</f>
        <v/>
      </c>
      <c r="O121" s="3" t="s">
        <v>29</v>
      </c>
      <c r="P121" s="3" t="str">
        <f aca="false">IF(O121&lt;&gt;"both",O121&amp;" only",IF(Q121="","agree","conflict"))</f>
        <v>agree</v>
      </c>
      <c r="Q121" s="3" t="str">
        <f aca="false">IF(O121="both",TRIM(IF(I121&lt;&gt;"","price ","")&amp;IF(K121&lt;&gt;"","xp ","")&amp;IF(G121="differs","time","")),"")</f>
        <v/>
      </c>
      <c r="R121" s="3" t="s">
        <v>30</v>
      </c>
      <c r="S121" s="3" t="s">
        <v>162</v>
      </c>
    </row>
    <row r="122" customFormat="false" ht="15" hidden="false" customHeight="false" outlineLevel="0" collapsed="false">
      <c r="A122" s="3" t="s">
        <v>163</v>
      </c>
      <c r="B122" s="3" t="s">
        <v>161</v>
      </c>
      <c r="C122" s="4" t="n">
        <v>79</v>
      </c>
      <c r="D122" s="5" t="n">
        <v>20</v>
      </c>
      <c r="E122" s="5" t="n">
        <v>17</v>
      </c>
      <c r="F122" s="5" t="n">
        <v>17</v>
      </c>
      <c r="G122" s="3" t="str">
        <f aca="false">IF(OR(F122="",AND(D122="",E122="")),"n/a",IF(F122=E122,"mastered",IF(F122=D122,"normal","differs")))</f>
        <v>mastered</v>
      </c>
      <c r="H122" s="6" t="n">
        <v>313</v>
      </c>
      <c r="I122" s="6"/>
      <c r="J122" s="4" t="n">
        <v>37</v>
      </c>
      <c r="K122" s="4"/>
      <c r="L122" s="7" t="n">
        <v>42.35294118</v>
      </c>
      <c r="M122" s="8" t="n">
        <v>130.5882353</v>
      </c>
      <c r="N122" s="3" t="str">
        <f aca="false">IF(L122="","",IF(L122&lt;0,"negative profit",IF(L122&gt;Notes!$B$4,"unusually high - verify","")))</f>
        <v/>
      </c>
      <c r="O122" s="3" t="s">
        <v>29</v>
      </c>
      <c r="P122" s="3" t="str">
        <f aca="false">IF(O122&lt;&gt;"both",O122&amp;" only",IF(Q122="","agree","conflict"))</f>
        <v>agree</v>
      </c>
      <c r="Q122" s="3" t="str">
        <f aca="false">IF(O122="both",TRIM(IF(I122&lt;&gt;"","price ","")&amp;IF(K122&lt;&gt;"","xp ","")&amp;IF(G122="differs","time","")),"")</f>
        <v/>
      </c>
      <c r="R122" s="3" t="s">
        <v>30</v>
      </c>
      <c r="S122" s="3" t="s">
        <v>162</v>
      </c>
    </row>
    <row r="123" customFormat="false" ht="15" hidden="false" customHeight="false" outlineLevel="0" collapsed="false">
      <c r="A123" s="3" t="s">
        <v>164</v>
      </c>
      <c r="B123" s="3" t="s">
        <v>161</v>
      </c>
      <c r="C123" s="4" t="n">
        <v>82</v>
      </c>
      <c r="D123" s="5" t="n">
        <v>30</v>
      </c>
      <c r="E123" s="5" t="n">
        <v>25</v>
      </c>
      <c r="F123" s="5" t="n">
        <v>25</v>
      </c>
      <c r="G123" s="3" t="str">
        <f aca="false">IF(OR(F123="",AND(D123="",E123="")),"n/a",IF(F123=E123,"mastered",IF(F123=D123,"normal","differs")))</f>
        <v>mastered</v>
      </c>
      <c r="H123" s="6" t="n">
        <v>594</v>
      </c>
      <c r="I123" s="6"/>
      <c r="J123" s="4" t="n">
        <v>71</v>
      </c>
      <c r="K123" s="4"/>
      <c r="L123" s="7" t="n">
        <v>341.1764706</v>
      </c>
      <c r="M123" s="8" t="n">
        <v>167.0588235</v>
      </c>
      <c r="N123" s="3" t="str">
        <f aca="false">IF(L123="","",IF(L123&lt;0,"negative profit",IF(L123&gt;Notes!$B$4,"unusually high - verify","")))</f>
        <v>unusually high - verify</v>
      </c>
      <c r="O123" s="3" t="s">
        <v>29</v>
      </c>
      <c r="P123" s="3" t="str">
        <f aca="false">IF(O123&lt;&gt;"both",O123&amp;" only",IF(Q123="","agree","conflict"))</f>
        <v>agree</v>
      </c>
      <c r="Q123" s="3" t="str">
        <f aca="false">IF(O123="both",TRIM(IF(I123&lt;&gt;"","price ","")&amp;IF(K123&lt;&gt;"","xp ","")&amp;IF(G123="differs","time","")),"")</f>
        <v/>
      </c>
      <c r="R123" s="3" t="s">
        <v>30</v>
      </c>
      <c r="S123" s="3" t="s">
        <v>162</v>
      </c>
    </row>
    <row r="124" customFormat="false" ht="15" hidden="false" customHeight="false" outlineLevel="0" collapsed="false">
      <c r="A124" s="3" t="s">
        <v>165</v>
      </c>
      <c r="B124" s="3" t="s">
        <v>161</v>
      </c>
      <c r="C124" s="4" t="n">
        <v>86</v>
      </c>
      <c r="D124" s="5" t="n">
        <v>25</v>
      </c>
      <c r="E124" s="5" t="n">
        <v>21</v>
      </c>
      <c r="F124" s="5" t="n">
        <v>21</v>
      </c>
      <c r="G124" s="3" t="str">
        <f aca="false">IF(OR(F124="",AND(D124="",E124="")),"n/a",IF(F124=E124,"mastered",IF(F124=D124,"normal","differs")))</f>
        <v>mastered</v>
      </c>
      <c r="H124" s="6" t="n">
        <v>230</v>
      </c>
      <c r="I124" s="6"/>
      <c r="J124" s="4" t="n">
        <v>27</v>
      </c>
      <c r="K124" s="4"/>
      <c r="L124" s="7" t="n">
        <v>53.64705882</v>
      </c>
      <c r="M124" s="8" t="n">
        <v>76.23529412</v>
      </c>
      <c r="N124" s="3" t="str">
        <f aca="false">IF(L124="","",IF(L124&lt;0,"negative profit",IF(L124&gt;Notes!$B$4,"unusually high - verify","")))</f>
        <v/>
      </c>
      <c r="O124" s="3" t="s">
        <v>29</v>
      </c>
      <c r="P124" s="3" t="str">
        <f aca="false">IF(O124&lt;&gt;"both",O124&amp;" only",IF(Q124="","agree","conflict"))</f>
        <v>agree</v>
      </c>
      <c r="Q124" s="3" t="str">
        <f aca="false">IF(O124="both",TRIM(IF(I124&lt;&gt;"","price ","")&amp;IF(K124&lt;&gt;"","xp ","")&amp;IF(G124="differs","time","")),"")</f>
        <v/>
      </c>
      <c r="R124" s="3" t="s">
        <v>30</v>
      </c>
      <c r="S124" s="3" t="s">
        <v>162</v>
      </c>
    </row>
    <row r="125" customFormat="false" ht="15" hidden="false" customHeight="false" outlineLevel="0" collapsed="false">
      <c r="A125" s="3" t="s">
        <v>166</v>
      </c>
      <c r="B125" s="3" t="s">
        <v>161</v>
      </c>
      <c r="C125" s="4" t="n">
        <v>88</v>
      </c>
      <c r="D125" s="5" t="n">
        <v>30</v>
      </c>
      <c r="E125" s="5" t="n">
        <v>25</v>
      </c>
      <c r="F125" s="5" t="n">
        <v>25</v>
      </c>
      <c r="G125" s="3" t="str">
        <f aca="false">IF(OR(F125="",AND(D125="",E125="")),"n/a",IF(F125=E125,"mastered",IF(F125=D125,"normal","differs")))</f>
        <v>mastered</v>
      </c>
      <c r="H125" s="6" t="n">
        <v>388</v>
      </c>
      <c r="I125" s="6"/>
      <c r="J125" s="4" t="n">
        <v>46</v>
      </c>
      <c r="K125" s="4"/>
      <c r="L125" s="7" t="n">
        <v>44.70588235</v>
      </c>
      <c r="M125" s="8" t="n">
        <v>108.2352941</v>
      </c>
      <c r="N125" s="3" t="str">
        <f aca="false">IF(L125="","",IF(L125&lt;0,"negative profit",IF(L125&gt;Notes!$B$4,"unusually high - verify","")))</f>
        <v/>
      </c>
      <c r="O125" s="3" t="s">
        <v>29</v>
      </c>
      <c r="P125" s="3" t="str">
        <f aca="false">IF(O125&lt;&gt;"both",O125&amp;" only",IF(Q125="","agree","conflict"))</f>
        <v>agree</v>
      </c>
      <c r="Q125" s="3" t="str">
        <f aca="false">IF(O125="both",TRIM(IF(I125&lt;&gt;"","price ","")&amp;IF(K125&lt;&gt;"","xp ","")&amp;IF(G125="differs","time","")),"")</f>
        <v/>
      </c>
      <c r="R125" s="3" t="s">
        <v>30</v>
      </c>
      <c r="S125" s="3" t="s">
        <v>162</v>
      </c>
    </row>
    <row r="126" customFormat="false" ht="15" hidden="false" customHeight="false" outlineLevel="0" collapsed="false">
      <c r="A126" s="3" t="s">
        <v>167</v>
      </c>
      <c r="B126" s="3" t="s">
        <v>161</v>
      </c>
      <c r="C126" s="4" t="n">
        <v>93</v>
      </c>
      <c r="D126" s="5" t="n">
        <v>35</v>
      </c>
      <c r="E126" s="5" t="n">
        <v>29</v>
      </c>
      <c r="F126" s="5" t="n">
        <v>29</v>
      </c>
      <c r="G126" s="3" t="str">
        <f aca="false">IF(OR(F126="",AND(D126="",E126="")),"n/a",IF(F126=E126,"mastered",IF(F126=D126,"normal","differs")))</f>
        <v>mastered</v>
      </c>
      <c r="H126" s="6" t="n">
        <v>403</v>
      </c>
      <c r="I126" s="6"/>
      <c r="J126" s="4" t="n">
        <v>48</v>
      </c>
      <c r="K126" s="4"/>
      <c r="L126" s="7" t="n">
        <v>44.3697479</v>
      </c>
      <c r="M126" s="8" t="n">
        <v>96.80672269</v>
      </c>
      <c r="N126" s="3" t="str">
        <f aca="false">IF(L126="","",IF(L126&lt;0,"negative profit",IF(L126&gt;Notes!$B$4,"unusually high - verify","")))</f>
        <v/>
      </c>
      <c r="O126" s="3" t="s">
        <v>29</v>
      </c>
      <c r="P126" s="3" t="str">
        <f aca="false">IF(O126&lt;&gt;"both",O126&amp;" only",IF(Q126="","agree","conflict"))</f>
        <v>agree</v>
      </c>
      <c r="Q126" s="3" t="str">
        <f aca="false">IF(O126="both",TRIM(IF(I126&lt;&gt;"","price ","")&amp;IF(K126&lt;&gt;"","xp ","")&amp;IF(G126="differs","time","")),"")</f>
        <v/>
      </c>
      <c r="R126" s="3" t="s">
        <v>30</v>
      </c>
      <c r="S126" s="3" t="s">
        <v>162</v>
      </c>
    </row>
    <row r="127" customFormat="false" ht="15" hidden="false" customHeight="false" outlineLevel="0" collapsed="false">
      <c r="A127" s="3" t="s">
        <v>168</v>
      </c>
      <c r="B127" s="3" t="s">
        <v>169</v>
      </c>
      <c r="C127" s="4" t="n">
        <v>50</v>
      </c>
      <c r="D127" s="5" t="n">
        <v>180</v>
      </c>
      <c r="E127" s="5"/>
      <c r="F127" s="5" t="n">
        <v>180</v>
      </c>
      <c r="G127" s="3" t="str">
        <f aca="false">IF(OR(F127="",AND(D127="",E127="")),"n/a",IF(F127=E127,"mastered",IF(F127=D127,"normal","differs")))</f>
        <v>normal</v>
      </c>
      <c r="H127" s="6" t="n">
        <v>140</v>
      </c>
      <c r="I127" s="6"/>
      <c r="J127" s="4" t="n">
        <v>17</v>
      </c>
      <c r="K127" s="4"/>
      <c r="L127" s="7" t="n">
        <v>46.66666667</v>
      </c>
      <c r="M127" s="8" t="n">
        <v>5.666666667</v>
      </c>
      <c r="N127" s="3" t="str">
        <f aca="false">IF(L127="","",IF(L127&lt;0,"negative profit",IF(L127&gt;Notes!$B$4,"unusually high - verify","")))</f>
        <v/>
      </c>
      <c r="O127" s="3" t="s">
        <v>29</v>
      </c>
      <c r="P127" s="3" t="str">
        <f aca="false">IF(O127&lt;&gt;"both",O127&amp;" only",IF(Q127="","agree","conflict"))</f>
        <v>agree</v>
      </c>
      <c r="Q127" s="3" t="str">
        <f aca="false">IF(O127="both",TRIM(IF(I127&lt;&gt;"","price ","")&amp;IF(K127&lt;&gt;"","xp ","")&amp;IF(G127="differs","time","")),"")</f>
        <v/>
      </c>
      <c r="R127" s="3" t="s">
        <v>30</v>
      </c>
      <c r="S127" s="3" t="s">
        <v>170</v>
      </c>
    </row>
    <row r="128" customFormat="false" ht="15" hidden="false" customHeight="false" outlineLevel="0" collapsed="false">
      <c r="A128" s="3" t="s">
        <v>171</v>
      </c>
      <c r="B128" s="3" t="s">
        <v>172</v>
      </c>
      <c r="C128" s="4" t="n">
        <v>3</v>
      </c>
      <c r="D128" s="5" t="n">
        <v>5</v>
      </c>
      <c r="E128" s="5" t="n">
        <v>4</v>
      </c>
      <c r="F128" s="5" t="n">
        <v>4</v>
      </c>
      <c r="G128" s="3" t="str">
        <f aca="false">IF(OR(F128="",AND(D128="",E128="")),"n/a",IF(F128=E128,"mastered",IF(F128=D128,"normal","differs")))</f>
        <v>mastered</v>
      </c>
      <c r="H128" s="6" t="n">
        <v>7</v>
      </c>
      <c r="I128" s="6"/>
      <c r="J128" s="4" t="n">
        <v>1</v>
      </c>
      <c r="K128" s="4"/>
      <c r="L128" s="7" t="n">
        <v>112.9411765</v>
      </c>
      <c r="M128" s="8" t="n">
        <v>14.11764706</v>
      </c>
      <c r="N128" s="3" t="str">
        <f aca="false">IF(L128="","",IF(L128&lt;0,"negative profit",IF(L128&gt;Notes!$B$4,"unusually high - verify","")))</f>
        <v/>
      </c>
      <c r="O128" s="3" t="s">
        <v>29</v>
      </c>
      <c r="P128" s="3" t="str">
        <f aca="false">IF(O128&lt;&gt;"both",O128&amp;" only",IF(Q128="","agree","conflict"))</f>
        <v>agree</v>
      </c>
      <c r="Q128" s="3" t="str">
        <f aca="false">IF(O128="both",TRIM(IF(I128&lt;&gt;"","price ","")&amp;IF(K128&lt;&gt;"","xp ","")&amp;IF(G128="differs","time","")),"")</f>
        <v/>
      </c>
      <c r="R128" s="3" t="s">
        <v>30</v>
      </c>
      <c r="S128" s="3" t="s">
        <v>173</v>
      </c>
    </row>
    <row r="129" customFormat="false" ht="15" hidden="false" customHeight="false" outlineLevel="0" collapsed="false">
      <c r="A129" s="3" t="s">
        <v>174</v>
      </c>
      <c r="B129" s="3" t="s">
        <v>172</v>
      </c>
      <c r="C129" s="4" t="n">
        <v>6</v>
      </c>
      <c r="D129" s="5" t="n">
        <v>10</v>
      </c>
      <c r="E129" s="5" t="n">
        <v>8</v>
      </c>
      <c r="F129" s="5" t="n">
        <v>8</v>
      </c>
      <c r="G129" s="3" t="str">
        <f aca="false">IF(OR(F129="",AND(D129="",E129="")),"n/a",IF(F129=E129,"mastered",IF(F129=D129,"normal","differs")))</f>
        <v>mastered</v>
      </c>
      <c r="H129" s="6" t="n">
        <v>14</v>
      </c>
      <c r="I129" s="6"/>
      <c r="J129" s="4" t="n">
        <v>2</v>
      </c>
      <c r="K129" s="4"/>
      <c r="L129" s="7" t="n">
        <v>105.8823529</v>
      </c>
      <c r="M129" s="8" t="n">
        <v>14.11764706</v>
      </c>
      <c r="N129" s="3" t="str">
        <f aca="false">IF(L129="","",IF(L129&lt;0,"negative profit",IF(L129&gt;Notes!$B$4,"unusually high - verify","")))</f>
        <v/>
      </c>
      <c r="O129" s="3" t="s">
        <v>29</v>
      </c>
      <c r="P129" s="3" t="str">
        <f aca="false">IF(O129&lt;&gt;"both",O129&amp;" only",IF(Q129="","agree","conflict"))</f>
        <v>agree</v>
      </c>
      <c r="Q129" s="3" t="str">
        <f aca="false">IF(O129="both",TRIM(IF(I129&lt;&gt;"","price ","")&amp;IF(K129&lt;&gt;"","xp ","")&amp;IF(G129="differs","time","")),"")</f>
        <v/>
      </c>
      <c r="R129" s="3" t="s">
        <v>30</v>
      </c>
      <c r="S129" s="3" t="s">
        <v>173</v>
      </c>
    </row>
    <row r="130" customFormat="false" ht="15" hidden="false" customHeight="false" outlineLevel="0" collapsed="false">
      <c r="A130" s="3" t="s">
        <v>175</v>
      </c>
      <c r="B130" s="3" t="s">
        <v>172</v>
      </c>
      <c r="C130" s="4" t="n">
        <v>10</v>
      </c>
      <c r="D130" s="5" t="n">
        <v>20</v>
      </c>
      <c r="E130" s="5" t="n">
        <v>17</v>
      </c>
      <c r="F130" s="5" t="n">
        <v>17</v>
      </c>
      <c r="G130" s="3" t="str">
        <f aca="false">IF(OR(F130="",AND(D130="",E130="")),"n/a",IF(F130=E130,"mastered",IF(F130=D130,"normal","differs")))</f>
        <v>mastered</v>
      </c>
      <c r="H130" s="6" t="n">
        <v>14</v>
      </c>
      <c r="I130" s="6"/>
      <c r="J130" s="4" t="n">
        <v>2</v>
      </c>
      <c r="K130" s="4"/>
      <c r="L130" s="7" t="n">
        <v>63.52941176</v>
      </c>
      <c r="M130" s="8" t="n">
        <v>7.058823529</v>
      </c>
      <c r="N130" s="3" t="str">
        <f aca="false">IF(L130="","",IF(L130&lt;0,"negative profit",IF(L130&gt;Notes!$B$4,"unusually high - verify","")))</f>
        <v/>
      </c>
      <c r="O130" s="3" t="s">
        <v>29</v>
      </c>
      <c r="P130" s="3" t="str">
        <f aca="false">IF(O130&lt;&gt;"both",O130&amp;" only",IF(Q130="","agree","conflict"))</f>
        <v>agree</v>
      </c>
      <c r="Q130" s="3" t="str">
        <f aca="false">IF(O130="both",TRIM(IF(I130&lt;&gt;"","price ","")&amp;IF(K130&lt;&gt;"","xp ","")&amp;IF(G130="differs","time","")),"")</f>
        <v/>
      </c>
      <c r="R130" s="3" t="s">
        <v>30</v>
      </c>
      <c r="S130" s="3" t="s">
        <v>173</v>
      </c>
    </row>
    <row r="131" customFormat="false" ht="15" hidden="false" customHeight="false" outlineLevel="0" collapsed="false">
      <c r="A131" s="3" t="s">
        <v>176</v>
      </c>
      <c r="B131" s="3" t="s">
        <v>172</v>
      </c>
      <c r="C131" s="4" t="n">
        <v>16</v>
      </c>
      <c r="D131" s="5" t="n">
        <v>30</v>
      </c>
      <c r="E131" s="5" t="n">
        <v>25</v>
      </c>
      <c r="F131" s="5" t="n">
        <v>25</v>
      </c>
      <c r="G131" s="3" t="str">
        <f aca="false">IF(OR(F131="",AND(D131="",E131="")),"n/a",IF(F131=E131,"mastered",IF(F131=D131,"normal","differs")))</f>
        <v>mastered</v>
      </c>
      <c r="H131" s="6" t="n">
        <v>14</v>
      </c>
      <c r="I131" s="6"/>
      <c r="J131" s="4" t="n">
        <v>3</v>
      </c>
      <c r="K131" s="4"/>
      <c r="L131" s="7" t="n">
        <v>54.11764706</v>
      </c>
      <c r="M131" s="8" t="n">
        <v>7.058823529</v>
      </c>
      <c r="N131" s="3" t="str">
        <f aca="false">IF(L131="","",IF(L131&lt;0,"negative profit",IF(L131&gt;Notes!$B$4,"unusually high - verify","")))</f>
        <v/>
      </c>
      <c r="O131" s="3" t="s">
        <v>29</v>
      </c>
      <c r="P131" s="3" t="str">
        <f aca="false">IF(O131&lt;&gt;"both",O131&amp;" only",IF(Q131="","agree","conflict"))</f>
        <v>agree</v>
      </c>
      <c r="Q131" s="3" t="str">
        <f aca="false">IF(O131="both",TRIM(IF(I131&lt;&gt;"","price ","")&amp;IF(K131&lt;&gt;"","xp ","")&amp;IF(G131="differs","time","")),"")</f>
        <v/>
      </c>
      <c r="R131" s="3" t="s">
        <v>30</v>
      </c>
      <c r="S131" s="3" t="s">
        <v>173</v>
      </c>
    </row>
    <row r="132" customFormat="false" ht="15" hidden="false" customHeight="false" outlineLevel="0" collapsed="false">
      <c r="A132" s="3" t="s">
        <v>177</v>
      </c>
      <c r="B132" s="3" t="s">
        <v>172</v>
      </c>
      <c r="C132" s="4" t="n">
        <v>32</v>
      </c>
      <c r="D132" s="5" t="n">
        <v>40</v>
      </c>
      <c r="E132" s="5" t="n">
        <v>34</v>
      </c>
      <c r="F132" s="5" t="n">
        <v>34</v>
      </c>
      <c r="G132" s="3" t="str">
        <f aca="false">IF(OR(F132="",AND(D132="",E132="")),"n/a",IF(F132=E132,"mastered",IF(F132=D132,"normal","differs")))</f>
        <v>mastered</v>
      </c>
      <c r="H132" s="6" t="n">
        <v>14</v>
      </c>
      <c r="I132" s="6"/>
      <c r="J132" s="4" t="n">
        <v>3</v>
      </c>
      <c r="K132" s="4"/>
      <c r="L132" s="7" t="n">
        <v>31.76470588</v>
      </c>
      <c r="M132" s="8" t="n">
        <v>5.294117647</v>
      </c>
      <c r="N132" s="3" t="str">
        <f aca="false">IF(L132="","",IF(L132&lt;0,"negative profit",IF(L132&gt;Notes!$B$4,"unusually high - verify","")))</f>
        <v/>
      </c>
      <c r="O132" s="3" t="s">
        <v>29</v>
      </c>
      <c r="P132" s="3" t="str">
        <f aca="false">IF(O132&lt;&gt;"both",O132&amp;" only",IF(Q132="","agree","conflict"))</f>
        <v>agree</v>
      </c>
      <c r="Q132" s="3" t="str">
        <f aca="false">IF(O132="both",TRIM(IF(I132&lt;&gt;"","price ","")&amp;IF(K132&lt;&gt;"","xp ","")&amp;IF(G132="differs","time","")),"")</f>
        <v/>
      </c>
      <c r="R132" s="3" t="s">
        <v>30</v>
      </c>
      <c r="S132" s="3" t="s">
        <v>173</v>
      </c>
    </row>
    <row r="133" customFormat="false" ht="15" hidden="false" customHeight="false" outlineLevel="0" collapsed="false">
      <c r="A133" s="3" t="s">
        <v>178</v>
      </c>
      <c r="B133" s="3" t="s">
        <v>172</v>
      </c>
      <c r="C133" s="4" t="n">
        <v>34</v>
      </c>
      <c r="D133" s="5"/>
      <c r="E133" s="5"/>
      <c r="F133" s="5" t="n">
        <v>38</v>
      </c>
      <c r="G133" s="3" t="str">
        <f aca="false">IF(OR(F133="",AND(D133="",E133="")),"n/a",IF(F133=E133,"mastered",IF(F133=D133,"normal","differs")))</f>
        <v>n/a</v>
      </c>
      <c r="H133" s="6" t="n">
        <v>72</v>
      </c>
      <c r="I133" s="6"/>
      <c r="J133" s="4" t="n">
        <v>15</v>
      </c>
      <c r="K133" s="4"/>
      <c r="L133" s="7" t="n">
        <v>29.80392157</v>
      </c>
      <c r="M133" s="8" t="n">
        <v>23.52941176</v>
      </c>
      <c r="N133" s="3" t="str">
        <f aca="false">IF(L133="","",IF(L133&lt;0,"negative profit",IF(L133&gt;Notes!$B$4,"unusually high - verify","")))</f>
        <v/>
      </c>
      <c r="O133" s="3" t="s">
        <v>21</v>
      </c>
      <c r="P133" s="3" t="str">
        <f aca="false">IF(O133&lt;&gt;"both",O133&amp;" only",IF(Q133="","agree","conflict"))</f>
        <v>hayday.info only</v>
      </c>
      <c r="Q133" s="3" t="str">
        <f aca="false">IF(O133="both",TRIM(IF(I133&lt;&gt;"","price ","")&amp;IF(K133&lt;&gt;"","xp ","")&amp;IF(G133="differs","time","")),"")</f>
        <v/>
      </c>
      <c r="R133" s="3" t="s">
        <v>22</v>
      </c>
      <c r="S133" s="3"/>
    </row>
    <row r="134" customFormat="false" ht="15" hidden="false" customHeight="false" outlineLevel="0" collapsed="false">
      <c r="A134" s="3" t="s">
        <v>179</v>
      </c>
      <c r="B134" s="3" t="s">
        <v>172</v>
      </c>
      <c r="C134" s="4" t="n">
        <v>34</v>
      </c>
      <c r="D134" s="5" t="n">
        <v>85</v>
      </c>
      <c r="E134" s="5" t="n">
        <v>76</v>
      </c>
      <c r="F134" s="5" t="n">
        <v>76</v>
      </c>
      <c r="G134" s="3" t="str">
        <f aca="false">IF(OR(F134="",AND(D134="",E134="")),"n/a",IF(F134=E134,"mastered",IF(F134=D134,"normal","differs")))</f>
        <v>mastered</v>
      </c>
      <c r="H134" s="6" t="n">
        <v>50</v>
      </c>
      <c r="I134" s="6"/>
      <c r="J134" s="4" t="n">
        <v>10</v>
      </c>
      <c r="K134" s="4"/>
      <c r="L134" s="7" t="n">
        <v>-58.82352941</v>
      </c>
      <c r="M134" s="8" t="n">
        <v>7.843137255</v>
      </c>
      <c r="N134" s="3" t="str">
        <f aca="false">IF(L134="","",IF(L134&lt;0,"negative profit",IF(L134&gt;Notes!$B$4,"unusually high - verify","")))</f>
        <v>negative profit</v>
      </c>
      <c r="O134" s="3" t="s">
        <v>29</v>
      </c>
      <c r="P134" s="3" t="str">
        <f aca="false">IF(O134&lt;&gt;"both",O134&amp;" only",IF(Q134="","agree","conflict"))</f>
        <v>agree</v>
      </c>
      <c r="Q134" s="3" t="str">
        <f aca="false">IF(O134="both",TRIM(IF(I134&lt;&gt;"","price ","")&amp;IF(K134&lt;&gt;"","xp ","")&amp;IF(G134="differs","time","")),"")</f>
        <v/>
      </c>
      <c r="R134" s="3" t="s">
        <v>30</v>
      </c>
      <c r="S134" s="3" t="s">
        <v>173</v>
      </c>
    </row>
    <row r="135" customFormat="false" ht="15" hidden="false" customHeight="false" outlineLevel="0" collapsed="false">
      <c r="A135" s="3" t="s">
        <v>180</v>
      </c>
      <c r="B135" s="3" t="s">
        <v>181</v>
      </c>
      <c r="C135" s="4" t="n">
        <v>49</v>
      </c>
      <c r="D135" s="5" t="n">
        <v>45</v>
      </c>
      <c r="E135" s="5" t="n">
        <v>38</v>
      </c>
      <c r="F135" s="5" t="n">
        <v>38</v>
      </c>
      <c r="G135" s="3" t="str">
        <f aca="false">IF(OR(F135="",AND(D135="",E135="")),"n/a",IF(F135=E135,"mastered",IF(F135=D135,"normal","differs")))</f>
        <v>mastered</v>
      </c>
      <c r="H135" s="6" t="n">
        <v>208</v>
      </c>
      <c r="I135" s="6"/>
      <c r="J135" s="4" t="n">
        <v>25</v>
      </c>
      <c r="K135" s="4"/>
      <c r="L135" s="7" t="n">
        <v>53.33333333</v>
      </c>
      <c r="M135" s="8" t="n">
        <v>39.21568627</v>
      </c>
      <c r="N135" s="3" t="str">
        <f aca="false">IF(L135="","",IF(L135&lt;0,"negative profit",IF(L135&gt;Notes!$B$4,"unusually high - verify","")))</f>
        <v/>
      </c>
      <c r="O135" s="3" t="s">
        <v>29</v>
      </c>
      <c r="P135" s="3" t="str">
        <f aca="false">IF(O135&lt;&gt;"both",O135&amp;" only",IF(Q135="","agree","conflict"))</f>
        <v>agree</v>
      </c>
      <c r="Q135" s="3" t="str">
        <f aca="false">IF(O135="both",TRIM(IF(I135&lt;&gt;"","price ","")&amp;IF(K135&lt;&gt;"","xp ","")&amp;IF(G135="differs","time","")),"")</f>
        <v/>
      </c>
      <c r="R135" s="3" t="s">
        <v>30</v>
      </c>
      <c r="S135" s="3" t="s">
        <v>182</v>
      </c>
    </row>
    <row r="136" customFormat="false" ht="15" hidden="false" customHeight="false" outlineLevel="0" collapsed="false">
      <c r="A136" s="3" t="s">
        <v>183</v>
      </c>
      <c r="B136" s="3" t="s">
        <v>181</v>
      </c>
      <c r="C136" s="4" t="n">
        <v>65</v>
      </c>
      <c r="D136" s="5" t="n">
        <v>20</v>
      </c>
      <c r="E136" s="5" t="n">
        <v>17</v>
      </c>
      <c r="F136" s="5" t="n">
        <v>17</v>
      </c>
      <c r="G136" s="3" t="str">
        <f aca="false">IF(OR(F136="",AND(D136="",E136="")),"n/a",IF(F136=E136,"mastered",IF(F136=D136,"normal","differs")))</f>
        <v>mastered</v>
      </c>
      <c r="H136" s="6" t="n">
        <v>338</v>
      </c>
      <c r="I136" s="6"/>
      <c r="J136" s="4" t="n">
        <v>40</v>
      </c>
      <c r="K136" s="4"/>
      <c r="L136" s="7" t="n">
        <v>458.8235294</v>
      </c>
      <c r="M136" s="8" t="n">
        <v>141.1764706</v>
      </c>
      <c r="N136" s="3" t="str">
        <f aca="false">IF(L136="","",IF(L136&lt;0,"negative profit",IF(L136&gt;Notes!$B$4,"unusually high - verify","")))</f>
        <v>unusually high - verify</v>
      </c>
      <c r="O136" s="3" t="s">
        <v>29</v>
      </c>
      <c r="P136" s="3" t="str">
        <f aca="false">IF(O136&lt;&gt;"both",O136&amp;" only",IF(Q136="","agree","conflict"))</f>
        <v>agree</v>
      </c>
      <c r="Q136" s="3" t="str">
        <f aca="false">IF(O136="both",TRIM(IF(I136&lt;&gt;"","price ","")&amp;IF(K136&lt;&gt;"","xp ","")&amp;IF(G136="differs","time","")),"")</f>
        <v/>
      </c>
      <c r="R136" s="3" t="s">
        <v>30</v>
      </c>
      <c r="S136" s="3" t="s">
        <v>182</v>
      </c>
    </row>
    <row r="137" customFormat="false" ht="15" hidden="false" customHeight="false" outlineLevel="0" collapsed="false">
      <c r="A137" s="3" t="s">
        <v>184</v>
      </c>
      <c r="B137" s="3" t="s">
        <v>181</v>
      </c>
      <c r="C137" s="4" t="n">
        <v>73</v>
      </c>
      <c r="D137" s="5" t="n">
        <v>40</v>
      </c>
      <c r="E137" s="5" t="n">
        <v>34</v>
      </c>
      <c r="F137" s="5" t="n">
        <v>34</v>
      </c>
      <c r="G137" s="3" t="str">
        <f aca="false">IF(OR(F137="",AND(D137="",E137="")),"n/a",IF(F137=E137,"mastered",IF(F137=D137,"normal","differs")))</f>
        <v>mastered</v>
      </c>
      <c r="H137" s="6" t="n">
        <v>500</v>
      </c>
      <c r="I137" s="6"/>
      <c r="J137" s="4" t="n">
        <v>60</v>
      </c>
      <c r="K137" s="4"/>
      <c r="L137" s="7" t="n">
        <v>469.4117647</v>
      </c>
      <c r="M137" s="8" t="n">
        <v>105.8823529</v>
      </c>
      <c r="N137" s="3" t="str">
        <f aca="false">IF(L137="","",IF(L137&lt;0,"negative profit",IF(L137&gt;Notes!$B$4,"unusually high - verify","")))</f>
        <v>unusually high - verify</v>
      </c>
      <c r="O137" s="3" t="s">
        <v>29</v>
      </c>
      <c r="P137" s="3" t="str">
        <f aca="false">IF(O137&lt;&gt;"both",O137&amp;" only",IF(Q137="","agree","conflict"))</f>
        <v>agree</v>
      </c>
      <c r="Q137" s="3" t="str">
        <f aca="false">IF(O137="both",TRIM(IF(I137&lt;&gt;"","price ","")&amp;IF(K137&lt;&gt;"","xp ","")&amp;IF(G137="differs","time","")),"")</f>
        <v/>
      </c>
      <c r="R137" s="3" t="s">
        <v>30</v>
      </c>
      <c r="S137" s="3" t="s">
        <v>182</v>
      </c>
    </row>
    <row r="138" customFormat="false" ht="15" hidden="false" customHeight="false" outlineLevel="0" collapsed="false">
      <c r="A138" s="3" t="s">
        <v>185</v>
      </c>
      <c r="B138" s="3" t="s">
        <v>181</v>
      </c>
      <c r="C138" s="4" t="n">
        <v>90</v>
      </c>
      <c r="D138" s="5" t="n">
        <v>20</v>
      </c>
      <c r="E138" s="5" t="n">
        <v>17</v>
      </c>
      <c r="F138" s="5" t="n">
        <v>17</v>
      </c>
      <c r="G138" s="3" t="str">
        <f aca="false">IF(OR(F138="",AND(D138="",E138="")),"n/a",IF(F138=E138,"mastered",IF(F138=D138,"normal","differs")))</f>
        <v>mastered</v>
      </c>
      <c r="H138" s="6" t="n">
        <v>554</v>
      </c>
      <c r="I138" s="6"/>
      <c r="J138" s="4" t="n">
        <v>66</v>
      </c>
      <c r="K138" s="4"/>
      <c r="L138" s="7" t="n">
        <v>52.94117647</v>
      </c>
      <c r="M138" s="8" t="n">
        <v>232.9411765</v>
      </c>
      <c r="N138" s="3" t="str">
        <f aca="false">IF(L138="","",IF(L138&lt;0,"negative profit",IF(L138&gt;Notes!$B$4,"unusually high - verify","")))</f>
        <v/>
      </c>
      <c r="O138" s="3" t="s">
        <v>29</v>
      </c>
      <c r="P138" s="3" t="str">
        <f aca="false">IF(O138&lt;&gt;"both",O138&amp;" only",IF(Q138="","agree","conflict"))</f>
        <v>agree</v>
      </c>
      <c r="Q138" s="3" t="str">
        <f aca="false">IF(O138="both",TRIM(IF(I138&lt;&gt;"","price ","")&amp;IF(K138&lt;&gt;"","xp ","")&amp;IF(G138="differs","time","")),"")</f>
        <v/>
      </c>
      <c r="R138" s="3" t="s">
        <v>30</v>
      </c>
      <c r="S138" s="3" t="s">
        <v>182</v>
      </c>
    </row>
    <row r="139" customFormat="false" ht="15" hidden="false" customHeight="false" outlineLevel="0" collapsed="false">
      <c r="A139" s="3" t="s">
        <v>186</v>
      </c>
      <c r="B139" s="3" t="s">
        <v>181</v>
      </c>
      <c r="C139" s="4" t="n">
        <v>92</v>
      </c>
      <c r="D139" s="5"/>
      <c r="E139" s="5"/>
      <c r="F139" s="5" t="n">
        <v>17</v>
      </c>
      <c r="G139" s="3" t="str">
        <f aca="false">IF(OR(F139="",AND(D139="",E139="")),"n/a",IF(F139=E139,"mastered",IF(F139=D139,"normal","differs")))</f>
        <v>n/a</v>
      </c>
      <c r="H139" s="6" t="n">
        <v>349</v>
      </c>
      <c r="I139" s="6"/>
      <c r="J139" s="4" t="n">
        <v>42</v>
      </c>
      <c r="K139" s="4"/>
      <c r="L139" s="7" t="n">
        <v>-74.11764706</v>
      </c>
      <c r="M139" s="8" t="n">
        <v>148.2352941</v>
      </c>
      <c r="N139" s="3" t="str">
        <f aca="false">IF(L139="","",IF(L139&lt;0,"negative profit",IF(L139&gt;Notes!$B$4,"unusually high - verify","")))</f>
        <v>negative profit</v>
      </c>
      <c r="O139" s="3" t="s">
        <v>21</v>
      </c>
      <c r="P139" s="3" t="str">
        <f aca="false">IF(O139&lt;&gt;"both",O139&amp;" only",IF(Q139="","agree","conflict"))</f>
        <v>hayday.info only</v>
      </c>
      <c r="Q139" s="3" t="str">
        <f aca="false">IF(O139="both",TRIM(IF(I139&lt;&gt;"","price ","")&amp;IF(K139&lt;&gt;"","xp ","")&amp;IF(G139="differs","time","")),"")</f>
        <v/>
      </c>
      <c r="R139" s="3" t="s">
        <v>22</v>
      </c>
      <c r="S139" s="3"/>
    </row>
    <row r="140" customFormat="false" ht="15" hidden="false" customHeight="false" outlineLevel="0" collapsed="false">
      <c r="A140" s="3" t="s">
        <v>187</v>
      </c>
      <c r="B140" s="3" t="s">
        <v>181</v>
      </c>
      <c r="C140" s="4" t="n">
        <v>93</v>
      </c>
      <c r="D140" s="5" t="n">
        <v>30</v>
      </c>
      <c r="E140" s="5" t="n">
        <v>25</v>
      </c>
      <c r="F140" s="5" t="n">
        <v>25</v>
      </c>
      <c r="G140" s="3" t="str">
        <f aca="false">IF(OR(F140="",AND(D140="",E140="")),"n/a",IF(F140=E140,"mastered",IF(F140=D140,"normal","differs")))</f>
        <v>mastered</v>
      </c>
      <c r="H140" s="6" t="n">
        <v>298</v>
      </c>
      <c r="I140" s="6"/>
      <c r="J140" s="4" t="n">
        <v>36</v>
      </c>
      <c r="K140" s="4"/>
      <c r="L140" s="7" t="n">
        <v>42.35294118</v>
      </c>
      <c r="M140" s="8" t="n">
        <v>84.70588235</v>
      </c>
      <c r="N140" s="3" t="str">
        <f aca="false">IF(L140="","",IF(L140&lt;0,"negative profit",IF(L140&gt;Notes!$B$4,"unusually high - verify","")))</f>
        <v/>
      </c>
      <c r="O140" s="3" t="s">
        <v>29</v>
      </c>
      <c r="P140" s="3" t="str">
        <f aca="false">IF(O140&lt;&gt;"both",O140&amp;" only",IF(Q140="","agree","conflict"))</f>
        <v>agree</v>
      </c>
      <c r="Q140" s="3" t="str">
        <f aca="false">IF(O140="both",TRIM(IF(I140&lt;&gt;"","price ","")&amp;IF(K140&lt;&gt;"","xp ","")&amp;IF(G140="differs","time","")),"")</f>
        <v/>
      </c>
      <c r="R140" s="3" t="s">
        <v>30</v>
      </c>
      <c r="S140" s="3" t="s">
        <v>182</v>
      </c>
    </row>
    <row r="141" customFormat="false" ht="15" hidden="false" customHeight="false" outlineLevel="0" collapsed="false">
      <c r="A141" s="3" t="s">
        <v>188</v>
      </c>
      <c r="B141" s="3" t="s">
        <v>181</v>
      </c>
      <c r="C141" s="4" t="n">
        <v>106</v>
      </c>
      <c r="D141" s="5" t="n">
        <v>15</v>
      </c>
      <c r="E141" s="5" t="n">
        <v>12</v>
      </c>
      <c r="F141" s="5" t="n">
        <v>12</v>
      </c>
      <c r="G141" s="3" t="str">
        <f aca="false">IF(OR(F141="",AND(D141="",E141="")),"n/a",IF(F141=E141,"mastered",IF(F141=D141,"normal","differs")))</f>
        <v>mastered</v>
      </c>
      <c r="H141" s="6" t="n">
        <v>352</v>
      </c>
      <c r="I141" s="6"/>
      <c r="J141" s="4" t="n">
        <v>42</v>
      </c>
      <c r="K141" s="4"/>
      <c r="L141" s="7" t="n">
        <v>103.5294118</v>
      </c>
      <c r="M141" s="8" t="n">
        <v>197.6470588</v>
      </c>
      <c r="N141" s="3" t="str">
        <f aca="false">IF(L141="","",IF(L141&lt;0,"negative profit",IF(L141&gt;Notes!$B$4,"unusually high - verify","")))</f>
        <v/>
      </c>
      <c r="O141" s="3" t="s">
        <v>29</v>
      </c>
      <c r="P141" s="3" t="str">
        <f aca="false">IF(O141&lt;&gt;"both",O141&amp;" only",IF(Q141="","agree","conflict"))</f>
        <v>agree</v>
      </c>
      <c r="Q141" s="3" t="str">
        <f aca="false">IF(O141="both",TRIM(IF(I141&lt;&gt;"","price ","")&amp;IF(K141&lt;&gt;"","xp ","")&amp;IF(G141="differs","time","")),"")</f>
        <v/>
      </c>
      <c r="R141" s="3" t="s">
        <v>30</v>
      </c>
      <c r="S141" s="3" t="s">
        <v>182</v>
      </c>
    </row>
    <row r="142" customFormat="false" ht="15" hidden="false" customHeight="false" outlineLevel="0" collapsed="false">
      <c r="A142" s="3" t="s">
        <v>189</v>
      </c>
      <c r="B142" s="3" t="s">
        <v>190</v>
      </c>
      <c r="C142" s="4" t="n">
        <v>81</v>
      </c>
      <c r="D142" s="5" t="n">
        <v>25</v>
      </c>
      <c r="E142" s="5" t="n">
        <v>21</v>
      </c>
      <c r="F142" s="5" t="n">
        <v>21</v>
      </c>
      <c r="G142" s="3" t="str">
        <f aca="false">IF(OR(F142="",AND(D142="",E142="")),"n/a",IF(F142=E142,"mastered",IF(F142=D142,"normal","differs")))</f>
        <v>mastered</v>
      </c>
      <c r="H142" s="6" t="n">
        <v>626</v>
      </c>
      <c r="I142" s="6"/>
      <c r="J142" s="4" t="n">
        <v>74</v>
      </c>
      <c r="K142" s="4"/>
      <c r="L142" s="7" t="n">
        <v>45.17647059</v>
      </c>
      <c r="M142" s="8" t="n">
        <v>208.9411765</v>
      </c>
      <c r="N142" s="3" t="str">
        <f aca="false">IF(L142="","",IF(L142&lt;0,"negative profit",IF(L142&gt;Notes!$B$4,"unusually high - verify","")))</f>
        <v/>
      </c>
      <c r="O142" s="3" t="s">
        <v>29</v>
      </c>
      <c r="P142" s="3" t="str">
        <f aca="false">IF(O142&lt;&gt;"both",O142&amp;" only",IF(Q142="","agree","conflict"))</f>
        <v>agree</v>
      </c>
      <c r="Q142" s="3" t="str">
        <f aca="false">IF(O142="both",TRIM(IF(I142&lt;&gt;"","price ","")&amp;IF(K142&lt;&gt;"","xp ","")&amp;IF(G142="differs","time","")),"")</f>
        <v/>
      </c>
      <c r="R142" s="3" t="s">
        <v>30</v>
      </c>
      <c r="S142" s="3" t="s">
        <v>191</v>
      </c>
    </row>
    <row r="143" customFormat="false" ht="15" hidden="false" customHeight="false" outlineLevel="0" collapsed="false">
      <c r="A143" s="3" t="s">
        <v>192</v>
      </c>
      <c r="B143" s="3" t="s">
        <v>190</v>
      </c>
      <c r="C143" s="4" t="n">
        <v>86</v>
      </c>
      <c r="D143" s="5" t="n">
        <v>30</v>
      </c>
      <c r="E143" s="5" t="n">
        <v>25</v>
      </c>
      <c r="F143" s="5" t="n">
        <v>25</v>
      </c>
      <c r="G143" s="3" t="str">
        <f aca="false">IF(OR(F143="",AND(D143="",E143="")),"n/a",IF(F143=E143,"mastered",IF(F143=D143,"normal","differs")))</f>
        <v>mastered</v>
      </c>
      <c r="H143" s="6" t="n">
        <v>507</v>
      </c>
      <c r="I143" s="6"/>
      <c r="J143" s="4" t="n">
        <v>60</v>
      </c>
      <c r="K143" s="4"/>
      <c r="L143" s="7" t="n">
        <v>54.11764706</v>
      </c>
      <c r="M143" s="8" t="n">
        <v>141.1764706</v>
      </c>
      <c r="N143" s="3" t="str">
        <f aca="false">IF(L143="","",IF(L143&lt;0,"negative profit",IF(L143&gt;Notes!$B$4,"unusually high - verify","")))</f>
        <v/>
      </c>
      <c r="O143" s="3" t="s">
        <v>29</v>
      </c>
      <c r="P143" s="3" t="str">
        <f aca="false">IF(O143&lt;&gt;"both",O143&amp;" only",IF(Q143="","agree","conflict"))</f>
        <v>agree</v>
      </c>
      <c r="Q143" s="3" t="str">
        <f aca="false">IF(O143="both",TRIM(IF(I143&lt;&gt;"","price ","")&amp;IF(K143&lt;&gt;"","xp ","")&amp;IF(G143="differs","time","")),"")</f>
        <v/>
      </c>
      <c r="R143" s="3" t="s">
        <v>30</v>
      </c>
      <c r="S143" s="3" t="s">
        <v>191</v>
      </c>
    </row>
    <row r="144" customFormat="false" ht="15" hidden="false" customHeight="false" outlineLevel="0" collapsed="false">
      <c r="A144" s="3" t="s">
        <v>193</v>
      </c>
      <c r="B144" s="3" t="s">
        <v>190</v>
      </c>
      <c r="C144" s="4" t="n">
        <v>91</v>
      </c>
      <c r="D144" s="5" t="n">
        <v>20</v>
      </c>
      <c r="E144" s="5" t="n">
        <v>17</v>
      </c>
      <c r="F144" s="5" t="n">
        <v>17</v>
      </c>
      <c r="G144" s="3" t="str">
        <f aca="false">IF(OR(F144="",AND(D144="",E144="")),"n/a",IF(F144=E144,"mastered",IF(F144=D144,"normal","differs")))</f>
        <v>mastered</v>
      </c>
      <c r="H144" s="6" t="n">
        <v>493</v>
      </c>
      <c r="I144" s="6"/>
      <c r="J144" s="4" t="n">
        <v>59</v>
      </c>
      <c r="K144" s="4"/>
      <c r="L144" s="7" t="n">
        <v>84.70588235</v>
      </c>
      <c r="M144" s="8" t="n">
        <v>208.2352941</v>
      </c>
      <c r="N144" s="3" t="str">
        <f aca="false">IF(L144="","",IF(L144&lt;0,"negative profit",IF(L144&gt;Notes!$B$4,"unusually high - verify","")))</f>
        <v/>
      </c>
      <c r="O144" s="3" t="s">
        <v>29</v>
      </c>
      <c r="P144" s="3" t="str">
        <f aca="false">IF(O144&lt;&gt;"both",O144&amp;" only",IF(Q144="","agree","conflict"))</f>
        <v>agree</v>
      </c>
      <c r="Q144" s="3" t="str">
        <f aca="false">IF(O144="both",TRIM(IF(I144&lt;&gt;"","price ","")&amp;IF(K144&lt;&gt;"","xp ","")&amp;IF(G144="differs","time","")),"")</f>
        <v/>
      </c>
      <c r="R144" s="3" t="s">
        <v>30</v>
      </c>
      <c r="S144" s="3" t="s">
        <v>191</v>
      </c>
    </row>
    <row r="145" customFormat="false" ht="15" hidden="false" customHeight="false" outlineLevel="0" collapsed="false">
      <c r="A145" s="3" t="s">
        <v>194</v>
      </c>
      <c r="B145" s="3" t="s">
        <v>190</v>
      </c>
      <c r="C145" s="4" t="n">
        <v>100</v>
      </c>
      <c r="D145" s="5"/>
      <c r="E145" s="5"/>
      <c r="F145" s="5" t="n">
        <v>29</v>
      </c>
      <c r="G145" s="3" t="str">
        <f aca="false">IF(OR(F145="",AND(D145="",E145="")),"n/a",IF(F145=E145,"mastered",IF(F145=D145,"normal","differs")))</f>
        <v>n/a</v>
      </c>
      <c r="H145" s="6" t="n">
        <v>417</v>
      </c>
      <c r="I145" s="6"/>
      <c r="J145" s="4" t="n">
        <v>50</v>
      </c>
      <c r="K145" s="4"/>
      <c r="L145" s="7" t="n">
        <v>50.42016807</v>
      </c>
      <c r="M145" s="8" t="n">
        <v>100.8403361</v>
      </c>
      <c r="N145" s="3" t="str">
        <f aca="false">IF(L145="","",IF(L145&lt;0,"negative profit",IF(L145&gt;Notes!$B$4,"unusually high - verify","")))</f>
        <v/>
      </c>
      <c r="O145" s="3" t="s">
        <v>21</v>
      </c>
      <c r="P145" s="3" t="str">
        <f aca="false">IF(O145&lt;&gt;"both",O145&amp;" only",IF(Q145="","agree","conflict"))</f>
        <v>hayday.info only</v>
      </c>
      <c r="Q145" s="3" t="str">
        <f aca="false">IF(O145="both",TRIM(IF(I145&lt;&gt;"","price ","")&amp;IF(K145&lt;&gt;"","xp ","")&amp;IF(G145="differs","time","")),"")</f>
        <v/>
      </c>
      <c r="R145" s="3" t="s">
        <v>22</v>
      </c>
      <c r="S145" s="3"/>
    </row>
    <row r="146" customFormat="false" ht="15" hidden="false" customHeight="false" outlineLevel="0" collapsed="false">
      <c r="A146" s="3" t="s">
        <v>195</v>
      </c>
      <c r="B146" s="3" t="s">
        <v>196</v>
      </c>
      <c r="C146" s="4" t="n">
        <v>99</v>
      </c>
      <c r="D146" s="5"/>
      <c r="E146" s="5"/>
      <c r="F146" s="5" t="n">
        <v>102</v>
      </c>
      <c r="G146" s="3" t="str">
        <f aca="false">IF(OR(F146="",AND(D146="",E146="")),"n/a",IF(F146=E146,"mastered",IF(F146=D146,"normal","differs")))</f>
        <v>n/a</v>
      </c>
      <c r="H146" s="6" t="n">
        <v>644</v>
      </c>
      <c r="I146" s="6"/>
      <c r="J146" s="4" t="n">
        <v>77</v>
      </c>
      <c r="K146" s="4"/>
      <c r="L146" s="7" t="n">
        <v>23.52941176</v>
      </c>
      <c r="M146" s="8" t="n">
        <v>45.29411765</v>
      </c>
      <c r="N146" s="3" t="str">
        <f aca="false">IF(L146="","",IF(L146&lt;0,"negative profit",IF(L146&gt;Notes!$B$4,"unusually high - verify","")))</f>
        <v/>
      </c>
      <c r="O146" s="3" t="s">
        <v>21</v>
      </c>
      <c r="P146" s="3" t="str">
        <f aca="false">IF(O146&lt;&gt;"both",O146&amp;" only",IF(Q146="","agree","conflict"))</f>
        <v>hayday.info only</v>
      </c>
      <c r="Q146" s="3" t="str">
        <f aca="false">IF(O146="both",TRIM(IF(I146&lt;&gt;"","price ","")&amp;IF(K146&lt;&gt;"","xp ","")&amp;IF(G146="differs","time","")),"")</f>
        <v/>
      </c>
      <c r="R146" s="3" t="s">
        <v>22</v>
      </c>
      <c r="S146" s="3"/>
    </row>
    <row r="147" customFormat="false" ht="15" hidden="false" customHeight="false" outlineLevel="0" collapsed="false">
      <c r="A147" s="3" t="s">
        <v>197</v>
      </c>
      <c r="B147" s="3" t="s">
        <v>196</v>
      </c>
      <c r="C147" s="4" t="n">
        <v>102</v>
      </c>
      <c r="D147" s="5"/>
      <c r="E147" s="5"/>
      <c r="F147" s="5" t="n">
        <v>127</v>
      </c>
      <c r="G147" s="3" t="str">
        <f aca="false">IF(OR(F147="",AND(D147="",E147="")),"n/a",IF(F147=E147,"mastered",IF(F147=D147,"normal","differs")))</f>
        <v>n/a</v>
      </c>
      <c r="H147" s="6" t="n">
        <v>522</v>
      </c>
      <c r="I147" s="6"/>
      <c r="J147" s="4" t="n">
        <v>62</v>
      </c>
      <c r="K147" s="4"/>
      <c r="L147" s="7" t="n">
        <v>18.82352941</v>
      </c>
      <c r="M147" s="8" t="n">
        <v>29.17647059</v>
      </c>
      <c r="N147" s="3" t="str">
        <f aca="false">IF(L147="","",IF(L147&lt;0,"negative profit",IF(L147&gt;Notes!$B$4,"unusually high - verify","")))</f>
        <v/>
      </c>
      <c r="O147" s="3" t="s">
        <v>21</v>
      </c>
      <c r="P147" s="3" t="str">
        <f aca="false">IF(O147&lt;&gt;"both",O147&amp;" only",IF(Q147="","agree","conflict"))</f>
        <v>hayday.info only</v>
      </c>
      <c r="Q147" s="3" t="str">
        <f aca="false">IF(O147="both",TRIM(IF(I147&lt;&gt;"","price ","")&amp;IF(K147&lt;&gt;"","xp ","")&amp;IF(G147="differs","time","")),"")</f>
        <v/>
      </c>
      <c r="R147" s="3" t="s">
        <v>22</v>
      </c>
      <c r="S147" s="3"/>
    </row>
    <row r="148" customFormat="false" ht="15" hidden="false" customHeight="false" outlineLevel="0" collapsed="false">
      <c r="A148" s="3" t="s">
        <v>198</v>
      </c>
      <c r="B148" s="3" t="s">
        <v>196</v>
      </c>
      <c r="C148" s="4" t="n">
        <v>104</v>
      </c>
      <c r="D148" s="5"/>
      <c r="E148" s="5"/>
      <c r="F148" s="5" t="n">
        <v>144</v>
      </c>
      <c r="G148" s="3" t="str">
        <f aca="false">IF(OR(F148="",AND(D148="",E148="")),"n/a",IF(F148=E148,"mastered",IF(F148=D148,"normal","differs")))</f>
        <v>n/a</v>
      </c>
      <c r="H148" s="6" t="n">
        <v>540</v>
      </c>
      <c r="I148" s="6"/>
      <c r="J148" s="4" t="n">
        <v>64</v>
      </c>
      <c r="K148" s="4"/>
      <c r="L148" s="7" t="n">
        <v>19.10034602</v>
      </c>
      <c r="M148" s="8" t="n">
        <v>26.57439446</v>
      </c>
      <c r="N148" s="3" t="str">
        <f aca="false">IF(L148="","",IF(L148&lt;0,"negative profit",IF(L148&gt;Notes!$B$4,"unusually high - verify","")))</f>
        <v/>
      </c>
      <c r="O148" s="3" t="s">
        <v>21</v>
      </c>
      <c r="P148" s="3" t="str">
        <f aca="false">IF(O148&lt;&gt;"both",O148&amp;" only",IF(Q148="","agree","conflict"))</f>
        <v>hayday.info only</v>
      </c>
      <c r="Q148" s="3" t="str">
        <f aca="false">IF(O148="both",TRIM(IF(I148&lt;&gt;"","price ","")&amp;IF(K148&lt;&gt;"","xp ","")&amp;IF(G148="differs","time","")),"")</f>
        <v/>
      </c>
      <c r="R148" s="3" t="s">
        <v>22</v>
      </c>
      <c r="S148" s="3"/>
    </row>
    <row r="149" customFormat="false" ht="15" hidden="false" customHeight="false" outlineLevel="0" collapsed="false">
      <c r="A149" s="3" t="s">
        <v>199</v>
      </c>
      <c r="B149" s="3" t="s">
        <v>196</v>
      </c>
      <c r="C149" s="4" t="n">
        <v>108</v>
      </c>
      <c r="D149" s="5"/>
      <c r="E149" s="5"/>
      <c r="F149" s="5" t="n">
        <v>93</v>
      </c>
      <c r="G149" s="3" t="str">
        <f aca="false">IF(OR(F149="",AND(D149="",E149="")),"n/a",IF(F149=E149,"mastered",IF(F149=D149,"normal","differs")))</f>
        <v>n/a</v>
      </c>
      <c r="H149" s="6" t="n">
        <v>590</v>
      </c>
      <c r="I149" s="6"/>
      <c r="J149" s="4" t="n">
        <v>70</v>
      </c>
      <c r="K149" s="4"/>
      <c r="L149" s="7" t="n">
        <v>28.23529412</v>
      </c>
      <c r="M149" s="8" t="n">
        <v>44.9197861</v>
      </c>
      <c r="N149" s="3" t="str">
        <f aca="false">IF(L149="","",IF(L149&lt;0,"negative profit",IF(L149&gt;Notes!$B$4,"unusually high - verify","")))</f>
        <v/>
      </c>
      <c r="O149" s="3" t="s">
        <v>21</v>
      </c>
      <c r="P149" s="3" t="str">
        <f aca="false">IF(O149&lt;&gt;"both",O149&amp;" only",IF(Q149="","agree","conflict"))</f>
        <v>hayday.info only</v>
      </c>
      <c r="Q149" s="3" t="str">
        <f aca="false">IF(O149="both",TRIM(IF(I149&lt;&gt;"","price ","")&amp;IF(K149&lt;&gt;"","xp ","")&amp;IF(G149="differs","time","")),"")</f>
        <v/>
      </c>
      <c r="R149" s="3" t="s">
        <v>22</v>
      </c>
      <c r="S149" s="3"/>
    </row>
    <row r="150" customFormat="false" ht="15" hidden="false" customHeight="false" outlineLevel="0" collapsed="false">
      <c r="A150" s="3" t="s">
        <v>200</v>
      </c>
      <c r="B150" s="3" t="s">
        <v>196</v>
      </c>
      <c r="C150" s="4" t="n">
        <v>111</v>
      </c>
      <c r="D150" s="5"/>
      <c r="E150" s="5"/>
      <c r="F150" s="5" t="n">
        <v>76</v>
      </c>
      <c r="G150" s="3" t="str">
        <f aca="false">IF(OR(F150="",AND(D150="",E150="")),"n/a",IF(F150=E150,"mastered",IF(F150=D150,"normal","differs")))</f>
        <v>n/a</v>
      </c>
      <c r="H150" s="6" t="n">
        <v>1141</v>
      </c>
      <c r="I150" s="6"/>
      <c r="J150" s="4" t="n">
        <v>136</v>
      </c>
      <c r="K150" s="4"/>
      <c r="L150" s="7" t="n">
        <v>41.56862745</v>
      </c>
      <c r="M150" s="8" t="n">
        <v>106.6666667</v>
      </c>
      <c r="N150" s="3" t="str">
        <f aca="false">IF(L150="","",IF(L150&lt;0,"negative profit",IF(L150&gt;Notes!$B$4,"unusually high - verify","")))</f>
        <v/>
      </c>
      <c r="O150" s="3" t="s">
        <v>21</v>
      </c>
      <c r="P150" s="3" t="str">
        <f aca="false">IF(O150&lt;&gt;"both",O150&amp;" only",IF(Q150="","agree","conflict"))</f>
        <v>hayday.info only</v>
      </c>
      <c r="Q150" s="3" t="str">
        <f aca="false">IF(O150="both",TRIM(IF(I150&lt;&gt;"","price ","")&amp;IF(K150&lt;&gt;"","xp ","")&amp;IF(G150="differs","time","")),"")</f>
        <v/>
      </c>
      <c r="R150" s="3" t="s">
        <v>22</v>
      </c>
      <c r="S150" s="3"/>
    </row>
    <row r="151" customFormat="false" ht="15" hidden="false" customHeight="false" outlineLevel="0" collapsed="false">
      <c r="A151" s="3" t="s">
        <v>201</v>
      </c>
      <c r="B151" s="3" t="s">
        <v>202</v>
      </c>
      <c r="C151" s="4" t="n">
        <v>70</v>
      </c>
      <c r="D151" s="5" t="n">
        <v>120</v>
      </c>
      <c r="E151" s="5" t="n">
        <v>102</v>
      </c>
      <c r="F151" s="5" t="n">
        <v>102</v>
      </c>
      <c r="G151" s="3" t="str">
        <f aca="false">IF(OR(F151="",AND(D151="",E151="")),"n/a",IF(F151=E151,"mastered",IF(F151=D151,"normal","differs")))</f>
        <v>mastered</v>
      </c>
      <c r="H151" s="6" t="n">
        <v>468</v>
      </c>
      <c r="I151" s="6"/>
      <c r="J151" s="4" t="n">
        <v>56</v>
      </c>
      <c r="K151" s="4"/>
      <c r="L151" s="7" t="n">
        <v>25.88235294</v>
      </c>
      <c r="M151" s="8" t="n">
        <v>32.94117647</v>
      </c>
      <c r="N151" s="3" t="str">
        <f aca="false">IF(L151="","",IF(L151&lt;0,"negative profit",IF(L151&gt;Notes!$B$4,"unusually high - verify","")))</f>
        <v/>
      </c>
      <c r="O151" s="3" t="s">
        <v>29</v>
      </c>
      <c r="P151" s="3" t="str">
        <f aca="false">IF(O151&lt;&gt;"both",O151&amp;" only",IF(Q151="","agree","conflict"))</f>
        <v>agree</v>
      </c>
      <c r="Q151" s="3" t="str">
        <f aca="false">IF(O151="both",TRIM(IF(I151&lt;&gt;"","price ","")&amp;IF(K151&lt;&gt;"","xp ","")&amp;IF(G151="differs","time","")),"")</f>
        <v/>
      </c>
      <c r="R151" s="3" t="s">
        <v>30</v>
      </c>
      <c r="S151" s="3" t="s">
        <v>203</v>
      </c>
    </row>
    <row r="152" customFormat="false" ht="15" hidden="false" customHeight="false" outlineLevel="0" collapsed="false">
      <c r="A152" s="3" t="s">
        <v>204</v>
      </c>
      <c r="B152" s="3" t="s">
        <v>202</v>
      </c>
      <c r="C152" s="4" t="n">
        <v>72</v>
      </c>
      <c r="D152" s="5" t="n">
        <v>210</v>
      </c>
      <c r="E152" s="5" t="n">
        <v>178</v>
      </c>
      <c r="F152" s="5" t="n">
        <v>178</v>
      </c>
      <c r="G152" s="3" t="str">
        <f aca="false">IF(OR(F152="",AND(D152="",E152="")),"n/a",IF(F152=E152,"mastered",IF(F152=D152,"normal","differs")))</f>
        <v>mastered</v>
      </c>
      <c r="H152" s="6" t="n">
        <v>619</v>
      </c>
      <c r="I152" s="6"/>
      <c r="J152" s="4" t="n">
        <v>74</v>
      </c>
      <c r="K152" s="4"/>
      <c r="L152" s="7" t="n">
        <v>15.79831933</v>
      </c>
      <c r="M152" s="8" t="n">
        <v>24.87394958</v>
      </c>
      <c r="N152" s="3" t="str">
        <f aca="false">IF(L152="","",IF(L152&lt;0,"negative profit",IF(L152&gt;Notes!$B$4,"unusually high - verify","")))</f>
        <v/>
      </c>
      <c r="O152" s="3" t="s">
        <v>29</v>
      </c>
      <c r="P152" s="3" t="str">
        <f aca="false">IF(O152&lt;&gt;"both",O152&amp;" only",IF(Q152="","agree","conflict"))</f>
        <v>agree</v>
      </c>
      <c r="Q152" s="3" t="str">
        <f aca="false">IF(O152="both",TRIM(IF(I152&lt;&gt;"","price ","")&amp;IF(K152&lt;&gt;"","xp ","")&amp;IF(G152="differs","time","")),"")</f>
        <v/>
      </c>
      <c r="R152" s="3" t="s">
        <v>30</v>
      </c>
      <c r="S152" s="3" t="s">
        <v>203</v>
      </c>
    </row>
    <row r="153" customFormat="false" ht="15" hidden="false" customHeight="false" outlineLevel="0" collapsed="false">
      <c r="A153" s="3" t="s">
        <v>205</v>
      </c>
      <c r="B153" s="3" t="s">
        <v>202</v>
      </c>
      <c r="C153" s="4" t="n">
        <v>74</v>
      </c>
      <c r="D153" s="5" t="n">
        <v>150</v>
      </c>
      <c r="E153" s="5" t="n">
        <v>127</v>
      </c>
      <c r="F153" s="5" t="n">
        <v>127</v>
      </c>
      <c r="G153" s="3" t="str">
        <f aca="false">IF(OR(F153="",AND(D153="",E153="")),"n/a",IF(F153=E153,"mastered",IF(F153=D153,"normal","differs")))</f>
        <v>mastered</v>
      </c>
      <c r="H153" s="6" t="n">
        <v>558</v>
      </c>
      <c r="I153" s="6"/>
      <c r="J153" s="4" t="n">
        <v>66</v>
      </c>
      <c r="K153" s="4"/>
      <c r="L153" s="7" t="n">
        <v>21.17647059</v>
      </c>
      <c r="M153" s="8" t="n">
        <v>31.05882353</v>
      </c>
      <c r="N153" s="3" t="str">
        <f aca="false">IF(L153="","",IF(L153&lt;0,"negative profit",IF(L153&gt;Notes!$B$4,"unusually high - verify","")))</f>
        <v/>
      </c>
      <c r="O153" s="3" t="s">
        <v>29</v>
      </c>
      <c r="P153" s="3" t="str">
        <f aca="false">IF(O153&lt;&gt;"both",O153&amp;" only",IF(Q153="","agree","conflict"))</f>
        <v>agree</v>
      </c>
      <c r="Q153" s="3" t="str">
        <f aca="false">IF(O153="both",TRIM(IF(I153&lt;&gt;"","price ","")&amp;IF(K153&lt;&gt;"","xp ","")&amp;IF(G153="differs","time","")),"")</f>
        <v/>
      </c>
      <c r="R153" s="3" t="s">
        <v>30</v>
      </c>
      <c r="S153" s="3" t="s">
        <v>203</v>
      </c>
    </row>
    <row r="154" customFormat="false" ht="15" hidden="false" customHeight="false" outlineLevel="0" collapsed="false">
      <c r="A154" s="3" t="s">
        <v>206</v>
      </c>
      <c r="B154" s="3" t="s">
        <v>202</v>
      </c>
      <c r="C154" s="4" t="n">
        <v>86</v>
      </c>
      <c r="D154" s="5" t="n">
        <v>120</v>
      </c>
      <c r="E154" s="5" t="n">
        <v>102</v>
      </c>
      <c r="F154" s="5" t="n">
        <v>102</v>
      </c>
      <c r="G154" s="3" t="str">
        <f aca="false">IF(OR(F154="",AND(D154="",E154="")),"n/a",IF(F154=E154,"mastered",IF(F154=D154,"normal","differs")))</f>
        <v>mastered</v>
      </c>
      <c r="H154" s="6" t="n">
        <v>331</v>
      </c>
      <c r="I154" s="6"/>
      <c r="J154" s="4" t="n">
        <v>40</v>
      </c>
      <c r="K154" s="4"/>
      <c r="L154" s="7" t="n">
        <v>22.94117647</v>
      </c>
      <c r="M154" s="8" t="n">
        <v>23.52941176</v>
      </c>
      <c r="N154" s="3" t="str">
        <f aca="false">IF(L154="","",IF(L154&lt;0,"negative profit",IF(L154&gt;Notes!$B$4,"unusually high - verify","")))</f>
        <v/>
      </c>
      <c r="O154" s="3" t="s">
        <v>29</v>
      </c>
      <c r="P154" s="3" t="str">
        <f aca="false">IF(O154&lt;&gt;"both",O154&amp;" only",IF(Q154="","agree","conflict"))</f>
        <v>agree</v>
      </c>
      <c r="Q154" s="3" t="str">
        <f aca="false">IF(O154="both",TRIM(IF(I154&lt;&gt;"","price ","")&amp;IF(K154&lt;&gt;"","xp ","")&amp;IF(G154="differs","time","")),"")</f>
        <v/>
      </c>
      <c r="R154" s="3" t="s">
        <v>30</v>
      </c>
      <c r="S154" s="3" t="s">
        <v>203</v>
      </c>
    </row>
    <row r="155" customFormat="false" ht="15" hidden="false" customHeight="false" outlineLevel="0" collapsed="false">
      <c r="A155" s="3" t="s">
        <v>207</v>
      </c>
      <c r="B155" s="3" t="s">
        <v>208</v>
      </c>
      <c r="C155" s="4" t="n">
        <v>39</v>
      </c>
      <c r="D155" s="5" t="n">
        <v>20</v>
      </c>
      <c r="E155" s="5" t="n">
        <v>17</v>
      </c>
      <c r="F155" s="5" t="n">
        <v>17</v>
      </c>
      <c r="G155" s="3" t="str">
        <f aca="false">IF(OR(F155="",AND(D155="",E155="")),"n/a",IF(F155=E155,"mastered",IF(F155=D155,"normal","differs")))</f>
        <v>mastered</v>
      </c>
      <c r="H155" s="6" t="n">
        <v>154</v>
      </c>
      <c r="I155" s="6"/>
      <c r="J155" s="4" t="n">
        <v>19</v>
      </c>
      <c r="K155" s="4"/>
      <c r="L155" s="7" t="n">
        <v>63.52941176</v>
      </c>
      <c r="M155" s="8" t="n">
        <v>67.05882353</v>
      </c>
      <c r="N155" s="3" t="str">
        <f aca="false">IF(L155="","",IF(L155&lt;0,"negative profit",IF(L155&gt;Notes!$B$4,"unusually high - verify","")))</f>
        <v/>
      </c>
      <c r="O155" s="3" t="s">
        <v>29</v>
      </c>
      <c r="P155" s="3" t="str">
        <f aca="false">IF(O155&lt;&gt;"both",O155&amp;" only",IF(Q155="","agree","conflict"))</f>
        <v>agree</v>
      </c>
      <c r="Q155" s="3" t="str">
        <f aca="false">IF(O155="both",TRIM(IF(I155&lt;&gt;"","price ","")&amp;IF(K155&lt;&gt;"","xp ","")&amp;IF(G155="differs","time","")),"")</f>
        <v/>
      </c>
      <c r="R155" s="3" t="s">
        <v>30</v>
      </c>
      <c r="S155" s="3" t="s">
        <v>209</v>
      </c>
    </row>
    <row r="156" customFormat="false" ht="15" hidden="false" customHeight="false" outlineLevel="0" collapsed="false">
      <c r="A156" s="3" t="s">
        <v>210</v>
      </c>
      <c r="B156" s="3" t="s">
        <v>208</v>
      </c>
      <c r="C156" s="4" t="n">
        <v>48</v>
      </c>
      <c r="D156" s="5" t="n">
        <v>45</v>
      </c>
      <c r="E156" s="5" t="n">
        <v>38</v>
      </c>
      <c r="F156" s="5" t="n">
        <v>38</v>
      </c>
      <c r="G156" s="3" t="str">
        <f aca="false">IF(OR(F156="",AND(D156="",E156="")),"n/a",IF(F156=E156,"mastered",IF(F156=D156,"normal","differs")))</f>
        <v>mastered</v>
      </c>
      <c r="H156" s="6" t="n">
        <v>234</v>
      </c>
      <c r="I156" s="6"/>
      <c r="J156" s="4" t="n">
        <v>28</v>
      </c>
      <c r="K156" s="4"/>
      <c r="L156" s="7" t="n">
        <v>47.05882353</v>
      </c>
      <c r="M156" s="8" t="n">
        <v>43.92156863</v>
      </c>
      <c r="N156" s="3" t="str">
        <f aca="false">IF(L156="","",IF(L156&lt;0,"negative profit",IF(L156&gt;Notes!$B$4,"unusually high - verify","")))</f>
        <v/>
      </c>
      <c r="O156" s="3" t="s">
        <v>29</v>
      </c>
      <c r="P156" s="3" t="str">
        <f aca="false">IF(O156&lt;&gt;"both",O156&amp;" only",IF(Q156="","agree","conflict"))</f>
        <v>agree</v>
      </c>
      <c r="Q156" s="3" t="str">
        <f aca="false">IF(O156="both",TRIM(IF(I156&lt;&gt;"","price ","")&amp;IF(K156&lt;&gt;"","xp ","")&amp;IF(G156="differs","time","")),"")</f>
        <v/>
      </c>
      <c r="R156" s="3" t="s">
        <v>30</v>
      </c>
      <c r="S156" s="3" t="s">
        <v>209</v>
      </c>
    </row>
    <row r="157" customFormat="false" ht="15" hidden="false" customHeight="false" outlineLevel="0" collapsed="false">
      <c r="A157" s="3" t="s">
        <v>211</v>
      </c>
      <c r="B157" s="3" t="s">
        <v>212</v>
      </c>
      <c r="C157" s="4" t="n">
        <v>75</v>
      </c>
      <c r="D157" s="5" t="n">
        <v>30</v>
      </c>
      <c r="E157" s="5" t="n">
        <v>25</v>
      </c>
      <c r="F157" s="5" t="n">
        <v>25</v>
      </c>
      <c r="G157" s="3" t="str">
        <f aca="false">IF(OR(F157="",AND(D157="",E157="")),"n/a",IF(F157=E157,"mastered",IF(F157=D157,"normal","differs")))</f>
        <v>mastered</v>
      </c>
      <c r="H157" s="6" t="n">
        <v>370</v>
      </c>
      <c r="I157" s="6"/>
      <c r="J157" s="4" t="n">
        <v>44</v>
      </c>
      <c r="K157" s="4"/>
      <c r="L157" s="7" t="n">
        <v>44.70588235</v>
      </c>
      <c r="M157" s="8" t="n">
        <v>103.5294118</v>
      </c>
      <c r="N157" s="3" t="str">
        <f aca="false">IF(L157="","",IF(L157&lt;0,"negative profit",IF(L157&gt;Notes!$B$4,"unusually high - verify","")))</f>
        <v/>
      </c>
      <c r="O157" s="3" t="s">
        <v>29</v>
      </c>
      <c r="P157" s="3" t="str">
        <f aca="false">IF(O157&lt;&gt;"both",O157&amp;" only",IF(Q157="","agree","conflict"))</f>
        <v>agree</v>
      </c>
      <c r="Q157" s="3" t="str">
        <f aca="false">IF(O157="both",TRIM(IF(I157&lt;&gt;"","price ","")&amp;IF(K157&lt;&gt;"","xp ","")&amp;IF(G157="differs","time","")),"")</f>
        <v/>
      </c>
      <c r="R157" s="3" t="s">
        <v>30</v>
      </c>
      <c r="S157" s="3" t="s">
        <v>213</v>
      </c>
    </row>
    <row r="158" customFormat="false" ht="15" hidden="false" customHeight="false" outlineLevel="0" collapsed="false">
      <c r="A158" s="3" t="s">
        <v>214</v>
      </c>
      <c r="B158" s="3" t="s">
        <v>212</v>
      </c>
      <c r="C158" s="4" t="n">
        <v>76</v>
      </c>
      <c r="D158" s="5" t="n">
        <v>45</v>
      </c>
      <c r="E158" s="5" t="n">
        <v>38</v>
      </c>
      <c r="F158" s="5" t="n">
        <v>38</v>
      </c>
      <c r="G158" s="3" t="str">
        <f aca="false">IF(OR(F158="",AND(D158="",E158="")),"n/a",IF(F158=E158,"mastered",IF(F158=D158,"normal","differs")))</f>
        <v>mastered</v>
      </c>
      <c r="H158" s="6" t="n">
        <v>367</v>
      </c>
      <c r="I158" s="6"/>
      <c r="J158" s="4" t="n">
        <v>44</v>
      </c>
      <c r="K158" s="4"/>
      <c r="L158" s="7" t="n">
        <v>61.17647059</v>
      </c>
      <c r="M158" s="8" t="n">
        <v>69.01960784</v>
      </c>
      <c r="N158" s="3" t="str">
        <f aca="false">IF(L158="","",IF(L158&lt;0,"negative profit",IF(L158&gt;Notes!$B$4,"unusually high - verify","")))</f>
        <v/>
      </c>
      <c r="O158" s="3" t="s">
        <v>29</v>
      </c>
      <c r="P158" s="3" t="str">
        <f aca="false">IF(O158&lt;&gt;"both",O158&amp;" only",IF(Q158="","agree","conflict"))</f>
        <v>agree</v>
      </c>
      <c r="Q158" s="3" t="str">
        <f aca="false">IF(O158="both",TRIM(IF(I158&lt;&gt;"","price ","")&amp;IF(K158&lt;&gt;"","xp ","")&amp;IF(G158="differs","time","")),"")</f>
        <v/>
      </c>
      <c r="R158" s="3" t="s">
        <v>30</v>
      </c>
      <c r="S158" s="3" t="s">
        <v>213</v>
      </c>
    </row>
    <row r="159" customFormat="false" ht="15" hidden="false" customHeight="false" outlineLevel="0" collapsed="false">
      <c r="A159" s="3" t="s">
        <v>215</v>
      </c>
      <c r="B159" s="3" t="s">
        <v>212</v>
      </c>
      <c r="C159" s="4" t="n">
        <v>78</v>
      </c>
      <c r="D159" s="5" t="n">
        <v>60</v>
      </c>
      <c r="E159" s="5" t="n">
        <v>51</v>
      </c>
      <c r="F159" s="5" t="n">
        <v>51</v>
      </c>
      <c r="G159" s="3" t="str">
        <f aca="false">IF(OR(F159="",AND(D159="",E159="")),"n/a",IF(F159=E159,"mastered",IF(F159=D159,"normal","differs")))</f>
        <v>mastered</v>
      </c>
      <c r="H159" s="6" t="n">
        <v>529</v>
      </c>
      <c r="I159" s="6"/>
      <c r="J159" s="4" t="n">
        <v>63</v>
      </c>
      <c r="K159" s="4"/>
      <c r="L159" s="7" t="n">
        <v>28.23529412</v>
      </c>
      <c r="M159" s="8" t="n">
        <v>74.11764706</v>
      </c>
      <c r="N159" s="3" t="str">
        <f aca="false">IF(L159="","",IF(L159&lt;0,"negative profit",IF(L159&gt;Notes!$B$4,"unusually high - verify","")))</f>
        <v/>
      </c>
      <c r="O159" s="3" t="s">
        <v>29</v>
      </c>
      <c r="P159" s="3" t="str">
        <f aca="false">IF(O159&lt;&gt;"both",O159&amp;" only",IF(Q159="","agree","conflict"))</f>
        <v>agree</v>
      </c>
      <c r="Q159" s="3" t="str">
        <f aca="false">IF(O159="both",TRIM(IF(I159&lt;&gt;"","price ","")&amp;IF(K159&lt;&gt;"","xp ","")&amp;IF(G159="differs","time","")),"")</f>
        <v/>
      </c>
      <c r="R159" s="3" t="s">
        <v>30</v>
      </c>
      <c r="S159" s="3" t="s">
        <v>213</v>
      </c>
    </row>
    <row r="160" customFormat="false" ht="15" hidden="false" customHeight="false" outlineLevel="0" collapsed="false">
      <c r="A160" s="3" t="s">
        <v>216</v>
      </c>
      <c r="B160" s="3" t="s">
        <v>212</v>
      </c>
      <c r="C160" s="4" t="n">
        <v>80</v>
      </c>
      <c r="D160" s="5" t="n">
        <v>75</v>
      </c>
      <c r="E160" s="5" t="n">
        <v>63</v>
      </c>
      <c r="F160" s="5" t="n">
        <v>63</v>
      </c>
      <c r="G160" s="3" t="str">
        <f aca="false">IF(OR(F160="",AND(D160="",E160="")),"n/a",IF(F160=E160,"mastered",IF(F160=D160,"normal","differs")))</f>
        <v>mastered</v>
      </c>
      <c r="H160" s="6" t="n">
        <v>306</v>
      </c>
      <c r="I160" s="6"/>
      <c r="J160" s="4" t="n">
        <v>36</v>
      </c>
      <c r="K160" s="4"/>
      <c r="L160" s="7" t="n">
        <v>30.11764706</v>
      </c>
      <c r="M160" s="8" t="n">
        <v>33.88235294</v>
      </c>
      <c r="N160" s="3" t="str">
        <f aca="false">IF(L160="","",IF(L160&lt;0,"negative profit",IF(L160&gt;Notes!$B$4,"unusually high - verify","")))</f>
        <v/>
      </c>
      <c r="O160" s="3" t="s">
        <v>29</v>
      </c>
      <c r="P160" s="3" t="str">
        <f aca="false">IF(O160&lt;&gt;"both",O160&amp;" only",IF(Q160="","agree","conflict"))</f>
        <v>agree</v>
      </c>
      <c r="Q160" s="3" t="str">
        <f aca="false">IF(O160="both",TRIM(IF(I160&lt;&gt;"","price ","")&amp;IF(K160&lt;&gt;"","xp ","")&amp;IF(G160="differs","time","")),"")</f>
        <v/>
      </c>
      <c r="R160" s="3" t="s">
        <v>30</v>
      </c>
      <c r="S160" s="3" t="s">
        <v>213</v>
      </c>
    </row>
    <row r="161" customFormat="false" ht="15" hidden="false" customHeight="false" outlineLevel="0" collapsed="false">
      <c r="A161" s="3" t="s">
        <v>217</v>
      </c>
      <c r="B161" s="3" t="s">
        <v>218</v>
      </c>
      <c r="C161" s="4" t="n">
        <v>29</v>
      </c>
      <c r="D161" s="5" t="n">
        <v>120</v>
      </c>
      <c r="E161" s="5" t="n">
        <v>102</v>
      </c>
      <c r="F161" s="5" t="n">
        <v>102</v>
      </c>
      <c r="G161" s="3" t="str">
        <f aca="false">IF(OR(F161="",AND(D161="",E161="")),"n/a",IF(F161=E161,"mastered",IF(F161=D161,"normal","differs")))</f>
        <v>mastered</v>
      </c>
      <c r="H161" s="6" t="n">
        <v>172</v>
      </c>
      <c r="I161" s="6"/>
      <c r="J161" s="4" t="n">
        <v>20</v>
      </c>
      <c r="K161" s="4"/>
      <c r="L161" s="7" t="n">
        <v>23.52941176</v>
      </c>
      <c r="M161" s="8" t="n">
        <v>11.76470588</v>
      </c>
      <c r="N161" s="3" t="str">
        <f aca="false">IF(L161="","",IF(L161&lt;0,"negative profit",IF(L161&gt;Notes!$B$4,"unusually high - verify","")))</f>
        <v/>
      </c>
      <c r="O161" s="3" t="s">
        <v>29</v>
      </c>
      <c r="P161" s="3" t="str">
        <f aca="false">IF(O161&lt;&gt;"both",O161&amp;" only",IF(Q161="","agree","conflict"))</f>
        <v>agree</v>
      </c>
      <c r="Q161" s="3" t="str">
        <f aca="false">IF(O161="both",TRIM(IF(I161&lt;&gt;"","price ","")&amp;IF(K161&lt;&gt;"","xp ","")&amp;IF(G161="differs","time","")),"")</f>
        <v/>
      </c>
      <c r="R161" s="3" t="s">
        <v>30</v>
      </c>
      <c r="S161" s="3" t="s">
        <v>219</v>
      </c>
    </row>
    <row r="162" customFormat="false" ht="15" hidden="false" customHeight="false" outlineLevel="0" collapsed="false">
      <c r="A162" s="3" t="s">
        <v>220</v>
      </c>
      <c r="B162" s="3" t="s">
        <v>218</v>
      </c>
      <c r="C162" s="4" t="n">
        <v>33</v>
      </c>
      <c r="D162" s="5" t="n">
        <v>180</v>
      </c>
      <c r="E162" s="5" t="n">
        <v>153</v>
      </c>
      <c r="F162" s="5" t="n">
        <v>153</v>
      </c>
      <c r="G162" s="3" t="str">
        <f aca="false">IF(OR(F162="",AND(D162="",E162="")),"n/a",IF(F162=E162,"mastered",IF(F162=D162,"normal","differs")))</f>
        <v>mastered</v>
      </c>
      <c r="H162" s="6" t="n">
        <v>352</v>
      </c>
      <c r="I162" s="6"/>
      <c r="J162" s="4" t="n">
        <v>42</v>
      </c>
      <c r="K162" s="4"/>
      <c r="L162" s="7" t="n">
        <v>18.03921569</v>
      </c>
      <c r="M162" s="8" t="n">
        <v>16.47058824</v>
      </c>
      <c r="N162" s="3" t="str">
        <f aca="false">IF(L162="","",IF(L162&lt;0,"negative profit",IF(L162&gt;Notes!$B$4,"unusually high - verify","")))</f>
        <v/>
      </c>
      <c r="O162" s="3" t="s">
        <v>29</v>
      </c>
      <c r="P162" s="3" t="str">
        <f aca="false">IF(O162&lt;&gt;"both",O162&amp;" only",IF(Q162="","agree","conflict"))</f>
        <v>agree</v>
      </c>
      <c r="Q162" s="3" t="str">
        <f aca="false">IF(O162="both",TRIM(IF(I162&lt;&gt;"","price ","")&amp;IF(K162&lt;&gt;"","xp ","")&amp;IF(G162="differs","time","")),"")</f>
        <v/>
      </c>
      <c r="R162" s="3" t="s">
        <v>30</v>
      </c>
      <c r="S162" s="3" t="s">
        <v>219</v>
      </c>
    </row>
    <row r="163" customFormat="false" ht="15" hidden="false" customHeight="false" outlineLevel="0" collapsed="false">
      <c r="A163" s="3" t="s">
        <v>221</v>
      </c>
      <c r="B163" s="3" t="s">
        <v>218</v>
      </c>
      <c r="C163" s="4" t="n">
        <v>34</v>
      </c>
      <c r="D163" s="5" t="n">
        <v>240</v>
      </c>
      <c r="E163" s="5" t="n">
        <v>204</v>
      </c>
      <c r="F163" s="5" t="n">
        <v>204</v>
      </c>
      <c r="G163" s="3" t="str">
        <f aca="false">IF(OR(F163="",AND(D163="",E163="")),"n/a",IF(F163=E163,"mastered",IF(F163=D163,"normal","differs")))</f>
        <v>mastered</v>
      </c>
      <c r="H163" s="6" t="n">
        <v>331</v>
      </c>
      <c r="I163" s="6"/>
      <c r="J163" s="4" t="n">
        <v>40</v>
      </c>
      <c r="K163" s="4"/>
      <c r="L163" s="7" t="n">
        <v>14.41176471</v>
      </c>
      <c r="M163" s="8" t="n">
        <v>11.76470588</v>
      </c>
      <c r="N163" s="3" t="str">
        <f aca="false">IF(L163="","",IF(L163&lt;0,"negative profit",IF(L163&gt;Notes!$B$4,"unusually high - verify","")))</f>
        <v/>
      </c>
      <c r="O163" s="3" t="s">
        <v>29</v>
      </c>
      <c r="P163" s="3" t="str">
        <f aca="false">IF(O163&lt;&gt;"both",O163&amp;" only",IF(Q163="","agree","conflict"))</f>
        <v>agree</v>
      </c>
      <c r="Q163" s="3" t="str">
        <f aca="false">IF(O163="both",TRIM(IF(I163&lt;&gt;"","price ","")&amp;IF(K163&lt;&gt;"","xp ","")&amp;IF(G163="differs","time","")),"")</f>
        <v/>
      </c>
      <c r="R163" s="3" t="s">
        <v>30</v>
      </c>
      <c r="S163" s="3" t="s">
        <v>219</v>
      </c>
    </row>
    <row r="164" customFormat="false" ht="15" hidden="false" customHeight="false" outlineLevel="0" collapsed="false">
      <c r="A164" s="3" t="s">
        <v>222</v>
      </c>
      <c r="B164" s="3" t="s">
        <v>218</v>
      </c>
      <c r="C164" s="4" t="n">
        <v>39</v>
      </c>
      <c r="D164" s="5" t="n">
        <v>150</v>
      </c>
      <c r="E164" s="5" t="n">
        <v>127</v>
      </c>
      <c r="F164" s="5" t="n">
        <v>127</v>
      </c>
      <c r="G164" s="3" t="str">
        <f aca="false">IF(OR(F164="",AND(D164="",E164="")),"n/a",IF(F164=E164,"mastered",IF(F164=D164,"normal","differs")))</f>
        <v>mastered</v>
      </c>
      <c r="H164" s="6" t="n">
        <v>342</v>
      </c>
      <c r="I164" s="6"/>
      <c r="J164" s="4" t="n">
        <v>41</v>
      </c>
      <c r="K164" s="4"/>
      <c r="L164" s="7" t="n">
        <v>17.88235294</v>
      </c>
      <c r="M164" s="8" t="n">
        <v>19.29411765</v>
      </c>
      <c r="N164" s="3" t="str">
        <f aca="false">IF(L164="","",IF(L164&lt;0,"negative profit",IF(L164&gt;Notes!$B$4,"unusually high - verify","")))</f>
        <v/>
      </c>
      <c r="O164" s="3" t="s">
        <v>29</v>
      </c>
      <c r="P164" s="3" t="str">
        <f aca="false">IF(O164&lt;&gt;"both",O164&amp;" only",IF(Q164="","agree","conflict"))</f>
        <v>agree</v>
      </c>
      <c r="Q164" s="3" t="str">
        <f aca="false">IF(O164="both",TRIM(IF(I164&lt;&gt;"","price ","")&amp;IF(K164&lt;&gt;"","xp ","")&amp;IF(G164="differs","time","")),"")</f>
        <v/>
      </c>
      <c r="R164" s="3" t="s">
        <v>30</v>
      </c>
      <c r="S164" s="3" t="s">
        <v>219</v>
      </c>
    </row>
    <row r="165" customFormat="false" ht="15" hidden="false" customHeight="false" outlineLevel="0" collapsed="false">
      <c r="A165" s="3" t="s">
        <v>223</v>
      </c>
      <c r="B165" s="3" t="s">
        <v>218</v>
      </c>
      <c r="C165" s="4" t="n">
        <v>50</v>
      </c>
      <c r="D165" s="5" t="n">
        <v>120</v>
      </c>
      <c r="E165" s="5" t="n">
        <v>102</v>
      </c>
      <c r="F165" s="5" t="n">
        <v>102</v>
      </c>
      <c r="G165" s="3" t="str">
        <f aca="false">IF(OR(F165="",AND(D165="",E165="")),"n/a",IF(F165=E165,"mastered",IF(F165=D165,"normal","differs")))</f>
        <v>mastered</v>
      </c>
      <c r="H165" s="6" t="n">
        <v>176</v>
      </c>
      <c r="I165" s="6"/>
      <c r="J165" s="4" t="n">
        <v>21</v>
      </c>
      <c r="K165" s="4"/>
      <c r="L165" s="7" t="n">
        <v>23.52941176</v>
      </c>
      <c r="M165" s="8" t="n">
        <v>12.35294118</v>
      </c>
      <c r="N165" s="3" t="str">
        <f aca="false">IF(L165="","",IF(L165&lt;0,"negative profit",IF(L165&gt;Notes!$B$4,"unusually high - verify","")))</f>
        <v/>
      </c>
      <c r="O165" s="3" t="s">
        <v>29</v>
      </c>
      <c r="P165" s="3" t="str">
        <f aca="false">IF(O165&lt;&gt;"both",O165&amp;" only",IF(Q165="","agree","conflict"))</f>
        <v>agree</v>
      </c>
      <c r="Q165" s="3" t="str">
        <f aca="false">IF(O165="both",TRIM(IF(I165&lt;&gt;"","price ","")&amp;IF(K165&lt;&gt;"","xp ","")&amp;IF(G165="differs","time","")),"")</f>
        <v/>
      </c>
      <c r="R165" s="3" t="s">
        <v>30</v>
      </c>
      <c r="S165" s="3" t="s">
        <v>219</v>
      </c>
    </row>
    <row r="166" customFormat="false" ht="15" hidden="false" customHeight="false" outlineLevel="0" collapsed="false">
      <c r="A166" s="3" t="s">
        <v>224</v>
      </c>
      <c r="B166" s="3" t="s">
        <v>218</v>
      </c>
      <c r="C166" s="4" t="n">
        <v>68</v>
      </c>
      <c r="D166" s="5" t="n">
        <v>100</v>
      </c>
      <c r="E166" s="5" t="n">
        <v>85</v>
      </c>
      <c r="F166" s="5" t="n">
        <v>85</v>
      </c>
      <c r="G166" s="3" t="str">
        <f aca="false">IF(OR(F166="",AND(D166="",E166="")),"n/a",IF(F166=E166,"mastered",IF(F166=D166,"normal","differs")))</f>
        <v>mastered</v>
      </c>
      <c r="H166" s="6" t="n">
        <v>619</v>
      </c>
      <c r="I166" s="6"/>
      <c r="J166" s="4" t="n">
        <v>86</v>
      </c>
      <c r="K166" s="4"/>
      <c r="L166" s="7" t="n">
        <v>31.76470588</v>
      </c>
      <c r="M166" s="8" t="n">
        <v>60.70588235</v>
      </c>
      <c r="N166" s="3" t="str">
        <f aca="false">IF(L166="","",IF(L166&lt;0,"negative profit",IF(L166&gt;Notes!$B$4,"unusually high - verify","")))</f>
        <v/>
      </c>
      <c r="O166" s="3" t="s">
        <v>29</v>
      </c>
      <c r="P166" s="3" t="str">
        <f aca="false">IF(O166&lt;&gt;"both",O166&amp;" only",IF(Q166="","agree","conflict"))</f>
        <v>agree</v>
      </c>
      <c r="Q166" s="3" t="str">
        <f aca="false">IF(O166="both",TRIM(IF(I166&lt;&gt;"","price ","")&amp;IF(K166&lt;&gt;"","xp ","")&amp;IF(G166="differs","time","")),"")</f>
        <v/>
      </c>
      <c r="R166" s="3" t="s">
        <v>30</v>
      </c>
      <c r="S166" s="3" t="s">
        <v>219</v>
      </c>
    </row>
    <row r="167" customFormat="false" ht="15" hidden="false" customHeight="false" outlineLevel="0" collapsed="false">
      <c r="A167" s="3" t="s">
        <v>225</v>
      </c>
      <c r="B167" s="3" t="s">
        <v>218</v>
      </c>
      <c r="C167" s="4" t="n">
        <v>78</v>
      </c>
      <c r="D167" s="5" t="n">
        <v>20</v>
      </c>
      <c r="E167" s="5" t="n">
        <v>17</v>
      </c>
      <c r="F167" s="5" t="n">
        <v>17</v>
      </c>
      <c r="G167" s="3" t="str">
        <f aca="false">IF(OR(F167="",AND(D167="",E167="")),"n/a",IF(F167=E167,"mastered",IF(F167=D167,"normal","differs")))</f>
        <v>mastered</v>
      </c>
      <c r="H167" s="6" t="n">
        <v>435</v>
      </c>
      <c r="I167" s="6"/>
      <c r="J167" s="4" t="n">
        <v>56</v>
      </c>
      <c r="K167" s="4" t="n">
        <v>52</v>
      </c>
      <c r="L167" s="7" t="n">
        <v>52.94117647</v>
      </c>
      <c r="M167" s="8" t="n">
        <v>197.6470588</v>
      </c>
      <c r="N167" s="3" t="str">
        <f aca="false">IF(L167="","",IF(L167&lt;0,"negative profit",IF(L167&gt;Notes!$B$4,"unusually high - verify","")))</f>
        <v/>
      </c>
      <c r="O167" s="3" t="s">
        <v>29</v>
      </c>
      <c r="P167" s="3" t="str">
        <f aca="false">IF(O167&lt;&gt;"both",O167&amp;" only",IF(Q167="","agree","conflict"))</f>
        <v>conflict</v>
      </c>
      <c r="Q167" s="3" t="str">
        <f aca="false">IF(O167="both",TRIM(IF(I167&lt;&gt;"","price ","")&amp;IF(K167&lt;&gt;"","xp ","")&amp;IF(G167="differs","time","")),"")</f>
        <v>xp</v>
      </c>
      <c r="R167" s="3" t="s">
        <v>30</v>
      </c>
      <c r="S167" s="3" t="s">
        <v>219</v>
      </c>
    </row>
    <row r="168" customFormat="false" ht="15" hidden="false" customHeight="false" outlineLevel="0" collapsed="false">
      <c r="A168" s="3" t="s">
        <v>226</v>
      </c>
      <c r="B168" s="3" t="s">
        <v>218</v>
      </c>
      <c r="C168" s="4" t="n">
        <v>78</v>
      </c>
      <c r="D168" s="5" t="n">
        <v>210</v>
      </c>
      <c r="E168" s="5" t="n">
        <v>178</v>
      </c>
      <c r="F168" s="5" t="n">
        <v>178</v>
      </c>
      <c r="G168" s="3" t="str">
        <f aca="false">IF(OR(F168="",AND(D168="",E168="")),"n/a",IF(F168=E168,"mastered",IF(F168=D168,"normal","differs")))</f>
        <v>mastered</v>
      </c>
      <c r="H168" s="6" t="n">
        <v>399</v>
      </c>
      <c r="I168" s="6"/>
      <c r="J168" s="4" t="n">
        <v>48</v>
      </c>
      <c r="K168" s="4"/>
      <c r="L168" s="7" t="n">
        <v>17.14285714</v>
      </c>
      <c r="M168" s="8" t="n">
        <v>16.13445378</v>
      </c>
      <c r="N168" s="3" t="str">
        <f aca="false">IF(L168="","",IF(L168&lt;0,"negative profit",IF(L168&gt;Notes!$B$4,"unusually high - verify","")))</f>
        <v/>
      </c>
      <c r="O168" s="3" t="s">
        <v>29</v>
      </c>
      <c r="P168" s="3" t="str">
        <f aca="false">IF(O168&lt;&gt;"both",O168&amp;" only",IF(Q168="","agree","conflict"))</f>
        <v>agree</v>
      </c>
      <c r="Q168" s="3" t="str">
        <f aca="false">IF(O168="both",TRIM(IF(I168&lt;&gt;"","price ","")&amp;IF(K168&lt;&gt;"","xp ","")&amp;IF(G168="differs","time","")),"")</f>
        <v/>
      </c>
      <c r="R168" s="3" t="s">
        <v>30</v>
      </c>
      <c r="S168" s="3" t="s">
        <v>219</v>
      </c>
    </row>
    <row r="169" customFormat="false" ht="15" hidden="false" customHeight="false" outlineLevel="0" collapsed="false">
      <c r="A169" s="3" t="s">
        <v>227</v>
      </c>
      <c r="B169" s="3" t="s">
        <v>218</v>
      </c>
      <c r="C169" s="4" t="n">
        <v>83</v>
      </c>
      <c r="D169" s="5" t="n">
        <v>180</v>
      </c>
      <c r="E169" s="5" t="n">
        <v>153</v>
      </c>
      <c r="F169" s="5" t="n">
        <v>153</v>
      </c>
      <c r="G169" s="3" t="str">
        <f aca="false">IF(OR(F169="",AND(D169="",E169="")),"n/a",IF(F169=E169,"mastered",IF(F169=D169,"normal","differs")))</f>
        <v>mastered</v>
      </c>
      <c r="H169" s="6" t="n">
        <v>450</v>
      </c>
      <c r="I169" s="6"/>
      <c r="J169" s="4" t="n">
        <v>54</v>
      </c>
      <c r="K169" s="4"/>
      <c r="L169" s="7" t="n">
        <v>18.03921569</v>
      </c>
      <c r="M169" s="8" t="n">
        <v>21.17647059</v>
      </c>
      <c r="N169" s="3" t="str">
        <f aca="false">IF(L169="","",IF(L169&lt;0,"negative profit",IF(L169&gt;Notes!$B$4,"unusually high - verify","")))</f>
        <v/>
      </c>
      <c r="O169" s="3" t="s">
        <v>29</v>
      </c>
      <c r="P169" s="3" t="str">
        <f aca="false">IF(O169&lt;&gt;"both",O169&amp;" only",IF(Q169="","agree","conflict"))</f>
        <v>agree</v>
      </c>
      <c r="Q169" s="3" t="str">
        <f aca="false">IF(O169="both",TRIM(IF(I169&lt;&gt;"","price ","")&amp;IF(K169&lt;&gt;"","xp ","")&amp;IF(G169="differs","time","")),"")</f>
        <v/>
      </c>
      <c r="R169" s="3" t="s">
        <v>30</v>
      </c>
      <c r="S169" s="3" t="s">
        <v>219</v>
      </c>
    </row>
    <row r="170" customFormat="false" ht="15" hidden="false" customHeight="false" outlineLevel="0" collapsed="false">
      <c r="A170" s="3" t="s">
        <v>228</v>
      </c>
      <c r="B170" s="3" t="s">
        <v>218</v>
      </c>
      <c r="C170" s="4" t="n">
        <v>85</v>
      </c>
      <c r="D170" s="5" t="n">
        <v>135</v>
      </c>
      <c r="E170" s="5" t="n">
        <v>114</v>
      </c>
      <c r="F170" s="5" t="n">
        <v>114</v>
      </c>
      <c r="G170" s="3" t="str">
        <f aca="false">IF(OR(F170="",AND(D170="",E170="")),"n/a",IF(F170=E170,"mastered",IF(F170=D170,"normal","differs")))</f>
        <v>mastered</v>
      </c>
      <c r="H170" s="6" t="n">
        <v>288</v>
      </c>
      <c r="I170" s="6"/>
      <c r="J170" s="4" t="n">
        <v>34</v>
      </c>
      <c r="K170" s="4"/>
      <c r="L170" s="7" t="n">
        <v>19.86928105</v>
      </c>
      <c r="M170" s="8" t="n">
        <v>17.77777778</v>
      </c>
      <c r="N170" s="3" t="str">
        <f aca="false">IF(L170="","",IF(L170&lt;0,"negative profit",IF(L170&gt;Notes!$B$4,"unusually high - verify","")))</f>
        <v/>
      </c>
      <c r="O170" s="3" t="s">
        <v>29</v>
      </c>
      <c r="P170" s="3" t="str">
        <f aca="false">IF(O170&lt;&gt;"both",O170&amp;" only",IF(Q170="","agree","conflict"))</f>
        <v>agree</v>
      </c>
      <c r="Q170" s="3" t="str">
        <f aca="false">IF(O170="both",TRIM(IF(I170&lt;&gt;"","price ","")&amp;IF(K170&lt;&gt;"","xp ","")&amp;IF(G170="differs","time","")),"")</f>
        <v/>
      </c>
      <c r="R170" s="3" t="s">
        <v>30</v>
      </c>
      <c r="S170" s="3" t="s">
        <v>219</v>
      </c>
    </row>
    <row r="171" customFormat="false" ht="15" hidden="false" customHeight="false" outlineLevel="0" collapsed="false">
      <c r="A171" s="3" t="s">
        <v>229</v>
      </c>
      <c r="B171" s="3" t="s">
        <v>218</v>
      </c>
      <c r="C171" s="4" t="n">
        <v>96</v>
      </c>
      <c r="D171" s="5" t="n">
        <v>210</v>
      </c>
      <c r="E171" s="5" t="n">
        <v>178</v>
      </c>
      <c r="F171" s="5" t="n">
        <v>178</v>
      </c>
      <c r="G171" s="3" t="str">
        <f aca="false">IF(OR(F171="",AND(D171="",E171="")),"n/a",IF(F171=E171,"mastered",IF(F171=D171,"normal","differs")))</f>
        <v>mastered</v>
      </c>
      <c r="H171" s="6" t="n">
        <v>403</v>
      </c>
      <c r="I171" s="6"/>
      <c r="J171" s="4" t="n">
        <v>48</v>
      </c>
      <c r="K171" s="4"/>
      <c r="L171" s="7" t="n">
        <v>15.12605042</v>
      </c>
      <c r="M171" s="8" t="n">
        <v>16.13445378</v>
      </c>
      <c r="N171" s="3" t="str">
        <f aca="false">IF(L171="","",IF(L171&lt;0,"negative profit",IF(L171&gt;Notes!$B$4,"unusually high - verify","")))</f>
        <v/>
      </c>
      <c r="O171" s="3" t="s">
        <v>29</v>
      </c>
      <c r="P171" s="3" t="str">
        <f aca="false">IF(O171&lt;&gt;"both",O171&amp;" only",IF(Q171="","agree","conflict"))</f>
        <v>agree</v>
      </c>
      <c r="Q171" s="3" t="str">
        <f aca="false">IF(O171="both",TRIM(IF(I171&lt;&gt;"","price ","")&amp;IF(K171&lt;&gt;"","xp ","")&amp;IF(G171="differs","time","")),"")</f>
        <v/>
      </c>
      <c r="R171" s="3" t="s">
        <v>30</v>
      </c>
      <c r="S171" s="3" t="s">
        <v>219</v>
      </c>
    </row>
    <row r="172" customFormat="false" ht="15" hidden="false" customHeight="false" outlineLevel="0" collapsed="false">
      <c r="A172" s="3" t="s">
        <v>230</v>
      </c>
      <c r="B172" s="3" t="s">
        <v>218</v>
      </c>
      <c r="C172" s="4" t="n">
        <v>102</v>
      </c>
      <c r="D172" s="5"/>
      <c r="E172" s="5"/>
      <c r="F172" s="5" t="n">
        <v>15</v>
      </c>
      <c r="G172" s="3" t="str">
        <f aca="false">IF(OR(F172="",AND(D172="",E172="")),"n/a",IF(F172=E172,"mastered",IF(F172=D172,"normal","differs")))</f>
        <v>n/a</v>
      </c>
      <c r="H172" s="6" t="n">
        <v>320</v>
      </c>
      <c r="I172" s="6"/>
      <c r="J172" s="4" t="n">
        <v>38</v>
      </c>
      <c r="K172" s="4"/>
      <c r="L172" s="7" t="n">
        <v>56</v>
      </c>
      <c r="M172" s="8" t="n">
        <v>152</v>
      </c>
      <c r="N172" s="3" t="str">
        <f aca="false">IF(L172="","",IF(L172&lt;0,"negative profit",IF(L172&gt;Notes!$B$4,"unusually high - verify","")))</f>
        <v/>
      </c>
      <c r="O172" s="3" t="s">
        <v>21</v>
      </c>
      <c r="P172" s="3" t="str">
        <f aca="false">IF(O172&lt;&gt;"both",O172&amp;" only",IF(Q172="","agree","conflict"))</f>
        <v>hayday.info only</v>
      </c>
      <c r="Q172" s="3" t="str">
        <f aca="false">IF(O172="both",TRIM(IF(I172&lt;&gt;"","price ","")&amp;IF(K172&lt;&gt;"","xp ","")&amp;IF(G172="differs","time","")),"")</f>
        <v/>
      </c>
      <c r="R172" s="3" t="s">
        <v>22</v>
      </c>
      <c r="S172" s="3"/>
    </row>
    <row r="173" customFormat="false" ht="15" hidden="false" customHeight="false" outlineLevel="0" collapsed="false">
      <c r="A173" s="3" t="s">
        <v>231</v>
      </c>
      <c r="B173" s="3" t="s">
        <v>218</v>
      </c>
      <c r="C173" s="4" t="n">
        <v>106</v>
      </c>
      <c r="D173" s="5"/>
      <c r="E173" s="5"/>
      <c r="F173" s="5" t="n">
        <v>60</v>
      </c>
      <c r="G173" s="3" t="str">
        <f aca="false">IF(OR(F173="",AND(D173="",E173="")),"n/a",IF(F173=E173,"mastered",IF(F173=D173,"normal","differs")))</f>
        <v>n/a</v>
      </c>
      <c r="H173" s="6" t="n">
        <v>518</v>
      </c>
      <c r="I173" s="6"/>
      <c r="J173" s="4" t="n">
        <v>62</v>
      </c>
      <c r="K173" s="4"/>
      <c r="L173" s="7" t="n">
        <v>139</v>
      </c>
      <c r="M173" s="8" t="n">
        <v>62</v>
      </c>
      <c r="N173" s="3" t="str">
        <f aca="false">IF(L173="","",IF(L173&lt;0,"negative profit",IF(L173&gt;Notes!$B$4,"unusually high - verify","")))</f>
        <v/>
      </c>
      <c r="O173" s="3" t="s">
        <v>21</v>
      </c>
      <c r="P173" s="3" t="str">
        <f aca="false">IF(O173&lt;&gt;"both",O173&amp;" only",IF(Q173="","agree","conflict"))</f>
        <v>hayday.info only</v>
      </c>
      <c r="Q173" s="3" t="str">
        <f aca="false">IF(O173="both",TRIM(IF(I173&lt;&gt;"","price ","")&amp;IF(K173&lt;&gt;"","xp ","")&amp;IF(G173="differs","time","")),"")</f>
        <v/>
      </c>
      <c r="R173" s="3" t="s">
        <v>22</v>
      </c>
      <c r="S173" s="3"/>
    </row>
    <row r="174" customFormat="false" ht="15" hidden="false" customHeight="false" outlineLevel="0" collapsed="false">
      <c r="A174" s="3" t="s">
        <v>232</v>
      </c>
      <c r="B174" s="3" t="s">
        <v>233</v>
      </c>
      <c r="C174" s="4" t="n">
        <v>35</v>
      </c>
      <c r="D174" s="5" t="n">
        <v>360</v>
      </c>
      <c r="E174" s="5" t="n">
        <v>306</v>
      </c>
      <c r="F174" s="5" t="n">
        <v>306</v>
      </c>
      <c r="G174" s="3" t="str">
        <f aca="false">IF(OR(F174="",AND(D174="",E174="")),"n/a",IF(F174=E174,"mastered",IF(F174=D174,"normal","differs")))</f>
        <v>mastered</v>
      </c>
      <c r="H174" s="6" t="n">
        <v>219</v>
      </c>
      <c r="I174" s="6"/>
      <c r="J174" s="4" t="n">
        <v>26</v>
      </c>
      <c r="K174" s="4"/>
      <c r="L174" s="7" t="n">
        <v>20</v>
      </c>
      <c r="M174" s="8" t="n">
        <v>5.098039216</v>
      </c>
      <c r="N174" s="3" t="str">
        <f aca="false">IF(L174="","",IF(L174&lt;0,"negative profit",IF(L174&gt;Notes!$B$4,"unusually high - verify","")))</f>
        <v/>
      </c>
      <c r="O174" s="3" t="s">
        <v>29</v>
      </c>
      <c r="P174" s="3" t="str">
        <f aca="false">IF(O174&lt;&gt;"both",O174&amp;" only",IF(Q174="","agree","conflict"))</f>
        <v>agree</v>
      </c>
      <c r="Q174" s="3" t="str">
        <f aca="false">IF(O174="both",TRIM(IF(I174&lt;&gt;"","price ","")&amp;IF(K174&lt;&gt;"","xp ","")&amp;IF(G174="differs","time","")),"")</f>
        <v/>
      </c>
      <c r="R174" s="3" t="s">
        <v>30</v>
      </c>
      <c r="S174" s="3" t="s">
        <v>234</v>
      </c>
    </row>
    <row r="175" customFormat="false" ht="15" hidden="false" customHeight="false" outlineLevel="0" collapsed="false">
      <c r="A175" s="3" t="s">
        <v>235</v>
      </c>
      <c r="B175" s="3" t="s">
        <v>233</v>
      </c>
      <c r="C175" s="4" t="n">
        <v>36</v>
      </c>
      <c r="D175" s="5" t="n">
        <v>420</v>
      </c>
      <c r="E175" s="5" t="n">
        <v>357</v>
      </c>
      <c r="F175" s="5" t="n">
        <v>357</v>
      </c>
      <c r="G175" s="3" t="str">
        <f aca="false">IF(OR(F175="",AND(D175="",E175="")),"n/a",IF(F175=E175,"mastered",IF(F175=D175,"normal","differs")))</f>
        <v>mastered</v>
      </c>
      <c r="H175" s="6" t="n">
        <v>252</v>
      </c>
      <c r="I175" s="6"/>
      <c r="J175" s="4" t="n">
        <v>30</v>
      </c>
      <c r="K175" s="4" t="n">
        <v>29</v>
      </c>
      <c r="L175" s="7" t="n">
        <v>19.15966387</v>
      </c>
      <c r="M175" s="8" t="n">
        <v>5.042016807</v>
      </c>
      <c r="N175" s="3" t="str">
        <f aca="false">IF(L175="","",IF(L175&lt;0,"negative profit",IF(L175&gt;Notes!$B$4,"unusually high - verify","")))</f>
        <v/>
      </c>
      <c r="O175" s="3" t="s">
        <v>29</v>
      </c>
      <c r="P175" s="3" t="str">
        <f aca="false">IF(O175&lt;&gt;"both",O175&amp;" only",IF(Q175="","agree","conflict"))</f>
        <v>conflict</v>
      </c>
      <c r="Q175" s="3" t="str">
        <f aca="false">IF(O175="both",TRIM(IF(I175&lt;&gt;"","price ","")&amp;IF(K175&lt;&gt;"","xp ","")&amp;IF(G175="differs","time","")),"")</f>
        <v>xp</v>
      </c>
      <c r="R175" s="3" t="s">
        <v>30</v>
      </c>
      <c r="S175" s="3" t="s">
        <v>234</v>
      </c>
    </row>
    <row r="176" customFormat="false" ht="15" hidden="false" customHeight="false" outlineLevel="0" collapsed="false">
      <c r="A176" s="3" t="s">
        <v>236</v>
      </c>
      <c r="B176" s="3" t="s">
        <v>233</v>
      </c>
      <c r="C176" s="4" t="n">
        <v>37</v>
      </c>
      <c r="D176" s="5" t="n">
        <v>480</v>
      </c>
      <c r="E176" s="5" t="n">
        <v>408</v>
      </c>
      <c r="F176" s="5" t="n">
        <v>408</v>
      </c>
      <c r="G176" s="3" t="str">
        <f aca="false">IF(OR(F176="",AND(D176="",E176="")),"n/a",IF(F176=E176,"mastered",IF(F176=D176,"normal","differs")))</f>
        <v>mastered</v>
      </c>
      <c r="H176" s="6" t="n">
        <v>388</v>
      </c>
      <c r="I176" s="6"/>
      <c r="J176" s="4" t="n">
        <v>46</v>
      </c>
      <c r="K176" s="4"/>
      <c r="L176" s="7" t="n">
        <v>20.88235294</v>
      </c>
      <c r="M176" s="8" t="n">
        <v>6.764705882</v>
      </c>
      <c r="N176" s="3" t="str">
        <f aca="false">IF(L176="","",IF(L176&lt;0,"negative profit",IF(L176&gt;Notes!$B$4,"unusually high - verify","")))</f>
        <v/>
      </c>
      <c r="O176" s="3" t="s">
        <v>29</v>
      </c>
      <c r="P176" s="3" t="str">
        <f aca="false">IF(O176&lt;&gt;"both",O176&amp;" only",IF(Q176="","agree","conflict"))</f>
        <v>agree</v>
      </c>
      <c r="Q176" s="3" t="str">
        <f aca="false">IF(O176="both",TRIM(IF(I176&lt;&gt;"","price ","")&amp;IF(K176&lt;&gt;"","xp ","")&amp;IF(G176="differs","time","")),"")</f>
        <v/>
      </c>
      <c r="R176" s="3" t="s">
        <v>30</v>
      </c>
      <c r="S176" s="3" t="s">
        <v>234</v>
      </c>
    </row>
    <row r="177" customFormat="false" ht="15" hidden="false" customHeight="false" outlineLevel="0" collapsed="false">
      <c r="A177" s="3" t="s">
        <v>237</v>
      </c>
      <c r="B177" s="3" t="s">
        <v>233</v>
      </c>
      <c r="C177" s="4" t="n">
        <v>38</v>
      </c>
      <c r="D177" s="5" t="n">
        <v>420</v>
      </c>
      <c r="E177" s="5" t="n">
        <v>357</v>
      </c>
      <c r="F177" s="5" t="n">
        <v>357</v>
      </c>
      <c r="G177" s="3" t="str">
        <f aca="false">IF(OR(F177="",AND(D177="",E177="")),"n/a",IF(F177=E177,"mastered",IF(F177=D177,"normal","differs")))</f>
        <v>mastered</v>
      </c>
      <c r="H177" s="6" t="n">
        <v>334</v>
      </c>
      <c r="I177" s="6"/>
      <c r="J177" s="4" t="n">
        <v>40</v>
      </c>
      <c r="K177" s="4"/>
      <c r="L177" s="7" t="n">
        <v>21.8487395</v>
      </c>
      <c r="M177" s="8" t="n">
        <v>6.722689076</v>
      </c>
      <c r="N177" s="3" t="str">
        <f aca="false">IF(L177="","",IF(L177&lt;0,"negative profit",IF(L177&gt;Notes!$B$4,"unusually high - verify","")))</f>
        <v/>
      </c>
      <c r="O177" s="3" t="s">
        <v>29</v>
      </c>
      <c r="P177" s="3" t="str">
        <f aca="false">IF(O177&lt;&gt;"both",O177&amp;" only",IF(Q177="","agree","conflict"))</f>
        <v>agree</v>
      </c>
      <c r="Q177" s="3" t="str">
        <f aca="false">IF(O177="both",TRIM(IF(I177&lt;&gt;"","price ","")&amp;IF(K177&lt;&gt;"","xp ","")&amp;IF(G177="differs","time","")),"")</f>
        <v/>
      </c>
      <c r="R177" s="3" t="s">
        <v>30</v>
      </c>
      <c r="S177" s="3" t="s">
        <v>234</v>
      </c>
    </row>
    <row r="178" customFormat="false" ht="15" hidden="false" customHeight="false" outlineLevel="0" collapsed="false">
      <c r="A178" s="3" t="s">
        <v>238</v>
      </c>
      <c r="B178" s="3" t="s">
        <v>233</v>
      </c>
      <c r="C178" s="4" t="n">
        <v>50</v>
      </c>
      <c r="D178" s="5" t="n">
        <v>450</v>
      </c>
      <c r="E178" s="5" t="n">
        <v>382</v>
      </c>
      <c r="F178" s="5" t="n">
        <v>382</v>
      </c>
      <c r="G178" s="3" t="str">
        <f aca="false">IF(OR(F178="",AND(D178="",E178="")),"n/a",IF(F178=E178,"mastered",IF(F178=D178,"normal","differs")))</f>
        <v>mastered</v>
      </c>
      <c r="H178" s="6" t="n">
        <v>270</v>
      </c>
      <c r="I178" s="6"/>
      <c r="J178" s="4" t="n">
        <v>32</v>
      </c>
      <c r="K178" s="4"/>
      <c r="L178" s="7" t="n">
        <v>18.82352941</v>
      </c>
      <c r="M178" s="8" t="n">
        <v>5.019607843</v>
      </c>
      <c r="N178" s="3" t="str">
        <f aca="false">IF(L178="","",IF(L178&lt;0,"negative profit",IF(L178&gt;Notes!$B$4,"unusually high - verify","")))</f>
        <v/>
      </c>
      <c r="O178" s="3" t="s">
        <v>29</v>
      </c>
      <c r="P178" s="3" t="str">
        <f aca="false">IF(O178&lt;&gt;"both",O178&amp;" only",IF(Q178="","agree","conflict"))</f>
        <v>agree</v>
      </c>
      <c r="Q178" s="3" t="str">
        <f aca="false">IF(O178="both",TRIM(IF(I178&lt;&gt;"","price ","")&amp;IF(K178&lt;&gt;"","xp ","")&amp;IF(G178="differs","time","")),"")</f>
        <v/>
      </c>
      <c r="R178" s="3" t="s">
        <v>30</v>
      </c>
      <c r="S178" s="3" t="s">
        <v>234</v>
      </c>
    </row>
    <row r="179" customFormat="false" ht="15" hidden="false" customHeight="false" outlineLevel="0" collapsed="false">
      <c r="A179" s="3" t="s">
        <v>239</v>
      </c>
      <c r="B179" s="3" t="s">
        <v>233</v>
      </c>
      <c r="C179" s="4" t="n">
        <v>74</v>
      </c>
      <c r="D179" s="5" t="n">
        <v>510</v>
      </c>
      <c r="E179" s="5" t="n">
        <v>433</v>
      </c>
      <c r="F179" s="5" t="n">
        <v>433</v>
      </c>
      <c r="G179" s="3" t="str">
        <f aca="false">IF(OR(F179="",AND(D179="",E179="")),"n/a",IF(F179=E179,"mastered",IF(F179=D179,"normal","differs")))</f>
        <v>mastered</v>
      </c>
      <c r="H179" s="6" t="n">
        <v>457</v>
      </c>
      <c r="I179" s="6"/>
      <c r="J179" s="4" t="n">
        <v>54</v>
      </c>
      <c r="K179" s="4"/>
      <c r="L179" s="7" t="n">
        <v>22.97577855</v>
      </c>
      <c r="M179" s="8" t="n">
        <v>7.474048443</v>
      </c>
      <c r="N179" s="3" t="str">
        <f aca="false">IF(L179="","",IF(L179&lt;0,"negative profit",IF(L179&gt;Notes!$B$4,"unusually high - verify","")))</f>
        <v/>
      </c>
      <c r="O179" s="3" t="s">
        <v>29</v>
      </c>
      <c r="P179" s="3" t="str">
        <f aca="false">IF(O179&lt;&gt;"both",O179&amp;" only",IF(Q179="","agree","conflict"))</f>
        <v>agree</v>
      </c>
      <c r="Q179" s="3" t="str">
        <f aca="false">IF(O179="both",TRIM(IF(I179&lt;&gt;"","price ","")&amp;IF(K179&lt;&gt;"","xp ","")&amp;IF(G179="differs","time","")),"")</f>
        <v/>
      </c>
      <c r="R179" s="3" t="s">
        <v>30</v>
      </c>
      <c r="S179" s="3" t="s">
        <v>234</v>
      </c>
    </row>
    <row r="180" customFormat="false" ht="15" hidden="false" customHeight="false" outlineLevel="0" collapsed="false">
      <c r="A180" s="3" t="s">
        <v>240</v>
      </c>
      <c r="B180" s="3" t="s">
        <v>233</v>
      </c>
      <c r="C180" s="4" t="n">
        <v>79</v>
      </c>
      <c r="D180" s="5" t="n">
        <v>480</v>
      </c>
      <c r="E180" s="5" t="n">
        <v>408</v>
      </c>
      <c r="F180" s="5" t="n">
        <v>408</v>
      </c>
      <c r="G180" s="3" t="str">
        <f aca="false">IF(OR(F180="",AND(D180="",E180="")),"n/a",IF(F180=E180,"mastered",IF(F180=D180,"normal","differs")))</f>
        <v>mastered</v>
      </c>
      <c r="H180" s="6" t="n">
        <v>464</v>
      </c>
      <c r="I180" s="6"/>
      <c r="J180" s="4" t="n">
        <v>55</v>
      </c>
      <c r="K180" s="4"/>
      <c r="L180" s="7" t="n">
        <v>24.11764706</v>
      </c>
      <c r="M180" s="8" t="n">
        <v>8.088235294</v>
      </c>
      <c r="N180" s="3" t="str">
        <f aca="false">IF(L180="","",IF(L180&lt;0,"negative profit",IF(L180&gt;Notes!$B$4,"unusually high - verify","")))</f>
        <v/>
      </c>
      <c r="O180" s="3" t="s">
        <v>29</v>
      </c>
      <c r="P180" s="3" t="str">
        <f aca="false">IF(O180&lt;&gt;"both",O180&amp;" only",IF(Q180="","agree","conflict"))</f>
        <v>agree</v>
      </c>
      <c r="Q180" s="3" t="str">
        <f aca="false">IF(O180="both",TRIM(IF(I180&lt;&gt;"","price ","")&amp;IF(K180&lt;&gt;"","xp ","")&amp;IF(G180="differs","time","")),"")</f>
        <v/>
      </c>
      <c r="R180" s="3" t="s">
        <v>30</v>
      </c>
      <c r="S180" s="3" t="s">
        <v>234</v>
      </c>
    </row>
    <row r="181" customFormat="false" ht="15" hidden="false" customHeight="false" outlineLevel="0" collapsed="false">
      <c r="A181" s="3" t="s">
        <v>241</v>
      </c>
      <c r="B181" s="3" t="s">
        <v>233</v>
      </c>
      <c r="C181" s="4" t="n">
        <v>85</v>
      </c>
      <c r="D181" s="5" t="n">
        <v>390</v>
      </c>
      <c r="E181" s="5" t="n">
        <v>330</v>
      </c>
      <c r="F181" s="5" t="n">
        <v>331</v>
      </c>
      <c r="G181" s="3" t="str">
        <f aca="false">IF(OR(F181="",AND(D181="",E181="")),"n/a",IF(F181=E181,"mastered",IF(F181=D181,"normal","differs")))</f>
        <v>differs</v>
      </c>
      <c r="H181" s="6" t="n">
        <v>162</v>
      </c>
      <c r="I181" s="6"/>
      <c r="J181" s="4" t="n">
        <v>19</v>
      </c>
      <c r="K181" s="4"/>
      <c r="L181" s="7" t="n">
        <v>11.94570136</v>
      </c>
      <c r="M181" s="8" t="n">
        <v>3.438914027</v>
      </c>
      <c r="N181" s="3" t="str">
        <f aca="false">IF(L181="","",IF(L181&lt;0,"negative profit",IF(L181&gt;Notes!$B$4,"unusually high - verify","")))</f>
        <v/>
      </c>
      <c r="O181" s="3" t="s">
        <v>29</v>
      </c>
      <c r="P181" s="3" t="str">
        <f aca="false">IF(O181&lt;&gt;"both",O181&amp;" only",IF(Q181="","agree","conflict"))</f>
        <v>conflict</v>
      </c>
      <c r="Q181" s="3" t="str">
        <f aca="false">IF(O181="both",TRIM(IF(I181&lt;&gt;"","price ","")&amp;IF(K181&lt;&gt;"","xp ","")&amp;IF(G181="differs","time","")),"")</f>
        <v>time</v>
      </c>
      <c r="R181" s="3" t="s">
        <v>30</v>
      </c>
      <c r="S181" s="3" t="s">
        <v>234</v>
      </c>
    </row>
    <row r="182" customFormat="false" ht="15" hidden="false" customHeight="false" outlineLevel="0" collapsed="false">
      <c r="A182" s="3" t="s">
        <v>242</v>
      </c>
      <c r="B182" s="3" t="s">
        <v>233</v>
      </c>
      <c r="C182" s="4" t="n">
        <v>94</v>
      </c>
      <c r="D182" s="5" t="n">
        <v>300</v>
      </c>
      <c r="E182" s="5" t="n">
        <v>255</v>
      </c>
      <c r="F182" s="5" t="n">
        <v>255</v>
      </c>
      <c r="G182" s="3" t="str">
        <f aca="false">IF(OR(F182="",AND(D182="",E182="")),"n/a",IF(F182=E182,"mastered",IF(F182=D182,"normal","differs")))</f>
        <v>mastered</v>
      </c>
      <c r="H182" s="6" t="n">
        <v>385</v>
      </c>
      <c r="I182" s="6"/>
      <c r="J182" s="4" t="n">
        <v>46</v>
      </c>
      <c r="K182" s="4"/>
      <c r="L182" s="7" t="n">
        <v>32.70588235</v>
      </c>
      <c r="M182" s="8" t="n">
        <v>10.82352941</v>
      </c>
      <c r="N182" s="3" t="str">
        <f aca="false">IF(L182="","",IF(L182&lt;0,"negative profit",IF(L182&gt;Notes!$B$4,"unusually high - verify","")))</f>
        <v/>
      </c>
      <c r="O182" s="3" t="s">
        <v>29</v>
      </c>
      <c r="P182" s="3" t="str">
        <f aca="false">IF(O182&lt;&gt;"both",O182&amp;" only",IF(Q182="","agree","conflict"))</f>
        <v>agree</v>
      </c>
      <c r="Q182" s="3" t="str">
        <f aca="false">IF(O182="both",TRIM(IF(I182&lt;&gt;"","price ","")&amp;IF(K182&lt;&gt;"","xp ","")&amp;IF(G182="differs","time","")),"")</f>
        <v/>
      </c>
      <c r="R182" s="3" t="s">
        <v>30</v>
      </c>
      <c r="S182" s="3" t="s">
        <v>234</v>
      </c>
    </row>
    <row r="183" customFormat="false" ht="15" hidden="false" customHeight="false" outlineLevel="0" collapsed="false">
      <c r="A183" s="3" t="s">
        <v>243</v>
      </c>
      <c r="B183" s="3" t="s">
        <v>233</v>
      </c>
      <c r="C183" s="4" t="n">
        <v>96</v>
      </c>
      <c r="D183" s="5"/>
      <c r="E183" s="5"/>
      <c r="F183" s="5" t="n">
        <v>272</v>
      </c>
      <c r="G183" s="3" t="str">
        <f aca="false">IF(OR(F183="",AND(D183="",E183="")),"n/a",IF(F183=E183,"mastered",IF(F183=D183,"normal","differs")))</f>
        <v>n/a</v>
      </c>
      <c r="H183" s="6" t="n">
        <v>118</v>
      </c>
      <c r="I183" s="6"/>
      <c r="J183" s="4" t="n">
        <v>14</v>
      </c>
      <c r="K183" s="4"/>
      <c r="L183" s="7" t="n">
        <v>14.11764706</v>
      </c>
      <c r="M183" s="8" t="n">
        <v>3.088235294</v>
      </c>
      <c r="N183" s="3" t="str">
        <f aca="false">IF(L183="","",IF(L183&lt;0,"negative profit",IF(L183&gt;Notes!$B$4,"unusually high - verify","")))</f>
        <v/>
      </c>
      <c r="O183" s="3" t="s">
        <v>21</v>
      </c>
      <c r="P183" s="3" t="str">
        <f aca="false">IF(O183&lt;&gt;"both",O183&amp;" only",IF(Q183="","agree","conflict"))</f>
        <v>hayday.info only</v>
      </c>
      <c r="Q183" s="3" t="str">
        <f aca="false">IF(O183="both",TRIM(IF(I183&lt;&gt;"","price ","")&amp;IF(K183&lt;&gt;"","xp ","")&amp;IF(G183="differs","time","")),"")</f>
        <v/>
      </c>
      <c r="R183" s="3" t="s">
        <v>22</v>
      </c>
      <c r="S183" s="3"/>
    </row>
    <row r="184" customFormat="false" ht="15" hidden="false" customHeight="false" outlineLevel="0" collapsed="false">
      <c r="A184" s="3" t="s">
        <v>244</v>
      </c>
      <c r="B184" s="3" t="s">
        <v>245</v>
      </c>
      <c r="C184" s="4" t="n">
        <v>38</v>
      </c>
      <c r="D184" s="5" t="n">
        <v>120</v>
      </c>
      <c r="E184" s="5" t="n">
        <v>102</v>
      </c>
      <c r="F184" s="5" t="n">
        <v>102</v>
      </c>
      <c r="G184" s="3" t="str">
        <f aca="false">IF(OR(F184="",AND(D184="",E184="")),"n/a",IF(F184=E184,"mastered",IF(F184=D184,"normal","differs")))</f>
        <v>mastered</v>
      </c>
      <c r="H184" s="6" t="n">
        <v>514</v>
      </c>
      <c r="I184" s="6"/>
      <c r="J184" s="4" t="n">
        <v>61</v>
      </c>
      <c r="K184" s="4"/>
      <c r="L184" s="7" t="n">
        <v>23.52941176</v>
      </c>
      <c r="M184" s="8" t="n">
        <v>35.88235294</v>
      </c>
      <c r="N184" s="3" t="str">
        <f aca="false">IF(L184="","",IF(L184&lt;0,"negative profit",IF(L184&gt;Notes!$B$4,"unusually high - verify","")))</f>
        <v/>
      </c>
      <c r="O184" s="3" t="s">
        <v>29</v>
      </c>
      <c r="P184" s="3" t="str">
        <f aca="false">IF(O184&lt;&gt;"both",O184&amp;" only",IF(Q184="","agree","conflict"))</f>
        <v>agree</v>
      </c>
      <c r="Q184" s="3" t="str">
        <f aca="false">IF(O184="both",TRIM(IF(I184&lt;&gt;"","price ","")&amp;IF(K184&lt;&gt;"","xp ","")&amp;IF(G184="differs","time","")),"")</f>
        <v/>
      </c>
      <c r="R184" s="3" t="s">
        <v>30</v>
      </c>
      <c r="S184" s="3" t="s">
        <v>246</v>
      </c>
    </row>
    <row r="185" customFormat="false" ht="15" hidden="false" customHeight="false" outlineLevel="0" collapsed="false">
      <c r="A185" s="3" t="s">
        <v>247</v>
      </c>
      <c r="B185" s="3" t="s">
        <v>245</v>
      </c>
      <c r="C185" s="4" t="n">
        <v>39</v>
      </c>
      <c r="D185" s="5" t="n">
        <v>180</v>
      </c>
      <c r="E185" s="5" t="n">
        <v>153</v>
      </c>
      <c r="F185" s="5" t="n">
        <v>153</v>
      </c>
      <c r="G185" s="3" t="str">
        <f aca="false">IF(OR(F185="",AND(D185="",E185="")),"n/a",IF(F185=E185,"mastered",IF(F185=D185,"normal","differs")))</f>
        <v>mastered</v>
      </c>
      <c r="H185" s="6" t="n">
        <v>727</v>
      </c>
      <c r="I185" s="6"/>
      <c r="J185" s="4" t="n">
        <v>87</v>
      </c>
      <c r="K185" s="4"/>
      <c r="L185" s="7" t="n">
        <v>18.82352941</v>
      </c>
      <c r="M185" s="8" t="n">
        <v>34.11764706</v>
      </c>
      <c r="N185" s="3" t="str">
        <f aca="false">IF(L185="","",IF(L185&lt;0,"negative profit",IF(L185&gt;Notes!$B$4,"unusually high - verify","")))</f>
        <v/>
      </c>
      <c r="O185" s="3" t="s">
        <v>29</v>
      </c>
      <c r="P185" s="3" t="str">
        <f aca="false">IF(O185&lt;&gt;"both",O185&amp;" only",IF(Q185="","agree","conflict"))</f>
        <v>agree</v>
      </c>
      <c r="Q185" s="3" t="str">
        <f aca="false">IF(O185="both",TRIM(IF(I185&lt;&gt;"","price ","")&amp;IF(K185&lt;&gt;"","xp ","")&amp;IF(G185="differs","time","")),"")</f>
        <v/>
      </c>
      <c r="R185" s="3" t="s">
        <v>30</v>
      </c>
      <c r="S185" s="3" t="s">
        <v>246</v>
      </c>
    </row>
    <row r="186" customFormat="false" ht="15" hidden="false" customHeight="false" outlineLevel="0" collapsed="false">
      <c r="A186" s="3" t="s">
        <v>248</v>
      </c>
      <c r="B186" s="3" t="s">
        <v>245</v>
      </c>
      <c r="C186" s="4" t="n">
        <v>40</v>
      </c>
      <c r="D186" s="5" t="n">
        <v>240</v>
      </c>
      <c r="E186" s="5" t="n">
        <v>204</v>
      </c>
      <c r="F186" s="5" t="n">
        <v>204</v>
      </c>
      <c r="G186" s="3" t="str">
        <f aca="false">IF(OR(F186="",AND(D186="",E186="")),"n/a",IF(F186=E186,"mastered",IF(F186=D186,"normal","differs")))</f>
        <v>mastered</v>
      </c>
      <c r="H186" s="6" t="n">
        <v>824</v>
      </c>
      <c r="I186" s="6"/>
      <c r="J186" s="4" t="n">
        <v>98</v>
      </c>
      <c r="K186" s="4"/>
      <c r="L186" s="7" t="n">
        <v>15.88235294</v>
      </c>
      <c r="M186" s="8" t="n">
        <v>28.82352941</v>
      </c>
      <c r="N186" s="3" t="str">
        <f aca="false">IF(L186="","",IF(L186&lt;0,"negative profit",IF(L186&gt;Notes!$B$4,"unusually high - verify","")))</f>
        <v/>
      </c>
      <c r="O186" s="3" t="s">
        <v>29</v>
      </c>
      <c r="P186" s="3" t="str">
        <f aca="false">IF(O186&lt;&gt;"both",O186&amp;" only",IF(Q186="","agree","conflict"))</f>
        <v>agree</v>
      </c>
      <c r="Q186" s="3" t="str">
        <f aca="false">IF(O186="both",TRIM(IF(I186&lt;&gt;"","price ","")&amp;IF(K186&lt;&gt;"","xp ","")&amp;IF(G186="differs","time","")),"")</f>
        <v/>
      </c>
      <c r="R186" s="3" t="s">
        <v>30</v>
      </c>
      <c r="S186" s="3" t="s">
        <v>246</v>
      </c>
    </row>
    <row r="187" customFormat="false" ht="15" hidden="false" customHeight="false" outlineLevel="0" collapsed="false">
      <c r="A187" s="3" t="s">
        <v>249</v>
      </c>
      <c r="B187" s="3" t="s">
        <v>245</v>
      </c>
      <c r="C187" s="4" t="n">
        <v>41</v>
      </c>
      <c r="D187" s="5" t="n">
        <v>90</v>
      </c>
      <c r="E187" s="5" t="n">
        <v>76</v>
      </c>
      <c r="F187" s="5" t="n">
        <v>76</v>
      </c>
      <c r="G187" s="3" t="str">
        <f aca="false">IF(OR(F187="",AND(D187="",E187="")),"n/a",IF(F187=E187,"mastered",IF(F187=D187,"normal","differs")))</f>
        <v>mastered</v>
      </c>
      <c r="H187" s="6" t="n">
        <v>658</v>
      </c>
      <c r="I187" s="6"/>
      <c r="J187" s="4" t="n">
        <v>79</v>
      </c>
      <c r="K187" s="4" t="n">
        <v>78</v>
      </c>
      <c r="L187" s="7" t="n">
        <v>29.01960784</v>
      </c>
      <c r="M187" s="8" t="n">
        <v>61.96078431</v>
      </c>
      <c r="N187" s="3" t="str">
        <f aca="false">IF(L187="","",IF(L187&lt;0,"negative profit",IF(L187&gt;Notes!$B$4,"unusually high - verify","")))</f>
        <v/>
      </c>
      <c r="O187" s="3" t="s">
        <v>29</v>
      </c>
      <c r="P187" s="3" t="str">
        <f aca="false">IF(O187&lt;&gt;"both",O187&amp;" only",IF(Q187="","agree","conflict"))</f>
        <v>conflict</v>
      </c>
      <c r="Q187" s="3" t="str">
        <f aca="false">IF(O187="both",TRIM(IF(I187&lt;&gt;"","price ","")&amp;IF(K187&lt;&gt;"","xp ","")&amp;IF(G187="differs","time","")),"")</f>
        <v>xp</v>
      </c>
      <c r="R187" s="3" t="s">
        <v>30</v>
      </c>
      <c r="S187" s="3" t="s">
        <v>246</v>
      </c>
    </row>
    <row r="188" customFormat="false" ht="15" hidden="false" customHeight="false" outlineLevel="0" collapsed="false">
      <c r="A188" s="3" t="s">
        <v>250</v>
      </c>
      <c r="B188" s="3" t="s">
        <v>245</v>
      </c>
      <c r="C188" s="4" t="n">
        <v>98</v>
      </c>
      <c r="D188" s="5" t="n">
        <v>60</v>
      </c>
      <c r="E188" s="5" t="n">
        <v>51</v>
      </c>
      <c r="F188" s="5" t="n">
        <v>51</v>
      </c>
      <c r="G188" s="3" t="str">
        <f aca="false">IF(OR(F188="",AND(D188="",E188="")),"n/a",IF(F188=E188,"mastered",IF(F188=D188,"normal","differs")))</f>
        <v>mastered</v>
      </c>
      <c r="H188" s="6" t="n">
        <v>698</v>
      </c>
      <c r="I188" s="6"/>
      <c r="J188" s="4" t="n">
        <v>83</v>
      </c>
      <c r="K188" s="4"/>
      <c r="L188" s="7" t="n">
        <v>29.41176471</v>
      </c>
      <c r="M188" s="8" t="n">
        <v>97.64705882</v>
      </c>
      <c r="N188" s="3" t="str">
        <f aca="false">IF(L188="","",IF(L188&lt;0,"negative profit",IF(L188&gt;Notes!$B$4,"unusually high - verify","")))</f>
        <v/>
      </c>
      <c r="O188" s="3" t="s">
        <v>29</v>
      </c>
      <c r="P188" s="3" t="str">
        <f aca="false">IF(O188&lt;&gt;"both",O188&amp;" only",IF(Q188="","agree","conflict"))</f>
        <v>agree</v>
      </c>
      <c r="Q188" s="3" t="str">
        <f aca="false">IF(O188="both",TRIM(IF(I188&lt;&gt;"","price ","")&amp;IF(K188&lt;&gt;"","xp ","")&amp;IF(G188="differs","time","")),"")</f>
        <v/>
      </c>
      <c r="R188" s="3" t="s">
        <v>30</v>
      </c>
      <c r="S188" s="3" t="s">
        <v>246</v>
      </c>
    </row>
    <row r="189" customFormat="false" ht="15" hidden="false" customHeight="false" outlineLevel="0" collapsed="false">
      <c r="A189" s="3" t="s">
        <v>251</v>
      </c>
      <c r="B189" s="3" t="s">
        <v>252</v>
      </c>
      <c r="C189" s="4" t="n">
        <v>26</v>
      </c>
      <c r="D189" s="5" t="n">
        <v>30</v>
      </c>
      <c r="E189" s="5" t="n">
        <v>25</v>
      </c>
      <c r="F189" s="5" t="n">
        <v>25</v>
      </c>
      <c r="G189" s="3" t="str">
        <f aca="false">IF(OR(F189="",AND(D189="",E189="")),"n/a",IF(F189=E189,"mastered",IF(F189=D189,"normal","differs")))</f>
        <v>mastered</v>
      </c>
      <c r="H189" s="6" t="n">
        <v>46</v>
      </c>
      <c r="I189" s="6"/>
      <c r="J189" s="4" t="n">
        <v>6</v>
      </c>
      <c r="K189" s="4"/>
      <c r="L189" s="7" t="n">
        <v>58.82352941</v>
      </c>
      <c r="M189" s="8" t="n">
        <v>14.11764706</v>
      </c>
      <c r="N189" s="3" t="str">
        <f aca="false">IF(L189="","",IF(L189&lt;0,"negative profit",IF(L189&gt;Notes!$B$4,"unusually high - verify","")))</f>
        <v/>
      </c>
      <c r="O189" s="3" t="s">
        <v>29</v>
      </c>
      <c r="P189" s="3" t="str">
        <f aca="false">IF(O189&lt;&gt;"both",O189&amp;" only",IF(Q189="","agree","conflict"))</f>
        <v>agree</v>
      </c>
      <c r="Q189" s="3" t="str">
        <f aca="false">IF(O189="both",TRIM(IF(I189&lt;&gt;"","price ","")&amp;IF(K189&lt;&gt;"","xp ","")&amp;IF(G189="differs","time","")),"")</f>
        <v/>
      </c>
      <c r="R189" s="3" t="s">
        <v>30</v>
      </c>
      <c r="S189" s="3" t="s">
        <v>253</v>
      </c>
    </row>
    <row r="190" customFormat="false" ht="15" hidden="false" customHeight="false" outlineLevel="0" collapsed="false">
      <c r="A190" s="3" t="s">
        <v>254</v>
      </c>
      <c r="B190" s="3" t="s">
        <v>252</v>
      </c>
      <c r="C190" s="4" t="n">
        <v>28</v>
      </c>
      <c r="D190" s="5" t="n">
        <v>120</v>
      </c>
      <c r="E190" s="5" t="n">
        <v>102</v>
      </c>
      <c r="F190" s="5" t="n">
        <v>102</v>
      </c>
      <c r="G190" s="3" t="str">
        <f aca="false">IF(OR(F190="",AND(D190="",E190="")),"n/a",IF(F190=E190,"mastered",IF(F190=D190,"normal","differs")))</f>
        <v>mastered</v>
      </c>
      <c r="H190" s="6" t="n">
        <v>129</v>
      </c>
      <c r="I190" s="6"/>
      <c r="J190" s="4" t="n">
        <v>15</v>
      </c>
      <c r="K190" s="4"/>
      <c r="L190" s="7" t="n">
        <v>30</v>
      </c>
      <c r="M190" s="8" t="n">
        <v>8.823529412</v>
      </c>
      <c r="N190" s="3" t="str">
        <f aca="false">IF(L190="","",IF(L190&lt;0,"negative profit",IF(L190&gt;Notes!$B$4,"unusually high - verify","")))</f>
        <v/>
      </c>
      <c r="O190" s="3" t="s">
        <v>29</v>
      </c>
      <c r="P190" s="3" t="str">
        <f aca="false">IF(O190&lt;&gt;"both",O190&amp;" only",IF(Q190="","agree","conflict"))</f>
        <v>agree</v>
      </c>
      <c r="Q190" s="3" t="str">
        <f aca="false">IF(O190="both",TRIM(IF(I190&lt;&gt;"","price ","")&amp;IF(K190&lt;&gt;"","xp ","")&amp;IF(G190="differs","time","")),"")</f>
        <v/>
      </c>
      <c r="R190" s="3" t="s">
        <v>30</v>
      </c>
      <c r="S190" s="3" t="s">
        <v>253</v>
      </c>
    </row>
    <row r="191" customFormat="false" ht="15" hidden="false" customHeight="false" outlineLevel="0" collapsed="false">
      <c r="A191" s="3" t="s">
        <v>255</v>
      </c>
      <c r="B191" s="3" t="s">
        <v>252</v>
      </c>
      <c r="C191" s="4" t="n">
        <v>30</v>
      </c>
      <c r="D191" s="5" t="n">
        <v>150</v>
      </c>
      <c r="E191" s="5" t="n">
        <v>127</v>
      </c>
      <c r="F191" s="5" t="n">
        <v>127</v>
      </c>
      <c r="G191" s="3" t="str">
        <f aca="false">IF(OR(F191="",AND(D191="",E191="")),"n/a",IF(F191=E191,"mastered",IF(F191=D191,"normal","differs")))</f>
        <v>mastered</v>
      </c>
      <c r="H191" s="6" t="n">
        <v>216</v>
      </c>
      <c r="I191" s="6"/>
      <c r="J191" s="4" t="n">
        <v>26</v>
      </c>
      <c r="K191" s="4"/>
      <c r="L191" s="7" t="n">
        <v>37.64705882</v>
      </c>
      <c r="M191" s="8" t="n">
        <v>12.23529412</v>
      </c>
      <c r="N191" s="3" t="str">
        <f aca="false">IF(L191="","",IF(L191&lt;0,"negative profit",IF(L191&gt;Notes!$B$4,"unusually high - verify","")))</f>
        <v/>
      </c>
      <c r="O191" s="3" t="s">
        <v>29</v>
      </c>
      <c r="P191" s="3" t="str">
        <f aca="false">IF(O191&lt;&gt;"both",O191&amp;" only",IF(Q191="","agree","conflict"))</f>
        <v>agree</v>
      </c>
      <c r="Q191" s="3" t="str">
        <f aca="false">IF(O191="both",TRIM(IF(I191&lt;&gt;"","price ","")&amp;IF(K191&lt;&gt;"","xp ","")&amp;IF(G191="differs","time","")),"")</f>
        <v/>
      </c>
      <c r="R191" s="3" t="s">
        <v>30</v>
      </c>
      <c r="S191" s="3" t="s">
        <v>253</v>
      </c>
    </row>
    <row r="192" customFormat="false" ht="15" hidden="false" customHeight="false" outlineLevel="0" collapsed="false">
      <c r="A192" s="3" t="s">
        <v>256</v>
      </c>
      <c r="B192" s="3" t="s">
        <v>252</v>
      </c>
      <c r="C192" s="4" t="n">
        <v>31</v>
      </c>
      <c r="D192" s="5" t="n">
        <v>180</v>
      </c>
      <c r="E192" s="5" t="n">
        <v>153</v>
      </c>
      <c r="F192" s="5" t="n">
        <v>153</v>
      </c>
      <c r="G192" s="3" t="str">
        <f aca="false">IF(OR(F192="",AND(D192="",E192="")),"n/a",IF(F192=E192,"mastered",IF(F192=D192,"normal","differs")))</f>
        <v>mastered</v>
      </c>
      <c r="H192" s="6" t="n">
        <v>205</v>
      </c>
      <c r="I192" s="6"/>
      <c r="J192" s="4" t="n">
        <v>24</v>
      </c>
      <c r="K192" s="4"/>
      <c r="L192" s="7" t="n">
        <v>30.19607843</v>
      </c>
      <c r="M192" s="8" t="n">
        <v>9.411764706</v>
      </c>
      <c r="N192" s="3" t="str">
        <f aca="false">IF(L192="","",IF(L192&lt;0,"negative profit",IF(L192&gt;Notes!$B$4,"unusually high - verify","")))</f>
        <v/>
      </c>
      <c r="O192" s="3" t="s">
        <v>29</v>
      </c>
      <c r="P192" s="3" t="str">
        <f aca="false">IF(O192&lt;&gt;"both",O192&amp;" only",IF(Q192="","agree","conflict"))</f>
        <v>agree</v>
      </c>
      <c r="Q192" s="3" t="str">
        <f aca="false">IF(O192="both",TRIM(IF(I192&lt;&gt;"","price ","")&amp;IF(K192&lt;&gt;"","xp ","")&amp;IF(G192="differs","time","")),"")</f>
        <v/>
      </c>
      <c r="R192" s="3" t="s">
        <v>30</v>
      </c>
      <c r="S192" s="3" t="s">
        <v>253</v>
      </c>
    </row>
    <row r="193" customFormat="false" ht="15" hidden="false" customHeight="false" outlineLevel="0" collapsed="false">
      <c r="A193" s="3" t="s">
        <v>257</v>
      </c>
      <c r="B193" s="3" t="s">
        <v>252</v>
      </c>
      <c r="C193" s="4" t="n">
        <v>31</v>
      </c>
      <c r="D193" s="5" t="n">
        <v>90</v>
      </c>
      <c r="E193" s="5" t="n">
        <v>76</v>
      </c>
      <c r="F193" s="5" t="n">
        <v>76</v>
      </c>
      <c r="G193" s="3" t="str">
        <f aca="false">IF(OR(F193="",AND(D193="",E193="")),"n/a",IF(F193=E193,"mastered",IF(F193=D193,"normal","differs")))</f>
        <v>mastered</v>
      </c>
      <c r="H193" s="6" t="n">
        <v>162</v>
      </c>
      <c r="I193" s="6"/>
      <c r="J193" s="4" t="n">
        <v>19</v>
      </c>
      <c r="K193" s="4"/>
      <c r="L193" s="7" t="n">
        <v>25.88235294</v>
      </c>
      <c r="M193" s="8" t="n">
        <v>14.90196078</v>
      </c>
      <c r="N193" s="3" t="str">
        <f aca="false">IF(L193="","",IF(L193&lt;0,"negative profit",IF(L193&gt;Notes!$B$4,"unusually high - verify","")))</f>
        <v/>
      </c>
      <c r="O193" s="3" t="s">
        <v>29</v>
      </c>
      <c r="P193" s="3" t="str">
        <f aca="false">IF(O193&lt;&gt;"both",O193&amp;" only",IF(Q193="","agree","conflict"))</f>
        <v>agree</v>
      </c>
      <c r="Q193" s="3" t="str">
        <f aca="false">IF(O193="both",TRIM(IF(I193&lt;&gt;"","price ","")&amp;IF(K193&lt;&gt;"","xp ","")&amp;IF(G193="differs","time","")),"")</f>
        <v/>
      </c>
      <c r="R193" s="3" t="s">
        <v>30</v>
      </c>
      <c r="S193" s="3" t="s">
        <v>253</v>
      </c>
    </row>
    <row r="194" customFormat="false" ht="15" hidden="false" customHeight="false" outlineLevel="0" collapsed="false">
      <c r="A194" s="3" t="s">
        <v>258</v>
      </c>
      <c r="B194" s="3" t="s">
        <v>252</v>
      </c>
      <c r="C194" s="4" t="n">
        <v>52</v>
      </c>
      <c r="D194" s="5" t="n">
        <v>45</v>
      </c>
      <c r="E194" s="5" t="n">
        <v>38</v>
      </c>
      <c r="F194" s="5" t="n">
        <v>38</v>
      </c>
      <c r="G194" s="3" t="str">
        <f aca="false">IF(OR(F194="",AND(D194="",E194="")),"n/a",IF(F194=E194,"mastered",IF(F194=D194,"normal","differs")))</f>
        <v>mastered</v>
      </c>
      <c r="H194" s="6" t="n">
        <v>68</v>
      </c>
      <c r="I194" s="6"/>
      <c r="J194" s="4" t="n">
        <v>8</v>
      </c>
      <c r="K194" s="4"/>
      <c r="L194" s="7" t="n">
        <v>40.78431373</v>
      </c>
      <c r="M194" s="8" t="n">
        <v>12.54901961</v>
      </c>
      <c r="N194" s="3" t="str">
        <f aca="false">IF(L194="","",IF(L194&lt;0,"negative profit",IF(L194&gt;Notes!$B$4,"unusually high - verify","")))</f>
        <v/>
      </c>
      <c r="O194" s="3" t="s">
        <v>29</v>
      </c>
      <c r="P194" s="3" t="str">
        <f aca="false">IF(O194&lt;&gt;"both",O194&amp;" only",IF(Q194="","agree","conflict"))</f>
        <v>agree</v>
      </c>
      <c r="Q194" s="3" t="str">
        <f aca="false">IF(O194="both",TRIM(IF(I194&lt;&gt;"","price ","")&amp;IF(K194&lt;&gt;"","xp ","")&amp;IF(G194="differs","time","")),"")</f>
        <v/>
      </c>
      <c r="R194" s="3" t="s">
        <v>30</v>
      </c>
      <c r="S194" s="3" t="s">
        <v>253</v>
      </c>
    </row>
    <row r="195" customFormat="false" ht="15" hidden="false" customHeight="false" outlineLevel="0" collapsed="false">
      <c r="A195" s="3" t="s">
        <v>259</v>
      </c>
      <c r="B195" s="3" t="s">
        <v>252</v>
      </c>
      <c r="C195" s="4" t="n">
        <v>71</v>
      </c>
      <c r="D195" s="5" t="n">
        <v>120</v>
      </c>
      <c r="E195" s="5" t="n">
        <v>102</v>
      </c>
      <c r="F195" s="5" t="n">
        <v>102</v>
      </c>
      <c r="G195" s="3" t="str">
        <f aca="false">IF(OR(F195="",AND(D195="",E195="")),"n/a",IF(F195=E195,"mastered",IF(F195=D195,"normal","differs")))</f>
        <v>mastered</v>
      </c>
      <c r="H195" s="6" t="n">
        <v>234</v>
      </c>
      <c r="I195" s="6"/>
      <c r="J195" s="4" t="n">
        <v>28</v>
      </c>
      <c r="K195" s="4"/>
      <c r="L195" s="7" t="n">
        <v>23.52941176</v>
      </c>
      <c r="M195" s="8" t="n">
        <v>16.47058824</v>
      </c>
      <c r="N195" s="3" t="str">
        <f aca="false">IF(L195="","",IF(L195&lt;0,"negative profit",IF(L195&gt;Notes!$B$4,"unusually high - verify","")))</f>
        <v/>
      </c>
      <c r="O195" s="3" t="s">
        <v>29</v>
      </c>
      <c r="P195" s="3" t="str">
        <f aca="false">IF(O195&lt;&gt;"both",O195&amp;" only",IF(Q195="","agree","conflict"))</f>
        <v>agree</v>
      </c>
      <c r="Q195" s="3" t="str">
        <f aca="false">IF(O195="both",TRIM(IF(I195&lt;&gt;"","price ","")&amp;IF(K195&lt;&gt;"","xp ","")&amp;IF(G195="differs","time","")),"")</f>
        <v/>
      </c>
      <c r="R195" s="3" t="s">
        <v>30</v>
      </c>
      <c r="S195" s="3" t="s">
        <v>253</v>
      </c>
    </row>
    <row r="196" customFormat="false" ht="15" hidden="false" customHeight="false" outlineLevel="0" collapsed="false">
      <c r="A196" s="3" t="s">
        <v>260</v>
      </c>
      <c r="B196" s="3" t="s">
        <v>252</v>
      </c>
      <c r="C196" s="4" t="n">
        <v>84</v>
      </c>
      <c r="D196" s="5" t="n">
        <v>150</v>
      </c>
      <c r="E196" s="5" t="n">
        <v>127</v>
      </c>
      <c r="F196" s="5" t="n">
        <v>127</v>
      </c>
      <c r="G196" s="3" t="str">
        <f aca="false">IF(OR(F196="",AND(D196="",E196="")),"n/a",IF(F196=E196,"mastered",IF(F196=D196,"normal","differs")))</f>
        <v>mastered</v>
      </c>
      <c r="H196" s="6" t="n">
        <v>104</v>
      </c>
      <c r="I196" s="6"/>
      <c r="J196" s="4" t="n">
        <v>13</v>
      </c>
      <c r="K196" s="4"/>
      <c r="L196" s="7" t="n">
        <v>18.82352941</v>
      </c>
      <c r="M196" s="8" t="n">
        <v>6.117647059</v>
      </c>
      <c r="N196" s="3" t="str">
        <f aca="false">IF(L196="","",IF(L196&lt;0,"negative profit",IF(L196&gt;Notes!$B$4,"unusually high - verify","")))</f>
        <v/>
      </c>
      <c r="O196" s="3" t="s">
        <v>29</v>
      </c>
      <c r="P196" s="3" t="str">
        <f aca="false">IF(O196&lt;&gt;"both",O196&amp;" only",IF(Q196="","agree","conflict"))</f>
        <v>agree</v>
      </c>
      <c r="Q196" s="3" t="str">
        <f aca="false">IF(O196="both",TRIM(IF(I196&lt;&gt;"","price ","")&amp;IF(K196&lt;&gt;"","xp ","")&amp;IF(G196="differs","time","")),"")</f>
        <v/>
      </c>
      <c r="R196" s="3" t="s">
        <v>30</v>
      </c>
      <c r="S196" s="3" t="s">
        <v>253</v>
      </c>
    </row>
    <row r="197" customFormat="false" ht="15" hidden="false" customHeight="false" outlineLevel="0" collapsed="false">
      <c r="A197" s="3" t="s">
        <v>261</v>
      </c>
      <c r="B197" s="3" t="s">
        <v>252</v>
      </c>
      <c r="C197" s="4" t="n">
        <v>88</v>
      </c>
      <c r="D197" s="5"/>
      <c r="E197" s="5"/>
      <c r="F197" s="5" t="n">
        <v>38</v>
      </c>
      <c r="G197" s="3" t="str">
        <f aca="false">IF(OR(F197="",AND(D197="",E197="")),"n/a",IF(F197=E197,"mastered",IF(F197=D197,"normal","differs")))</f>
        <v>n/a</v>
      </c>
      <c r="H197" s="6" t="n">
        <v>64</v>
      </c>
      <c r="I197" s="6"/>
      <c r="J197" s="4" t="n">
        <v>8</v>
      </c>
      <c r="K197" s="4"/>
      <c r="L197" s="7" t="n">
        <v>43.92156863</v>
      </c>
      <c r="M197" s="8" t="n">
        <v>12.54901961</v>
      </c>
      <c r="N197" s="3" t="str">
        <f aca="false">IF(L197="","",IF(L197&lt;0,"negative profit",IF(L197&gt;Notes!$B$4,"unusually high - verify","")))</f>
        <v/>
      </c>
      <c r="O197" s="3" t="s">
        <v>21</v>
      </c>
      <c r="P197" s="3" t="str">
        <f aca="false">IF(O197&lt;&gt;"both",O197&amp;" only",IF(Q197="","agree","conflict"))</f>
        <v>hayday.info only</v>
      </c>
      <c r="Q197" s="3" t="str">
        <f aca="false">IF(O197="both",TRIM(IF(I197&lt;&gt;"","price ","")&amp;IF(K197&lt;&gt;"","xp ","")&amp;IF(G197="differs","time","")),"")</f>
        <v/>
      </c>
      <c r="R197" s="3" t="s">
        <v>22</v>
      </c>
      <c r="S197" s="3"/>
    </row>
    <row r="198" customFormat="false" ht="15" hidden="false" customHeight="false" outlineLevel="0" collapsed="false">
      <c r="A198" s="3" t="s">
        <v>262</v>
      </c>
      <c r="B198" s="3" t="s">
        <v>252</v>
      </c>
      <c r="C198" s="4" t="n">
        <v>92</v>
      </c>
      <c r="D198" s="5" t="n">
        <v>60</v>
      </c>
      <c r="E198" s="5" t="n">
        <v>51</v>
      </c>
      <c r="F198" s="5" t="n">
        <v>51</v>
      </c>
      <c r="G198" s="3" t="str">
        <f aca="false">IF(OR(F198="",AND(D198="",E198="")),"n/a",IF(F198=E198,"mastered",IF(F198=D198,"normal","differs")))</f>
        <v>mastered</v>
      </c>
      <c r="H198" s="6" t="n">
        <v>108</v>
      </c>
      <c r="I198" s="6"/>
      <c r="J198" s="4" t="n">
        <v>13</v>
      </c>
      <c r="K198" s="4"/>
      <c r="L198" s="7" t="n">
        <v>35.29411765</v>
      </c>
      <c r="M198" s="8" t="n">
        <v>15.29411765</v>
      </c>
      <c r="N198" s="3" t="str">
        <f aca="false">IF(L198="","",IF(L198&lt;0,"negative profit",IF(L198&gt;Notes!$B$4,"unusually high - verify","")))</f>
        <v/>
      </c>
      <c r="O198" s="3" t="s">
        <v>29</v>
      </c>
      <c r="P198" s="3" t="str">
        <f aca="false">IF(O198&lt;&gt;"both",O198&amp;" only",IF(Q198="","agree","conflict"))</f>
        <v>agree</v>
      </c>
      <c r="Q198" s="3" t="str">
        <f aca="false">IF(O198="both",TRIM(IF(I198&lt;&gt;"","price ","")&amp;IF(K198&lt;&gt;"","xp ","")&amp;IF(G198="differs","time","")),"")</f>
        <v/>
      </c>
      <c r="R198" s="3" t="s">
        <v>30</v>
      </c>
      <c r="S198" s="3" t="s">
        <v>253</v>
      </c>
    </row>
    <row r="199" customFormat="false" ht="15" hidden="false" customHeight="false" outlineLevel="0" collapsed="false">
      <c r="A199" s="3" t="s">
        <v>263</v>
      </c>
      <c r="B199" s="3" t="s">
        <v>252</v>
      </c>
      <c r="C199" s="4" t="n">
        <v>97</v>
      </c>
      <c r="D199" s="5"/>
      <c r="E199" s="5"/>
      <c r="F199" s="5" t="n">
        <v>42</v>
      </c>
      <c r="G199" s="3" t="str">
        <f aca="false">IF(OR(F199="",AND(D199="",E199="")),"n/a",IF(F199=E199,"mastered",IF(F199=D199,"normal","differs")))</f>
        <v>n/a</v>
      </c>
      <c r="H199" s="6" t="n">
        <v>230</v>
      </c>
      <c r="I199" s="6"/>
      <c r="J199" s="4" t="n">
        <v>27</v>
      </c>
      <c r="K199" s="4"/>
      <c r="L199" s="7" t="n">
        <v>42.35294118</v>
      </c>
      <c r="M199" s="8" t="n">
        <v>38.11764706</v>
      </c>
      <c r="N199" s="3" t="str">
        <f aca="false">IF(L199="","",IF(L199&lt;0,"negative profit",IF(L199&gt;Notes!$B$4,"unusually high - verify","")))</f>
        <v/>
      </c>
      <c r="O199" s="3" t="s">
        <v>21</v>
      </c>
      <c r="P199" s="3" t="str">
        <f aca="false">IF(O199&lt;&gt;"both",O199&amp;" only",IF(Q199="","agree","conflict"))</f>
        <v>hayday.info only</v>
      </c>
      <c r="Q199" s="3" t="str">
        <f aca="false">IF(O199="both",TRIM(IF(I199&lt;&gt;"","price ","")&amp;IF(K199&lt;&gt;"","xp ","")&amp;IF(G199="differs","time","")),"")</f>
        <v/>
      </c>
      <c r="R199" s="3" t="s">
        <v>22</v>
      </c>
      <c r="S199" s="3"/>
    </row>
    <row r="200" customFormat="false" ht="15" hidden="false" customHeight="false" outlineLevel="0" collapsed="false">
      <c r="A200" s="3" t="s">
        <v>264</v>
      </c>
      <c r="B200" s="3" t="s">
        <v>252</v>
      </c>
      <c r="C200" s="4" t="n">
        <v>104</v>
      </c>
      <c r="D200" s="5"/>
      <c r="E200" s="5"/>
      <c r="F200" s="5" t="n">
        <v>55</v>
      </c>
      <c r="G200" s="3" t="str">
        <f aca="false">IF(OR(F200="",AND(D200="",E200="")),"n/a",IF(F200=E200,"mastered",IF(F200=D200,"normal","differs")))</f>
        <v>n/a</v>
      </c>
      <c r="H200" s="6" t="n">
        <v>252</v>
      </c>
      <c r="I200" s="6"/>
      <c r="J200" s="4" t="n">
        <v>30</v>
      </c>
      <c r="K200" s="4"/>
      <c r="L200" s="7" t="n">
        <v>31.41818182</v>
      </c>
      <c r="M200" s="8" t="n">
        <v>32.72727273</v>
      </c>
      <c r="N200" s="3" t="str">
        <f aca="false">IF(L200="","",IF(L200&lt;0,"negative profit",IF(L200&gt;Notes!$B$4,"unusually high - verify","")))</f>
        <v/>
      </c>
      <c r="O200" s="3" t="s">
        <v>21</v>
      </c>
      <c r="P200" s="3" t="str">
        <f aca="false">IF(O200&lt;&gt;"both",O200&amp;" only",IF(Q200="","agree","conflict"))</f>
        <v>hayday.info only</v>
      </c>
      <c r="Q200" s="3" t="str">
        <f aca="false">IF(O200="both",TRIM(IF(I200&lt;&gt;"","price ","")&amp;IF(K200&lt;&gt;"","xp ","")&amp;IF(G200="differs","time","")),"")</f>
        <v/>
      </c>
      <c r="R200" s="3" t="s">
        <v>22</v>
      </c>
      <c r="S200" s="3"/>
    </row>
    <row r="201" customFormat="false" ht="15" hidden="false" customHeight="false" outlineLevel="0" collapsed="false">
      <c r="A201" s="3" t="s">
        <v>265</v>
      </c>
      <c r="B201" s="3" t="s">
        <v>266</v>
      </c>
      <c r="C201" s="4" t="n">
        <v>44</v>
      </c>
      <c r="D201" s="5" t="n">
        <v>360</v>
      </c>
      <c r="E201" s="5"/>
      <c r="F201" s="5" t="n">
        <v>360</v>
      </c>
      <c r="G201" s="3" t="str">
        <f aca="false">IF(OR(F201="",AND(D201="",E201="")),"n/a",IF(F201=E201,"mastered",IF(F201=D201,"normal","differs")))</f>
        <v>normal</v>
      </c>
      <c r="H201" s="6" t="n">
        <v>201</v>
      </c>
      <c r="I201" s="6"/>
      <c r="J201" s="4" t="n">
        <v>24</v>
      </c>
      <c r="K201" s="4"/>
      <c r="L201" s="7" t="n">
        <v>33.5</v>
      </c>
      <c r="M201" s="8" t="n">
        <v>4</v>
      </c>
      <c r="N201" s="3" t="str">
        <f aca="false">IF(L201="","",IF(L201&lt;0,"negative profit",IF(L201&gt;Notes!$B$4,"unusually high - verify","")))</f>
        <v/>
      </c>
      <c r="O201" s="3" t="s">
        <v>29</v>
      </c>
      <c r="P201" s="3" t="str">
        <f aca="false">IF(O201&lt;&gt;"both",O201&amp;" only",IF(Q201="","agree","conflict"))</f>
        <v>agree</v>
      </c>
      <c r="Q201" s="3" t="str">
        <f aca="false">IF(O201="both",TRIM(IF(I201&lt;&gt;"","price ","")&amp;IF(K201&lt;&gt;"","xp ","")&amp;IF(G201="differs","time","")),"")</f>
        <v/>
      </c>
      <c r="R201" s="3" t="s">
        <v>30</v>
      </c>
      <c r="S201" s="3" t="s">
        <v>267</v>
      </c>
    </row>
    <row r="202" customFormat="false" ht="15" hidden="false" customHeight="false" outlineLevel="0" collapsed="false">
      <c r="A202" s="3" t="s">
        <v>268</v>
      </c>
      <c r="B202" s="3" t="s">
        <v>269</v>
      </c>
      <c r="C202" s="4" t="n">
        <v>17</v>
      </c>
      <c r="D202" s="5" t="n">
        <v>120</v>
      </c>
      <c r="E202" s="5" t="n">
        <v>102</v>
      </c>
      <c r="F202" s="5" t="n">
        <v>102</v>
      </c>
      <c r="G202" s="3" t="str">
        <f aca="false">IF(OR(F202="",AND(D202="",E202="")),"n/a",IF(F202=E202,"mastered",IF(F202=D202,"normal","differs")))</f>
        <v>mastered</v>
      </c>
      <c r="H202" s="6" t="n">
        <v>151</v>
      </c>
      <c r="I202" s="6"/>
      <c r="J202" s="4" t="n">
        <v>18</v>
      </c>
      <c r="K202" s="4"/>
      <c r="L202" s="7" t="n">
        <v>25.29411765</v>
      </c>
      <c r="M202" s="8" t="n">
        <v>10.58823529</v>
      </c>
      <c r="N202" s="3" t="str">
        <f aca="false">IF(L202="","",IF(L202&lt;0,"negative profit",IF(L202&gt;Notes!$B$4,"unusually high - verify","")))</f>
        <v/>
      </c>
      <c r="O202" s="3" t="s">
        <v>29</v>
      </c>
      <c r="P202" s="3" t="str">
        <f aca="false">IF(O202&lt;&gt;"both",O202&amp;" only",IF(Q202="","agree","conflict"))</f>
        <v>agree</v>
      </c>
      <c r="Q202" s="3" t="str">
        <f aca="false">IF(O202="both",TRIM(IF(I202&lt;&gt;"","price ","")&amp;IF(K202&lt;&gt;"","xp ","")&amp;IF(G202="differs","time","")),"")</f>
        <v/>
      </c>
      <c r="R202" s="3" t="s">
        <v>30</v>
      </c>
      <c r="S202" s="3" t="s">
        <v>270</v>
      </c>
    </row>
    <row r="203" customFormat="false" ht="15" hidden="false" customHeight="false" outlineLevel="0" collapsed="false">
      <c r="A203" s="3" t="s">
        <v>271</v>
      </c>
      <c r="B203" s="3" t="s">
        <v>269</v>
      </c>
      <c r="C203" s="4" t="n">
        <v>18</v>
      </c>
      <c r="D203" s="5" t="n">
        <v>30</v>
      </c>
      <c r="E203" s="5" t="n">
        <v>25</v>
      </c>
      <c r="F203" s="5" t="n">
        <v>25</v>
      </c>
      <c r="G203" s="3" t="str">
        <f aca="false">IF(OR(F203="",AND(D203="",E203="")),"n/a",IF(F203=E203,"mastered",IF(F203=D203,"normal","differs")))</f>
        <v>mastered</v>
      </c>
      <c r="H203" s="6" t="n">
        <v>108</v>
      </c>
      <c r="I203" s="6"/>
      <c r="J203" s="4" t="n">
        <v>13</v>
      </c>
      <c r="K203" s="4"/>
      <c r="L203" s="7" t="n">
        <v>56.47058824</v>
      </c>
      <c r="M203" s="8" t="n">
        <v>30.58823529</v>
      </c>
      <c r="N203" s="3" t="str">
        <f aca="false">IF(L203="","",IF(L203&lt;0,"negative profit",IF(L203&gt;Notes!$B$4,"unusually high - verify","")))</f>
        <v/>
      </c>
      <c r="O203" s="3" t="s">
        <v>29</v>
      </c>
      <c r="P203" s="3" t="str">
        <f aca="false">IF(O203&lt;&gt;"both",O203&amp;" only",IF(Q203="","agree","conflict"))</f>
        <v>agree</v>
      </c>
      <c r="Q203" s="3" t="str">
        <f aca="false">IF(O203="both",TRIM(IF(I203&lt;&gt;"","price ","")&amp;IF(K203&lt;&gt;"","xp ","")&amp;IF(G203="differs","time","")),"")</f>
        <v/>
      </c>
      <c r="R203" s="3" t="s">
        <v>30</v>
      </c>
      <c r="S203" s="3" t="s">
        <v>270</v>
      </c>
    </row>
    <row r="204" customFormat="false" ht="15" hidden="false" customHeight="false" outlineLevel="0" collapsed="false">
      <c r="A204" s="3" t="s">
        <v>272</v>
      </c>
      <c r="B204" s="3" t="s">
        <v>269</v>
      </c>
      <c r="C204" s="4" t="n">
        <v>19</v>
      </c>
      <c r="D204" s="5" t="n">
        <v>60</v>
      </c>
      <c r="E204" s="5" t="n">
        <v>51</v>
      </c>
      <c r="F204" s="5" t="n">
        <v>51</v>
      </c>
      <c r="G204" s="3" t="str">
        <f aca="false">IF(OR(F204="",AND(D204="",E204="")),"n/a",IF(F204=E204,"mastered",IF(F204=D204,"normal","differs")))</f>
        <v>mastered</v>
      </c>
      <c r="H204" s="6" t="n">
        <v>111</v>
      </c>
      <c r="I204" s="6"/>
      <c r="J204" s="4" t="n">
        <v>13</v>
      </c>
      <c r="K204" s="4"/>
      <c r="L204" s="7" t="n">
        <v>37.64705882</v>
      </c>
      <c r="M204" s="8" t="n">
        <v>15.29411765</v>
      </c>
      <c r="N204" s="3" t="str">
        <f aca="false">IF(L204="","",IF(L204&lt;0,"negative profit",IF(L204&gt;Notes!$B$4,"unusually high - verify","")))</f>
        <v/>
      </c>
      <c r="O204" s="3" t="s">
        <v>29</v>
      </c>
      <c r="P204" s="3" t="str">
        <f aca="false">IF(O204&lt;&gt;"both",O204&amp;" only",IF(Q204="","agree","conflict"))</f>
        <v>agree</v>
      </c>
      <c r="Q204" s="3" t="str">
        <f aca="false">IF(O204="both",TRIM(IF(I204&lt;&gt;"","price ","")&amp;IF(K204&lt;&gt;"","xp ","")&amp;IF(G204="differs","time","")),"")</f>
        <v/>
      </c>
      <c r="R204" s="3" t="s">
        <v>30</v>
      </c>
      <c r="S204" s="3" t="s">
        <v>270</v>
      </c>
    </row>
    <row r="205" customFormat="false" ht="15" hidden="false" customHeight="false" outlineLevel="0" collapsed="false">
      <c r="A205" s="3" t="s">
        <v>273</v>
      </c>
      <c r="B205" s="3" t="s">
        <v>269</v>
      </c>
      <c r="C205" s="4" t="n">
        <v>20</v>
      </c>
      <c r="D205" s="5" t="n">
        <v>180</v>
      </c>
      <c r="E205" s="5" t="n">
        <v>153</v>
      </c>
      <c r="F205" s="5" t="n">
        <v>153</v>
      </c>
      <c r="G205" s="3" t="str">
        <f aca="false">IF(OR(F205="",AND(D205="",E205="")),"n/a",IF(F205=E205,"mastered",IF(F205=D205,"normal","differs")))</f>
        <v>mastered</v>
      </c>
      <c r="H205" s="6" t="n">
        <v>208</v>
      </c>
      <c r="I205" s="6"/>
      <c r="J205" s="4" t="n">
        <v>25</v>
      </c>
      <c r="K205" s="4"/>
      <c r="L205" s="7" t="n">
        <v>19.60784314</v>
      </c>
      <c r="M205" s="8" t="n">
        <v>9.803921569</v>
      </c>
      <c r="N205" s="3" t="str">
        <f aca="false">IF(L205="","",IF(L205&lt;0,"negative profit",IF(L205&gt;Notes!$B$4,"unusually high - verify","")))</f>
        <v/>
      </c>
      <c r="O205" s="3" t="s">
        <v>29</v>
      </c>
      <c r="P205" s="3" t="str">
        <f aca="false">IF(O205&lt;&gt;"both",O205&amp;" only",IF(Q205="","agree","conflict"))</f>
        <v>agree</v>
      </c>
      <c r="Q205" s="3" t="str">
        <f aca="false">IF(O205="both",TRIM(IF(I205&lt;&gt;"","price ","")&amp;IF(K205&lt;&gt;"","xp ","")&amp;IF(G205="differs","time","")),"")</f>
        <v/>
      </c>
      <c r="R205" s="3" t="s">
        <v>30</v>
      </c>
      <c r="S205" s="3" t="s">
        <v>270</v>
      </c>
    </row>
    <row r="206" customFormat="false" ht="15" hidden="false" customHeight="false" outlineLevel="0" collapsed="false">
      <c r="A206" s="3" t="s">
        <v>274</v>
      </c>
      <c r="B206" s="3" t="s">
        <v>269</v>
      </c>
      <c r="C206" s="4" t="n">
        <v>48</v>
      </c>
      <c r="D206" s="5" t="n">
        <v>150</v>
      </c>
      <c r="E206" s="5" t="n">
        <v>127</v>
      </c>
      <c r="F206" s="5" t="n">
        <v>127</v>
      </c>
      <c r="G206" s="3" t="str">
        <f aca="false">IF(OR(F206="",AND(D206="",E206="")),"n/a",IF(F206=E206,"mastered",IF(F206=D206,"normal","differs")))</f>
        <v>mastered</v>
      </c>
      <c r="H206" s="6" t="n">
        <v>288</v>
      </c>
      <c r="I206" s="6"/>
      <c r="J206" s="4" t="n">
        <v>34</v>
      </c>
      <c r="K206" s="4"/>
      <c r="L206" s="7" t="n">
        <v>37.64705882</v>
      </c>
      <c r="M206" s="8" t="n">
        <v>16</v>
      </c>
      <c r="N206" s="3" t="str">
        <f aca="false">IF(L206="","",IF(L206&lt;0,"negative profit",IF(L206&gt;Notes!$B$4,"unusually high - verify","")))</f>
        <v/>
      </c>
      <c r="O206" s="3" t="s">
        <v>29</v>
      </c>
      <c r="P206" s="3" t="str">
        <f aca="false">IF(O206&lt;&gt;"both",O206&amp;" only",IF(Q206="","agree","conflict"))</f>
        <v>agree</v>
      </c>
      <c r="Q206" s="3" t="str">
        <f aca="false">IF(O206="both",TRIM(IF(I206&lt;&gt;"","price ","")&amp;IF(K206&lt;&gt;"","xp ","")&amp;IF(G206="differs","time","")),"")</f>
        <v/>
      </c>
      <c r="R206" s="3" t="s">
        <v>30</v>
      </c>
      <c r="S206" s="3" t="s">
        <v>270</v>
      </c>
    </row>
    <row r="207" customFormat="false" ht="15" hidden="false" customHeight="false" outlineLevel="0" collapsed="false">
      <c r="A207" s="3" t="s">
        <v>275</v>
      </c>
      <c r="B207" s="3" t="s">
        <v>269</v>
      </c>
      <c r="C207" s="4" t="n">
        <v>71</v>
      </c>
      <c r="D207" s="5" t="n">
        <v>90</v>
      </c>
      <c r="E207" s="5" t="n">
        <v>76</v>
      </c>
      <c r="F207" s="5" t="n">
        <v>76</v>
      </c>
      <c r="G207" s="3" t="str">
        <f aca="false">IF(OR(F207="",AND(D207="",E207="")),"n/a",IF(F207=E207,"mastered",IF(F207=D207,"normal","differs")))</f>
        <v>mastered</v>
      </c>
      <c r="H207" s="6" t="n">
        <v>295</v>
      </c>
      <c r="I207" s="6"/>
      <c r="J207" s="4" t="n">
        <v>35</v>
      </c>
      <c r="K207" s="4"/>
      <c r="L207" s="7" t="n">
        <v>32.94117647</v>
      </c>
      <c r="M207" s="8" t="n">
        <v>27.45098039</v>
      </c>
      <c r="N207" s="3" t="str">
        <f aca="false">IF(L207="","",IF(L207&lt;0,"negative profit",IF(L207&gt;Notes!$B$4,"unusually high - verify","")))</f>
        <v/>
      </c>
      <c r="O207" s="3" t="s">
        <v>29</v>
      </c>
      <c r="P207" s="3" t="str">
        <f aca="false">IF(O207&lt;&gt;"both",O207&amp;" only",IF(Q207="","agree","conflict"))</f>
        <v>agree</v>
      </c>
      <c r="Q207" s="3" t="str">
        <f aca="false">IF(O207="both",TRIM(IF(I207&lt;&gt;"","price ","")&amp;IF(K207&lt;&gt;"","xp ","")&amp;IF(G207="differs","time","")),"")</f>
        <v/>
      </c>
      <c r="R207" s="3" t="s">
        <v>30</v>
      </c>
      <c r="S207" s="3" t="s">
        <v>270</v>
      </c>
    </row>
    <row r="208" customFormat="false" ht="15" hidden="false" customHeight="false" outlineLevel="0" collapsed="false">
      <c r="A208" s="3" t="s">
        <v>276</v>
      </c>
      <c r="B208" s="3" t="s">
        <v>277</v>
      </c>
      <c r="C208" s="4" t="n">
        <v>72</v>
      </c>
      <c r="D208" s="5" t="n">
        <v>80</v>
      </c>
      <c r="E208" s="5" t="n">
        <v>68</v>
      </c>
      <c r="F208" s="5" t="n">
        <v>68</v>
      </c>
      <c r="G208" s="3" t="str">
        <f aca="false">IF(OR(F208="",AND(D208="",E208="")),"n/a",IF(F208=E208,"mastered",IF(F208=D208,"normal","differs")))</f>
        <v>mastered</v>
      </c>
      <c r="H208" s="6" t="n">
        <v>475</v>
      </c>
      <c r="I208" s="6"/>
      <c r="J208" s="4" t="n">
        <v>57</v>
      </c>
      <c r="K208" s="4"/>
      <c r="L208" s="7" t="n">
        <v>28.23529412</v>
      </c>
      <c r="M208" s="8" t="n">
        <v>50.29411765</v>
      </c>
      <c r="N208" s="3" t="str">
        <f aca="false">IF(L208="","",IF(L208&lt;0,"negative profit",IF(L208&gt;Notes!$B$4,"unusually high - verify","")))</f>
        <v/>
      </c>
      <c r="O208" s="3" t="s">
        <v>29</v>
      </c>
      <c r="P208" s="3" t="str">
        <f aca="false">IF(O208&lt;&gt;"both",O208&amp;" only",IF(Q208="","agree","conflict"))</f>
        <v>agree</v>
      </c>
      <c r="Q208" s="3" t="str">
        <f aca="false">IF(O208="both",TRIM(IF(I208&lt;&gt;"","price ","")&amp;IF(K208&lt;&gt;"","xp ","")&amp;IF(G208="differs","time","")),"")</f>
        <v/>
      </c>
      <c r="R208" s="3" t="s">
        <v>30</v>
      </c>
      <c r="S208" s="3" t="s">
        <v>278</v>
      </c>
    </row>
    <row r="209" customFormat="false" ht="15" hidden="false" customHeight="false" outlineLevel="0" collapsed="false">
      <c r="A209" s="3" t="s">
        <v>279</v>
      </c>
      <c r="B209" s="3" t="s">
        <v>277</v>
      </c>
      <c r="C209" s="4" t="n">
        <v>74</v>
      </c>
      <c r="D209" s="5" t="n">
        <v>100</v>
      </c>
      <c r="E209" s="5" t="n">
        <v>85</v>
      </c>
      <c r="F209" s="5" t="n">
        <v>85</v>
      </c>
      <c r="G209" s="3" t="str">
        <f aca="false">IF(OR(F209="",AND(D209="",E209="")),"n/a",IF(F209=E209,"mastered",IF(F209=D209,"normal","differs")))</f>
        <v>mastered</v>
      </c>
      <c r="H209" s="6" t="n">
        <v>532</v>
      </c>
      <c r="I209" s="6"/>
      <c r="J209" s="4" t="n">
        <v>63</v>
      </c>
      <c r="K209" s="4"/>
      <c r="L209" s="7" t="n">
        <v>31.05882353</v>
      </c>
      <c r="M209" s="8" t="n">
        <v>44.47058824</v>
      </c>
      <c r="N209" s="3" t="str">
        <f aca="false">IF(L209="","",IF(L209&lt;0,"negative profit",IF(L209&gt;Notes!$B$4,"unusually high - verify","")))</f>
        <v/>
      </c>
      <c r="O209" s="3" t="s">
        <v>29</v>
      </c>
      <c r="P209" s="3" t="str">
        <f aca="false">IF(O209&lt;&gt;"both",O209&amp;" only",IF(Q209="","agree","conflict"))</f>
        <v>agree</v>
      </c>
      <c r="Q209" s="3" t="str">
        <f aca="false">IF(O209="both",TRIM(IF(I209&lt;&gt;"","price ","")&amp;IF(K209&lt;&gt;"","xp ","")&amp;IF(G209="differs","time","")),"")</f>
        <v/>
      </c>
      <c r="R209" s="3" t="s">
        <v>30</v>
      </c>
      <c r="S209" s="3" t="s">
        <v>278</v>
      </c>
    </row>
    <row r="210" customFormat="false" ht="15" hidden="false" customHeight="false" outlineLevel="0" collapsed="false">
      <c r="A210" s="3" t="s">
        <v>280</v>
      </c>
      <c r="B210" s="3" t="s">
        <v>277</v>
      </c>
      <c r="C210" s="4" t="n">
        <v>79</v>
      </c>
      <c r="D210" s="5" t="n">
        <v>120</v>
      </c>
      <c r="E210" s="5" t="n">
        <v>102</v>
      </c>
      <c r="F210" s="5" t="n">
        <v>102</v>
      </c>
      <c r="G210" s="3" t="str">
        <f aca="false">IF(OR(F210="",AND(D210="",E210="")),"n/a",IF(F210=E210,"mastered",IF(F210=D210,"normal","differs")))</f>
        <v>mastered</v>
      </c>
      <c r="H210" s="6" t="n">
        <v>637</v>
      </c>
      <c r="I210" s="6"/>
      <c r="J210" s="4" t="n">
        <v>76</v>
      </c>
      <c r="K210" s="4"/>
      <c r="L210" s="7" t="n">
        <v>20.58823529</v>
      </c>
      <c r="M210" s="8" t="n">
        <v>44.70588235</v>
      </c>
      <c r="N210" s="3" t="str">
        <f aca="false">IF(L210="","",IF(L210&lt;0,"negative profit",IF(L210&gt;Notes!$B$4,"unusually high - verify","")))</f>
        <v/>
      </c>
      <c r="O210" s="3" t="s">
        <v>29</v>
      </c>
      <c r="P210" s="3" t="str">
        <f aca="false">IF(O210&lt;&gt;"both",O210&amp;" only",IF(Q210="","agree","conflict"))</f>
        <v>agree</v>
      </c>
      <c r="Q210" s="3" t="str">
        <f aca="false">IF(O210="both",TRIM(IF(I210&lt;&gt;"","price ","")&amp;IF(K210&lt;&gt;"","xp ","")&amp;IF(G210="differs","time","")),"")</f>
        <v/>
      </c>
      <c r="R210" s="3" t="s">
        <v>30</v>
      </c>
      <c r="S210" s="3" t="s">
        <v>278</v>
      </c>
    </row>
    <row r="211" customFormat="false" ht="15" hidden="false" customHeight="false" outlineLevel="0" collapsed="false">
      <c r="A211" s="3" t="s">
        <v>281</v>
      </c>
      <c r="B211" s="3" t="s">
        <v>277</v>
      </c>
      <c r="C211" s="4" t="n">
        <v>83</v>
      </c>
      <c r="D211" s="5" t="n">
        <v>60</v>
      </c>
      <c r="E211" s="5" t="n">
        <v>51</v>
      </c>
      <c r="F211" s="5" t="n">
        <v>51</v>
      </c>
      <c r="G211" s="3" t="str">
        <f aca="false">IF(OR(F211="",AND(D211="",E211="")),"n/a",IF(F211=E211,"mastered",IF(F211=D211,"normal","differs")))</f>
        <v>mastered</v>
      </c>
      <c r="H211" s="6" t="n">
        <v>345</v>
      </c>
      <c r="I211" s="6"/>
      <c r="J211" s="4" t="n">
        <v>41</v>
      </c>
      <c r="K211" s="4"/>
      <c r="L211" s="7" t="n">
        <v>36.47058824</v>
      </c>
      <c r="M211" s="8" t="n">
        <v>48.23529412</v>
      </c>
      <c r="N211" s="3" t="str">
        <f aca="false">IF(L211="","",IF(L211&lt;0,"negative profit",IF(L211&gt;Notes!$B$4,"unusually high - verify","")))</f>
        <v/>
      </c>
      <c r="O211" s="3" t="s">
        <v>29</v>
      </c>
      <c r="P211" s="3" t="str">
        <f aca="false">IF(O211&lt;&gt;"both",O211&amp;" only",IF(Q211="","agree","conflict"))</f>
        <v>agree</v>
      </c>
      <c r="Q211" s="3" t="str">
        <f aca="false">IF(O211="both",TRIM(IF(I211&lt;&gt;"","price ","")&amp;IF(K211&lt;&gt;"","xp ","")&amp;IF(G211="differs","time","")),"")</f>
        <v/>
      </c>
      <c r="R211" s="3" t="s">
        <v>30</v>
      </c>
      <c r="S211" s="3" t="s">
        <v>278</v>
      </c>
    </row>
    <row r="212" customFormat="false" ht="15" hidden="false" customHeight="false" outlineLevel="0" collapsed="false">
      <c r="A212" s="3" t="s">
        <v>282</v>
      </c>
      <c r="B212" s="3" t="s">
        <v>277</v>
      </c>
      <c r="C212" s="4" t="n">
        <v>83</v>
      </c>
      <c r="D212" s="5" t="n">
        <v>150</v>
      </c>
      <c r="E212" s="5" t="n">
        <v>127</v>
      </c>
      <c r="F212" s="5" t="n">
        <v>127</v>
      </c>
      <c r="G212" s="3" t="str">
        <f aca="false">IF(OR(F212="",AND(D212="",E212="")),"n/a",IF(F212=E212,"mastered",IF(F212=D212,"normal","differs")))</f>
        <v>mastered</v>
      </c>
      <c r="H212" s="6" t="n">
        <v>410</v>
      </c>
      <c r="I212" s="6"/>
      <c r="J212" s="4" t="n">
        <v>49</v>
      </c>
      <c r="K212" s="4"/>
      <c r="L212" s="7" t="n">
        <v>19.29411765</v>
      </c>
      <c r="M212" s="8" t="n">
        <v>23.05882353</v>
      </c>
      <c r="N212" s="3" t="str">
        <f aca="false">IF(L212="","",IF(L212&lt;0,"negative profit",IF(L212&gt;Notes!$B$4,"unusually high - verify","")))</f>
        <v/>
      </c>
      <c r="O212" s="3" t="s">
        <v>29</v>
      </c>
      <c r="P212" s="3" t="str">
        <f aca="false">IF(O212&lt;&gt;"both",O212&amp;" only",IF(Q212="","agree","conflict"))</f>
        <v>agree</v>
      </c>
      <c r="Q212" s="3" t="str">
        <f aca="false">IF(O212="both",TRIM(IF(I212&lt;&gt;"","price ","")&amp;IF(K212&lt;&gt;"","xp ","")&amp;IF(G212="differs","time","")),"")</f>
        <v/>
      </c>
      <c r="R212" s="3" t="s">
        <v>30</v>
      </c>
      <c r="S212" s="3" t="s">
        <v>278</v>
      </c>
    </row>
    <row r="213" customFormat="false" ht="15" hidden="false" customHeight="false" outlineLevel="0" collapsed="false">
      <c r="A213" s="3" t="s">
        <v>283</v>
      </c>
      <c r="B213" s="3" t="s">
        <v>277</v>
      </c>
      <c r="C213" s="4" t="n">
        <v>87</v>
      </c>
      <c r="D213" s="5" t="n">
        <v>90</v>
      </c>
      <c r="E213" s="5" t="n">
        <v>76</v>
      </c>
      <c r="F213" s="5" t="n">
        <v>76</v>
      </c>
      <c r="G213" s="3" t="str">
        <f aca="false">IF(OR(F213="",AND(D213="",E213="")),"n/a",IF(F213=E213,"mastered",IF(F213=D213,"normal","differs")))</f>
        <v>mastered</v>
      </c>
      <c r="H213" s="6" t="n">
        <v>576</v>
      </c>
      <c r="I213" s="6"/>
      <c r="J213" s="4" t="n">
        <v>69</v>
      </c>
      <c r="K213" s="4"/>
      <c r="L213" s="7" t="n">
        <v>24.31372549</v>
      </c>
      <c r="M213" s="8" t="n">
        <v>54.11764706</v>
      </c>
      <c r="N213" s="3" t="str">
        <f aca="false">IF(L213="","",IF(L213&lt;0,"negative profit",IF(L213&gt;Notes!$B$4,"unusually high - verify","")))</f>
        <v/>
      </c>
      <c r="O213" s="3" t="s">
        <v>29</v>
      </c>
      <c r="P213" s="3" t="str">
        <f aca="false">IF(O213&lt;&gt;"both",O213&amp;" only",IF(Q213="","agree","conflict"))</f>
        <v>agree</v>
      </c>
      <c r="Q213" s="3" t="str">
        <f aca="false">IF(O213="both",TRIM(IF(I213&lt;&gt;"","price ","")&amp;IF(K213&lt;&gt;"","xp ","")&amp;IF(G213="differs","time","")),"")</f>
        <v/>
      </c>
      <c r="R213" s="3" t="s">
        <v>30</v>
      </c>
      <c r="S213" s="3" t="s">
        <v>278</v>
      </c>
    </row>
    <row r="214" customFormat="false" ht="15" hidden="false" customHeight="false" outlineLevel="0" collapsed="false">
      <c r="A214" s="3" t="s">
        <v>284</v>
      </c>
      <c r="B214" s="3" t="s">
        <v>277</v>
      </c>
      <c r="C214" s="4" t="n">
        <v>101</v>
      </c>
      <c r="D214" s="5"/>
      <c r="E214" s="5"/>
      <c r="F214" s="5" t="n">
        <v>63</v>
      </c>
      <c r="G214" s="3" t="str">
        <f aca="false">IF(OR(F214="",AND(D214="",E214="")),"n/a",IF(F214=E214,"mastered",IF(F214=D214,"normal","differs")))</f>
        <v>n/a</v>
      </c>
      <c r="H214" s="6" t="n">
        <v>280</v>
      </c>
      <c r="I214" s="6"/>
      <c r="J214" s="4" t="n">
        <v>33</v>
      </c>
      <c r="K214" s="4"/>
      <c r="L214" s="7" t="n">
        <v>34.82352941</v>
      </c>
      <c r="M214" s="8" t="n">
        <v>31.05882353</v>
      </c>
      <c r="N214" s="3" t="str">
        <f aca="false">IF(L214="","",IF(L214&lt;0,"negative profit",IF(L214&gt;Notes!$B$4,"unusually high - verify","")))</f>
        <v/>
      </c>
      <c r="O214" s="3" t="s">
        <v>21</v>
      </c>
      <c r="P214" s="3" t="str">
        <f aca="false">IF(O214&lt;&gt;"both",O214&amp;" only",IF(Q214="","agree","conflict"))</f>
        <v>hayday.info only</v>
      </c>
      <c r="Q214" s="3" t="str">
        <f aca="false">IF(O214="both",TRIM(IF(I214&lt;&gt;"","price ","")&amp;IF(K214&lt;&gt;"","xp ","")&amp;IF(G214="differs","time","")),"")</f>
        <v/>
      </c>
      <c r="R214" s="3" t="s">
        <v>22</v>
      </c>
      <c r="S214" s="3"/>
    </row>
    <row r="215" customFormat="false" ht="15" hidden="false" customHeight="false" outlineLevel="0" collapsed="false">
      <c r="A215" s="3" t="s">
        <v>285</v>
      </c>
      <c r="B215" s="3" t="s">
        <v>286</v>
      </c>
      <c r="C215" s="4" t="n">
        <v>67</v>
      </c>
      <c r="D215" s="5" t="n">
        <v>15</v>
      </c>
      <c r="E215" s="5" t="n">
        <v>12</v>
      </c>
      <c r="F215" s="5" t="n">
        <v>12</v>
      </c>
      <c r="G215" s="3" t="str">
        <f aca="false">IF(OR(F215="",AND(D215="",E215="")),"n/a",IF(F215=E215,"mastered",IF(F215=D215,"normal","differs")))</f>
        <v>mastered</v>
      </c>
      <c r="H215" s="6" t="n">
        <v>43</v>
      </c>
      <c r="I215" s="6"/>
      <c r="J215" s="4" t="n">
        <v>5</v>
      </c>
      <c r="K215" s="4"/>
      <c r="L215" s="7" t="n">
        <v>89.41176471</v>
      </c>
      <c r="M215" s="8" t="n">
        <v>23.52941176</v>
      </c>
      <c r="N215" s="3" t="str">
        <f aca="false">IF(L215="","",IF(L215&lt;0,"negative profit",IF(L215&gt;Notes!$B$4,"unusually high - verify","")))</f>
        <v/>
      </c>
      <c r="O215" s="3" t="s">
        <v>29</v>
      </c>
      <c r="P215" s="3" t="str">
        <f aca="false">IF(O215&lt;&gt;"both",O215&amp;" only",IF(Q215="","agree","conflict"))</f>
        <v>agree</v>
      </c>
      <c r="Q215" s="3" t="str">
        <f aca="false">IF(O215="both",TRIM(IF(I215&lt;&gt;"","price ","")&amp;IF(K215&lt;&gt;"","xp ","")&amp;IF(G215="differs","time","")),"")</f>
        <v/>
      </c>
      <c r="R215" s="3" t="s">
        <v>30</v>
      </c>
      <c r="S215" s="3" t="s">
        <v>287</v>
      </c>
    </row>
    <row r="216" customFormat="false" ht="15" hidden="false" customHeight="false" outlineLevel="0" collapsed="false">
      <c r="A216" s="3" t="s">
        <v>288</v>
      </c>
      <c r="B216" s="3" t="s">
        <v>286</v>
      </c>
      <c r="C216" s="4" t="n">
        <v>73</v>
      </c>
      <c r="D216" s="5" t="n">
        <v>20</v>
      </c>
      <c r="E216" s="5" t="n">
        <v>17</v>
      </c>
      <c r="F216" s="5" t="n">
        <v>17</v>
      </c>
      <c r="G216" s="3" t="str">
        <f aca="false">IF(OR(F216="",AND(D216="",E216="")),"n/a",IF(F216=E216,"mastered",IF(F216=D216,"normal","differs")))</f>
        <v>mastered</v>
      </c>
      <c r="H216" s="6" t="n">
        <v>100</v>
      </c>
      <c r="I216" s="6"/>
      <c r="J216" s="4" t="n">
        <v>12</v>
      </c>
      <c r="K216" s="4"/>
      <c r="L216" s="7" t="n">
        <v>35.29411765</v>
      </c>
      <c r="M216" s="8" t="n">
        <v>42.35294118</v>
      </c>
      <c r="N216" s="3" t="str">
        <f aca="false">IF(L216="","",IF(L216&lt;0,"negative profit",IF(L216&gt;Notes!$B$4,"unusually high - verify","")))</f>
        <v/>
      </c>
      <c r="O216" s="3" t="s">
        <v>29</v>
      </c>
      <c r="P216" s="3" t="str">
        <f aca="false">IF(O216&lt;&gt;"both",O216&amp;" only",IF(Q216="","agree","conflict"))</f>
        <v>agree</v>
      </c>
      <c r="Q216" s="3" t="str">
        <f aca="false">IF(O216="both",TRIM(IF(I216&lt;&gt;"","price ","")&amp;IF(K216&lt;&gt;"","xp ","")&amp;IF(G216="differs","time","")),"")</f>
        <v/>
      </c>
      <c r="R216" s="3" t="s">
        <v>30</v>
      </c>
      <c r="S216" s="3" t="s">
        <v>287</v>
      </c>
    </row>
    <row r="217" customFormat="false" ht="15" hidden="false" customHeight="false" outlineLevel="0" collapsed="false">
      <c r="A217" s="3" t="s">
        <v>289</v>
      </c>
      <c r="B217" s="3" t="s">
        <v>290</v>
      </c>
      <c r="C217" s="4" t="n">
        <v>14</v>
      </c>
      <c r="D217" s="5" t="n">
        <v>60</v>
      </c>
      <c r="E217" s="5" t="n">
        <v>51</v>
      </c>
      <c r="F217" s="5" t="n">
        <v>51</v>
      </c>
      <c r="G217" s="3" t="str">
        <f aca="false">IF(OR(F217="",AND(D217="",E217="")),"n/a",IF(F217=E217,"mastered",IF(F217=D217,"normal","differs")))</f>
        <v>mastered</v>
      </c>
      <c r="H217" s="6" t="n">
        <v>82</v>
      </c>
      <c r="I217" s="6"/>
      <c r="J217" s="4" t="n">
        <v>10</v>
      </c>
      <c r="K217" s="4"/>
      <c r="L217" s="7" t="n">
        <v>43.52941176</v>
      </c>
      <c r="M217" s="8" t="n">
        <v>11.76470588</v>
      </c>
      <c r="N217" s="3" t="str">
        <f aca="false">IF(L217="","",IF(L217&lt;0,"negative profit",IF(L217&gt;Notes!$B$4,"unusually high - verify","")))</f>
        <v/>
      </c>
      <c r="O217" s="3" t="s">
        <v>29</v>
      </c>
      <c r="P217" s="3" t="str">
        <f aca="false">IF(O217&lt;&gt;"both",O217&amp;" only",IF(Q217="","agree","conflict"))</f>
        <v>agree</v>
      </c>
      <c r="Q217" s="3" t="str">
        <f aca="false">IF(O217="both",TRIM(IF(I217&lt;&gt;"","price ","")&amp;IF(K217&lt;&gt;"","xp ","")&amp;IF(G217="differs","time","")),"")</f>
        <v/>
      </c>
      <c r="R217" s="3" t="s">
        <v>30</v>
      </c>
      <c r="S217" s="3" t="s">
        <v>291</v>
      </c>
    </row>
    <row r="218" customFormat="false" ht="15" hidden="false" customHeight="false" outlineLevel="0" collapsed="false">
      <c r="A218" s="3" t="s">
        <v>292</v>
      </c>
      <c r="B218" s="3" t="s">
        <v>290</v>
      </c>
      <c r="C218" s="4" t="n">
        <v>15</v>
      </c>
      <c r="D218" s="5" t="n">
        <v>120</v>
      </c>
      <c r="E218" s="5" t="n">
        <v>102</v>
      </c>
      <c r="F218" s="5" t="n">
        <v>102</v>
      </c>
      <c r="G218" s="3" t="str">
        <f aca="false">IF(OR(F218="",AND(D218="",E218="")),"n/a",IF(F218=E218,"mastered",IF(F218=D218,"normal","differs")))</f>
        <v>mastered</v>
      </c>
      <c r="H218" s="6" t="n">
        <v>158</v>
      </c>
      <c r="I218" s="6"/>
      <c r="J218" s="4" t="n">
        <v>19</v>
      </c>
      <c r="K218" s="4"/>
      <c r="L218" s="7" t="n">
        <v>22.35294118</v>
      </c>
      <c r="M218" s="8" t="n">
        <v>11.17647059</v>
      </c>
      <c r="N218" s="3" t="str">
        <f aca="false">IF(L218="","",IF(L218&lt;0,"negative profit",IF(L218&gt;Notes!$B$4,"unusually high - verify","")))</f>
        <v/>
      </c>
      <c r="O218" s="3" t="s">
        <v>29</v>
      </c>
      <c r="P218" s="3" t="str">
        <f aca="false">IF(O218&lt;&gt;"both",O218&amp;" only",IF(Q218="","agree","conflict"))</f>
        <v>agree</v>
      </c>
      <c r="Q218" s="3" t="str">
        <f aca="false">IF(O218="both",TRIM(IF(I218&lt;&gt;"","price ","")&amp;IF(K218&lt;&gt;"","xp ","")&amp;IF(G218="differs","time","")),"")</f>
        <v/>
      </c>
      <c r="R218" s="3" t="s">
        <v>30</v>
      </c>
      <c r="S218" s="3" t="s">
        <v>291</v>
      </c>
    </row>
    <row r="219" customFormat="false" ht="15" hidden="false" customHeight="false" outlineLevel="0" collapsed="false">
      <c r="A219" s="3" t="s">
        <v>293</v>
      </c>
      <c r="B219" s="3" t="s">
        <v>290</v>
      </c>
      <c r="C219" s="4" t="n">
        <v>18</v>
      </c>
      <c r="D219" s="5" t="n">
        <v>180</v>
      </c>
      <c r="E219" s="5" t="n">
        <v>153</v>
      </c>
      <c r="F219" s="5" t="n">
        <v>153</v>
      </c>
      <c r="G219" s="3" t="str">
        <f aca="false">IF(OR(F219="",AND(D219="",E219="")),"n/a",IF(F219=E219,"mastered",IF(F219=D219,"normal","differs")))</f>
        <v>mastered</v>
      </c>
      <c r="H219" s="6" t="n">
        <v>219</v>
      </c>
      <c r="I219" s="6"/>
      <c r="J219" s="4" t="n">
        <v>26</v>
      </c>
      <c r="K219" s="4"/>
      <c r="L219" s="7" t="n">
        <v>17.64705882</v>
      </c>
      <c r="M219" s="8" t="n">
        <v>10.19607843</v>
      </c>
      <c r="N219" s="3" t="str">
        <f aca="false">IF(L219="","",IF(L219&lt;0,"negative profit",IF(L219&gt;Notes!$B$4,"unusually high - verify","")))</f>
        <v/>
      </c>
      <c r="O219" s="3" t="s">
        <v>29</v>
      </c>
      <c r="P219" s="3" t="str">
        <f aca="false">IF(O219&lt;&gt;"both",O219&amp;" only",IF(Q219="","agree","conflict"))</f>
        <v>agree</v>
      </c>
      <c r="Q219" s="3" t="str">
        <f aca="false">IF(O219="both",TRIM(IF(I219&lt;&gt;"","price ","")&amp;IF(K219&lt;&gt;"","xp ","")&amp;IF(G219="differs","time","")),"")</f>
        <v/>
      </c>
      <c r="R219" s="3" t="s">
        <v>30</v>
      </c>
      <c r="S219" s="3" t="s">
        <v>291</v>
      </c>
    </row>
    <row r="220" customFormat="false" ht="15" hidden="false" customHeight="false" outlineLevel="0" collapsed="false">
      <c r="A220" s="3" t="s">
        <v>294</v>
      </c>
      <c r="B220" s="3" t="s">
        <v>290</v>
      </c>
      <c r="C220" s="4" t="n">
        <v>28</v>
      </c>
      <c r="D220" s="5" t="n">
        <v>150</v>
      </c>
      <c r="E220" s="5" t="n">
        <v>127</v>
      </c>
      <c r="F220" s="5" t="n">
        <v>127</v>
      </c>
      <c r="G220" s="3" t="str">
        <f aca="false">IF(OR(F220="",AND(D220="",E220="")),"n/a",IF(F220=E220,"mastered",IF(F220=D220,"normal","differs")))</f>
        <v>mastered</v>
      </c>
      <c r="H220" s="6" t="n">
        <v>270</v>
      </c>
      <c r="I220" s="6"/>
      <c r="J220" s="4" t="n">
        <v>32</v>
      </c>
      <c r="K220" s="4"/>
      <c r="L220" s="7" t="n">
        <v>18.35294118</v>
      </c>
      <c r="M220" s="8" t="n">
        <v>15.05882353</v>
      </c>
      <c r="N220" s="3" t="str">
        <f aca="false">IF(L220="","",IF(L220&lt;0,"negative profit",IF(L220&gt;Notes!$B$4,"unusually high - verify","")))</f>
        <v/>
      </c>
      <c r="O220" s="3" t="s">
        <v>29</v>
      </c>
      <c r="P220" s="3" t="str">
        <f aca="false">IF(O220&lt;&gt;"both",O220&amp;" only",IF(Q220="","agree","conflict"))</f>
        <v>agree</v>
      </c>
      <c r="Q220" s="3" t="str">
        <f aca="false">IF(O220="both",TRIM(IF(I220&lt;&gt;"","price ","")&amp;IF(K220&lt;&gt;"","xp ","")&amp;IF(G220="differs","time","")),"")</f>
        <v/>
      </c>
      <c r="R220" s="3" t="s">
        <v>30</v>
      </c>
      <c r="S220" s="3" t="s">
        <v>291</v>
      </c>
    </row>
    <row r="221" customFormat="false" ht="15" hidden="false" customHeight="false" outlineLevel="0" collapsed="false">
      <c r="A221" s="3" t="s">
        <v>295</v>
      </c>
      <c r="B221" s="3" t="s">
        <v>290</v>
      </c>
      <c r="C221" s="4" t="n">
        <v>28</v>
      </c>
      <c r="D221" s="5" t="n">
        <v>120</v>
      </c>
      <c r="E221" s="5" t="n">
        <v>102</v>
      </c>
      <c r="F221" s="5" t="n">
        <v>102</v>
      </c>
      <c r="G221" s="3" t="str">
        <f aca="false">IF(OR(F221="",AND(D221="",E221="")),"n/a",IF(F221=E221,"mastered",IF(F221=D221,"normal","differs")))</f>
        <v>mastered</v>
      </c>
      <c r="H221" s="6" t="n">
        <v>226</v>
      </c>
      <c r="I221" s="6"/>
      <c r="J221" s="4" t="n">
        <v>27</v>
      </c>
      <c r="K221" s="4"/>
      <c r="L221" s="7" t="n">
        <v>23.52941176</v>
      </c>
      <c r="M221" s="8" t="n">
        <v>15.88235294</v>
      </c>
      <c r="N221" s="3" t="str">
        <f aca="false">IF(L221="","",IF(L221&lt;0,"negative profit",IF(L221&gt;Notes!$B$4,"unusually high - verify","")))</f>
        <v/>
      </c>
      <c r="O221" s="3" t="s">
        <v>29</v>
      </c>
      <c r="P221" s="3" t="str">
        <f aca="false">IF(O221&lt;&gt;"both",O221&amp;" only",IF(Q221="","agree","conflict"))</f>
        <v>agree</v>
      </c>
      <c r="Q221" s="3" t="str">
        <f aca="false">IF(O221="both",TRIM(IF(I221&lt;&gt;"","price ","")&amp;IF(K221&lt;&gt;"","xp ","")&amp;IF(G221="differs","time","")),"")</f>
        <v/>
      </c>
      <c r="R221" s="3" t="s">
        <v>30</v>
      </c>
      <c r="S221" s="3" t="s">
        <v>291</v>
      </c>
    </row>
    <row r="222" customFormat="false" ht="15" hidden="false" customHeight="false" outlineLevel="0" collapsed="false">
      <c r="A222" s="3" t="s">
        <v>296</v>
      </c>
      <c r="B222" s="3" t="s">
        <v>290</v>
      </c>
      <c r="C222" s="4" t="n">
        <v>34</v>
      </c>
      <c r="D222" s="5" t="n">
        <v>90</v>
      </c>
      <c r="E222" s="5" t="n">
        <v>76</v>
      </c>
      <c r="F222" s="5" t="n">
        <v>76</v>
      </c>
      <c r="G222" s="3" t="str">
        <f aca="false">IF(OR(F222="",AND(D222="",E222="")),"n/a",IF(F222=E222,"mastered",IF(F222=D222,"normal","differs")))</f>
        <v>mastered</v>
      </c>
      <c r="H222" s="6" t="n">
        <v>223</v>
      </c>
      <c r="I222" s="6"/>
      <c r="J222" s="4" t="n">
        <v>26</v>
      </c>
      <c r="K222" s="4"/>
      <c r="L222" s="7" t="n">
        <v>29.01960784</v>
      </c>
      <c r="M222" s="8" t="n">
        <v>20.39215686</v>
      </c>
      <c r="N222" s="3" t="str">
        <f aca="false">IF(L222="","",IF(L222&lt;0,"negative profit",IF(L222&gt;Notes!$B$4,"unusually high - verify","")))</f>
        <v/>
      </c>
      <c r="O222" s="3" t="s">
        <v>29</v>
      </c>
      <c r="P222" s="3" t="str">
        <f aca="false">IF(O222&lt;&gt;"both",O222&amp;" only",IF(Q222="","agree","conflict"))</f>
        <v>agree</v>
      </c>
      <c r="Q222" s="3" t="str">
        <f aca="false">IF(O222="both",TRIM(IF(I222&lt;&gt;"","price ","")&amp;IF(K222&lt;&gt;"","xp ","")&amp;IF(G222="differs","time","")),"")</f>
        <v/>
      </c>
      <c r="R222" s="3" t="s">
        <v>30</v>
      </c>
      <c r="S222" s="3" t="s">
        <v>291</v>
      </c>
    </row>
    <row r="223" customFormat="false" ht="15" hidden="false" customHeight="false" outlineLevel="0" collapsed="false">
      <c r="A223" s="3" t="s">
        <v>297</v>
      </c>
      <c r="B223" s="3" t="s">
        <v>290</v>
      </c>
      <c r="C223" s="4" t="n">
        <v>36</v>
      </c>
      <c r="D223" s="5" t="n">
        <v>120</v>
      </c>
      <c r="E223" s="5" t="n">
        <v>102</v>
      </c>
      <c r="F223" s="5" t="n">
        <v>102</v>
      </c>
      <c r="G223" s="3" t="str">
        <f aca="false">IF(OR(F223="",AND(D223="",E223="")),"n/a",IF(F223=E223,"mastered",IF(F223=D223,"normal","differs")))</f>
        <v>mastered</v>
      </c>
      <c r="H223" s="6" t="n">
        <v>367</v>
      </c>
      <c r="I223" s="6"/>
      <c r="J223" s="4" t="n">
        <v>44</v>
      </c>
      <c r="K223" s="4"/>
      <c r="L223" s="7" t="n">
        <v>21.76470588</v>
      </c>
      <c r="M223" s="8" t="n">
        <v>25.88235294</v>
      </c>
      <c r="N223" s="3" t="str">
        <f aca="false">IF(L223="","",IF(L223&lt;0,"negative profit",IF(L223&gt;Notes!$B$4,"unusually high - verify","")))</f>
        <v/>
      </c>
      <c r="O223" s="3" t="s">
        <v>29</v>
      </c>
      <c r="P223" s="3" t="str">
        <f aca="false">IF(O223&lt;&gt;"both",O223&amp;" only",IF(Q223="","agree","conflict"))</f>
        <v>agree</v>
      </c>
      <c r="Q223" s="3" t="str">
        <f aca="false">IF(O223="both",TRIM(IF(I223&lt;&gt;"","price ","")&amp;IF(K223&lt;&gt;"","xp ","")&amp;IF(G223="differs","time","")),"")</f>
        <v/>
      </c>
      <c r="R223" s="3" t="s">
        <v>30</v>
      </c>
      <c r="S223" s="3" t="s">
        <v>291</v>
      </c>
    </row>
    <row r="224" customFormat="false" ht="15" hidden="false" customHeight="false" outlineLevel="0" collapsed="false">
      <c r="A224" s="3" t="s">
        <v>298</v>
      </c>
      <c r="B224" s="3" t="s">
        <v>290</v>
      </c>
      <c r="C224" s="4" t="n">
        <v>39</v>
      </c>
      <c r="D224" s="5" t="n">
        <v>100</v>
      </c>
      <c r="E224" s="5" t="n">
        <v>85</v>
      </c>
      <c r="F224" s="5" t="n">
        <v>85</v>
      </c>
      <c r="G224" s="3" t="str">
        <f aca="false">IF(OR(F224="",AND(D224="",E224="")),"n/a",IF(F224=E224,"mastered",IF(F224=D224,"normal","differs")))</f>
        <v>mastered</v>
      </c>
      <c r="H224" s="6" t="n">
        <v>280</v>
      </c>
      <c r="I224" s="6"/>
      <c r="J224" s="4" t="n">
        <v>34</v>
      </c>
      <c r="K224" s="4"/>
      <c r="L224" s="7" t="n">
        <v>21.17647059</v>
      </c>
      <c r="M224" s="8" t="n">
        <v>24</v>
      </c>
      <c r="N224" s="3" t="str">
        <f aca="false">IF(L224="","",IF(L224&lt;0,"negative profit",IF(L224&gt;Notes!$B$4,"unusually high - verify","")))</f>
        <v/>
      </c>
      <c r="O224" s="3" t="s">
        <v>29</v>
      </c>
      <c r="P224" s="3" t="str">
        <f aca="false">IF(O224&lt;&gt;"both",O224&amp;" only",IF(Q224="","agree","conflict"))</f>
        <v>agree</v>
      </c>
      <c r="Q224" s="3" t="str">
        <f aca="false">IF(O224="both",TRIM(IF(I224&lt;&gt;"","price ","")&amp;IF(K224&lt;&gt;"","xp ","")&amp;IF(G224="differs","time","")),"")</f>
        <v/>
      </c>
      <c r="R224" s="3" t="s">
        <v>30</v>
      </c>
      <c r="S224" s="3" t="s">
        <v>291</v>
      </c>
    </row>
    <row r="225" customFormat="false" ht="15" hidden="false" customHeight="false" outlineLevel="0" collapsed="false">
      <c r="A225" s="3" t="s">
        <v>299</v>
      </c>
      <c r="B225" s="3" t="s">
        <v>290</v>
      </c>
      <c r="C225" s="4" t="n">
        <v>65</v>
      </c>
      <c r="D225" s="5"/>
      <c r="E225" s="5"/>
      <c r="F225" s="5" t="n">
        <v>63</v>
      </c>
      <c r="G225" s="3" t="str">
        <f aca="false">IF(OR(F225="",AND(D225="",E225="")),"n/a",IF(F225=E225,"mastered",IF(F225=D225,"normal","differs")))</f>
        <v>n/a</v>
      </c>
      <c r="H225" s="6" t="n">
        <v>514</v>
      </c>
      <c r="I225" s="6"/>
      <c r="J225" s="4" t="n">
        <v>70</v>
      </c>
      <c r="K225" s="4"/>
      <c r="L225" s="7" t="n">
        <v>76.23529412</v>
      </c>
      <c r="M225" s="8" t="n">
        <v>65.88235294</v>
      </c>
      <c r="N225" s="3" t="str">
        <f aca="false">IF(L225="","",IF(L225&lt;0,"negative profit",IF(L225&gt;Notes!$B$4,"unusually high - verify","")))</f>
        <v/>
      </c>
      <c r="O225" s="3" t="s">
        <v>21</v>
      </c>
      <c r="P225" s="3" t="str">
        <f aca="false">IF(O225&lt;&gt;"both",O225&amp;" only",IF(Q225="","agree","conflict"))</f>
        <v>hayday.info only</v>
      </c>
      <c r="Q225" s="3" t="str">
        <f aca="false">IF(O225="both",TRIM(IF(I225&lt;&gt;"","price ","")&amp;IF(K225&lt;&gt;"","xp ","")&amp;IF(G225="differs","time","")),"")</f>
        <v/>
      </c>
      <c r="R225" s="3" t="s">
        <v>22</v>
      </c>
      <c r="S225" s="3"/>
    </row>
    <row r="226" customFormat="false" ht="15" hidden="false" customHeight="false" outlineLevel="0" collapsed="false">
      <c r="A226" s="3" t="s">
        <v>300</v>
      </c>
      <c r="B226" s="3" t="s">
        <v>290</v>
      </c>
      <c r="C226" s="4" t="n">
        <v>67</v>
      </c>
      <c r="D226" s="5" t="n">
        <v>135</v>
      </c>
      <c r="E226" s="5" t="n">
        <v>114</v>
      </c>
      <c r="F226" s="5" t="n">
        <v>114</v>
      </c>
      <c r="G226" s="3" t="str">
        <f aca="false">IF(OR(F226="",AND(D226="",E226="")),"n/a",IF(F226=E226,"mastered",IF(F226=D226,"normal","differs")))</f>
        <v>mastered</v>
      </c>
      <c r="H226" s="6" t="n">
        <v>446</v>
      </c>
      <c r="I226" s="6"/>
      <c r="J226" s="4" t="n">
        <v>53</v>
      </c>
      <c r="K226" s="4"/>
      <c r="L226" s="7" t="n">
        <v>23.00653595</v>
      </c>
      <c r="M226" s="8" t="n">
        <v>27.7124183</v>
      </c>
      <c r="N226" s="3" t="str">
        <f aca="false">IF(L226="","",IF(L226&lt;0,"negative profit",IF(L226&gt;Notes!$B$4,"unusually high - verify","")))</f>
        <v/>
      </c>
      <c r="O226" s="3" t="s">
        <v>29</v>
      </c>
      <c r="P226" s="3" t="str">
        <f aca="false">IF(O226&lt;&gt;"both",O226&amp;" only",IF(Q226="","agree","conflict"))</f>
        <v>agree</v>
      </c>
      <c r="Q226" s="3" t="str">
        <f aca="false">IF(O226="both",TRIM(IF(I226&lt;&gt;"","price ","")&amp;IF(K226&lt;&gt;"","xp ","")&amp;IF(G226="differs","time","")),"")</f>
        <v/>
      </c>
      <c r="R226" s="3" t="s">
        <v>30</v>
      </c>
      <c r="S226" s="3" t="s">
        <v>291</v>
      </c>
    </row>
    <row r="227" customFormat="false" ht="15" hidden="false" customHeight="false" outlineLevel="0" collapsed="false">
      <c r="A227" s="3" t="s">
        <v>301</v>
      </c>
      <c r="B227" s="3" t="s">
        <v>290</v>
      </c>
      <c r="C227" s="4" t="n">
        <v>76</v>
      </c>
      <c r="D227" s="5" t="n">
        <v>150</v>
      </c>
      <c r="E227" s="5" t="n">
        <v>127</v>
      </c>
      <c r="F227" s="5" t="n">
        <v>127</v>
      </c>
      <c r="G227" s="3" t="str">
        <f aca="false">IF(OR(F227="",AND(D227="",E227="")),"n/a",IF(F227=E227,"mastered",IF(F227=D227,"normal","differs")))</f>
        <v>mastered</v>
      </c>
      <c r="H227" s="6" t="n">
        <v>435</v>
      </c>
      <c r="I227" s="6"/>
      <c r="J227" s="4" t="n">
        <v>52</v>
      </c>
      <c r="K227" s="4"/>
      <c r="L227" s="7" t="n">
        <v>20.23529412</v>
      </c>
      <c r="M227" s="8" t="n">
        <v>24.47058824</v>
      </c>
      <c r="N227" s="3" t="str">
        <f aca="false">IF(L227="","",IF(L227&lt;0,"negative profit",IF(L227&gt;Notes!$B$4,"unusually high - verify","")))</f>
        <v/>
      </c>
      <c r="O227" s="3" t="s">
        <v>29</v>
      </c>
      <c r="P227" s="3" t="str">
        <f aca="false">IF(O227&lt;&gt;"both",O227&amp;" only",IF(Q227="","agree","conflict"))</f>
        <v>agree</v>
      </c>
      <c r="Q227" s="3" t="str">
        <f aca="false">IF(O227="both",TRIM(IF(I227&lt;&gt;"","price ","")&amp;IF(K227&lt;&gt;"","xp ","")&amp;IF(G227="differs","time","")),"")</f>
        <v/>
      </c>
      <c r="R227" s="3" t="s">
        <v>30</v>
      </c>
      <c r="S227" s="3" t="s">
        <v>291</v>
      </c>
    </row>
    <row r="228" customFormat="false" ht="15" hidden="false" customHeight="false" outlineLevel="0" collapsed="false">
      <c r="A228" s="3" t="s">
        <v>302</v>
      </c>
      <c r="B228" s="3" t="s">
        <v>290</v>
      </c>
      <c r="C228" s="4" t="n">
        <v>92</v>
      </c>
      <c r="D228" s="5"/>
      <c r="E228" s="5"/>
      <c r="F228" s="5" t="n">
        <v>42</v>
      </c>
      <c r="G228" s="3" t="str">
        <f aca="false">IF(OR(F228="",AND(D228="",E228="")),"n/a",IF(F228=E228,"mastered",IF(F228=D228,"normal","differs")))</f>
        <v>n/a</v>
      </c>
      <c r="H228" s="6" t="n">
        <v>111</v>
      </c>
      <c r="I228" s="6"/>
      <c r="J228" s="4" t="n">
        <v>13</v>
      </c>
      <c r="K228" s="4"/>
      <c r="L228" s="7" t="n">
        <v>46.58823529</v>
      </c>
      <c r="M228" s="8" t="n">
        <v>18.35294118</v>
      </c>
      <c r="N228" s="3" t="str">
        <f aca="false">IF(L228="","",IF(L228&lt;0,"negative profit",IF(L228&gt;Notes!$B$4,"unusually high - verify","")))</f>
        <v/>
      </c>
      <c r="O228" s="3" t="s">
        <v>21</v>
      </c>
      <c r="P228" s="3" t="str">
        <f aca="false">IF(O228&lt;&gt;"both",O228&amp;" only",IF(Q228="","agree","conflict"))</f>
        <v>hayday.info only</v>
      </c>
      <c r="Q228" s="3" t="str">
        <f aca="false">IF(O228="both",TRIM(IF(I228&lt;&gt;"","price ","")&amp;IF(K228&lt;&gt;"","xp ","")&amp;IF(G228="differs","time","")),"")</f>
        <v/>
      </c>
      <c r="R228" s="3" t="s">
        <v>22</v>
      </c>
      <c r="S228" s="3"/>
    </row>
    <row r="229" customFormat="false" ht="15" hidden="false" customHeight="false" outlineLevel="0" collapsed="false">
      <c r="A229" s="3" t="s">
        <v>303</v>
      </c>
      <c r="B229" s="3" t="s">
        <v>290</v>
      </c>
      <c r="C229" s="4" t="n">
        <v>97</v>
      </c>
      <c r="D229" s="5"/>
      <c r="E229" s="5"/>
      <c r="F229" s="5" t="n">
        <v>51</v>
      </c>
      <c r="G229" s="3" t="str">
        <f aca="false">IF(OR(F229="",AND(D229="",E229="")),"n/a",IF(F229=E229,"mastered",IF(F229=D229,"normal","differs")))</f>
        <v>n/a</v>
      </c>
      <c r="H229" s="6" t="n">
        <v>162</v>
      </c>
      <c r="I229" s="6"/>
      <c r="J229" s="4" t="n">
        <v>19</v>
      </c>
      <c r="K229" s="4"/>
      <c r="L229" s="7" t="n">
        <v>38.82352941</v>
      </c>
      <c r="M229" s="8" t="n">
        <v>22.35294118</v>
      </c>
      <c r="N229" s="3" t="str">
        <f aca="false">IF(L229="","",IF(L229&lt;0,"negative profit",IF(L229&gt;Notes!$B$4,"unusually high - verify","")))</f>
        <v/>
      </c>
      <c r="O229" s="3" t="s">
        <v>21</v>
      </c>
      <c r="P229" s="3" t="str">
        <f aca="false">IF(O229&lt;&gt;"both",O229&amp;" only",IF(Q229="","agree","conflict"))</f>
        <v>hayday.info only</v>
      </c>
      <c r="Q229" s="3" t="str">
        <f aca="false">IF(O229="both",TRIM(IF(I229&lt;&gt;"","price ","")&amp;IF(K229&lt;&gt;"","xp ","")&amp;IF(G229="differs","time","")),"")</f>
        <v/>
      </c>
      <c r="R229" s="3" t="s">
        <v>22</v>
      </c>
      <c r="S229" s="3"/>
    </row>
    <row r="230" customFormat="false" ht="15" hidden="false" customHeight="false" outlineLevel="0" collapsed="false">
      <c r="A230" s="3" t="s">
        <v>304</v>
      </c>
      <c r="B230" s="3" t="s">
        <v>290</v>
      </c>
      <c r="C230" s="4" t="n">
        <v>99</v>
      </c>
      <c r="D230" s="5" t="n">
        <v>45</v>
      </c>
      <c r="E230" s="5" t="n">
        <v>38</v>
      </c>
      <c r="F230" s="5" t="n">
        <v>38</v>
      </c>
      <c r="G230" s="3" t="str">
        <f aca="false">IF(OR(F230="",AND(D230="",E230="")),"n/a",IF(F230=E230,"mastered",IF(F230=D230,"normal","differs")))</f>
        <v>mastered</v>
      </c>
      <c r="H230" s="6" t="n">
        <v>442</v>
      </c>
      <c r="I230" s="6"/>
      <c r="J230" s="4" t="n">
        <v>53</v>
      </c>
      <c r="K230" s="4"/>
      <c r="L230" s="7" t="n">
        <v>75.29411765</v>
      </c>
      <c r="M230" s="8" t="n">
        <v>83.1372549</v>
      </c>
      <c r="N230" s="3" t="str">
        <f aca="false">IF(L230="","",IF(L230&lt;0,"negative profit",IF(L230&gt;Notes!$B$4,"unusually high - verify","")))</f>
        <v/>
      </c>
      <c r="O230" s="3" t="s">
        <v>29</v>
      </c>
      <c r="P230" s="3" t="str">
        <f aca="false">IF(O230&lt;&gt;"both",O230&amp;" only",IF(Q230="","agree","conflict"))</f>
        <v>agree</v>
      </c>
      <c r="Q230" s="3" t="str">
        <f aca="false">IF(O230="both",TRIM(IF(I230&lt;&gt;"","price ","")&amp;IF(K230&lt;&gt;"","xp ","")&amp;IF(G230="differs","time","")),"")</f>
        <v/>
      </c>
      <c r="R230" s="3" t="s">
        <v>30</v>
      </c>
      <c r="S230" s="3" t="s">
        <v>291</v>
      </c>
    </row>
    <row r="231" customFormat="false" ht="15" hidden="false" customHeight="false" outlineLevel="0" collapsed="false">
      <c r="A231" s="3" t="s">
        <v>305</v>
      </c>
      <c r="B231" s="3" t="s">
        <v>306</v>
      </c>
      <c r="C231" s="4" t="n">
        <v>8</v>
      </c>
      <c r="D231" s="5" t="n">
        <v>30</v>
      </c>
      <c r="E231" s="5" t="n">
        <v>25</v>
      </c>
      <c r="F231" s="5" t="n">
        <v>25</v>
      </c>
      <c r="G231" s="3" t="str">
        <f aca="false">IF(OR(F231="",AND(D231="",E231="")),"n/a",IF(F231=E231,"mastered",IF(F231=D231,"normal","differs")))</f>
        <v>mastered</v>
      </c>
      <c r="H231" s="6" t="n">
        <v>32</v>
      </c>
      <c r="I231" s="6"/>
      <c r="J231" s="4" t="n">
        <v>4</v>
      </c>
      <c r="K231" s="4"/>
      <c r="L231" s="7" t="n">
        <v>42.35294118</v>
      </c>
      <c r="M231" s="8" t="n">
        <v>9.411764706</v>
      </c>
      <c r="N231" s="3" t="str">
        <f aca="false">IF(L231="","",IF(L231&lt;0,"negative profit",IF(L231&gt;Notes!$B$4,"unusually high - verify","")))</f>
        <v/>
      </c>
      <c r="O231" s="3" t="s">
        <v>29</v>
      </c>
      <c r="P231" s="3" t="str">
        <f aca="false">IF(O231&lt;&gt;"both",O231&amp;" only",IF(Q231="","agree","conflict"))</f>
        <v>agree</v>
      </c>
      <c r="Q231" s="3" t="str">
        <f aca="false">IF(O231="both",TRIM(IF(I231&lt;&gt;"","price ","")&amp;IF(K231&lt;&gt;"","xp ","")&amp;IF(G231="differs","time","")),"")</f>
        <v/>
      </c>
      <c r="R231" s="3" t="s">
        <v>30</v>
      </c>
      <c r="S231" s="3" t="s">
        <v>307</v>
      </c>
    </row>
    <row r="232" customFormat="false" ht="15" hidden="false" customHeight="false" outlineLevel="0" collapsed="false">
      <c r="A232" s="3" t="s">
        <v>308</v>
      </c>
      <c r="B232" s="3" t="s">
        <v>306</v>
      </c>
      <c r="C232" s="4" t="n">
        <v>16</v>
      </c>
      <c r="D232" s="5" t="n">
        <v>60</v>
      </c>
      <c r="E232" s="5" t="n">
        <v>51</v>
      </c>
      <c r="F232" s="5" t="n">
        <v>51</v>
      </c>
      <c r="G232" s="3" t="str">
        <f aca="false">IF(OR(F232="",AND(D232="",E232="")),"n/a",IF(F232=E232,"mastered",IF(F232=D232,"normal","differs")))</f>
        <v>mastered</v>
      </c>
      <c r="H232" s="6" t="n">
        <v>126</v>
      </c>
      <c r="I232" s="6"/>
      <c r="J232" s="4" t="n">
        <v>15</v>
      </c>
      <c r="K232" s="4"/>
      <c r="L232" s="7" t="n">
        <v>35.29411765</v>
      </c>
      <c r="M232" s="8" t="n">
        <v>17.64705882</v>
      </c>
      <c r="N232" s="3" t="str">
        <f aca="false">IF(L232="","",IF(L232&lt;0,"negative profit",IF(L232&gt;Notes!$B$4,"unusually high - verify","")))</f>
        <v/>
      </c>
      <c r="O232" s="3" t="s">
        <v>29</v>
      </c>
      <c r="P232" s="3" t="str">
        <f aca="false">IF(O232&lt;&gt;"both",O232&amp;" only",IF(Q232="","agree","conflict"))</f>
        <v>agree</v>
      </c>
      <c r="Q232" s="3" t="str">
        <f aca="false">IF(O232="both",TRIM(IF(I232&lt;&gt;"","price ","")&amp;IF(K232&lt;&gt;"","xp ","")&amp;IF(G232="differs","time","")),"")</f>
        <v/>
      </c>
      <c r="R232" s="3" t="s">
        <v>30</v>
      </c>
      <c r="S232" s="3" t="s">
        <v>307</v>
      </c>
    </row>
    <row r="233" customFormat="false" ht="15" hidden="false" customHeight="false" outlineLevel="0" collapsed="false">
      <c r="A233" s="3" t="s">
        <v>309</v>
      </c>
      <c r="B233" s="3" t="s">
        <v>306</v>
      </c>
      <c r="C233" s="4" t="n">
        <v>25</v>
      </c>
      <c r="D233" s="5" t="n">
        <v>120</v>
      </c>
      <c r="E233" s="5" t="n">
        <v>102</v>
      </c>
      <c r="F233" s="5" t="n">
        <v>102</v>
      </c>
      <c r="G233" s="3" t="str">
        <f aca="false">IF(OR(F233="",AND(D233="",E233="")),"n/a",IF(F233=E233,"mastered",IF(F233=D233,"normal","differs")))</f>
        <v>mastered</v>
      </c>
      <c r="H233" s="6" t="n">
        <v>122</v>
      </c>
      <c r="I233" s="6"/>
      <c r="J233" s="4" t="n">
        <v>15</v>
      </c>
      <c r="K233" s="4"/>
      <c r="L233" s="7" t="n">
        <v>21.17647059</v>
      </c>
      <c r="M233" s="8" t="n">
        <v>8.823529412</v>
      </c>
      <c r="N233" s="3" t="str">
        <f aca="false">IF(L233="","",IF(L233&lt;0,"negative profit",IF(L233&gt;Notes!$B$4,"unusually high - verify","")))</f>
        <v/>
      </c>
      <c r="O233" s="3" t="s">
        <v>29</v>
      </c>
      <c r="P233" s="3" t="str">
        <f aca="false">IF(O233&lt;&gt;"both",O233&amp;" only",IF(Q233="","agree","conflict"))</f>
        <v>agree</v>
      </c>
      <c r="Q233" s="3" t="str">
        <f aca="false">IF(O233="both",TRIM(IF(I233&lt;&gt;"","price ","")&amp;IF(K233&lt;&gt;"","xp ","")&amp;IF(G233="differs","time","")),"")</f>
        <v/>
      </c>
      <c r="R233" s="3" t="s">
        <v>30</v>
      </c>
      <c r="S233" s="3" t="s">
        <v>307</v>
      </c>
    </row>
    <row r="234" customFormat="false" ht="15" hidden="false" customHeight="false" outlineLevel="0" collapsed="false">
      <c r="A234" s="3" t="s">
        <v>310</v>
      </c>
      <c r="B234" s="3" t="s">
        <v>306</v>
      </c>
      <c r="C234" s="4" t="n">
        <v>40</v>
      </c>
      <c r="D234" s="5" t="n">
        <v>90</v>
      </c>
      <c r="E234" s="5" t="n">
        <v>76</v>
      </c>
      <c r="F234" s="5" t="n">
        <v>76</v>
      </c>
      <c r="G234" s="3" t="str">
        <f aca="false">IF(OR(F234="",AND(D234="",E234="")),"n/a",IF(F234=E234,"mastered",IF(F234=D234,"normal","differs")))</f>
        <v>mastered</v>
      </c>
      <c r="H234" s="6" t="n">
        <v>360</v>
      </c>
      <c r="I234" s="6"/>
      <c r="J234" s="4" t="n">
        <v>43</v>
      </c>
      <c r="K234" s="4"/>
      <c r="L234" s="7" t="n">
        <v>29.80392157</v>
      </c>
      <c r="M234" s="8" t="n">
        <v>33.7254902</v>
      </c>
      <c r="N234" s="3" t="str">
        <f aca="false">IF(L234="","",IF(L234&lt;0,"negative profit",IF(L234&gt;Notes!$B$4,"unusually high - verify","")))</f>
        <v/>
      </c>
      <c r="O234" s="3" t="s">
        <v>29</v>
      </c>
      <c r="P234" s="3" t="str">
        <f aca="false">IF(O234&lt;&gt;"both",O234&amp;" only",IF(Q234="","agree","conflict"))</f>
        <v>agree</v>
      </c>
      <c r="Q234" s="3" t="str">
        <f aca="false">IF(O234="both",TRIM(IF(I234&lt;&gt;"","price ","")&amp;IF(K234&lt;&gt;"","xp ","")&amp;IF(G234="differs","time","")),"")</f>
        <v/>
      </c>
      <c r="R234" s="3" t="s">
        <v>30</v>
      </c>
      <c r="S234" s="3" t="s">
        <v>307</v>
      </c>
    </row>
    <row r="235" customFormat="false" ht="15" hidden="false" customHeight="false" outlineLevel="0" collapsed="false">
      <c r="A235" s="3" t="s">
        <v>311</v>
      </c>
      <c r="B235" s="3" t="s">
        <v>306</v>
      </c>
      <c r="C235" s="4" t="n">
        <v>44</v>
      </c>
      <c r="D235" s="5" t="n">
        <v>150</v>
      </c>
      <c r="E235" s="5" t="n">
        <v>127</v>
      </c>
      <c r="F235" s="5" t="n">
        <v>127</v>
      </c>
      <c r="G235" s="3" t="str">
        <f aca="false">IF(OR(F235="",AND(D235="",E235="")),"n/a",IF(F235=E235,"mastered",IF(F235=D235,"normal","differs")))</f>
        <v>mastered</v>
      </c>
      <c r="H235" s="6" t="n">
        <v>248</v>
      </c>
      <c r="I235" s="6"/>
      <c r="J235" s="4" t="n">
        <v>29</v>
      </c>
      <c r="K235" s="4"/>
      <c r="L235" s="7" t="n">
        <v>29.17647059</v>
      </c>
      <c r="M235" s="8" t="n">
        <v>13.64705882</v>
      </c>
      <c r="N235" s="3" t="str">
        <f aca="false">IF(L235="","",IF(L235&lt;0,"negative profit",IF(L235&gt;Notes!$B$4,"unusually high - verify","")))</f>
        <v/>
      </c>
      <c r="O235" s="3" t="s">
        <v>29</v>
      </c>
      <c r="P235" s="3" t="str">
        <f aca="false">IF(O235&lt;&gt;"both",O235&amp;" only",IF(Q235="","agree","conflict"))</f>
        <v>agree</v>
      </c>
      <c r="Q235" s="3" t="str">
        <f aca="false">IF(O235="both",TRIM(IF(I235&lt;&gt;"","price ","")&amp;IF(K235&lt;&gt;"","xp ","")&amp;IF(G235="differs","time","")),"")</f>
        <v/>
      </c>
      <c r="R235" s="3" t="s">
        <v>30</v>
      </c>
      <c r="S235" s="3" t="s">
        <v>307</v>
      </c>
    </row>
    <row r="236" customFormat="false" ht="15" hidden="false" customHeight="false" outlineLevel="0" collapsed="false">
      <c r="A236" s="3" t="s">
        <v>312</v>
      </c>
      <c r="B236" s="3" t="s">
        <v>306</v>
      </c>
      <c r="C236" s="4" t="n">
        <v>64</v>
      </c>
      <c r="D236" s="5"/>
      <c r="E236" s="5"/>
      <c r="F236" s="5" t="n">
        <v>38</v>
      </c>
      <c r="G236" s="3" t="str">
        <f aca="false">IF(OR(F236="",AND(D236="",E236="")),"n/a",IF(F236=E236,"mastered",IF(F236=D236,"normal","differs")))</f>
        <v>n/a</v>
      </c>
      <c r="H236" s="6" t="n">
        <v>309</v>
      </c>
      <c r="I236" s="6"/>
      <c r="J236" s="4" t="n">
        <v>50</v>
      </c>
      <c r="K236" s="4"/>
      <c r="L236" s="7" t="n">
        <v>67.45098039</v>
      </c>
      <c r="M236" s="8" t="n">
        <v>78.43137255</v>
      </c>
      <c r="N236" s="3" t="str">
        <f aca="false">IF(L236="","",IF(L236&lt;0,"negative profit",IF(L236&gt;Notes!$B$4,"unusually high - verify","")))</f>
        <v/>
      </c>
      <c r="O236" s="3" t="s">
        <v>21</v>
      </c>
      <c r="P236" s="3" t="str">
        <f aca="false">IF(O236&lt;&gt;"both",O236&amp;" only",IF(Q236="","agree","conflict"))</f>
        <v>hayday.info only</v>
      </c>
      <c r="Q236" s="3" t="str">
        <f aca="false">IF(O236="both",TRIM(IF(I236&lt;&gt;"","price ","")&amp;IF(K236&lt;&gt;"","xp ","")&amp;IF(G236="differs","time","")),"")</f>
        <v/>
      </c>
      <c r="R236" s="3" t="s">
        <v>22</v>
      </c>
      <c r="S236" s="3"/>
    </row>
    <row r="237" customFormat="false" ht="15" hidden="false" customHeight="false" outlineLevel="0" collapsed="false">
      <c r="A237" s="3" t="s">
        <v>313</v>
      </c>
      <c r="B237" s="3" t="s">
        <v>314</v>
      </c>
      <c r="C237" s="4" t="n">
        <v>94</v>
      </c>
      <c r="D237" s="5" t="n">
        <v>240</v>
      </c>
      <c r="E237" s="5" t="n">
        <v>204</v>
      </c>
      <c r="F237" s="5" t="n">
        <v>187</v>
      </c>
      <c r="G237" s="3" t="str">
        <f aca="false">IF(OR(F237="",AND(D237="",E237="")),"n/a",IF(F237=E237,"mastered",IF(F237=D237,"normal","differs")))</f>
        <v>differs</v>
      </c>
      <c r="H237" s="6" t="n">
        <v>219</v>
      </c>
      <c r="I237" s="6"/>
      <c r="J237" s="4" t="n">
        <v>26</v>
      </c>
      <c r="K237" s="4"/>
      <c r="L237" s="7" t="n">
        <v>25.6684492</v>
      </c>
      <c r="M237" s="8" t="n">
        <v>8.342245989</v>
      </c>
      <c r="N237" s="3" t="str">
        <f aca="false">IF(L237="","",IF(L237&lt;0,"negative profit",IF(L237&gt;Notes!$B$4,"unusually high - verify","")))</f>
        <v/>
      </c>
      <c r="O237" s="3" t="s">
        <v>29</v>
      </c>
      <c r="P237" s="3" t="str">
        <f aca="false">IF(O237&lt;&gt;"both",O237&amp;" only",IF(Q237="","agree","conflict"))</f>
        <v>conflict</v>
      </c>
      <c r="Q237" s="3" t="str">
        <f aca="false">IF(O237="both",TRIM(IF(I237&lt;&gt;"","price ","")&amp;IF(K237&lt;&gt;"","xp ","")&amp;IF(G237="differs","time","")),"")</f>
        <v>time</v>
      </c>
      <c r="R237" s="3" t="s">
        <v>30</v>
      </c>
      <c r="S237" s="3" t="s">
        <v>315</v>
      </c>
    </row>
    <row r="238" customFormat="false" ht="15" hidden="false" customHeight="false" outlineLevel="0" collapsed="false">
      <c r="A238" s="3" t="s">
        <v>316</v>
      </c>
      <c r="B238" s="3" t="s">
        <v>314</v>
      </c>
      <c r="C238" s="4" t="n">
        <v>96</v>
      </c>
      <c r="D238" s="5" t="n">
        <v>220</v>
      </c>
      <c r="E238" s="5" t="n">
        <v>187</v>
      </c>
      <c r="F238" s="5" t="n">
        <v>187</v>
      </c>
      <c r="G238" s="3" t="str">
        <f aca="false">IF(OR(F238="",AND(D238="",E238="")),"n/a",IF(F238=E238,"mastered",IF(F238=D238,"normal","differs")))</f>
        <v>mastered</v>
      </c>
      <c r="H238" s="6" t="n">
        <v>151</v>
      </c>
      <c r="I238" s="6"/>
      <c r="J238" s="4" t="n">
        <v>26</v>
      </c>
      <c r="K238" s="4"/>
      <c r="L238" s="7" t="n">
        <v>24.38502674</v>
      </c>
      <c r="M238" s="8" t="n">
        <v>8.342245989</v>
      </c>
      <c r="N238" s="3" t="str">
        <f aca="false">IF(L238="","",IF(L238&lt;0,"negative profit",IF(L238&gt;Notes!$B$4,"unusually high - verify","")))</f>
        <v/>
      </c>
      <c r="O238" s="3" t="s">
        <v>29</v>
      </c>
      <c r="P238" s="3" t="str">
        <f aca="false">IF(O238&lt;&gt;"both",O238&amp;" only",IF(Q238="","agree","conflict"))</f>
        <v>agree</v>
      </c>
      <c r="Q238" s="3" t="str">
        <f aca="false">IF(O238="both",TRIM(IF(I238&lt;&gt;"","price ","")&amp;IF(K238&lt;&gt;"","xp ","")&amp;IF(G238="differs","time","")),"")</f>
        <v/>
      </c>
      <c r="R238" s="3" t="s">
        <v>30</v>
      </c>
      <c r="S238" s="3" t="s">
        <v>315</v>
      </c>
    </row>
    <row r="239" customFormat="false" ht="15" hidden="false" customHeight="false" outlineLevel="0" collapsed="false">
      <c r="A239" s="3" t="s">
        <v>317</v>
      </c>
      <c r="B239" s="3" t="s">
        <v>314</v>
      </c>
      <c r="C239" s="4" t="n">
        <v>99</v>
      </c>
      <c r="D239" s="5" t="n">
        <v>200</v>
      </c>
      <c r="E239" s="5" t="n">
        <v>170</v>
      </c>
      <c r="F239" s="5" t="n">
        <v>170</v>
      </c>
      <c r="G239" s="3" t="str">
        <f aca="false">IF(OR(F239="",AND(D239="",E239="")),"n/a",IF(F239=E239,"mastered",IF(F239=D239,"normal","differs")))</f>
        <v>mastered</v>
      </c>
      <c r="H239" s="6" t="n">
        <v>212</v>
      </c>
      <c r="I239" s="6"/>
      <c r="J239" s="4" t="n">
        <v>25</v>
      </c>
      <c r="K239" s="4"/>
      <c r="L239" s="7" t="n">
        <v>25.41176471</v>
      </c>
      <c r="M239" s="8" t="n">
        <v>8.823529412</v>
      </c>
      <c r="N239" s="3" t="str">
        <f aca="false">IF(L239="","",IF(L239&lt;0,"negative profit",IF(L239&gt;Notes!$B$4,"unusually high - verify","")))</f>
        <v/>
      </c>
      <c r="O239" s="3" t="s">
        <v>29</v>
      </c>
      <c r="P239" s="3" t="str">
        <f aca="false">IF(O239&lt;&gt;"both",O239&amp;" only",IF(Q239="","agree","conflict"))</f>
        <v>agree</v>
      </c>
      <c r="Q239" s="3" t="str">
        <f aca="false">IF(O239="both",TRIM(IF(I239&lt;&gt;"","price ","")&amp;IF(K239&lt;&gt;"","xp ","")&amp;IF(G239="differs","time","")),"")</f>
        <v/>
      </c>
      <c r="R239" s="3" t="s">
        <v>30</v>
      </c>
      <c r="S239" s="3" t="s">
        <v>315</v>
      </c>
    </row>
    <row r="240" customFormat="false" ht="15" hidden="false" customHeight="false" outlineLevel="0" collapsed="false">
      <c r="A240" s="3" t="s">
        <v>318</v>
      </c>
      <c r="B240" s="3" t="s">
        <v>319</v>
      </c>
      <c r="C240" s="4" t="n">
        <v>91</v>
      </c>
      <c r="D240" s="5" t="n">
        <v>240</v>
      </c>
      <c r="E240" s="5" t="n">
        <v>204</v>
      </c>
      <c r="F240" s="5" t="n">
        <v>204</v>
      </c>
      <c r="G240" s="3" t="str">
        <f aca="false">IF(OR(F240="",AND(D240="",E240="")),"n/a",IF(F240=E240,"mastered",IF(F240=D240,"normal","differs")))</f>
        <v>mastered</v>
      </c>
      <c r="H240" s="6" t="n">
        <v>270</v>
      </c>
      <c r="I240" s="6"/>
      <c r="J240" s="4" t="n">
        <v>32</v>
      </c>
      <c r="K240" s="4"/>
      <c r="L240" s="7" t="n">
        <v>16.76470588</v>
      </c>
      <c r="M240" s="8" t="n">
        <v>9.411764706</v>
      </c>
      <c r="N240" s="3" t="str">
        <f aca="false">IF(L240="","",IF(L240&lt;0,"negative profit",IF(L240&gt;Notes!$B$4,"unusually high - verify","")))</f>
        <v/>
      </c>
      <c r="O240" s="3" t="s">
        <v>29</v>
      </c>
      <c r="P240" s="3" t="str">
        <f aca="false">IF(O240&lt;&gt;"both",O240&amp;" only",IF(Q240="","agree","conflict"))</f>
        <v>agree</v>
      </c>
      <c r="Q240" s="3" t="str">
        <f aca="false">IF(O240="both",TRIM(IF(I240&lt;&gt;"","price ","")&amp;IF(K240&lt;&gt;"","xp ","")&amp;IF(G240="differs","time","")),"")</f>
        <v/>
      </c>
      <c r="R240" s="3" t="s">
        <v>30</v>
      </c>
      <c r="S240" s="3" t="s">
        <v>320</v>
      </c>
    </row>
    <row r="241" customFormat="false" ht="15" hidden="false" customHeight="false" outlineLevel="0" collapsed="false">
      <c r="A241" s="3" t="s">
        <v>321</v>
      </c>
      <c r="B241" s="3" t="s">
        <v>319</v>
      </c>
      <c r="C241" s="4" t="n">
        <v>95</v>
      </c>
      <c r="D241" s="5" t="n">
        <v>220</v>
      </c>
      <c r="E241" s="5" t="n">
        <v>187</v>
      </c>
      <c r="F241" s="5" t="n">
        <v>187</v>
      </c>
      <c r="G241" s="3" t="str">
        <f aca="false">IF(OR(F241="",AND(D241="",E241="")),"n/a",IF(F241=E241,"mastered",IF(F241=D241,"normal","differs")))</f>
        <v>mastered</v>
      </c>
      <c r="H241" s="6" t="n">
        <v>471</v>
      </c>
      <c r="I241" s="6"/>
      <c r="J241" s="4" t="n">
        <v>56</v>
      </c>
      <c r="K241" s="4"/>
      <c r="L241" s="7" t="n">
        <v>16.04278075</v>
      </c>
      <c r="M241" s="8" t="n">
        <v>17.96791444</v>
      </c>
      <c r="N241" s="3" t="str">
        <f aca="false">IF(L241="","",IF(L241&lt;0,"negative profit",IF(L241&gt;Notes!$B$4,"unusually high - verify","")))</f>
        <v/>
      </c>
      <c r="O241" s="3" t="s">
        <v>29</v>
      </c>
      <c r="P241" s="3" t="str">
        <f aca="false">IF(O241&lt;&gt;"both",O241&amp;" only",IF(Q241="","agree","conflict"))</f>
        <v>agree</v>
      </c>
      <c r="Q241" s="3" t="str">
        <f aca="false">IF(O241="both",TRIM(IF(I241&lt;&gt;"","price ","")&amp;IF(K241&lt;&gt;"","xp ","")&amp;IF(G241="differs","time","")),"")</f>
        <v/>
      </c>
      <c r="R241" s="3" t="s">
        <v>30</v>
      </c>
      <c r="S241" s="3" t="s">
        <v>320</v>
      </c>
    </row>
    <row r="242" customFormat="false" ht="15" hidden="false" customHeight="false" outlineLevel="0" collapsed="false">
      <c r="A242" s="3" t="s">
        <v>322</v>
      </c>
      <c r="B242" s="3" t="s">
        <v>319</v>
      </c>
      <c r="C242" s="4" t="n">
        <v>98</v>
      </c>
      <c r="D242" s="5" t="n">
        <v>300</v>
      </c>
      <c r="E242" s="5" t="n">
        <v>255</v>
      </c>
      <c r="F242" s="5" t="n">
        <v>255</v>
      </c>
      <c r="G242" s="3" t="str">
        <f aca="false">IF(OR(F242="",AND(D242="",E242="")),"n/a",IF(F242=E242,"mastered",IF(F242=D242,"normal","differs")))</f>
        <v>mastered</v>
      </c>
      <c r="H242" s="6" t="n">
        <v>219</v>
      </c>
      <c r="I242" s="6"/>
      <c r="J242" s="4" t="n">
        <v>26</v>
      </c>
      <c r="K242" s="4"/>
      <c r="L242" s="7" t="n">
        <v>12</v>
      </c>
      <c r="M242" s="8" t="n">
        <v>6.117647059</v>
      </c>
      <c r="N242" s="3" t="str">
        <f aca="false">IF(L242="","",IF(L242&lt;0,"negative profit",IF(L242&gt;Notes!$B$4,"unusually high - verify","")))</f>
        <v/>
      </c>
      <c r="O242" s="3" t="s">
        <v>29</v>
      </c>
      <c r="P242" s="3" t="str">
        <f aca="false">IF(O242&lt;&gt;"both",O242&amp;" only",IF(Q242="","agree","conflict"))</f>
        <v>agree</v>
      </c>
      <c r="Q242" s="3" t="str">
        <f aca="false">IF(O242="both",TRIM(IF(I242&lt;&gt;"","price ","")&amp;IF(K242&lt;&gt;"","xp ","")&amp;IF(G242="differs","time","")),"")</f>
        <v/>
      </c>
      <c r="R242" s="3" t="s">
        <v>30</v>
      </c>
      <c r="S242" s="3" t="s">
        <v>320</v>
      </c>
    </row>
    <row r="243" customFormat="false" ht="15" hidden="false" customHeight="false" outlineLevel="0" collapsed="false">
      <c r="A243" s="3" t="s">
        <v>323</v>
      </c>
      <c r="B243" s="3" t="s">
        <v>319</v>
      </c>
      <c r="C243" s="4" t="n">
        <v>102</v>
      </c>
      <c r="D243" s="5" t="n">
        <v>180</v>
      </c>
      <c r="E243" s="5" t="n">
        <v>153</v>
      </c>
      <c r="F243" s="5" t="n">
        <v>153</v>
      </c>
      <c r="G243" s="3" t="str">
        <f aca="false">IF(OR(F243="",AND(D243="",E243="")),"n/a",IF(F243=E243,"mastered",IF(F243=D243,"normal","differs")))</f>
        <v>mastered</v>
      </c>
      <c r="H243" s="6" t="n">
        <v>266</v>
      </c>
      <c r="I243" s="6"/>
      <c r="J243" s="4" t="n">
        <v>32</v>
      </c>
      <c r="K243" s="4"/>
      <c r="L243" s="7" t="n">
        <v>16.07843137</v>
      </c>
      <c r="M243" s="8" t="n">
        <v>12.54901961</v>
      </c>
      <c r="N243" s="3" t="str">
        <f aca="false">IF(L243="","",IF(L243&lt;0,"negative profit",IF(L243&gt;Notes!$B$4,"unusually high - verify","")))</f>
        <v/>
      </c>
      <c r="O243" s="3" t="s">
        <v>29</v>
      </c>
      <c r="P243" s="3" t="str">
        <f aca="false">IF(O243&lt;&gt;"both",O243&amp;" only",IF(Q243="","agree","conflict"))</f>
        <v>agree</v>
      </c>
      <c r="Q243" s="3" t="str">
        <f aca="false">IF(O243="both",TRIM(IF(I243&lt;&gt;"","price ","")&amp;IF(K243&lt;&gt;"","xp ","")&amp;IF(G243="differs","time","")),"")</f>
        <v/>
      </c>
      <c r="R243" s="3" t="s">
        <v>30</v>
      </c>
      <c r="S243" s="3" t="s">
        <v>320</v>
      </c>
    </row>
    <row r="244" customFormat="false" ht="15" hidden="false" customHeight="false" outlineLevel="0" collapsed="false">
      <c r="A244" s="3" t="s">
        <v>324</v>
      </c>
      <c r="B244" s="3" t="s">
        <v>319</v>
      </c>
      <c r="C244" s="4" t="n">
        <v>104</v>
      </c>
      <c r="D244" s="5" t="n">
        <v>260</v>
      </c>
      <c r="E244" s="5" t="n">
        <v>221</v>
      </c>
      <c r="F244" s="5" t="n">
        <v>260</v>
      </c>
      <c r="G244" s="3" t="str">
        <f aca="false">IF(OR(F244="",AND(D244="",E244="")),"n/a",IF(F244=E244,"mastered",IF(F244=D244,"normal","differs")))</f>
        <v>normal</v>
      </c>
      <c r="H244" s="6" t="n">
        <v>421</v>
      </c>
      <c r="I244" s="6"/>
      <c r="J244" s="4" t="n">
        <v>50</v>
      </c>
      <c r="K244" s="4"/>
      <c r="L244" s="7" t="n">
        <v>12.92307692</v>
      </c>
      <c r="M244" s="8" t="n">
        <v>11.53846154</v>
      </c>
      <c r="N244" s="3" t="str">
        <f aca="false">IF(L244="","",IF(L244&lt;0,"negative profit",IF(L244&gt;Notes!$B$4,"unusually high - verify","")))</f>
        <v/>
      </c>
      <c r="O244" s="3" t="s">
        <v>29</v>
      </c>
      <c r="P244" s="3" t="str">
        <f aca="false">IF(O244&lt;&gt;"both",O244&amp;" only",IF(Q244="","agree","conflict"))</f>
        <v>agree</v>
      </c>
      <c r="Q244" s="3" t="str">
        <f aca="false">IF(O244="both",TRIM(IF(I244&lt;&gt;"","price ","")&amp;IF(K244&lt;&gt;"","xp ","")&amp;IF(G244="differs","time","")),"")</f>
        <v/>
      </c>
      <c r="R244" s="3" t="s">
        <v>30</v>
      </c>
      <c r="S244" s="3" t="s">
        <v>320</v>
      </c>
    </row>
    <row r="245" customFormat="false" ht="15" hidden="false" customHeight="false" outlineLevel="0" collapsed="false">
      <c r="A245" s="3" t="s">
        <v>325</v>
      </c>
      <c r="B245" s="3" t="s">
        <v>326</v>
      </c>
      <c r="C245" s="4" t="n">
        <v>58</v>
      </c>
      <c r="D245" s="5"/>
      <c r="E245" s="5"/>
      <c r="F245" s="5" t="n">
        <v>76</v>
      </c>
      <c r="G245" s="3" t="str">
        <f aca="false">IF(OR(F245="",AND(D245="",E245="")),"n/a",IF(F245=E245,"mastered",IF(F245=D245,"normal","differs")))</f>
        <v>n/a</v>
      </c>
      <c r="H245" s="6" t="n">
        <v>745</v>
      </c>
      <c r="I245" s="6"/>
      <c r="J245" s="4" t="n">
        <v>89</v>
      </c>
      <c r="K245" s="4"/>
      <c r="L245" s="7" t="n">
        <v>33.7254902</v>
      </c>
      <c r="M245" s="8" t="n">
        <v>69.80392157</v>
      </c>
      <c r="N245" s="3" t="str">
        <f aca="false">IF(L245="","",IF(L245&lt;0,"negative profit",IF(L245&gt;Notes!$B$4,"unusually high - verify","")))</f>
        <v/>
      </c>
      <c r="O245" s="3" t="s">
        <v>21</v>
      </c>
      <c r="P245" s="3" t="str">
        <f aca="false">IF(O245&lt;&gt;"both",O245&amp;" only",IF(Q245="","agree","conflict"))</f>
        <v>hayday.info only</v>
      </c>
      <c r="Q245" s="3" t="str">
        <f aca="false">IF(O245="both",TRIM(IF(I245&lt;&gt;"","price ","")&amp;IF(K245&lt;&gt;"","xp ","")&amp;IF(G245="differs","time","")),"")</f>
        <v/>
      </c>
      <c r="R245" s="3" t="s">
        <v>22</v>
      </c>
      <c r="S245" s="3"/>
    </row>
    <row r="246" customFormat="false" ht="15" hidden="false" customHeight="false" outlineLevel="0" collapsed="false">
      <c r="A246" s="3" t="s">
        <v>327</v>
      </c>
      <c r="B246" s="3" t="s">
        <v>326</v>
      </c>
      <c r="C246" s="4" t="n">
        <v>62</v>
      </c>
      <c r="D246" s="5"/>
      <c r="E246" s="5"/>
      <c r="F246" s="5" t="n">
        <v>89</v>
      </c>
      <c r="G246" s="3" t="str">
        <f aca="false">IF(OR(F246="",AND(D246="",E246="")),"n/a",IF(F246=E246,"mastered",IF(F246=D246,"normal","differs")))</f>
        <v>n/a</v>
      </c>
      <c r="H246" s="6" t="n">
        <v>723</v>
      </c>
      <c r="I246" s="6"/>
      <c r="J246" s="4" t="n">
        <v>86</v>
      </c>
      <c r="K246" s="4"/>
      <c r="L246" s="7" t="n">
        <v>28.23529412</v>
      </c>
      <c r="M246" s="8" t="n">
        <v>57.81512605</v>
      </c>
      <c r="N246" s="3" t="str">
        <f aca="false">IF(L246="","",IF(L246&lt;0,"negative profit",IF(L246&gt;Notes!$B$4,"unusually high - verify","")))</f>
        <v/>
      </c>
      <c r="O246" s="3" t="s">
        <v>21</v>
      </c>
      <c r="P246" s="3" t="str">
        <f aca="false">IF(O246&lt;&gt;"both",O246&amp;" only",IF(Q246="","agree","conflict"))</f>
        <v>hayday.info only</v>
      </c>
      <c r="Q246" s="3" t="str">
        <f aca="false">IF(O246="both",TRIM(IF(I246&lt;&gt;"","price ","")&amp;IF(K246&lt;&gt;"","xp ","")&amp;IF(G246="differs","time","")),"")</f>
        <v/>
      </c>
      <c r="R246" s="3" t="s">
        <v>22</v>
      </c>
      <c r="S246" s="3"/>
    </row>
    <row r="247" customFormat="false" ht="15" hidden="false" customHeight="false" outlineLevel="0" collapsed="false">
      <c r="A247" s="3" t="s">
        <v>328</v>
      </c>
      <c r="B247" s="3" t="s">
        <v>326</v>
      </c>
      <c r="C247" s="4" t="n">
        <v>64</v>
      </c>
      <c r="D247" s="5"/>
      <c r="E247" s="5"/>
      <c r="F247" s="5" t="n">
        <v>102</v>
      </c>
      <c r="G247" s="3" t="str">
        <f aca="false">IF(OR(F247="",AND(D247="",E247="")),"n/a",IF(F247=E247,"mastered",IF(F247=D247,"normal","differs")))</f>
        <v>n/a</v>
      </c>
      <c r="H247" s="6" t="n">
        <v>763</v>
      </c>
      <c r="I247" s="6"/>
      <c r="J247" s="4" t="n">
        <v>91</v>
      </c>
      <c r="K247" s="4"/>
      <c r="L247" s="7" t="n">
        <v>26.47058824</v>
      </c>
      <c r="M247" s="8" t="n">
        <v>53.52941176</v>
      </c>
      <c r="N247" s="3" t="str">
        <f aca="false">IF(L247="","",IF(L247&lt;0,"negative profit",IF(L247&gt;Notes!$B$4,"unusually high - verify","")))</f>
        <v/>
      </c>
      <c r="O247" s="3" t="s">
        <v>21</v>
      </c>
      <c r="P247" s="3" t="str">
        <f aca="false">IF(O247&lt;&gt;"both",O247&amp;" only",IF(Q247="","agree","conflict"))</f>
        <v>hayday.info only</v>
      </c>
      <c r="Q247" s="3" t="str">
        <f aca="false">IF(O247="both",TRIM(IF(I247&lt;&gt;"","price ","")&amp;IF(K247&lt;&gt;"","xp ","")&amp;IF(G247="differs","time","")),"")</f>
        <v/>
      </c>
      <c r="R247" s="3" t="s">
        <v>22</v>
      </c>
      <c r="S247" s="3"/>
    </row>
    <row r="248" customFormat="false" ht="15" hidden="false" customHeight="false" outlineLevel="0" collapsed="false">
      <c r="A248" s="3" t="s">
        <v>329</v>
      </c>
      <c r="B248" s="3" t="s">
        <v>326</v>
      </c>
      <c r="C248" s="4" t="n">
        <v>67</v>
      </c>
      <c r="D248" s="5"/>
      <c r="E248" s="5"/>
      <c r="F248" s="5" t="n">
        <v>127</v>
      </c>
      <c r="G248" s="3" t="str">
        <f aca="false">IF(OR(F248="",AND(D248="",E248="")),"n/a",IF(F248=E248,"mastered",IF(F248=D248,"normal","differs")))</f>
        <v>n/a</v>
      </c>
      <c r="H248" s="6" t="n">
        <v>759</v>
      </c>
      <c r="I248" s="6"/>
      <c r="J248" s="4" t="n">
        <v>90</v>
      </c>
      <c r="K248" s="4"/>
      <c r="L248" s="7" t="n">
        <v>17.88235294</v>
      </c>
      <c r="M248" s="8" t="n">
        <v>42.35294118</v>
      </c>
      <c r="N248" s="3" t="str">
        <f aca="false">IF(L248="","",IF(L248&lt;0,"negative profit",IF(L248&gt;Notes!$B$4,"unusually high - verify","")))</f>
        <v/>
      </c>
      <c r="O248" s="3" t="s">
        <v>21</v>
      </c>
      <c r="P248" s="3" t="str">
        <f aca="false">IF(O248&lt;&gt;"both",O248&amp;" only",IF(Q248="","agree","conflict"))</f>
        <v>hayday.info only</v>
      </c>
      <c r="Q248" s="3" t="str">
        <f aca="false">IF(O248="both",TRIM(IF(I248&lt;&gt;"","price ","")&amp;IF(K248&lt;&gt;"","xp ","")&amp;IF(G248="differs","time","")),"")</f>
        <v/>
      </c>
      <c r="R248" s="3" t="s">
        <v>22</v>
      </c>
      <c r="S248" s="3"/>
    </row>
    <row r="249" customFormat="false" ht="15" hidden="false" customHeight="false" outlineLevel="0" collapsed="false">
      <c r="A249" s="3" t="s">
        <v>330</v>
      </c>
      <c r="B249" s="3" t="s">
        <v>326</v>
      </c>
      <c r="C249" s="4" t="n">
        <v>74</v>
      </c>
      <c r="D249" s="5"/>
      <c r="E249" s="5"/>
      <c r="F249" s="5" t="n">
        <v>102</v>
      </c>
      <c r="G249" s="3" t="str">
        <f aca="false">IF(OR(F249="",AND(D249="",E249="")),"n/a",IF(F249=E249,"mastered",IF(F249=D249,"normal","differs")))</f>
        <v>n/a</v>
      </c>
      <c r="H249" s="6" t="n">
        <v>266</v>
      </c>
      <c r="I249" s="6"/>
      <c r="J249" s="4" t="n">
        <v>32</v>
      </c>
      <c r="K249" s="4"/>
      <c r="L249" s="7" t="n">
        <v>25.88235294</v>
      </c>
      <c r="M249" s="8" t="n">
        <v>18.82352941</v>
      </c>
      <c r="N249" s="3" t="str">
        <f aca="false">IF(L249="","",IF(L249&lt;0,"negative profit",IF(L249&gt;Notes!$B$4,"unusually high - verify","")))</f>
        <v/>
      </c>
      <c r="O249" s="3" t="s">
        <v>21</v>
      </c>
      <c r="P249" s="3" t="str">
        <f aca="false">IF(O249&lt;&gt;"both",O249&amp;" only",IF(Q249="","agree","conflict"))</f>
        <v>hayday.info only</v>
      </c>
      <c r="Q249" s="3" t="str">
        <f aca="false">IF(O249="both",TRIM(IF(I249&lt;&gt;"","price ","")&amp;IF(K249&lt;&gt;"","xp ","")&amp;IF(G249="differs","time","")),"")</f>
        <v/>
      </c>
      <c r="R249" s="3" t="s">
        <v>22</v>
      </c>
      <c r="S249" s="3"/>
    </row>
    <row r="250" customFormat="false" ht="15" hidden="false" customHeight="false" outlineLevel="0" collapsed="false">
      <c r="A250" s="3" t="s">
        <v>331</v>
      </c>
      <c r="B250" s="3" t="s">
        <v>326</v>
      </c>
      <c r="C250" s="4" t="n">
        <v>75</v>
      </c>
      <c r="D250" s="5"/>
      <c r="E250" s="5"/>
      <c r="F250" s="5" t="n">
        <v>63</v>
      </c>
      <c r="G250" s="3" t="str">
        <f aca="false">IF(OR(F250="",AND(D250="",E250="")),"n/a",IF(F250=E250,"mastered",IF(F250=D250,"normal","differs")))</f>
        <v>n/a</v>
      </c>
      <c r="H250" s="6" t="n">
        <v>468</v>
      </c>
      <c r="I250" s="6"/>
      <c r="J250" s="4" t="n">
        <v>56</v>
      </c>
      <c r="K250" s="4"/>
      <c r="L250" s="7" t="n">
        <v>31.05882353</v>
      </c>
      <c r="M250" s="8" t="n">
        <v>52.70588235</v>
      </c>
      <c r="N250" s="3" t="str">
        <f aca="false">IF(L250="","",IF(L250&lt;0,"negative profit",IF(L250&gt;Notes!$B$4,"unusually high - verify","")))</f>
        <v/>
      </c>
      <c r="O250" s="3" t="s">
        <v>21</v>
      </c>
      <c r="P250" s="3" t="str">
        <f aca="false">IF(O250&lt;&gt;"both",O250&amp;" only",IF(Q250="","agree","conflict"))</f>
        <v>hayday.info only</v>
      </c>
      <c r="Q250" s="3" t="str">
        <f aca="false">IF(O250="both",TRIM(IF(I250&lt;&gt;"","price ","")&amp;IF(K250&lt;&gt;"","xp ","")&amp;IF(G250="differs","time","")),"")</f>
        <v/>
      </c>
      <c r="R250" s="3" t="s">
        <v>22</v>
      </c>
      <c r="S250" s="3"/>
    </row>
    <row r="251" customFormat="false" ht="15" hidden="false" customHeight="false" outlineLevel="0" collapsed="false">
      <c r="A251" s="3" t="s">
        <v>332</v>
      </c>
      <c r="B251" s="3" t="s">
        <v>326</v>
      </c>
      <c r="C251" s="4" t="n">
        <v>76</v>
      </c>
      <c r="D251" s="5"/>
      <c r="E251" s="5"/>
      <c r="F251" s="5" t="n">
        <v>38</v>
      </c>
      <c r="G251" s="3" t="str">
        <f aca="false">IF(OR(F251="",AND(D251="",E251="")),"n/a",IF(F251=E251,"mastered",IF(F251=D251,"normal","differs")))</f>
        <v>n/a</v>
      </c>
      <c r="H251" s="6" t="n">
        <v>234</v>
      </c>
      <c r="I251" s="6"/>
      <c r="J251" s="4" t="n">
        <v>28</v>
      </c>
      <c r="K251" s="4"/>
      <c r="L251" s="7" t="n">
        <v>47.05882353</v>
      </c>
      <c r="M251" s="8" t="n">
        <v>43.92156863</v>
      </c>
      <c r="N251" s="3" t="str">
        <f aca="false">IF(L251="","",IF(L251&lt;0,"negative profit",IF(L251&gt;Notes!$B$4,"unusually high - verify","")))</f>
        <v/>
      </c>
      <c r="O251" s="3" t="s">
        <v>21</v>
      </c>
      <c r="P251" s="3" t="str">
        <f aca="false">IF(O251&lt;&gt;"both",O251&amp;" only",IF(Q251="","agree","conflict"))</f>
        <v>hayday.info only</v>
      </c>
      <c r="Q251" s="3" t="str">
        <f aca="false">IF(O251="both",TRIM(IF(I251&lt;&gt;"","price ","")&amp;IF(K251&lt;&gt;"","xp ","")&amp;IF(G251="differs","time","")),"")</f>
        <v/>
      </c>
      <c r="R251" s="3" t="s">
        <v>22</v>
      </c>
      <c r="S251" s="3"/>
    </row>
    <row r="252" customFormat="false" ht="15" hidden="false" customHeight="false" outlineLevel="0" collapsed="false">
      <c r="A252" s="3" t="s">
        <v>333</v>
      </c>
      <c r="B252" s="3" t="s">
        <v>326</v>
      </c>
      <c r="C252" s="4" t="n">
        <v>78</v>
      </c>
      <c r="D252" s="5"/>
      <c r="E252" s="5"/>
      <c r="F252" s="5" t="n">
        <v>51</v>
      </c>
      <c r="G252" s="3" t="str">
        <f aca="false">IF(OR(F252="",AND(D252="",E252="")),"n/a",IF(F252=E252,"mastered",IF(F252=D252,"normal","differs")))</f>
        <v>n/a</v>
      </c>
      <c r="H252" s="6" t="n">
        <v>316</v>
      </c>
      <c r="I252" s="6"/>
      <c r="J252" s="4" t="n">
        <v>38</v>
      </c>
      <c r="K252" s="4"/>
      <c r="L252" s="7" t="n">
        <v>40</v>
      </c>
      <c r="M252" s="8" t="n">
        <v>44.70588235</v>
      </c>
      <c r="N252" s="3" t="str">
        <f aca="false">IF(L252="","",IF(L252&lt;0,"negative profit",IF(L252&gt;Notes!$B$4,"unusually high - verify","")))</f>
        <v/>
      </c>
      <c r="O252" s="3" t="s">
        <v>21</v>
      </c>
      <c r="P252" s="3" t="str">
        <f aca="false">IF(O252&lt;&gt;"both",O252&amp;" only",IF(Q252="","agree","conflict"))</f>
        <v>hayday.info only</v>
      </c>
      <c r="Q252" s="3" t="str">
        <f aca="false">IF(O252="both",TRIM(IF(I252&lt;&gt;"","price ","")&amp;IF(K252&lt;&gt;"","xp ","")&amp;IF(G252="differs","time","")),"")</f>
        <v/>
      </c>
      <c r="R252" s="3" t="s">
        <v>22</v>
      </c>
      <c r="S252" s="3"/>
    </row>
    <row r="253" customFormat="false" ht="15" hidden="false" customHeight="false" outlineLevel="0" collapsed="false">
      <c r="A253" s="3" t="s">
        <v>334</v>
      </c>
      <c r="B253" s="3" t="s">
        <v>326</v>
      </c>
      <c r="C253" s="4" t="n">
        <v>82</v>
      </c>
      <c r="D253" s="5"/>
      <c r="E253" s="5"/>
      <c r="F253" s="5" t="n">
        <v>102</v>
      </c>
      <c r="G253" s="3" t="str">
        <f aca="false">IF(OR(F253="",AND(D253="",E253="")),"n/a",IF(F253=E253,"mastered",IF(F253=D253,"normal","differs")))</f>
        <v>n/a</v>
      </c>
      <c r="H253" s="6" t="n">
        <v>597</v>
      </c>
      <c r="I253" s="6"/>
      <c r="J253" s="4" t="n">
        <v>71</v>
      </c>
      <c r="K253" s="4"/>
      <c r="L253" s="7" t="n">
        <v>18.82352941</v>
      </c>
      <c r="M253" s="8" t="n">
        <v>41.76470588</v>
      </c>
      <c r="N253" s="3" t="str">
        <f aca="false">IF(L253="","",IF(L253&lt;0,"negative profit",IF(L253&gt;Notes!$B$4,"unusually high - verify","")))</f>
        <v/>
      </c>
      <c r="O253" s="3" t="s">
        <v>21</v>
      </c>
      <c r="P253" s="3" t="str">
        <f aca="false">IF(O253&lt;&gt;"both",O253&amp;" only",IF(Q253="","agree","conflict"))</f>
        <v>hayday.info only</v>
      </c>
      <c r="Q253" s="3" t="str">
        <f aca="false">IF(O253="both",TRIM(IF(I253&lt;&gt;"","price ","")&amp;IF(K253&lt;&gt;"","xp ","")&amp;IF(G253="differs","time","")),"")</f>
        <v/>
      </c>
      <c r="R253" s="3" t="s">
        <v>22</v>
      </c>
      <c r="S253" s="3"/>
    </row>
    <row r="254" customFormat="false" ht="15" hidden="false" customHeight="false" outlineLevel="0" collapsed="false">
      <c r="A254" s="3" t="s">
        <v>335</v>
      </c>
      <c r="B254" s="3" t="s">
        <v>326</v>
      </c>
      <c r="C254" s="4" t="n">
        <v>84</v>
      </c>
      <c r="D254" s="5"/>
      <c r="E254" s="5"/>
      <c r="F254" s="5" t="n">
        <v>153</v>
      </c>
      <c r="G254" s="3" t="str">
        <f aca="false">IF(OR(F254="",AND(D254="",E254="")),"n/a",IF(F254=E254,"mastered",IF(F254=D254,"normal","differs")))</f>
        <v>n/a</v>
      </c>
      <c r="H254" s="6" t="n">
        <v>554</v>
      </c>
      <c r="I254" s="6"/>
      <c r="J254" s="4" t="n">
        <v>66</v>
      </c>
      <c r="K254" s="4"/>
      <c r="L254" s="7" t="n">
        <v>18.03921569</v>
      </c>
      <c r="M254" s="8" t="n">
        <v>25.88235294</v>
      </c>
      <c r="N254" s="3" t="str">
        <f aca="false">IF(L254="","",IF(L254&lt;0,"negative profit",IF(L254&gt;Notes!$B$4,"unusually high - verify","")))</f>
        <v/>
      </c>
      <c r="O254" s="3" t="s">
        <v>21</v>
      </c>
      <c r="P254" s="3" t="str">
        <f aca="false">IF(O254&lt;&gt;"both",O254&amp;" only",IF(Q254="","agree","conflict"))</f>
        <v>hayday.info only</v>
      </c>
      <c r="Q254" s="3" t="str">
        <f aca="false">IF(O254="both",TRIM(IF(I254&lt;&gt;"","price ","")&amp;IF(K254&lt;&gt;"","xp ","")&amp;IF(G254="differs","time","")),"")</f>
        <v/>
      </c>
      <c r="R254" s="3" t="s">
        <v>22</v>
      </c>
      <c r="S254" s="3"/>
    </row>
    <row r="255" customFormat="false" ht="15" hidden="false" customHeight="false" outlineLevel="0" collapsed="false">
      <c r="A255" s="3" t="s">
        <v>336</v>
      </c>
      <c r="B255" s="3" t="s">
        <v>326</v>
      </c>
      <c r="C255" s="4" t="n">
        <v>89</v>
      </c>
      <c r="D255" s="5"/>
      <c r="E255" s="5"/>
      <c r="F255" s="5" t="n">
        <v>51</v>
      </c>
      <c r="G255" s="3" t="str">
        <f aca="false">IF(OR(F255="",AND(D255="",E255="")),"n/a",IF(F255=E255,"mastered",IF(F255=D255,"normal","differs")))</f>
        <v>n/a</v>
      </c>
      <c r="H255" s="6" t="n">
        <v>216</v>
      </c>
      <c r="I255" s="6"/>
      <c r="J255" s="4" t="n">
        <v>26</v>
      </c>
      <c r="K255" s="4"/>
      <c r="L255" s="7" t="n">
        <v>37.64705882</v>
      </c>
      <c r="M255" s="8" t="n">
        <v>30.58823529</v>
      </c>
      <c r="N255" s="3" t="str">
        <f aca="false">IF(L255="","",IF(L255&lt;0,"negative profit",IF(L255&gt;Notes!$B$4,"unusually high - verify","")))</f>
        <v/>
      </c>
      <c r="O255" s="3" t="s">
        <v>21</v>
      </c>
      <c r="P255" s="3" t="str">
        <f aca="false">IF(O255&lt;&gt;"both",O255&amp;" only",IF(Q255="","agree","conflict"))</f>
        <v>hayday.info only</v>
      </c>
      <c r="Q255" s="3" t="str">
        <f aca="false">IF(O255="both",TRIM(IF(I255&lt;&gt;"","price ","")&amp;IF(K255&lt;&gt;"","xp ","")&amp;IF(G255="differs","time","")),"")</f>
        <v/>
      </c>
      <c r="R255" s="3" t="s">
        <v>22</v>
      </c>
      <c r="S255" s="3"/>
    </row>
    <row r="256" customFormat="false" ht="15" hidden="false" customHeight="false" outlineLevel="0" collapsed="false">
      <c r="A256" s="3" t="s">
        <v>337</v>
      </c>
      <c r="B256" s="3" t="s">
        <v>338</v>
      </c>
      <c r="C256" s="4" t="n">
        <v>61</v>
      </c>
      <c r="D256" s="5" t="n">
        <v>40</v>
      </c>
      <c r="E256" s="5" t="n">
        <v>34</v>
      </c>
      <c r="F256" s="5" t="n">
        <v>34</v>
      </c>
      <c r="G256" s="3" t="str">
        <f aca="false">IF(OR(F256="",AND(D256="",E256="")),"n/a",IF(F256=E256,"mastered",IF(F256=D256,"normal","differs")))</f>
        <v>mastered</v>
      </c>
      <c r="H256" s="6" t="n">
        <v>532</v>
      </c>
      <c r="I256" s="6"/>
      <c r="J256" s="4" t="n">
        <v>63</v>
      </c>
      <c r="K256" s="4"/>
      <c r="L256" s="7" t="n">
        <v>54.70588235</v>
      </c>
      <c r="M256" s="8" t="n">
        <v>111.1764706</v>
      </c>
      <c r="N256" s="3" t="str">
        <f aca="false">IF(L256="","",IF(L256&lt;0,"negative profit",IF(L256&gt;Notes!$B$4,"unusually high - verify","")))</f>
        <v/>
      </c>
      <c r="O256" s="3" t="s">
        <v>29</v>
      </c>
      <c r="P256" s="3" t="str">
        <f aca="false">IF(O256&lt;&gt;"both",O256&amp;" only",IF(Q256="","agree","conflict"))</f>
        <v>agree</v>
      </c>
      <c r="Q256" s="3" t="str">
        <f aca="false">IF(O256="both",TRIM(IF(I256&lt;&gt;"","price ","")&amp;IF(K256&lt;&gt;"","xp ","")&amp;IF(G256="differs","time","")),"")</f>
        <v/>
      </c>
      <c r="R256" s="3" t="s">
        <v>30</v>
      </c>
      <c r="S256" s="3" t="s">
        <v>339</v>
      </c>
    </row>
    <row r="257" customFormat="false" ht="15" hidden="false" customHeight="false" outlineLevel="0" collapsed="false">
      <c r="A257" s="3" t="s">
        <v>340</v>
      </c>
      <c r="B257" s="3" t="s">
        <v>338</v>
      </c>
      <c r="C257" s="4" t="n">
        <v>65</v>
      </c>
      <c r="D257" s="5" t="n">
        <v>100</v>
      </c>
      <c r="E257" s="5" t="n">
        <v>85</v>
      </c>
      <c r="F257" s="5" t="n">
        <v>85</v>
      </c>
      <c r="G257" s="3" t="str">
        <f aca="false">IF(OR(F257="",AND(D257="",E257="")),"n/a",IF(F257=E257,"mastered",IF(F257=D257,"normal","differs")))</f>
        <v>mastered</v>
      </c>
      <c r="H257" s="6" t="n">
        <v>648</v>
      </c>
      <c r="I257" s="6"/>
      <c r="J257" s="4" t="n">
        <v>77</v>
      </c>
      <c r="K257" s="4"/>
      <c r="L257" s="7" t="n">
        <v>30.35294118</v>
      </c>
      <c r="M257" s="8" t="n">
        <v>54.35294118</v>
      </c>
      <c r="N257" s="3" t="str">
        <f aca="false">IF(L257="","",IF(L257&lt;0,"negative profit",IF(L257&gt;Notes!$B$4,"unusually high - verify","")))</f>
        <v/>
      </c>
      <c r="O257" s="3" t="s">
        <v>29</v>
      </c>
      <c r="P257" s="3" t="str">
        <f aca="false">IF(O257&lt;&gt;"both",O257&amp;" only",IF(Q257="","agree","conflict"))</f>
        <v>agree</v>
      </c>
      <c r="Q257" s="3" t="str">
        <f aca="false">IF(O257="both",TRIM(IF(I257&lt;&gt;"","price ","")&amp;IF(K257&lt;&gt;"","xp ","")&amp;IF(G257="differs","time","")),"")</f>
        <v/>
      </c>
      <c r="R257" s="3" t="s">
        <v>30</v>
      </c>
      <c r="S257" s="3" t="s">
        <v>339</v>
      </c>
    </row>
    <row r="258" customFormat="false" ht="15" hidden="false" customHeight="false" outlineLevel="0" collapsed="false">
      <c r="A258" s="3" t="s">
        <v>341</v>
      </c>
      <c r="B258" s="3" t="s">
        <v>338</v>
      </c>
      <c r="C258" s="4" t="n">
        <v>66</v>
      </c>
      <c r="D258" s="5" t="n">
        <v>80</v>
      </c>
      <c r="E258" s="5" t="n">
        <v>68</v>
      </c>
      <c r="F258" s="5" t="n">
        <v>68</v>
      </c>
      <c r="G258" s="3" t="str">
        <f aca="false">IF(OR(F258="",AND(D258="",E258="")),"n/a",IF(F258=E258,"mastered",IF(F258=D258,"normal","differs")))</f>
        <v>mastered</v>
      </c>
      <c r="H258" s="6" t="n">
        <v>583</v>
      </c>
      <c r="I258" s="6"/>
      <c r="J258" s="4" t="n">
        <v>69</v>
      </c>
      <c r="K258" s="4"/>
      <c r="L258" s="7" t="n">
        <v>37.05882353</v>
      </c>
      <c r="M258" s="8" t="n">
        <v>60.88235294</v>
      </c>
      <c r="N258" s="3" t="str">
        <f aca="false">IF(L258="","",IF(L258&lt;0,"negative profit",IF(L258&gt;Notes!$B$4,"unusually high - verify","")))</f>
        <v/>
      </c>
      <c r="O258" s="3" t="s">
        <v>29</v>
      </c>
      <c r="P258" s="3" t="str">
        <f aca="false">IF(O258&lt;&gt;"both",O258&amp;" only",IF(Q258="","agree","conflict"))</f>
        <v>agree</v>
      </c>
      <c r="Q258" s="3" t="str">
        <f aca="false">IF(O258="both",TRIM(IF(I258&lt;&gt;"","price ","")&amp;IF(K258&lt;&gt;"","xp ","")&amp;IF(G258="differs","time","")),"")</f>
        <v/>
      </c>
      <c r="R258" s="3" t="s">
        <v>30</v>
      </c>
      <c r="S258" s="3" t="s">
        <v>339</v>
      </c>
    </row>
    <row r="259" customFormat="false" ht="15" hidden="false" customHeight="false" outlineLevel="0" collapsed="false">
      <c r="A259" s="3" t="s">
        <v>342</v>
      </c>
      <c r="B259" s="3" t="s">
        <v>338</v>
      </c>
      <c r="C259" s="4" t="n">
        <v>69</v>
      </c>
      <c r="D259" s="5" t="n">
        <v>60</v>
      </c>
      <c r="E259" s="5" t="n">
        <v>51</v>
      </c>
      <c r="F259" s="5" t="n">
        <v>51</v>
      </c>
      <c r="G259" s="3" t="str">
        <f aca="false">IF(OR(F259="",AND(D259="",E259="")),"n/a",IF(F259=E259,"mastered",IF(F259=D259,"normal","differs")))</f>
        <v>mastered</v>
      </c>
      <c r="H259" s="6" t="n">
        <v>255</v>
      </c>
      <c r="I259" s="6"/>
      <c r="J259" s="4" t="n">
        <v>31</v>
      </c>
      <c r="K259" s="4"/>
      <c r="L259" s="7" t="n">
        <v>35.29411765</v>
      </c>
      <c r="M259" s="8" t="n">
        <v>36.47058824</v>
      </c>
      <c r="N259" s="3" t="str">
        <f aca="false">IF(L259="","",IF(L259&lt;0,"negative profit",IF(L259&gt;Notes!$B$4,"unusually high - verify","")))</f>
        <v/>
      </c>
      <c r="O259" s="3" t="s">
        <v>29</v>
      </c>
      <c r="P259" s="3" t="str">
        <f aca="false">IF(O259&lt;&gt;"both",O259&amp;" only",IF(Q259="","agree","conflict"))</f>
        <v>agree</v>
      </c>
      <c r="Q259" s="3" t="str">
        <f aca="false">IF(O259="both",TRIM(IF(I259&lt;&gt;"","price ","")&amp;IF(K259&lt;&gt;"","xp ","")&amp;IF(G259="differs","time","")),"")</f>
        <v/>
      </c>
      <c r="R259" s="3" t="s">
        <v>30</v>
      </c>
      <c r="S259" s="3" t="s">
        <v>339</v>
      </c>
    </row>
    <row r="260" customFormat="false" ht="15" hidden="false" customHeight="false" outlineLevel="0" collapsed="false">
      <c r="A260" s="3" t="s">
        <v>343</v>
      </c>
      <c r="B260" s="3" t="s">
        <v>338</v>
      </c>
      <c r="C260" s="4" t="n">
        <v>71</v>
      </c>
      <c r="D260" s="5" t="n">
        <v>25</v>
      </c>
      <c r="E260" s="5" t="n">
        <v>21</v>
      </c>
      <c r="F260" s="5" t="n">
        <v>21</v>
      </c>
      <c r="G260" s="3" t="str">
        <f aca="false">IF(OR(F260="",AND(D260="",E260="")),"n/a",IF(F260=E260,"mastered",IF(F260=D260,"normal","differs")))</f>
        <v>mastered</v>
      </c>
      <c r="H260" s="6" t="n">
        <v>673</v>
      </c>
      <c r="I260" s="6" t="n">
        <v>601</v>
      </c>
      <c r="J260" s="4" t="n">
        <v>80</v>
      </c>
      <c r="K260" s="4"/>
      <c r="L260" s="7" t="n">
        <v>409.4117647</v>
      </c>
      <c r="M260" s="8" t="n">
        <v>225.8823529</v>
      </c>
      <c r="N260" s="3" t="str">
        <f aca="false">IF(L260="","",IF(L260&lt;0,"negative profit",IF(L260&gt;Notes!$B$4,"unusually high - verify","")))</f>
        <v>unusually high - verify</v>
      </c>
      <c r="O260" s="3" t="s">
        <v>29</v>
      </c>
      <c r="P260" s="3" t="str">
        <f aca="false">IF(O260&lt;&gt;"both",O260&amp;" only",IF(Q260="","agree","conflict"))</f>
        <v>conflict</v>
      </c>
      <c r="Q260" s="3" t="str">
        <f aca="false">IF(O260="both",TRIM(IF(I260&lt;&gt;"","price ","")&amp;IF(K260&lt;&gt;"","xp ","")&amp;IF(G260="differs","time","")),"")</f>
        <v>price</v>
      </c>
      <c r="R260" s="3" t="s">
        <v>30</v>
      </c>
      <c r="S260" s="3" t="s">
        <v>339</v>
      </c>
    </row>
    <row r="261" customFormat="false" ht="15" hidden="false" customHeight="false" outlineLevel="0" collapsed="false">
      <c r="A261" s="3" t="s">
        <v>344</v>
      </c>
      <c r="B261" s="3" t="s">
        <v>338</v>
      </c>
      <c r="C261" s="4" t="n">
        <v>79</v>
      </c>
      <c r="D261" s="5" t="n">
        <v>35</v>
      </c>
      <c r="E261" s="5" t="n">
        <v>29</v>
      </c>
      <c r="F261" s="5" t="n">
        <v>29</v>
      </c>
      <c r="G261" s="3" t="str">
        <f aca="false">IF(OR(F261="",AND(D261="",E261="")),"n/a",IF(F261=E261,"mastered",IF(F261=D261,"normal","differs")))</f>
        <v>mastered</v>
      </c>
      <c r="H261" s="6" t="n">
        <v>464</v>
      </c>
      <c r="I261" s="6"/>
      <c r="J261" s="4" t="n">
        <v>55</v>
      </c>
      <c r="K261" s="4"/>
      <c r="L261" s="7" t="n">
        <v>54.45378151</v>
      </c>
      <c r="M261" s="8" t="n">
        <v>110.9243697</v>
      </c>
      <c r="N261" s="3" t="str">
        <f aca="false">IF(L261="","",IF(L261&lt;0,"negative profit",IF(L261&gt;Notes!$B$4,"unusually high - verify","")))</f>
        <v/>
      </c>
      <c r="O261" s="3" t="s">
        <v>29</v>
      </c>
      <c r="P261" s="3" t="str">
        <f aca="false">IF(O261&lt;&gt;"both",O261&amp;" only",IF(Q261="","agree","conflict"))</f>
        <v>agree</v>
      </c>
      <c r="Q261" s="3" t="str">
        <f aca="false">IF(O261="both",TRIM(IF(I261&lt;&gt;"","price ","")&amp;IF(K261&lt;&gt;"","xp ","")&amp;IF(G261="differs","time","")),"")</f>
        <v/>
      </c>
      <c r="R261" s="3" t="s">
        <v>30</v>
      </c>
      <c r="S261" s="3" t="s">
        <v>339</v>
      </c>
    </row>
    <row r="262" customFormat="false" ht="15" hidden="false" customHeight="false" outlineLevel="0" collapsed="false">
      <c r="A262" s="3" t="s">
        <v>345</v>
      </c>
      <c r="B262" s="3" t="s">
        <v>338</v>
      </c>
      <c r="C262" s="4" t="n">
        <v>84</v>
      </c>
      <c r="D262" s="5" t="n">
        <v>90</v>
      </c>
      <c r="E262" s="5" t="n">
        <v>76</v>
      </c>
      <c r="F262" s="5" t="n">
        <v>76</v>
      </c>
      <c r="G262" s="3" t="str">
        <f aca="false">IF(OR(F262="",AND(D262="",E262="")),"n/a",IF(F262=E262,"mastered",IF(F262=D262,"normal","differs")))</f>
        <v>mastered</v>
      </c>
      <c r="H262" s="6" t="n">
        <v>471</v>
      </c>
      <c r="I262" s="6" t="n">
        <v>417</v>
      </c>
      <c r="J262" s="4" t="n">
        <v>50</v>
      </c>
      <c r="K262" s="4"/>
      <c r="L262" s="7" t="n">
        <v>69.01960784</v>
      </c>
      <c r="M262" s="8" t="n">
        <v>39.21568627</v>
      </c>
      <c r="N262" s="3" t="str">
        <f aca="false">IF(L262="","",IF(L262&lt;0,"negative profit",IF(L262&gt;Notes!$B$4,"unusually high - verify","")))</f>
        <v/>
      </c>
      <c r="O262" s="3" t="s">
        <v>29</v>
      </c>
      <c r="P262" s="3" t="str">
        <f aca="false">IF(O262&lt;&gt;"both",O262&amp;" only",IF(Q262="","agree","conflict"))</f>
        <v>conflict</v>
      </c>
      <c r="Q262" s="3" t="str">
        <f aca="false">IF(O262="both",TRIM(IF(I262&lt;&gt;"","price ","")&amp;IF(K262&lt;&gt;"","xp ","")&amp;IF(G262="differs","time","")),"")</f>
        <v>price</v>
      </c>
      <c r="R262" s="3" t="s">
        <v>30</v>
      </c>
      <c r="S262" s="3" t="s">
        <v>339</v>
      </c>
    </row>
    <row r="263" customFormat="false" ht="15" hidden="false" customHeight="false" outlineLevel="0" collapsed="false">
      <c r="A263" s="3" t="s">
        <v>346</v>
      </c>
      <c r="B263" s="3" t="s">
        <v>338</v>
      </c>
      <c r="C263" s="4" t="n">
        <v>92</v>
      </c>
      <c r="D263" s="5" t="n">
        <v>50</v>
      </c>
      <c r="E263" s="5" t="n">
        <v>42</v>
      </c>
      <c r="F263" s="5" t="n">
        <v>42</v>
      </c>
      <c r="G263" s="3" t="str">
        <f aca="false">IF(OR(F263="",AND(D263="",E263="")),"n/a",IF(F263=E263,"mastered",IF(F263=D263,"normal","differs")))</f>
        <v>mastered</v>
      </c>
      <c r="H263" s="6" t="n">
        <v>302</v>
      </c>
      <c r="I263" s="6"/>
      <c r="J263" s="4" t="n">
        <v>36</v>
      </c>
      <c r="K263" s="4"/>
      <c r="L263" s="7" t="n">
        <v>32.47058824</v>
      </c>
      <c r="M263" s="8" t="n">
        <v>50.82352941</v>
      </c>
      <c r="N263" s="3" t="str">
        <f aca="false">IF(L263="","",IF(L263&lt;0,"negative profit",IF(L263&gt;Notes!$B$4,"unusually high - verify","")))</f>
        <v/>
      </c>
      <c r="O263" s="3" t="s">
        <v>29</v>
      </c>
      <c r="P263" s="3" t="str">
        <f aca="false">IF(O263&lt;&gt;"both",O263&amp;" only",IF(Q263="","agree","conflict"))</f>
        <v>agree</v>
      </c>
      <c r="Q263" s="3" t="str">
        <f aca="false">IF(O263="both",TRIM(IF(I263&lt;&gt;"","price ","")&amp;IF(K263&lt;&gt;"","xp ","")&amp;IF(G263="differs","time","")),"")</f>
        <v/>
      </c>
      <c r="R263" s="3" t="s">
        <v>30</v>
      </c>
      <c r="S263" s="3" t="s">
        <v>339</v>
      </c>
    </row>
    <row r="264" customFormat="false" ht="15" hidden="false" customHeight="false" outlineLevel="0" collapsed="false">
      <c r="A264" s="3" t="s">
        <v>347</v>
      </c>
      <c r="B264" s="3" t="s">
        <v>338</v>
      </c>
      <c r="C264" s="4" t="n">
        <v>109</v>
      </c>
      <c r="D264" s="5" t="n">
        <v>25</v>
      </c>
      <c r="E264" s="5" t="n">
        <v>21</v>
      </c>
      <c r="F264" s="5" t="n">
        <v>25</v>
      </c>
      <c r="G264" s="3" t="str">
        <f aca="false">IF(OR(F264="",AND(D264="",E264="")),"n/a",IF(F264=E264,"mastered",IF(F264=D264,"normal","differs")))</f>
        <v>normal</v>
      </c>
      <c r="H264" s="6" t="n">
        <v>374</v>
      </c>
      <c r="I264" s="6"/>
      <c r="J264" s="4" t="n">
        <v>45</v>
      </c>
      <c r="K264" s="4"/>
      <c r="L264" s="7" t="n">
        <v>54.11764706</v>
      </c>
      <c r="M264" s="8" t="n">
        <v>105.8823529</v>
      </c>
      <c r="N264" s="3" t="str">
        <f aca="false">IF(L264="","",IF(L264&lt;0,"negative profit",IF(L264&gt;Notes!$B$4,"unusually high - verify","")))</f>
        <v/>
      </c>
      <c r="O264" s="3" t="s">
        <v>29</v>
      </c>
      <c r="P264" s="3" t="str">
        <f aca="false">IF(O264&lt;&gt;"both",O264&amp;" only",IF(Q264="","agree","conflict"))</f>
        <v>agree</v>
      </c>
      <c r="Q264" s="3" t="str">
        <f aca="false">IF(O264="both",TRIM(IF(I264&lt;&gt;"","price ","")&amp;IF(K264&lt;&gt;"","xp ","")&amp;IF(G264="differs","time","")),"")</f>
        <v/>
      </c>
      <c r="R264" s="3" t="s">
        <v>30</v>
      </c>
      <c r="S264" s="3" t="s">
        <v>339</v>
      </c>
    </row>
    <row r="265" customFormat="false" ht="15" hidden="false" customHeight="false" outlineLevel="0" collapsed="false">
      <c r="A265" s="3" t="s">
        <v>348</v>
      </c>
      <c r="B265" s="3" t="s">
        <v>349</v>
      </c>
      <c r="C265" s="4" t="n">
        <v>54</v>
      </c>
      <c r="D265" s="5" t="n">
        <v>180</v>
      </c>
      <c r="E265" s="5" t="n">
        <v>153</v>
      </c>
      <c r="F265" s="5" t="n">
        <v>153</v>
      </c>
      <c r="G265" s="3" t="str">
        <f aca="false">IF(OR(F265="",AND(D265="",E265="")),"n/a",IF(F265=E265,"mastered",IF(F265=D265,"normal","differs")))</f>
        <v>mastered</v>
      </c>
      <c r="H265" s="6" t="n">
        <v>154</v>
      </c>
      <c r="I265" s="6"/>
      <c r="J265" s="4" t="n">
        <v>19</v>
      </c>
      <c r="K265" s="4"/>
      <c r="L265" s="7" t="n">
        <v>23.92156863</v>
      </c>
      <c r="M265" s="8" t="n">
        <v>7.450980392</v>
      </c>
      <c r="N265" s="3" t="str">
        <f aca="false">IF(L265="","",IF(L265&lt;0,"negative profit",IF(L265&gt;Notes!$B$4,"unusually high - verify","")))</f>
        <v/>
      </c>
      <c r="O265" s="3" t="s">
        <v>29</v>
      </c>
      <c r="P265" s="3" t="str">
        <f aca="false">IF(O265&lt;&gt;"both",O265&amp;" only",IF(Q265="","agree","conflict"))</f>
        <v>agree</v>
      </c>
      <c r="Q265" s="3" t="str">
        <f aca="false">IF(O265="both",TRIM(IF(I265&lt;&gt;"","price ","")&amp;IF(K265&lt;&gt;"","xp ","")&amp;IF(G265="differs","time","")),"")</f>
        <v/>
      </c>
      <c r="R265" s="3" t="s">
        <v>30</v>
      </c>
      <c r="S265" s="3" t="s">
        <v>350</v>
      </c>
    </row>
    <row r="266" customFormat="false" ht="15" hidden="false" customHeight="false" outlineLevel="0" collapsed="false">
      <c r="A266" s="3" t="s">
        <v>351</v>
      </c>
      <c r="B266" s="3" t="s">
        <v>349</v>
      </c>
      <c r="C266" s="4" t="n">
        <v>60</v>
      </c>
      <c r="D266" s="5" t="n">
        <v>45</v>
      </c>
      <c r="E266" s="5" t="n">
        <v>38</v>
      </c>
      <c r="F266" s="5" t="n">
        <v>38</v>
      </c>
      <c r="G266" s="3" t="str">
        <f aca="false">IF(OR(F266="",AND(D266="",E266="")),"n/a",IF(F266=E266,"mastered",IF(F266=D266,"normal","differs")))</f>
        <v>mastered</v>
      </c>
      <c r="H266" s="6" t="n">
        <v>277</v>
      </c>
      <c r="I266" s="6"/>
      <c r="J266" s="4" t="n">
        <v>33</v>
      </c>
      <c r="K266" s="4"/>
      <c r="L266" s="7" t="n">
        <v>48.62745098</v>
      </c>
      <c r="M266" s="8" t="n">
        <v>51.76470588</v>
      </c>
      <c r="N266" s="3" t="str">
        <f aca="false">IF(L266="","",IF(L266&lt;0,"negative profit",IF(L266&gt;Notes!$B$4,"unusually high - verify","")))</f>
        <v/>
      </c>
      <c r="O266" s="3" t="s">
        <v>29</v>
      </c>
      <c r="P266" s="3" t="str">
        <f aca="false">IF(O266&lt;&gt;"both",O266&amp;" only",IF(Q266="","agree","conflict"))</f>
        <v>agree</v>
      </c>
      <c r="Q266" s="3" t="str">
        <f aca="false">IF(O266="both",TRIM(IF(I266&lt;&gt;"","price ","")&amp;IF(K266&lt;&gt;"","xp ","")&amp;IF(G266="differs","time","")),"")</f>
        <v/>
      </c>
      <c r="R266" s="3" t="s">
        <v>30</v>
      </c>
      <c r="S266" s="3" t="s">
        <v>350</v>
      </c>
    </row>
    <row r="267" customFormat="false" ht="15" hidden="false" customHeight="false" outlineLevel="0" collapsed="false">
      <c r="A267" s="3" t="s">
        <v>352</v>
      </c>
      <c r="B267" s="3" t="s">
        <v>349</v>
      </c>
      <c r="C267" s="4" t="n">
        <v>62</v>
      </c>
      <c r="D267" s="5" t="n">
        <v>15</v>
      </c>
      <c r="E267" s="5" t="n">
        <v>12</v>
      </c>
      <c r="F267" s="5" t="n">
        <v>12</v>
      </c>
      <c r="G267" s="3" t="str">
        <f aca="false">IF(OR(F267="",AND(D267="",E267="")),"n/a",IF(F267=E267,"mastered",IF(F267=D267,"normal","differs")))</f>
        <v>mastered</v>
      </c>
      <c r="H267" s="6" t="n">
        <v>367</v>
      </c>
      <c r="I267" s="6"/>
      <c r="J267" s="4" t="n">
        <v>44</v>
      </c>
      <c r="K267" s="4"/>
      <c r="L267" s="7" t="n">
        <v>84.70588235</v>
      </c>
      <c r="M267" s="8" t="n">
        <v>207.0588235</v>
      </c>
      <c r="N267" s="3" t="str">
        <f aca="false">IF(L267="","",IF(L267&lt;0,"negative profit",IF(L267&gt;Notes!$B$4,"unusually high - verify","")))</f>
        <v/>
      </c>
      <c r="O267" s="3" t="s">
        <v>29</v>
      </c>
      <c r="P267" s="3" t="str">
        <f aca="false">IF(O267&lt;&gt;"both",O267&amp;" only",IF(Q267="","agree","conflict"))</f>
        <v>agree</v>
      </c>
      <c r="Q267" s="3" t="str">
        <f aca="false">IF(O267="both",TRIM(IF(I267&lt;&gt;"","price ","")&amp;IF(K267&lt;&gt;"","xp ","")&amp;IF(G267="differs","time","")),"")</f>
        <v/>
      </c>
      <c r="R267" s="3" t="s">
        <v>30</v>
      </c>
      <c r="S267" s="3" t="s">
        <v>350</v>
      </c>
    </row>
    <row r="268" customFormat="false" ht="15" hidden="false" customHeight="false" outlineLevel="0" collapsed="false">
      <c r="A268" s="3" t="s">
        <v>353</v>
      </c>
      <c r="B268" s="3" t="s">
        <v>349</v>
      </c>
      <c r="C268" s="4" t="n">
        <v>66</v>
      </c>
      <c r="D268" s="5" t="n">
        <v>25</v>
      </c>
      <c r="E268" s="5" t="n">
        <v>21</v>
      </c>
      <c r="F268" s="5" t="n">
        <v>21</v>
      </c>
      <c r="G268" s="3" t="str">
        <f aca="false">IF(OR(F268="",AND(D268="",E268="")),"n/a",IF(F268=E268,"mastered",IF(F268=D268,"normal","differs")))</f>
        <v>mastered</v>
      </c>
      <c r="H268" s="6" t="n">
        <v>378</v>
      </c>
      <c r="I268" s="6"/>
      <c r="J268" s="4" t="n">
        <v>45</v>
      </c>
      <c r="K268" s="4"/>
      <c r="L268" s="7" t="n">
        <v>67.76470588</v>
      </c>
      <c r="M268" s="8" t="n">
        <v>127.0588235</v>
      </c>
      <c r="N268" s="3" t="str">
        <f aca="false">IF(L268="","",IF(L268&lt;0,"negative profit",IF(L268&gt;Notes!$B$4,"unusually high - verify","")))</f>
        <v/>
      </c>
      <c r="O268" s="3" t="s">
        <v>29</v>
      </c>
      <c r="P268" s="3" t="str">
        <f aca="false">IF(O268&lt;&gt;"both",O268&amp;" only",IF(Q268="","agree","conflict"))</f>
        <v>agree</v>
      </c>
      <c r="Q268" s="3" t="str">
        <f aca="false">IF(O268="both",TRIM(IF(I268&lt;&gt;"","price ","")&amp;IF(K268&lt;&gt;"","xp ","")&amp;IF(G268="differs","time","")),"")</f>
        <v/>
      </c>
      <c r="R268" s="3" t="s">
        <v>30</v>
      </c>
      <c r="S268" s="3" t="s">
        <v>350</v>
      </c>
    </row>
    <row r="269" customFormat="false" ht="15" hidden="false" customHeight="false" outlineLevel="0" collapsed="false">
      <c r="A269" s="3" t="s">
        <v>354</v>
      </c>
      <c r="B269" s="3" t="s">
        <v>349</v>
      </c>
      <c r="C269" s="4" t="n">
        <v>66</v>
      </c>
      <c r="D269" s="5" t="n">
        <v>45</v>
      </c>
      <c r="E269" s="5" t="n">
        <v>38</v>
      </c>
      <c r="F269" s="5" t="n">
        <v>38</v>
      </c>
      <c r="G269" s="3" t="str">
        <f aca="false">IF(OR(F269="",AND(D269="",E269="")),"n/a",IF(F269=E269,"mastered",IF(F269=D269,"normal","differs")))</f>
        <v>mastered</v>
      </c>
      <c r="H269" s="6" t="n">
        <v>468</v>
      </c>
      <c r="I269" s="6"/>
      <c r="J269" s="4" t="n">
        <v>56</v>
      </c>
      <c r="K269" s="4"/>
      <c r="L269" s="7" t="n">
        <v>51.76470588</v>
      </c>
      <c r="M269" s="8" t="n">
        <v>87.84313725</v>
      </c>
      <c r="N269" s="3" t="str">
        <f aca="false">IF(L269="","",IF(L269&lt;0,"negative profit",IF(L269&gt;Notes!$B$4,"unusually high - verify","")))</f>
        <v/>
      </c>
      <c r="O269" s="3" t="s">
        <v>29</v>
      </c>
      <c r="P269" s="3" t="str">
        <f aca="false">IF(O269&lt;&gt;"both",O269&amp;" only",IF(Q269="","agree","conflict"))</f>
        <v>agree</v>
      </c>
      <c r="Q269" s="3" t="str">
        <f aca="false">IF(O269="both",TRIM(IF(I269&lt;&gt;"","price ","")&amp;IF(K269&lt;&gt;"","xp ","")&amp;IF(G269="differs","time","")),"")</f>
        <v/>
      </c>
      <c r="R269" s="3" t="s">
        <v>30</v>
      </c>
      <c r="S269" s="3" t="s">
        <v>350</v>
      </c>
    </row>
    <row r="270" customFormat="false" ht="15" hidden="false" customHeight="false" outlineLevel="0" collapsed="false">
      <c r="A270" s="3" t="s">
        <v>355</v>
      </c>
      <c r="B270" s="3" t="s">
        <v>349</v>
      </c>
      <c r="C270" s="4" t="n">
        <v>69</v>
      </c>
      <c r="D270" s="5" t="n">
        <v>30</v>
      </c>
      <c r="E270" s="5" t="n">
        <v>25</v>
      </c>
      <c r="F270" s="5" t="n">
        <v>25</v>
      </c>
      <c r="G270" s="3" t="str">
        <f aca="false">IF(OR(F270="",AND(D270="",E270="")),"n/a",IF(F270=E270,"mastered",IF(F270=D270,"normal","differs")))</f>
        <v>mastered</v>
      </c>
      <c r="H270" s="6" t="n">
        <v>230</v>
      </c>
      <c r="I270" s="6"/>
      <c r="J270" s="4" t="n">
        <v>27</v>
      </c>
      <c r="K270" s="4"/>
      <c r="L270" s="7" t="n">
        <v>44.70588235</v>
      </c>
      <c r="M270" s="8" t="n">
        <v>63.52941176</v>
      </c>
      <c r="N270" s="3" t="str">
        <f aca="false">IF(L270="","",IF(L270&lt;0,"negative profit",IF(L270&gt;Notes!$B$4,"unusually high - verify","")))</f>
        <v/>
      </c>
      <c r="O270" s="3" t="s">
        <v>29</v>
      </c>
      <c r="P270" s="3" t="str">
        <f aca="false">IF(O270&lt;&gt;"both",O270&amp;" only",IF(Q270="","agree","conflict"))</f>
        <v>agree</v>
      </c>
      <c r="Q270" s="3" t="str">
        <f aca="false">IF(O270="both",TRIM(IF(I270&lt;&gt;"","price ","")&amp;IF(K270&lt;&gt;"","xp ","")&amp;IF(G270="differs","time","")),"")</f>
        <v/>
      </c>
      <c r="R270" s="3" t="s">
        <v>30</v>
      </c>
      <c r="S270" s="3" t="s">
        <v>350</v>
      </c>
    </row>
    <row r="271" customFormat="false" ht="15" hidden="false" customHeight="false" outlineLevel="0" collapsed="false">
      <c r="A271" s="3" t="s">
        <v>356</v>
      </c>
      <c r="B271" s="3" t="s">
        <v>349</v>
      </c>
      <c r="C271" s="4" t="n">
        <v>77</v>
      </c>
      <c r="D271" s="5" t="n">
        <v>20</v>
      </c>
      <c r="E271" s="5" t="n">
        <v>17</v>
      </c>
      <c r="F271" s="5" t="n">
        <v>17</v>
      </c>
      <c r="G271" s="3" t="str">
        <f aca="false">IF(OR(F271="",AND(D271="",E271="")),"n/a",IF(F271=E271,"mastered",IF(F271=D271,"normal","differs")))</f>
        <v>mastered</v>
      </c>
      <c r="H271" s="6" t="n">
        <v>252</v>
      </c>
      <c r="I271" s="6"/>
      <c r="J271" s="4" t="n">
        <v>30</v>
      </c>
      <c r="K271" s="4"/>
      <c r="L271" s="7" t="n">
        <v>56.47058824</v>
      </c>
      <c r="M271" s="8" t="n">
        <v>105.8823529</v>
      </c>
      <c r="N271" s="3" t="str">
        <f aca="false">IF(L271="","",IF(L271&lt;0,"negative profit",IF(L271&gt;Notes!$B$4,"unusually high - verify","")))</f>
        <v/>
      </c>
      <c r="O271" s="3" t="s">
        <v>29</v>
      </c>
      <c r="P271" s="3" t="str">
        <f aca="false">IF(O271&lt;&gt;"both",O271&amp;" only",IF(Q271="","agree","conflict"))</f>
        <v>agree</v>
      </c>
      <c r="Q271" s="3" t="str">
        <f aca="false">IF(O271="both",TRIM(IF(I271&lt;&gt;"","price ","")&amp;IF(K271&lt;&gt;"","xp ","")&amp;IF(G271="differs","time","")),"")</f>
        <v/>
      </c>
      <c r="R271" s="3" t="s">
        <v>30</v>
      </c>
      <c r="S271" s="3" t="s">
        <v>350</v>
      </c>
    </row>
    <row r="272" customFormat="false" ht="15" hidden="false" customHeight="false" outlineLevel="0" collapsed="false">
      <c r="A272" s="3" t="s">
        <v>357</v>
      </c>
      <c r="B272" s="3" t="s">
        <v>349</v>
      </c>
      <c r="C272" s="4" t="n">
        <v>95</v>
      </c>
      <c r="D272" s="5"/>
      <c r="E272" s="5"/>
      <c r="F272" s="5" t="n">
        <v>25</v>
      </c>
      <c r="G272" s="3" t="str">
        <f aca="false">IF(OR(F272="",AND(D272="",E272="")),"n/a",IF(F272=E272,"mastered",IF(F272=D272,"normal","differs")))</f>
        <v>n/a</v>
      </c>
      <c r="H272" s="6" t="n">
        <v>277</v>
      </c>
      <c r="I272" s="6"/>
      <c r="J272" s="4" t="n">
        <v>33</v>
      </c>
      <c r="K272" s="4"/>
      <c r="L272" s="7" t="n">
        <v>54.11764706</v>
      </c>
      <c r="M272" s="8" t="n">
        <v>77.64705882</v>
      </c>
      <c r="N272" s="3" t="str">
        <f aca="false">IF(L272="","",IF(L272&lt;0,"negative profit",IF(L272&gt;Notes!$B$4,"unusually high - verify","")))</f>
        <v/>
      </c>
      <c r="O272" s="3" t="s">
        <v>21</v>
      </c>
      <c r="P272" s="3" t="str">
        <f aca="false">IF(O272&lt;&gt;"both",O272&amp;" only",IF(Q272="","agree","conflict"))</f>
        <v>hayday.info only</v>
      </c>
      <c r="Q272" s="3" t="str">
        <f aca="false">IF(O272="both",TRIM(IF(I272&lt;&gt;"","price ","")&amp;IF(K272&lt;&gt;"","xp ","")&amp;IF(G272="differs","time","")),"")</f>
        <v/>
      </c>
      <c r="R272" s="3" t="s">
        <v>22</v>
      </c>
      <c r="S272" s="3"/>
    </row>
    <row r="273" customFormat="false" ht="15" hidden="false" customHeight="false" outlineLevel="0" collapsed="false">
      <c r="A273" s="3" t="s">
        <v>358</v>
      </c>
      <c r="B273" s="3" t="s">
        <v>349</v>
      </c>
      <c r="C273" s="4" t="n">
        <v>100</v>
      </c>
      <c r="D273" s="5"/>
      <c r="E273" s="5"/>
      <c r="F273" s="5" t="n">
        <v>25</v>
      </c>
      <c r="G273" s="3" t="str">
        <f aca="false">IF(OR(F273="",AND(D273="",E273="")),"n/a",IF(F273=E273,"mastered",IF(F273=D273,"normal","differs")))</f>
        <v>n/a</v>
      </c>
      <c r="H273" s="6" t="n">
        <v>288</v>
      </c>
      <c r="I273" s="6"/>
      <c r="J273" s="4" t="n">
        <v>34</v>
      </c>
      <c r="K273" s="4"/>
      <c r="L273" s="7" t="n">
        <v>61.17647059</v>
      </c>
      <c r="M273" s="8" t="n">
        <v>80</v>
      </c>
      <c r="N273" s="3" t="str">
        <f aca="false">IF(L273="","",IF(L273&lt;0,"negative profit",IF(L273&gt;Notes!$B$4,"unusually high - verify","")))</f>
        <v/>
      </c>
      <c r="O273" s="3" t="s">
        <v>21</v>
      </c>
      <c r="P273" s="3" t="str">
        <f aca="false">IF(O273&lt;&gt;"both",O273&amp;" only",IF(Q273="","agree","conflict"))</f>
        <v>hayday.info only</v>
      </c>
      <c r="Q273" s="3" t="str">
        <f aca="false">IF(O273="both",TRIM(IF(I273&lt;&gt;"","price ","")&amp;IF(K273&lt;&gt;"","xp ","")&amp;IF(G273="differs","time","")),"")</f>
        <v/>
      </c>
      <c r="R273" s="3" t="s">
        <v>22</v>
      </c>
      <c r="S273" s="3"/>
    </row>
    <row r="274" customFormat="false" ht="15" hidden="false" customHeight="false" outlineLevel="0" collapsed="false">
      <c r="A274" s="3" t="s">
        <v>359</v>
      </c>
      <c r="B274" s="3" t="s">
        <v>360</v>
      </c>
      <c r="C274" s="4" t="n">
        <v>19</v>
      </c>
      <c r="D274" s="5" t="n">
        <v>45</v>
      </c>
      <c r="E274" s="5" t="n">
        <v>38</v>
      </c>
      <c r="F274" s="5" t="n">
        <v>38</v>
      </c>
      <c r="G274" s="3" t="str">
        <f aca="false">IF(OR(F274="",AND(D274="",E274="")),"n/a",IF(F274=E274,"mastered",IF(F274=D274,"normal","differs")))</f>
        <v>mastered</v>
      </c>
      <c r="H274" s="6" t="n">
        <v>241</v>
      </c>
      <c r="I274" s="6"/>
      <c r="J274" s="4" t="n">
        <v>29</v>
      </c>
      <c r="K274" s="4"/>
      <c r="L274" s="7" t="n">
        <v>39.21568627</v>
      </c>
      <c r="M274" s="8" t="n">
        <v>45.49019608</v>
      </c>
      <c r="N274" s="3" t="str">
        <f aca="false">IF(L274="","",IF(L274&lt;0,"negative profit",IF(L274&gt;Notes!$B$4,"unusually high - verify","")))</f>
        <v/>
      </c>
      <c r="O274" s="3" t="s">
        <v>29</v>
      </c>
      <c r="P274" s="3" t="str">
        <f aca="false">IF(O274&lt;&gt;"both",O274&amp;" only",IF(Q274="","agree","conflict"))</f>
        <v>agree</v>
      </c>
      <c r="Q274" s="3" t="str">
        <f aca="false">IF(O274="both",TRIM(IF(I274&lt;&gt;"","price ","")&amp;IF(K274&lt;&gt;"","xp ","")&amp;IF(G274="differs","time","")),"")</f>
        <v/>
      </c>
      <c r="R274" s="3" t="s">
        <v>30</v>
      </c>
      <c r="S274" s="3" t="s">
        <v>361</v>
      </c>
    </row>
    <row r="275" customFormat="false" ht="15" hidden="false" customHeight="false" outlineLevel="0" collapsed="false">
      <c r="A275" s="3" t="s">
        <v>362</v>
      </c>
      <c r="B275" s="3" t="s">
        <v>360</v>
      </c>
      <c r="C275" s="4" t="n">
        <v>21</v>
      </c>
      <c r="D275" s="5" t="n">
        <v>90</v>
      </c>
      <c r="E275" s="5" t="n">
        <v>76</v>
      </c>
      <c r="F275" s="5" t="n">
        <v>76</v>
      </c>
      <c r="G275" s="3" t="str">
        <f aca="false">IF(OR(F275="",AND(D275="",E275="")),"n/a",IF(F275=E275,"mastered",IF(F275=D275,"normal","differs")))</f>
        <v>mastered</v>
      </c>
      <c r="H275" s="6" t="n">
        <v>309</v>
      </c>
      <c r="I275" s="6"/>
      <c r="J275" s="4" t="n">
        <v>37</v>
      </c>
      <c r="K275" s="4"/>
      <c r="L275" s="7" t="n">
        <v>30.58823529</v>
      </c>
      <c r="M275" s="8" t="n">
        <v>29.01960784</v>
      </c>
      <c r="N275" s="3" t="str">
        <f aca="false">IF(L275="","",IF(L275&lt;0,"negative profit",IF(L275&gt;Notes!$B$4,"unusually high - verify","")))</f>
        <v/>
      </c>
      <c r="O275" s="3" t="s">
        <v>29</v>
      </c>
      <c r="P275" s="3" t="str">
        <f aca="false">IF(O275&lt;&gt;"both",O275&amp;" only",IF(Q275="","agree","conflict"))</f>
        <v>agree</v>
      </c>
      <c r="Q275" s="3" t="str">
        <f aca="false">IF(O275="both",TRIM(IF(I275&lt;&gt;"","price ","")&amp;IF(K275&lt;&gt;"","xp ","")&amp;IF(G275="differs","time","")),"")</f>
        <v/>
      </c>
      <c r="R275" s="3" t="s">
        <v>30</v>
      </c>
      <c r="S275" s="3" t="s">
        <v>361</v>
      </c>
    </row>
    <row r="276" customFormat="false" ht="15" hidden="false" customHeight="false" outlineLevel="0" collapsed="false">
      <c r="A276" s="3" t="s">
        <v>363</v>
      </c>
      <c r="B276" s="3" t="s">
        <v>360</v>
      </c>
      <c r="C276" s="4" t="n">
        <v>25</v>
      </c>
      <c r="D276" s="5" t="n">
        <v>135</v>
      </c>
      <c r="E276" s="5" t="n">
        <v>114</v>
      </c>
      <c r="F276" s="5" t="n">
        <v>114</v>
      </c>
      <c r="G276" s="3" t="str">
        <f aca="false">IF(OR(F276="",AND(D276="",E276="")),"n/a",IF(F276=E276,"mastered",IF(F276=D276,"normal","differs")))</f>
        <v>mastered</v>
      </c>
      <c r="H276" s="6" t="n">
        <v>327</v>
      </c>
      <c r="I276" s="6"/>
      <c r="J276" s="4" t="n">
        <v>39</v>
      </c>
      <c r="K276" s="4"/>
      <c r="L276" s="7" t="n">
        <v>20.91503268</v>
      </c>
      <c r="M276" s="8" t="n">
        <v>20.39215686</v>
      </c>
      <c r="N276" s="3" t="str">
        <f aca="false">IF(L276="","",IF(L276&lt;0,"negative profit",IF(L276&gt;Notes!$B$4,"unusually high - verify","")))</f>
        <v/>
      </c>
      <c r="O276" s="3" t="s">
        <v>29</v>
      </c>
      <c r="P276" s="3" t="str">
        <f aca="false">IF(O276&lt;&gt;"both",O276&amp;" only",IF(Q276="","agree","conflict"))</f>
        <v>agree</v>
      </c>
      <c r="Q276" s="3" t="str">
        <f aca="false">IF(O276="both",TRIM(IF(I276&lt;&gt;"","price ","")&amp;IF(K276&lt;&gt;"","xp ","")&amp;IF(G276="differs","time","")),"")</f>
        <v/>
      </c>
      <c r="R276" s="3" t="s">
        <v>30</v>
      </c>
      <c r="S276" s="3" t="s">
        <v>361</v>
      </c>
    </row>
    <row r="277" customFormat="false" ht="15" hidden="false" customHeight="false" outlineLevel="0" collapsed="false">
      <c r="A277" s="3" t="s">
        <v>364</v>
      </c>
      <c r="B277" s="3" t="s">
        <v>360</v>
      </c>
      <c r="C277" s="4" t="n">
        <v>51</v>
      </c>
      <c r="D277" s="5" t="n">
        <v>180</v>
      </c>
      <c r="E277" s="5" t="n">
        <v>153</v>
      </c>
      <c r="F277" s="5" t="n">
        <v>153</v>
      </c>
      <c r="G277" s="3" t="str">
        <f aca="false">IF(OR(F277="",AND(D277="",E277="")),"n/a",IF(F277=E277,"mastered",IF(F277=D277,"normal","differs")))</f>
        <v>mastered</v>
      </c>
      <c r="H277" s="6" t="n">
        <v>676</v>
      </c>
      <c r="I277" s="6"/>
      <c r="J277" s="4" t="n">
        <v>81</v>
      </c>
      <c r="K277" s="4"/>
      <c r="L277" s="7" t="n">
        <v>15.68627451</v>
      </c>
      <c r="M277" s="8" t="n">
        <v>31.76470588</v>
      </c>
      <c r="N277" s="3" t="str">
        <f aca="false">IF(L277="","",IF(L277&lt;0,"negative profit",IF(L277&gt;Notes!$B$4,"unusually high - verify","")))</f>
        <v/>
      </c>
      <c r="O277" s="3" t="s">
        <v>29</v>
      </c>
      <c r="P277" s="3" t="str">
        <f aca="false">IF(O277&lt;&gt;"both",O277&amp;" only",IF(Q277="","agree","conflict"))</f>
        <v>agree</v>
      </c>
      <c r="Q277" s="3" t="str">
        <f aca="false">IF(O277="both",TRIM(IF(I277&lt;&gt;"","price ","")&amp;IF(K277&lt;&gt;"","xp ","")&amp;IF(G277="differs","time","")),"")</f>
        <v/>
      </c>
      <c r="R277" s="3" t="s">
        <v>30</v>
      </c>
      <c r="S277" s="3" t="s">
        <v>361</v>
      </c>
    </row>
    <row r="278" customFormat="false" ht="15" hidden="false" customHeight="false" outlineLevel="0" collapsed="false">
      <c r="A278" s="3" t="s">
        <v>365</v>
      </c>
      <c r="B278" s="3" t="s">
        <v>360</v>
      </c>
      <c r="C278" s="4" t="n">
        <v>59</v>
      </c>
      <c r="D278" s="5" t="n">
        <v>210</v>
      </c>
      <c r="E278" s="5" t="n">
        <v>178</v>
      </c>
      <c r="F278" s="5" t="n">
        <v>178</v>
      </c>
      <c r="G278" s="3" t="str">
        <f aca="false">IF(OR(F278="",AND(D278="",E278="")),"n/a",IF(F278=E278,"mastered",IF(F278=D278,"normal","differs")))</f>
        <v>mastered</v>
      </c>
      <c r="H278" s="6" t="n">
        <v>1098</v>
      </c>
      <c r="I278" s="6"/>
      <c r="J278" s="4" t="n">
        <v>131</v>
      </c>
      <c r="K278" s="4"/>
      <c r="L278" s="7" t="n">
        <v>14.11764706</v>
      </c>
      <c r="M278" s="8" t="n">
        <v>44.03361345</v>
      </c>
      <c r="N278" s="3" t="str">
        <f aca="false">IF(L278="","",IF(L278&lt;0,"negative profit",IF(L278&gt;Notes!$B$4,"unusually high - verify","")))</f>
        <v/>
      </c>
      <c r="O278" s="3" t="s">
        <v>29</v>
      </c>
      <c r="P278" s="3" t="str">
        <f aca="false">IF(O278&lt;&gt;"both",O278&amp;" only",IF(Q278="","agree","conflict"))</f>
        <v>agree</v>
      </c>
      <c r="Q278" s="3" t="str">
        <f aca="false">IF(O278="both",TRIM(IF(I278&lt;&gt;"","price ","")&amp;IF(K278&lt;&gt;"","xp ","")&amp;IF(G278="differs","time","")),"")</f>
        <v/>
      </c>
      <c r="R278" s="3" t="s">
        <v>30</v>
      </c>
      <c r="S278" s="3" t="s">
        <v>361</v>
      </c>
    </row>
    <row r="279" customFormat="false" ht="15" hidden="false" customHeight="false" outlineLevel="0" collapsed="false">
      <c r="A279" s="3" t="s">
        <v>366</v>
      </c>
      <c r="B279" s="3" t="s">
        <v>367</v>
      </c>
      <c r="C279" s="4" t="n">
        <v>24</v>
      </c>
      <c r="D279" s="5" t="n">
        <v>480</v>
      </c>
      <c r="E279" s="5" t="n">
        <v>408</v>
      </c>
      <c r="F279" s="5" t="n">
        <v>408</v>
      </c>
      <c r="G279" s="3" t="str">
        <f aca="false">IF(OR(F279="",AND(D279="",E279="")),"n/a",IF(F279=E279,"mastered",IF(F279=D279,"normal","differs")))</f>
        <v>mastered</v>
      </c>
      <c r="H279" s="6" t="n">
        <v>147</v>
      </c>
      <c r="I279" s="6"/>
      <c r="J279" s="4" t="n">
        <v>14</v>
      </c>
      <c r="K279" s="4" t="n">
        <v>18</v>
      </c>
      <c r="L279" s="7" t="n">
        <v>13.67647059</v>
      </c>
      <c r="M279" s="8" t="n">
        <v>2.058823529</v>
      </c>
      <c r="N279" s="3" t="str">
        <f aca="false">IF(L279="","",IF(L279&lt;0,"negative profit",IF(L279&gt;Notes!$B$4,"unusually high - verify","")))</f>
        <v/>
      </c>
      <c r="O279" s="3" t="s">
        <v>29</v>
      </c>
      <c r="P279" s="3" t="str">
        <f aca="false">IF(O279&lt;&gt;"both",O279&amp;" only",IF(Q279="","agree","conflict"))</f>
        <v>conflict</v>
      </c>
      <c r="Q279" s="3" t="str">
        <f aca="false">IF(O279="both",TRIM(IF(I279&lt;&gt;"","price ","")&amp;IF(K279&lt;&gt;"","xp ","")&amp;IF(G279="differs","time","")),"")</f>
        <v>xp</v>
      </c>
      <c r="R279" s="3" t="s">
        <v>30</v>
      </c>
      <c r="S279" s="3" t="s">
        <v>368</v>
      </c>
    </row>
    <row r="280" customFormat="false" ht="15" hidden="false" customHeight="false" outlineLevel="0" collapsed="false">
      <c r="A280" s="3" t="s">
        <v>369</v>
      </c>
      <c r="B280" s="3" t="s">
        <v>367</v>
      </c>
      <c r="C280" s="4" t="n">
        <v>25</v>
      </c>
      <c r="D280" s="5" t="n">
        <v>720</v>
      </c>
      <c r="E280" s="5" t="n">
        <v>612</v>
      </c>
      <c r="F280" s="5" t="n">
        <v>612</v>
      </c>
      <c r="G280" s="3" t="str">
        <f aca="false">IF(OR(F280="",AND(D280="",E280="")),"n/a",IF(F280=E280,"mastered",IF(F280=D280,"normal","differs")))</f>
        <v>mastered</v>
      </c>
      <c r="H280" s="6" t="n">
        <v>180</v>
      </c>
      <c r="I280" s="6"/>
      <c r="J280" s="4" t="n">
        <v>18</v>
      </c>
      <c r="K280" s="4" t="n">
        <v>21</v>
      </c>
      <c r="L280" s="7" t="n">
        <v>11.47058824</v>
      </c>
      <c r="M280" s="8" t="n">
        <v>1.764705882</v>
      </c>
      <c r="N280" s="3" t="str">
        <f aca="false">IF(L280="","",IF(L280&lt;0,"negative profit",IF(L280&gt;Notes!$B$4,"unusually high - verify","")))</f>
        <v/>
      </c>
      <c r="O280" s="3" t="s">
        <v>29</v>
      </c>
      <c r="P280" s="3" t="str">
        <f aca="false">IF(O280&lt;&gt;"both",O280&amp;" only",IF(Q280="","agree","conflict"))</f>
        <v>conflict</v>
      </c>
      <c r="Q280" s="3" t="str">
        <f aca="false">IF(O280="both",TRIM(IF(I280&lt;&gt;"","price ","")&amp;IF(K280&lt;&gt;"","xp ","")&amp;IF(G280="differs","time","")),"")</f>
        <v>xp</v>
      </c>
      <c r="R280" s="3" t="s">
        <v>30</v>
      </c>
      <c r="S280" s="3" t="s">
        <v>368</v>
      </c>
    </row>
    <row r="281" customFormat="false" ht="15" hidden="false" customHeight="false" outlineLevel="0" collapsed="false">
      <c r="A281" s="3" t="s">
        <v>370</v>
      </c>
      <c r="B281" s="3" t="s">
        <v>367</v>
      </c>
      <c r="C281" s="4" t="n">
        <v>25</v>
      </c>
      <c r="D281" s="5" t="n">
        <v>960</v>
      </c>
      <c r="E281" s="5" t="n">
        <v>816</v>
      </c>
      <c r="F281" s="5" t="n">
        <v>816</v>
      </c>
      <c r="G281" s="3" t="str">
        <f aca="false">IF(OR(F281="",AND(D281="",E281="")),"n/a",IF(F281=E281,"mastered",IF(F281=D281,"normal","differs")))</f>
        <v>mastered</v>
      </c>
      <c r="H281" s="6" t="n">
        <v>205</v>
      </c>
      <c r="I281" s="6"/>
      <c r="J281" s="4" t="n">
        <v>21</v>
      </c>
      <c r="K281" s="4" t="n">
        <v>24</v>
      </c>
      <c r="L281" s="7" t="n">
        <v>8.014705882</v>
      </c>
      <c r="M281" s="8" t="n">
        <v>1.544117647</v>
      </c>
      <c r="N281" s="3" t="str">
        <f aca="false">IF(L281="","",IF(L281&lt;0,"negative profit",IF(L281&gt;Notes!$B$4,"unusually high - verify","")))</f>
        <v/>
      </c>
      <c r="O281" s="3" t="s">
        <v>29</v>
      </c>
      <c r="P281" s="3" t="str">
        <f aca="false">IF(O281&lt;&gt;"both",O281&amp;" only",IF(Q281="","agree","conflict"))</f>
        <v>conflict</v>
      </c>
      <c r="Q281" s="3" t="str">
        <f aca="false">IF(O281="both",TRIM(IF(I281&lt;&gt;"","price ","")&amp;IF(K281&lt;&gt;"","xp ","")&amp;IF(G281="differs","time","")),"")</f>
        <v>xp</v>
      </c>
      <c r="R281" s="3" t="s">
        <v>30</v>
      </c>
      <c r="S281" s="3" t="s">
        <v>368</v>
      </c>
    </row>
    <row r="282" customFormat="false" ht="15" hidden="false" customHeight="false" outlineLevel="0" collapsed="false">
      <c r="A282" s="3" t="s">
        <v>371</v>
      </c>
      <c r="B282" s="3" t="s">
        <v>367</v>
      </c>
      <c r="C282" s="4" t="n">
        <v>33</v>
      </c>
      <c r="D282" s="5" t="n">
        <v>360</v>
      </c>
      <c r="E282" s="5" t="n">
        <v>306</v>
      </c>
      <c r="F282" s="5" t="n">
        <v>306</v>
      </c>
      <c r="G282" s="3" t="str">
        <f aca="false">IF(OR(F282="",AND(D282="",E282="")),"n/a",IF(F282=E282,"mastered",IF(F282=D282,"normal","differs")))</f>
        <v>mastered</v>
      </c>
      <c r="H282" s="6" t="n">
        <v>108</v>
      </c>
      <c r="I282" s="6"/>
      <c r="J282" s="4" t="n">
        <v>13</v>
      </c>
      <c r="K282" s="4"/>
      <c r="L282" s="7" t="n">
        <v>15.29411765</v>
      </c>
      <c r="M282" s="8" t="n">
        <v>2.549019608</v>
      </c>
      <c r="N282" s="3" t="str">
        <f aca="false">IF(L282="","",IF(L282&lt;0,"negative profit",IF(L282&gt;Notes!$B$4,"unusually high - verify","")))</f>
        <v/>
      </c>
      <c r="O282" s="3" t="s">
        <v>29</v>
      </c>
      <c r="P282" s="3" t="str">
        <f aca="false">IF(O282&lt;&gt;"both",O282&amp;" only",IF(Q282="","agree","conflict"))</f>
        <v>agree</v>
      </c>
      <c r="Q282" s="3" t="str">
        <f aca="false">IF(O282="both",TRIM(IF(I282&lt;&gt;"","price ","")&amp;IF(K282&lt;&gt;"","xp ","")&amp;IF(G282="differs","time","")),"")</f>
        <v/>
      </c>
      <c r="R282" s="3" t="s">
        <v>30</v>
      </c>
      <c r="S282" s="3" t="s">
        <v>368</v>
      </c>
    </row>
    <row r="283" customFormat="false" ht="15" hidden="false" customHeight="false" outlineLevel="0" collapsed="false">
      <c r="A283" s="3" t="s">
        <v>372</v>
      </c>
      <c r="B283" s="3" t="s">
        <v>367</v>
      </c>
      <c r="C283" s="4" t="n">
        <v>34</v>
      </c>
      <c r="D283" s="5" t="n">
        <v>420</v>
      </c>
      <c r="E283" s="5" t="n">
        <v>357</v>
      </c>
      <c r="F283" s="5" t="n">
        <v>357</v>
      </c>
      <c r="G283" s="3" t="str">
        <f aca="false">IF(OR(F283="",AND(D283="",E283="")),"n/a",IF(F283=E283,"mastered",IF(F283=D283,"normal","differs")))</f>
        <v>mastered</v>
      </c>
      <c r="H283" s="6" t="n">
        <v>129</v>
      </c>
      <c r="I283" s="6"/>
      <c r="J283" s="4" t="n">
        <v>15</v>
      </c>
      <c r="K283" s="4"/>
      <c r="L283" s="7" t="n">
        <v>14.62184874</v>
      </c>
      <c r="M283" s="8" t="n">
        <v>2.521008403</v>
      </c>
      <c r="N283" s="3" t="str">
        <f aca="false">IF(L283="","",IF(L283&lt;0,"negative profit",IF(L283&gt;Notes!$B$4,"unusually high - verify","")))</f>
        <v/>
      </c>
      <c r="O283" s="3" t="s">
        <v>29</v>
      </c>
      <c r="P283" s="3" t="str">
        <f aca="false">IF(O283&lt;&gt;"both",O283&amp;" only",IF(Q283="","agree","conflict"))</f>
        <v>agree</v>
      </c>
      <c r="Q283" s="3" t="str">
        <f aca="false">IF(O283="both",TRIM(IF(I283&lt;&gt;"","price ","")&amp;IF(K283&lt;&gt;"","xp ","")&amp;IF(G283="differs","time","")),"")</f>
        <v/>
      </c>
      <c r="R283" s="3" t="s">
        <v>30</v>
      </c>
      <c r="S283" s="3" t="s">
        <v>368</v>
      </c>
    </row>
    <row r="284" customFormat="false" ht="15" hidden="false" customHeight="false" outlineLevel="0" collapsed="false">
      <c r="A284" s="3" t="s">
        <v>373</v>
      </c>
      <c r="B284" s="3" t="s">
        <v>374</v>
      </c>
      <c r="C284" s="4" t="n">
        <v>64</v>
      </c>
      <c r="D284" s="5" t="n">
        <v>75</v>
      </c>
      <c r="E284" s="5" t="n">
        <v>63</v>
      </c>
      <c r="F284" s="5" t="n">
        <v>63</v>
      </c>
      <c r="G284" s="3" t="str">
        <f aca="false">IF(OR(F284="",AND(D284="",E284="")),"n/a",IF(F284=E284,"mastered",IF(F284=D284,"normal","differs")))</f>
        <v>mastered</v>
      </c>
      <c r="H284" s="6" t="n">
        <v>547</v>
      </c>
      <c r="I284" s="6"/>
      <c r="J284" s="4" t="n">
        <v>65</v>
      </c>
      <c r="K284" s="4"/>
      <c r="L284" s="7" t="n">
        <v>12.23529412</v>
      </c>
      <c r="M284" s="8" t="n">
        <v>61.17647059</v>
      </c>
      <c r="N284" s="3" t="str">
        <f aca="false">IF(L284="","",IF(L284&lt;0,"negative profit",IF(L284&gt;Notes!$B$4,"unusually high - verify","")))</f>
        <v/>
      </c>
      <c r="O284" s="3" t="s">
        <v>29</v>
      </c>
      <c r="P284" s="3" t="str">
        <f aca="false">IF(O284&lt;&gt;"both",O284&amp;" only",IF(Q284="","agree","conflict"))</f>
        <v>agree</v>
      </c>
      <c r="Q284" s="3" t="str">
        <f aca="false">IF(O284="both",TRIM(IF(I284&lt;&gt;"","price ","")&amp;IF(K284&lt;&gt;"","xp ","")&amp;IF(G284="differs","time","")),"")</f>
        <v/>
      </c>
      <c r="R284" s="3" t="s">
        <v>30</v>
      </c>
      <c r="S284" s="3" t="s">
        <v>375</v>
      </c>
    </row>
    <row r="285" customFormat="false" ht="15" hidden="false" customHeight="false" outlineLevel="0" collapsed="false">
      <c r="A285" s="3" t="s">
        <v>376</v>
      </c>
      <c r="B285" s="3" t="s">
        <v>374</v>
      </c>
      <c r="C285" s="4" t="n">
        <v>66</v>
      </c>
      <c r="D285" s="5" t="n">
        <v>45</v>
      </c>
      <c r="E285" s="5" t="n">
        <v>38</v>
      </c>
      <c r="F285" s="5" t="n">
        <v>38</v>
      </c>
      <c r="G285" s="3" t="str">
        <f aca="false">IF(OR(F285="",AND(D285="",E285="")),"n/a",IF(F285=E285,"mastered",IF(F285=D285,"normal","differs")))</f>
        <v>mastered</v>
      </c>
      <c r="H285" s="6" t="n">
        <v>320</v>
      </c>
      <c r="I285" s="6"/>
      <c r="J285" s="4" t="n">
        <v>38</v>
      </c>
      <c r="K285" s="4"/>
      <c r="L285" s="7" t="n">
        <v>43.92156863</v>
      </c>
      <c r="M285" s="8" t="n">
        <v>59.60784314</v>
      </c>
      <c r="N285" s="3" t="str">
        <f aca="false">IF(L285="","",IF(L285&lt;0,"negative profit",IF(L285&gt;Notes!$B$4,"unusually high - verify","")))</f>
        <v/>
      </c>
      <c r="O285" s="3" t="s">
        <v>29</v>
      </c>
      <c r="P285" s="3" t="str">
        <f aca="false">IF(O285&lt;&gt;"both",O285&amp;" only",IF(Q285="","agree","conflict"))</f>
        <v>agree</v>
      </c>
      <c r="Q285" s="3" t="str">
        <f aca="false">IF(O285="both",TRIM(IF(I285&lt;&gt;"","price ","")&amp;IF(K285&lt;&gt;"","xp ","")&amp;IF(G285="differs","time","")),"")</f>
        <v/>
      </c>
      <c r="R285" s="3" t="s">
        <v>30</v>
      </c>
      <c r="S285" s="3" t="s">
        <v>375</v>
      </c>
    </row>
    <row r="286" customFormat="false" ht="15" hidden="false" customHeight="false" outlineLevel="0" collapsed="false">
      <c r="A286" s="3" t="s">
        <v>377</v>
      </c>
      <c r="B286" s="3" t="s">
        <v>374</v>
      </c>
      <c r="C286" s="4" t="n">
        <v>70</v>
      </c>
      <c r="D286" s="5" t="n">
        <v>40</v>
      </c>
      <c r="E286" s="5" t="n">
        <v>34</v>
      </c>
      <c r="F286" s="5" t="n">
        <v>34</v>
      </c>
      <c r="G286" s="3" t="str">
        <f aca="false">IF(OR(F286="",AND(D286="",E286="")),"n/a",IF(F286=E286,"mastered",IF(F286=D286,"normal","differs")))</f>
        <v>mastered</v>
      </c>
      <c r="H286" s="6" t="n">
        <v>266</v>
      </c>
      <c r="I286" s="6"/>
      <c r="J286" s="4" t="n">
        <v>32</v>
      </c>
      <c r="K286" s="4"/>
      <c r="L286" s="7" t="n">
        <v>49.41176471</v>
      </c>
      <c r="M286" s="8" t="n">
        <v>56.47058824</v>
      </c>
      <c r="N286" s="3" t="str">
        <f aca="false">IF(L286="","",IF(L286&lt;0,"negative profit",IF(L286&gt;Notes!$B$4,"unusually high - verify","")))</f>
        <v/>
      </c>
      <c r="O286" s="3" t="s">
        <v>29</v>
      </c>
      <c r="P286" s="3" t="str">
        <f aca="false">IF(O286&lt;&gt;"both",O286&amp;" only",IF(Q286="","agree","conflict"))</f>
        <v>agree</v>
      </c>
      <c r="Q286" s="3" t="str">
        <f aca="false">IF(O286="both",TRIM(IF(I286&lt;&gt;"","price ","")&amp;IF(K286&lt;&gt;"","xp ","")&amp;IF(G286="differs","time","")),"")</f>
        <v/>
      </c>
      <c r="R286" s="3" t="s">
        <v>30</v>
      </c>
      <c r="S286" s="3" t="s">
        <v>375</v>
      </c>
    </row>
    <row r="287" customFormat="false" ht="15" hidden="false" customHeight="false" outlineLevel="0" collapsed="false">
      <c r="A287" s="3" t="s">
        <v>378</v>
      </c>
      <c r="B287" s="3" t="s">
        <v>374</v>
      </c>
      <c r="C287" s="4" t="n">
        <v>70</v>
      </c>
      <c r="D287" s="5" t="n">
        <v>60</v>
      </c>
      <c r="E287" s="5" t="n">
        <v>51</v>
      </c>
      <c r="F287" s="5" t="n">
        <v>51</v>
      </c>
      <c r="G287" s="3" t="str">
        <f aca="false">IF(OR(F287="",AND(D287="",E287="")),"n/a",IF(F287=E287,"mastered",IF(F287=D287,"normal","differs")))</f>
        <v>mastered</v>
      </c>
      <c r="H287" s="6" t="n">
        <v>349</v>
      </c>
      <c r="I287" s="6"/>
      <c r="J287" s="4" t="n">
        <v>42</v>
      </c>
      <c r="K287" s="4" t="n">
        <v>60</v>
      </c>
      <c r="L287" s="7" t="n">
        <v>104.7058824</v>
      </c>
      <c r="M287" s="8" t="n">
        <v>49.41176471</v>
      </c>
      <c r="N287" s="3" t="str">
        <f aca="false">IF(L287="","",IF(L287&lt;0,"negative profit",IF(L287&gt;Notes!$B$4,"unusually high - verify","")))</f>
        <v/>
      </c>
      <c r="O287" s="3" t="s">
        <v>29</v>
      </c>
      <c r="P287" s="3" t="str">
        <f aca="false">IF(O287&lt;&gt;"both",O287&amp;" only",IF(Q287="","agree","conflict"))</f>
        <v>conflict</v>
      </c>
      <c r="Q287" s="3" t="str">
        <f aca="false">IF(O287="both",TRIM(IF(I287&lt;&gt;"","price ","")&amp;IF(K287&lt;&gt;"","xp ","")&amp;IF(G287="differs","time","")),"")</f>
        <v>xp</v>
      </c>
      <c r="R287" s="3" t="s">
        <v>30</v>
      </c>
      <c r="S287" s="3" t="s">
        <v>375</v>
      </c>
    </row>
    <row r="288" customFormat="false" ht="15" hidden="false" customHeight="false" outlineLevel="0" collapsed="false">
      <c r="A288" s="3" t="s">
        <v>379</v>
      </c>
      <c r="B288" s="3" t="s">
        <v>374</v>
      </c>
      <c r="C288" s="4" t="n">
        <v>88</v>
      </c>
      <c r="D288" s="5" t="n">
        <v>30</v>
      </c>
      <c r="E288" s="5" t="n">
        <v>25</v>
      </c>
      <c r="F288" s="5" t="n">
        <v>25</v>
      </c>
      <c r="G288" s="3" t="str">
        <f aca="false">IF(OR(F288="",AND(D288="",E288="")),"n/a",IF(F288=E288,"mastered",IF(F288=D288,"normal","differs")))</f>
        <v>mastered</v>
      </c>
      <c r="H288" s="6" t="n">
        <v>504</v>
      </c>
      <c r="I288" s="6"/>
      <c r="J288" s="4" t="n">
        <v>60</v>
      </c>
      <c r="K288" s="4"/>
      <c r="L288" s="7" t="n">
        <v>40</v>
      </c>
      <c r="M288" s="8" t="n">
        <v>141.1764706</v>
      </c>
      <c r="N288" s="3" t="str">
        <f aca="false">IF(L288="","",IF(L288&lt;0,"negative profit",IF(L288&gt;Notes!$B$4,"unusually high - verify","")))</f>
        <v/>
      </c>
      <c r="O288" s="3" t="s">
        <v>29</v>
      </c>
      <c r="P288" s="3" t="str">
        <f aca="false">IF(O288&lt;&gt;"both",O288&amp;" only",IF(Q288="","agree","conflict"))</f>
        <v>agree</v>
      </c>
      <c r="Q288" s="3" t="str">
        <f aca="false">IF(O288="both",TRIM(IF(I288&lt;&gt;"","price ","")&amp;IF(K288&lt;&gt;"","xp ","")&amp;IF(G288="differs","time","")),"")</f>
        <v/>
      </c>
      <c r="R288" s="3" t="s">
        <v>30</v>
      </c>
      <c r="S288" s="3" t="s">
        <v>375</v>
      </c>
    </row>
    <row r="289" customFormat="false" ht="15" hidden="false" customHeight="false" outlineLevel="0" collapsed="false">
      <c r="A289" s="3" t="s">
        <v>380</v>
      </c>
      <c r="B289" s="3" t="s">
        <v>374</v>
      </c>
      <c r="C289" s="4" t="n">
        <v>93</v>
      </c>
      <c r="D289" s="5" t="n">
        <v>45</v>
      </c>
      <c r="E289" s="5" t="n">
        <v>38</v>
      </c>
      <c r="F289" s="5" t="n">
        <v>38</v>
      </c>
      <c r="G289" s="3" t="str">
        <f aca="false">IF(OR(F289="",AND(D289="",E289="")),"n/a",IF(F289=E289,"mastered",IF(F289=D289,"normal","differs")))</f>
        <v>mastered</v>
      </c>
      <c r="H289" s="6" t="n">
        <v>313</v>
      </c>
      <c r="I289" s="6"/>
      <c r="J289" s="4" t="n">
        <v>37</v>
      </c>
      <c r="K289" s="4"/>
      <c r="L289" s="7" t="n">
        <v>42.35294118</v>
      </c>
      <c r="M289" s="8" t="n">
        <v>58.03921569</v>
      </c>
      <c r="N289" s="3" t="str">
        <f aca="false">IF(L289="","",IF(L289&lt;0,"negative profit",IF(L289&gt;Notes!$B$4,"unusually high - verify","")))</f>
        <v/>
      </c>
      <c r="O289" s="3" t="s">
        <v>29</v>
      </c>
      <c r="P289" s="3" t="str">
        <f aca="false">IF(O289&lt;&gt;"both",O289&amp;" only",IF(Q289="","agree","conflict"))</f>
        <v>agree</v>
      </c>
      <c r="Q289" s="3" t="str">
        <f aca="false">IF(O289="both",TRIM(IF(I289&lt;&gt;"","price ","")&amp;IF(K289&lt;&gt;"","xp ","")&amp;IF(G289="differs","time","")),"")</f>
        <v/>
      </c>
      <c r="R289" s="3" t="s">
        <v>30</v>
      </c>
      <c r="S289" s="3" t="s">
        <v>375</v>
      </c>
    </row>
    <row r="290" customFormat="false" ht="15" hidden="false" customHeight="false" outlineLevel="0" collapsed="false">
      <c r="A290" s="3" t="s">
        <v>381</v>
      </c>
      <c r="B290" s="3" t="s">
        <v>374</v>
      </c>
      <c r="C290" s="4" t="n">
        <v>100</v>
      </c>
      <c r="D290" s="5" t="n">
        <v>40</v>
      </c>
      <c r="E290" s="5" t="n">
        <v>34</v>
      </c>
      <c r="F290" s="5" t="n">
        <v>34</v>
      </c>
      <c r="G290" s="3" t="str">
        <f aca="false">IF(OR(F290="",AND(D290="",E290="")),"n/a",IF(F290=E290,"mastered",IF(F290=D290,"normal","differs")))</f>
        <v>mastered</v>
      </c>
      <c r="H290" s="6" t="n">
        <v>511</v>
      </c>
      <c r="I290" s="6"/>
      <c r="J290" s="4" t="n">
        <v>61</v>
      </c>
      <c r="K290" s="4"/>
      <c r="L290" s="7" t="n">
        <v>22.94117647</v>
      </c>
      <c r="M290" s="8" t="n">
        <v>107.6470588</v>
      </c>
      <c r="N290" s="3" t="str">
        <f aca="false">IF(L290="","",IF(L290&lt;0,"negative profit",IF(L290&gt;Notes!$B$4,"unusually high - verify","")))</f>
        <v/>
      </c>
      <c r="O290" s="3" t="s">
        <v>29</v>
      </c>
      <c r="P290" s="3" t="str">
        <f aca="false">IF(O290&lt;&gt;"both",O290&amp;" only",IF(Q290="","agree","conflict"))</f>
        <v>agree</v>
      </c>
      <c r="Q290" s="3" t="str">
        <f aca="false">IF(O290="both",TRIM(IF(I290&lt;&gt;"","price ","")&amp;IF(K290&lt;&gt;"","xp ","")&amp;IF(G290="differs","time","")),"")</f>
        <v/>
      </c>
      <c r="R290" s="3" t="s">
        <v>30</v>
      </c>
      <c r="S290" s="3" t="s">
        <v>375</v>
      </c>
    </row>
    <row r="291" customFormat="false" ht="15" hidden="false" customHeight="false" outlineLevel="0" collapsed="false">
      <c r="A291" s="3" t="s">
        <v>382</v>
      </c>
      <c r="B291" s="3" t="s">
        <v>374</v>
      </c>
      <c r="C291" s="4" t="n">
        <v>102</v>
      </c>
      <c r="D291" s="5" t="n">
        <v>35</v>
      </c>
      <c r="E291" s="5" t="n">
        <v>29</v>
      </c>
      <c r="F291" s="5" t="n">
        <v>29</v>
      </c>
      <c r="G291" s="3" t="str">
        <f aca="false">IF(OR(F291="",AND(D291="",E291="")),"n/a",IF(F291=E291,"mastered",IF(F291=D291,"normal","differs")))</f>
        <v>mastered</v>
      </c>
      <c r="H291" s="6" t="n">
        <v>522</v>
      </c>
      <c r="I291" s="6"/>
      <c r="J291" s="4" t="n">
        <v>62</v>
      </c>
      <c r="K291" s="4"/>
      <c r="L291" s="7" t="n">
        <v>116.9747899</v>
      </c>
      <c r="M291" s="8" t="n">
        <v>125.0420168</v>
      </c>
      <c r="N291" s="3" t="str">
        <f aca="false">IF(L291="","",IF(L291&lt;0,"negative profit",IF(L291&gt;Notes!$B$4,"unusually high - verify","")))</f>
        <v/>
      </c>
      <c r="O291" s="3" t="s">
        <v>29</v>
      </c>
      <c r="P291" s="3" t="str">
        <f aca="false">IF(O291&lt;&gt;"both",O291&amp;" only",IF(Q291="","agree","conflict"))</f>
        <v>agree</v>
      </c>
      <c r="Q291" s="3" t="str">
        <f aca="false">IF(O291="both",TRIM(IF(I291&lt;&gt;"","price ","")&amp;IF(K291&lt;&gt;"","xp ","")&amp;IF(G291="differs","time","")),"")</f>
        <v/>
      </c>
      <c r="R291" s="3" t="s">
        <v>30</v>
      </c>
      <c r="S291" s="3" t="s">
        <v>375</v>
      </c>
    </row>
    <row r="292" customFormat="false" ht="15" hidden="false" customHeight="false" outlineLevel="0" collapsed="false">
      <c r="A292" s="3" t="s">
        <v>383</v>
      </c>
      <c r="B292" s="3" t="s">
        <v>374</v>
      </c>
      <c r="C292" s="4" t="n">
        <v>104</v>
      </c>
      <c r="D292" s="5"/>
      <c r="E292" s="5"/>
      <c r="F292" s="5" t="n">
        <v>40</v>
      </c>
      <c r="G292" s="3" t="str">
        <f aca="false">IF(OR(F292="",AND(D292="",E292="")),"n/a",IF(F292=E292,"mastered",IF(F292=D292,"normal","differs")))</f>
        <v>n/a</v>
      </c>
      <c r="H292" s="6" t="n">
        <v>475</v>
      </c>
      <c r="I292" s="6"/>
      <c r="J292" s="4" t="n">
        <v>57</v>
      </c>
      <c r="K292" s="4"/>
      <c r="L292" s="7" t="n">
        <v>40.5</v>
      </c>
      <c r="M292" s="8" t="n">
        <v>85.5</v>
      </c>
      <c r="N292" s="3" t="str">
        <f aca="false">IF(L292="","",IF(L292&lt;0,"negative profit",IF(L292&gt;Notes!$B$4,"unusually high - verify","")))</f>
        <v/>
      </c>
      <c r="O292" s="3" t="s">
        <v>21</v>
      </c>
      <c r="P292" s="3" t="str">
        <f aca="false">IF(O292&lt;&gt;"both",O292&amp;" only",IF(Q292="","agree","conflict"))</f>
        <v>hayday.info only</v>
      </c>
      <c r="Q292" s="3" t="str">
        <f aca="false">IF(O292="both",TRIM(IF(I292&lt;&gt;"","price ","")&amp;IF(K292&lt;&gt;"","xp ","")&amp;IF(G292="differs","time","")),"")</f>
        <v/>
      </c>
      <c r="R292" s="3" t="s">
        <v>22</v>
      </c>
      <c r="S292" s="3"/>
    </row>
    <row r="293" customFormat="false" ht="15" hidden="false" customHeight="false" outlineLevel="0" collapsed="false">
      <c r="A293" s="3" t="s">
        <v>384</v>
      </c>
      <c r="B293" s="3" t="s">
        <v>385</v>
      </c>
      <c r="C293" s="4" t="n">
        <v>46</v>
      </c>
      <c r="D293" s="5" t="n">
        <v>150</v>
      </c>
      <c r="E293" s="5" t="n">
        <v>127</v>
      </c>
      <c r="F293" s="5" t="n">
        <v>127</v>
      </c>
      <c r="G293" s="3" t="str">
        <f aca="false">IF(OR(F293="",AND(D293="",E293="")),"n/a",IF(F293=E293,"mastered",IF(F293=D293,"normal","differs")))</f>
        <v>mastered</v>
      </c>
      <c r="H293" s="6" t="n">
        <v>612</v>
      </c>
      <c r="I293" s="6"/>
      <c r="J293" s="4" t="n">
        <v>73</v>
      </c>
      <c r="K293" s="4"/>
      <c r="L293" s="7" t="n">
        <v>21.17647059</v>
      </c>
      <c r="M293" s="8" t="n">
        <v>34.35294118</v>
      </c>
      <c r="N293" s="3" t="str">
        <f aca="false">IF(L293="","",IF(L293&lt;0,"negative profit",IF(L293&gt;Notes!$B$4,"unusually high - verify","")))</f>
        <v/>
      </c>
      <c r="O293" s="3" t="s">
        <v>29</v>
      </c>
      <c r="P293" s="3" t="str">
        <f aca="false">IF(O293&lt;&gt;"both",O293&amp;" only",IF(Q293="","agree","conflict"))</f>
        <v>agree</v>
      </c>
      <c r="Q293" s="3" t="str">
        <f aca="false">IF(O293="both",TRIM(IF(I293&lt;&gt;"","price ","")&amp;IF(K293&lt;&gt;"","xp ","")&amp;IF(G293="differs","time","")),"")</f>
        <v/>
      </c>
      <c r="R293" s="3" t="s">
        <v>30</v>
      </c>
      <c r="S293" s="3" t="s">
        <v>386</v>
      </c>
    </row>
    <row r="294" customFormat="false" ht="15" hidden="false" customHeight="false" outlineLevel="0" collapsed="false">
      <c r="A294" s="3" t="s">
        <v>387</v>
      </c>
      <c r="B294" s="3" t="s">
        <v>385</v>
      </c>
      <c r="C294" s="4" t="n">
        <v>47</v>
      </c>
      <c r="D294" s="5" t="n">
        <v>90</v>
      </c>
      <c r="E294" s="5" t="n">
        <v>76</v>
      </c>
      <c r="F294" s="5" t="n">
        <v>76</v>
      </c>
      <c r="G294" s="3" t="str">
        <f aca="false">IF(OR(F294="",AND(D294="",E294="")),"n/a",IF(F294=E294,"mastered",IF(F294=D294,"normal","differs")))</f>
        <v>mastered</v>
      </c>
      <c r="H294" s="6" t="n">
        <v>478</v>
      </c>
      <c r="I294" s="6"/>
      <c r="J294" s="4" t="n">
        <v>57</v>
      </c>
      <c r="K294" s="4"/>
      <c r="L294" s="7" t="n">
        <v>25.09803922</v>
      </c>
      <c r="M294" s="8" t="n">
        <v>44.70588235</v>
      </c>
      <c r="N294" s="3" t="str">
        <f aca="false">IF(L294="","",IF(L294&lt;0,"negative profit",IF(L294&gt;Notes!$B$4,"unusually high - verify","")))</f>
        <v/>
      </c>
      <c r="O294" s="3" t="s">
        <v>29</v>
      </c>
      <c r="P294" s="3" t="str">
        <f aca="false">IF(O294&lt;&gt;"both",O294&amp;" only",IF(Q294="","agree","conflict"))</f>
        <v>agree</v>
      </c>
      <c r="Q294" s="3" t="str">
        <f aca="false">IF(O294="both",TRIM(IF(I294&lt;&gt;"","price ","")&amp;IF(K294&lt;&gt;"","xp ","")&amp;IF(G294="differs","time","")),"")</f>
        <v/>
      </c>
      <c r="R294" s="3" t="s">
        <v>30</v>
      </c>
      <c r="S294" s="3" t="s">
        <v>386</v>
      </c>
    </row>
    <row r="295" customFormat="false" ht="15" hidden="false" customHeight="false" outlineLevel="0" collapsed="false">
      <c r="A295" s="3" t="s">
        <v>388</v>
      </c>
      <c r="B295" s="3" t="s">
        <v>385</v>
      </c>
      <c r="C295" s="4" t="n">
        <v>49</v>
      </c>
      <c r="D295" s="5" t="n">
        <v>120</v>
      </c>
      <c r="E295" s="5" t="n">
        <v>102</v>
      </c>
      <c r="F295" s="5" t="n">
        <v>102</v>
      </c>
      <c r="G295" s="3" t="str">
        <f aca="false">IF(OR(F295="",AND(D295="",E295="")),"n/a",IF(F295=E295,"mastered",IF(F295=D295,"normal","differs")))</f>
        <v>mastered</v>
      </c>
      <c r="H295" s="6" t="n">
        <v>392</v>
      </c>
      <c r="I295" s="6"/>
      <c r="J295" s="4" t="n">
        <v>47</v>
      </c>
      <c r="K295" s="4"/>
      <c r="L295" s="7" t="n">
        <v>27.05882353</v>
      </c>
      <c r="M295" s="8" t="n">
        <v>27.64705882</v>
      </c>
      <c r="N295" s="3" t="str">
        <f aca="false">IF(L295="","",IF(L295&lt;0,"negative profit",IF(L295&gt;Notes!$B$4,"unusually high - verify","")))</f>
        <v/>
      </c>
      <c r="O295" s="3" t="s">
        <v>29</v>
      </c>
      <c r="P295" s="3" t="str">
        <f aca="false">IF(O295&lt;&gt;"both",O295&amp;" only",IF(Q295="","agree","conflict"))</f>
        <v>agree</v>
      </c>
      <c r="Q295" s="3" t="str">
        <f aca="false">IF(O295="both",TRIM(IF(I295&lt;&gt;"","price ","")&amp;IF(K295&lt;&gt;"","xp ","")&amp;IF(G295="differs","time","")),"")</f>
        <v/>
      </c>
      <c r="R295" s="3" t="s">
        <v>30</v>
      </c>
      <c r="S295" s="3" t="s">
        <v>386</v>
      </c>
    </row>
    <row r="296" customFormat="false" ht="15" hidden="false" customHeight="false" outlineLevel="0" collapsed="false">
      <c r="A296" s="3" t="s">
        <v>389</v>
      </c>
      <c r="B296" s="3" t="s">
        <v>385</v>
      </c>
      <c r="C296" s="4" t="n">
        <v>53</v>
      </c>
      <c r="D296" s="5" t="n">
        <v>180</v>
      </c>
      <c r="E296" s="5" t="n">
        <v>153</v>
      </c>
      <c r="F296" s="5" t="n">
        <v>153</v>
      </c>
      <c r="G296" s="3" t="str">
        <f aca="false">IF(OR(F296="",AND(D296="",E296="")),"n/a",IF(F296=E296,"mastered",IF(F296=D296,"normal","differs")))</f>
        <v>mastered</v>
      </c>
      <c r="H296" s="6" t="n">
        <v>298</v>
      </c>
      <c r="I296" s="6"/>
      <c r="J296" s="4" t="n">
        <v>35</v>
      </c>
      <c r="K296" s="4"/>
      <c r="L296" s="7" t="n">
        <v>16.8627451</v>
      </c>
      <c r="M296" s="8" t="n">
        <v>13.7254902</v>
      </c>
      <c r="N296" s="3" t="str">
        <f aca="false">IF(L296="","",IF(L296&lt;0,"negative profit",IF(L296&gt;Notes!$B$4,"unusually high - verify","")))</f>
        <v/>
      </c>
      <c r="O296" s="3" t="s">
        <v>29</v>
      </c>
      <c r="P296" s="3" t="str">
        <f aca="false">IF(O296&lt;&gt;"both",O296&amp;" only",IF(Q296="","agree","conflict"))</f>
        <v>agree</v>
      </c>
      <c r="Q296" s="3" t="str">
        <f aca="false">IF(O296="both",TRIM(IF(I296&lt;&gt;"","price ","")&amp;IF(K296&lt;&gt;"","xp ","")&amp;IF(G296="differs","time","")),"")</f>
        <v/>
      </c>
      <c r="R296" s="3" t="s">
        <v>30</v>
      </c>
      <c r="S296" s="3" t="s">
        <v>386</v>
      </c>
    </row>
    <row r="297" customFormat="false" ht="15" hidden="false" customHeight="false" outlineLevel="0" collapsed="false">
      <c r="A297" s="3" t="s">
        <v>390</v>
      </c>
      <c r="B297" s="3" t="s">
        <v>385</v>
      </c>
      <c r="C297" s="4" t="n">
        <v>65</v>
      </c>
      <c r="D297" s="5"/>
      <c r="E297" s="5"/>
      <c r="F297" s="5" t="n">
        <v>76</v>
      </c>
      <c r="G297" s="3" t="str">
        <f aca="false">IF(OR(F297="",AND(D297="",E297="")),"n/a",IF(F297=E297,"mastered",IF(F297=D297,"normal","differs")))</f>
        <v>n/a</v>
      </c>
      <c r="H297" s="6" t="n">
        <v>270</v>
      </c>
      <c r="I297" s="6"/>
      <c r="J297" s="4" t="n">
        <v>32</v>
      </c>
      <c r="K297" s="4"/>
      <c r="L297" s="7" t="n">
        <v>23.52941176</v>
      </c>
      <c r="M297" s="8" t="n">
        <v>25.09803922</v>
      </c>
      <c r="N297" s="3" t="str">
        <f aca="false">IF(L297="","",IF(L297&lt;0,"negative profit",IF(L297&gt;Notes!$B$4,"unusually high - verify","")))</f>
        <v/>
      </c>
      <c r="O297" s="3" t="s">
        <v>21</v>
      </c>
      <c r="P297" s="3" t="str">
        <f aca="false">IF(O297&lt;&gt;"both",O297&amp;" only",IF(Q297="","agree","conflict"))</f>
        <v>hayday.info only</v>
      </c>
      <c r="Q297" s="3" t="str">
        <f aca="false">IF(O297="both",TRIM(IF(I297&lt;&gt;"","price ","")&amp;IF(K297&lt;&gt;"","xp ","")&amp;IF(G297="differs","time","")),"")</f>
        <v/>
      </c>
      <c r="R297" s="3" t="s">
        <v>22</v>
      </c>
      <c r="S297" s="3"/>
    </row>
    <row r="298" customFormat="false" ht="15" hidden="false" customHeight="false" outlineLevel="0" collapsed="false">
      <c r="A298" s="3" t="s">
        <v>391</v>
      </c>
      <c r="B298" s="3" t="s">
        <v>385</v>
      </c>
      <c r="C298" s="4" t="n">
        <v>72</v>
      </c>
      <c r="D298" s="5" t="n">
        <v>150</v>
      </c>
      <c r="E298" s="5" t="n">
        <v>127</v>
      </c>
      <c r="F298" s="5" t="n">
        <v>127</v>
      </c>
      <c r="G298" s="3" t="str">
        <f aca="false">IF(OR(F298="",AND(D298="",E298="")),"n/a",IF(F298=E298,"mastered",IF(F298=D298,"normal","differs")))</f>
        <v>mastered</v>
      </c>
      <c r="H298" s="6" t="n">
        <v>327</v>
      </c>
      <c r="I298" s="6"/>
      <c r="J298" s="4" t="n">
        <v>39</v>
      </c>
      <c r="K298" s="4" t="n">
        <v>36</v>
      </c>
      <c r="L298" s="7" t="n">
        <v>21.64705882</v>
      </c>
      <c r="M298" s="8" t="n">
        <v>18.35294118</v>
      </c>
      <c r="N298" s="3" t="str">
        <f aca="false">IF(L298="","",IF(L298&lt;0,"negative profit",IF(L298&gt;Notes!$B$4,"unusually high - verify","")))</f>
        <v/>
      </c>
      <c r="O298" s="3" t="s">
        <v>29</v>
      </c>
      <c r="P298" s="3" t="str">
        <f aca="false">IF(O298&lt;&gt;"both",O298&amp;" only",IF(Q298="","agree","conflict"))</f>
        <v>conflict</v>
      </c>
      <c r="Q298" s="3" t="str">
        <f aca="false">IF(O298="both",TRIM(IF(I298&lt;&gt;"","price ","")&amp;IF(K298&lt;&gt;"","xp ","")&amp;IF(G298="differs","time","")),"")</f>
        <v>xp</v>
      </c>
      <c r="R298" s="3" t="s">
        <v>30</v>
      </c>
      <c r="S298" s="3" t="s">
        <v>386</v>
      </c>
    </row>
    <row r="299" customFormat="false" ht="15" hidden="false" customHeight="false" outlineLevel="0" collapsed="false">
      <c r="A299" s="3" t="s">
        <v>392</v>
      </c>
      <c r="B299" s="3" t="s">
        <v>385</v>
      </c>
      <c r="C299" s="4" t="n">
        <v>73</v>
      </c>
      <c r="D299" s="5" t="n">
        <v>120</v>
      </c>
      <c r="E299" s="5" t="n">
        <v>102</v>
      </c>
      <c r="F299" s="5" t="n">
        <v>102</v>
      </c>
      <c r="G299" s="3" t="str">
        <f aca="false">IF(OR(F299="",AND(D299="",E299="")),"n/a",IF(F299=E299,"mastered",IF(F299=D299,"normal","differs")))</f>
        <v>mastered</v>
      </c>
      <c r="H299" s="6" t="n">
        <v>432</v>
      </c>
      <c r="I299" s="6"/>
      <c r="J299" s="4" t="n">
        <v>52</v>
      </c>
      <c r="K299" s="4"/>
      <c r="L299" s="7" t="n">
        <v>27.05882353</v>
      </c>
      <c r="M299" s="8" t="n">
        <v>30.58823529</v>
      </c>
      <c r="N299" s="3" t="str">
        <f aca="false">IF(L299="","",IF(L299&lt;0,"negative profit",IF(L299&gt;Notes!$B$4,"unusually high - verify","")))</f>
        <v/>
      </c>
      <c r="O299" s="3" t="s">
        <v>29</v>
      </c>
      <c r="P299" s="3" t="str">
        <f aca="false">IF(O299&lt;&gt;"both",O299&amp;" only",IF(Q299="","agree","conflict"))</f>
        <v>agree</v>
      </c>
      <c r="Q299" s="3" t="str">
        <f aca="false">IF(O299="both",TRIM(IF(I299&lt;&gt;"","price ","")&amp;IF(K299&lt;&gt;"","xp ","")&amp;IF(G299="differs","time","")),"")</f>
        <v/>
      </c>
      <c r="R299" s="3" t="s">
        <v>30</v>
      </c>
      <c r="S299" s="3" t="s">
        <v>386</v>
      </c>
    </row>
    <row r="300" customFormat="false" ht="15" hidden="false" customHeight="false" outlineLevel="0" collapsed="false">
      <c r="A300" s="3" t="s">
        <v>393</v>
      </c>
      <c r="B300" s="3" t="s">
        <v>385</v>
      </c>
      <c r="C300" s="4" t="n">
        <v>78</v>
      </c>
      <c r="D300" s="5" t="n">
        <v>150</v>
      </c>
      <c r="E300" s="5" t="n">
        <v>127</v>
      </c>
      <c r="F300" s="5" t="n">
        <v>127</v>
      </c>
      <c r="G300" s="3" t="str">
        <f aca="false">IF(OR(F300="",AND(D300="",E300="")),"n/a",IF(F300=E300,"mastered",IF(F300=D300,"normal","differs")))</f>
        <v>mastered</v>
      </c>
      <c r="H300" s="6" t="n">
        <v>255</v>
      </c>
      <c r="I300" s="6"/>
      <c r="J300" s="4" t="n">
        <v>31</v>
      </c>
      <c r="K300" s="4"/>
      <c r="L300" s="7" t="n">
        <v>17.41176471</v>
      </c>
      <c r="M300" s="8" t="n">
        <v>14.58823529</v>
      </c>
      <c r="N300" s="3" t="str">
        <f aca="false">IF(L300="","",IF(L300&lt;0,"negative profit",IF(L300&gt;Notes!$B$4,"unusually high - verify","")))</f>
        <v/>
      </c>
      <c r="O300" s="3" t="s">
        <v>29</v>
      </c>
      <c r="P300" s="3" t="str">
        <f aca="false">IF(O300&lt;&gt;"both",O300&amp;" only",IF(Q300="","agree","conflict"))</f>
        <v>agree</v>
      </c>
      <c r="Q300" s="3" t="str">
        <f aca="false">IF(O300="both",TRIM(IF(I300&lt;&gt;"","price ","")&amp;IF(K300&lt;&gt;"","xp ","")&amp;IF(G300="differs","time","")),"")</f>
        <v/>
      </c>
      <c r="R300" s="3" t="s">
        <v>30</v>
      </c>
      <c r="S300" s="3" t="s">
        <v>386</v>
      </c>
    </row>
    <row r="301" customFormat="false" ht="15" hidden="false" customHeight="false" outlineLevel="0" collapsed="false">
      <c r="A301" s="3" t="s">
        <v>394</v>
      </c>
      <c r="B301" s="3" t="s">
        <v>385</v>
      </c>
      <c r="C301" s="4" t="n">
        <v>81</v>
      </c>
      <c r="D301" s="5" t="n">
        <v>60</v>
      </c>
      <c r="E301" s="5" t="n">
        <v>51</v>
      </c>
      <c r="F301" s="5" t="n">
        <v>51</v>
      </c>
      <c r="G301" s="3" t="str">
        <f aca="false">IF(OR(F301="",AND(D301="",E301="")),"n/a",IF(F301=E301,"mastered",IF(F301=D301,"normal","differs")))</f>
        <v>mastered</v>
      </c>
      <c r="H301" s="6" t="n">
        <v>439</v>
      </c>
      <c r="I301" s="6"/>
      <c r="J301" s="4" t="n">
        <v>52</v>
      </c>
      <c r="K301" s="4"/>
      <c r="L301" s="7" t="n">
        <v>38.82352941</v>
      </c>
      <c r="M301" s="8" t="n">
        <v>61.17647059</v>
      </c>
      <c r="N301" s="3" t="str">
        <f aca="false">IF(L301="","",IF(L301&lt;0,"negative profit",IF(L301&gt;Notes!$B$4,"unusually high - verify","")))</f>
        <v/>
      </c>
      <c r="O301" s="3" t="s">
        <v>29</v>
      </c>
      <c r="P301" s="3" t="str">
        <f aca="false">IF(O301&lt;&gt;"both",O301&amp;" only",IF(Q301="","agree","conflict"))</f>
        <v>agree</v>
      </c>
      <c r="Q301" s="3" t="str">
        <f aca="false">IF(O301="both",TRIM(IF(I301&lt;&gt;"","price ","")&amp;IF(K301&lt;&gt;"","xp ","")&amp;IF(G301="differs","time","")),"")</f>
        <v/>
      </c>
      <c r="R301" s="3" t="s">
        <v>30</v>
      </c>
      <c r="S301" s="3" t="s">
        <v>386</v>
      </c>
    </row>
    <row r="302" customFormat="false" ht="15" hidden="false" customHeight="false" outlineLevel="0" collapsed="false">
      <c r="A302" s="3" t="s">
        <v>395</v>
      </c>
      <c r="B302" s="3" t="s">
        <v>385</v>
      </c>
      <c r="C302" s="4" t="n">
        <v>87</v>
      </c>
      <c r="D302" s="5" t="n">
        <v>90</v>
      </c>
      <c r="E302" s="5" t="n">
        <v>76</v>
      </c>
      <c r="F302" s="5" t="n">
        <v>63</v>
      </c>
      <c r="G302" s="3" t="str">
        <f aca="false">IF(OR(F302="",AND(D302="",E302="")),"n/a",IF(F302=E302,"mastered",IF(F302=D302,"normal","differs")))</f>
        <v>differs</v>
      </c>
      <c r="H302" s="6" t="n">
        <v>237</v>
      </c>
      <c r="I302" s="6"/>
      <c r="J302" s="4" t="n">
        <v>28</v>
      </c>
      <c r="K302" s="4"/>
      <c r="L302" s="7" t="n">
        <v>25.41176471</v>
      </c>
      <c r="M302" s="8" t="n">
        <v>26.35294118</v>
      </c>
      <c r="N302" s="3" t="str">
        <f aca="false">IF(L302="","",IF(L302&lt;0,"negative profit",IF(L302&gt;Notes!$B$4,"unusually high - verify","")))</f>
        <v/>
      </c>
      <c r="O302" s="3" t="s">
        <v>29</v>
      </c>
      <c r="P302" s="3" t="str">
        <f aca="false">IF(O302&lt;&gt;"both",O302&amp;" only",IF(Q302="","agree","conflict"))</f>
        <v>conflict</v>
      </c>
      <c r="Q302" s="3" t="str">
        <f aca="false">IF(O302="both",TRIM(IF(I302&lt;&gt;"","price ","")&amp;IF(K302&lt;&gt;"","xp ","")&amp;IF(G302="differs","time","")),"")</f>
        <v>time</v>
      </c>
      <c r="R302" s="3" t="s">
        <v>30</v>
      </c>
      <c r="S302" s="3" t="s">
        <v>386</v>
      </c>
    </row>
    <row r="303" customFormat="false" ht="15" hidden="false" customHeight="false" outlineLevel="0" collapsed="false">
      <c r="A303" s="3" t="s">
        <v>396</v>
      </c>
      <c r="B303" s="3" t="s">
        <v>385</v>
      </c>
      <c r="C303" s="4" t="n">
        <v>104</v>
      </c>
      <c r="D303" s="5" t="n">
        <v>80</v>
      </c>
      <c r="E303" s="5" t="n">
        <v>68</v>
      </c>
      <c r="F303" s="5" t="n">
        <v>68</v>
      </c>
      <c r="G303" s="3" t="str">
        <f aca="false">IF(OR(F303="",AND(D303="",E303="")),"n/a",IF(F303=E303,"mastered",IF(F303=D303,"normal","differs")))</f>
        <v>mastered</v>
      </c>
      <c r="H303" s="6" t="n">
        <v>176</v>
      </c>
      <c r="I303" s="6"/>
      <c r="J303" s="4" t="n">
        <v>21</v>
      </c>
      <c r="K303" s="4"/>
      <c r="L303" s="7" t="n">
        <v>31.76470588</v>
      </c>
      <c r="M303" s="8" t="n">
        <v>18.52941176</v>
      </c>
      <c r="N303" s="3" t="str">
        <f aca="false">IF(L303="","",IF(L303&lt;0,"negative profit",IF(L303&gt;Notes!$B$4,"unusually high - verify","")))</f>
        <v/>
      </c>
      <c r="O303" s="3" t="s">
        <v>29</v>
      </c>
      <c r="P303" s="3" t="str">
        <f aca="false">IF(O303&lt;&gt;"both",O303&amp;" only",IF(Q303="","agree","conflict"))</f>
        <v>agree</v>
      </c>
      <c r="Q303" s="3" t="str">
        <f aca="false">IF(O303="both",TRIM(IF(I303&lt;&gt;"","price ","")&amp;IF(K303&lt;&gt;"","xp ","")&amp;IF(G303="differs","time","")),"")</f>
        <v/>
      </c>
      <c r="R303" s="3" t="s">
        <v>30</v>
      </c>
      <c r="S303" s="3" t="s">
        <v>386</v>
      </c>
    </row>
    <row r="304" customFormat="false" ht="15" hidden="false" customHeight="false" outlineLevel="0" collapsed="false">
      <c r="A304" s="3" t="s">
        <v>397</v>
      </c>
      <c r="B304" s="3" t="s">
        <v>398</v>
      </c>
      <c r="C304" s="4" t="n">
        <v>106</v>
      </c>
      <c r="D304" s="5" t="n">
        <v>90</v>
      </c>
      <c r="E304" s="5" t="n">
        <v>76</v>
      </c>
      <c r="F304" s="5" t="n">
        <v>90</v>
      </c>
      <c r="G304" s="3" t="str">
        <f aca="false">IF(OR(F304="",AND(D304="",E304="")),"n/a",IF(F304=E304,"mastered",IF(F304=D304,"normal","differs")))</f>
        <v>normal</v>
      </c>
      <c r="H304" s="6" t="n">
        <v>284</v>
      </c>
      <c r="I304" s="6"/>
      <c r="J304" s="4" t="n">
        <v>34</v>
      </c>
      <c r="K304" s="4"/>
      <c r="L304" s="7" t="n">
        <v>24</v>
      </c>
      <c r="M304" s="8" t="n">
        <v>22.66666667</v>
      </c>
      <c r="N304" s="3" t="str">
        <f aca="false">IF(L304="","",IF(L304&lt;0,"negative profit",IF(L304&gt;Notes!$B$4,"unusually high - verify","")))</f>
        <v/>
      </c>
      <c r="O304" s="3" t="s">
        <v>29</v>
      </c>
      <c r="P304" s="3" t="str">
        <f aca="false">IF(O304&lt;&gt;"both",O304&amp;" only",IF(Q304="","agree","conflict"))</f>
        <v>agree</v>
      </c>
      <c r="Q304" s="3" t="str">
        <f aca="false">IF(O304="both",TRIM(IF(I304&lt;&gt;"","price ","")&amp;IF(K304&lt;&gt;"","xp ","")&amp;IF(G304="differs","time","")),"")</f>
        <v/>
      </c>
      <c r="R304" s="3" t="s">
        <v>30</v>
      </c>
      <c r="S304" s="3" t="s">
        <v>399</v>
      </c>
    </row>
    <row r="305" customFormat="false" ht="15" hidden="false" customHeight="false" outlineLevel="0" collapsed="false">
      <c r="A305" s="3" t="s">
        <v>400</v>
      </c>
      <c r="B305" s="3" t="s">
        <v>398</v>
      </c>
      <c r="C305" s="4" t="n">
        <v>109</v>
      </c>
      <c r="D305" s="5" t="n">
        <v>120</v>
      </c>
      <c r="E305" s="5" t="n">
        <v>102</v>
      </c>
      <c r="F305" s="5" t="n">
        <v>120</v>
      </c>
      <c r="G305" s="3" t="str">
        <f aca="false">IF(OR(F305="",AND(D305="",E305="")),"n/a",IF(F305=E305,"mastered",IF(F305=D305,"normal","differs")))</f>
        <v>normal</v>
      </c>
      <c r="H305" s="6" t="n">
        <v>370</v>
      </c>
      <c r="I305" s="6"/>
      <c r="J305" s="4" t="n">
        <v>44</v>
      </c>
      <c r="K305" s="4"/>
      <c r="L305" s="7" t="n">
        <v>17</v>
      </c>
      <c r="M305" s="8" t="n">
        <v>22</v>
      </c>
      <c r="N305" s="3" t="str">
        <f aca="false">IF(L305="","",IF(L305&lt;0,"negative profit",IF(L305&gt;Notes!$B$4,"unusually high - verify","")))</f>
        <v/>
      </c>
      <c r="O305" s="3" t="s">
        <v>29</v>
      </c>
      <c r="P305" s="3" t="str">
        <f aca="false">IF(O305&lt;&gt;"both",O305&amp;" only",IF(Q305="","agree","conflict"))</f>
        <v>agree</v>
      </c>
      <c r="Q305" s="3" t="str">
        <f aca="false">IF(O305="both",TRIM(IF(I305&lt;&gt;"","price ","")&amp;IF(K305&lt;&gt;"","xp ","")&amp;IF(G305="differs","time","")),"")</f>
        <v/>
      </c>
      <c r="R305" s="3" t="s">
        <v>30</v>
      </c>
      <c r="S305" s="3" t="s">
        <v>399</v>
      </c>
    </row>
    <row r="306" customFormat="false" ht="15" hidden="false" customHeight="false" outlineLevel="0" collapsed="false">
      <c r="A306" s="3" t="s">
        <v>401</v>
      </c>
      <c r="B306" s="3" t="s">
        <v>398</v>
      </c>
      <c r="C306" s="4" t="n">
        <v>112</v>
      </c>
      <c r="D306" s="5" t="n">
        <v>140</v>
      </c>
      <c r="E306" s="5" t="n">
        <v>119</v>
      </c>
      <c r="F306" s="5" t="n">
        <v>240</v>
      </c>
      <c r="G306" s="3" t="str">
        <f aca="false">IF(OR(F306="",AND(D306="",E306="")),"n/a",IF(F306=E306,"mastered",IF(F306=D306,"normal","differs")))</f>
        <v>differs</v>
      </c>
      <c r="H306" s="6" t="n">
        <v>295</v>
      </c>
      <c r="I306" s="6"/>
      <c r="J306" s="4" t="n">
        <v>35</v>
      </c>
      <c r="K306" s="4"/>
      <c r="L306" s="7" t="n">
        <v>9.75</v>
      </c>
      <c r="M306" s="8" t="n">
        <v>8.75</v>
      </c>
      <c r="N306" s="3" t="str">
        <f aca="false">IF(L306="","",IF(L306&lt;0,"negative profit",IF(L306&gt;Notes!$B$4,"unusually high - verify","")))</f>
        <v/>
      </c>
      <c r="O306" s="3" t="s">
        <v>29</v>
      </c>
      <c r="P306" s="3" t="str">
        <f aca="false">IF(O306&lt;&gt;"both",O306&amp;" only",IF(Q306="","agree","conflict"))</f>
        <v>conflict</v>
      </c>
      <c r="Q306" s="3" t="str">
        <f aca="false">IF(O306="both",TRIM(IF(I306&lt;&gt;"","price ","")&amp;IF(K306&lt;&gt;"","xp ","")&amp;IF(G306="differs","time","")),"")</f>
        <v>time</v>
      </c>
      <c r="R306" s="3" t="s">
        <v>30</v>
      </c>
      <c r="S306" s="3" t="s">
        <v>399</v>
      </c>
    </row>
    <row r="307" customFormat="false" ht="15" hidden="false" customHeight="false" outlineLevel="0" collapsed="false">
      <c r="A307" s="3" t="s">
        <v>402</v>
      </c>
      <c r="B307" s="3" t="s">
        <v>403</v>
      </c>
      <c r="C307" s="4" t="n">
        <v>7</v>
      </c>
      <c r="D307" s="5" t="n">
        <v>20</v>
      </c>
      <c r="E307" s="5" t="n">
        <v>17</v>
      </c>
      <c r="F307" s="5" t="n">
        <v>17</v>
      </c>
      <c r="G307" s="3" t="str">
        <f aca="false">IF(OR(F307="",AND(D307="",E307="")),"n/a",IF(F307=E307,"mastered",IF(F307=D307,"normal","differs")))</f>
        <v>mastered</v>
      </c>
      <c r="H307" s="6" t="n">
        <v>32</v>
      </c>
      <c r="I307" s="6"/>
      <c r="J307" s="4" t="n">
        <v>4</v>
      </c>
      <c r="K307" s="4"/>
      <c r="L307" s="7" t="n">
        <v>63.52941176</v>
      </c>
      <c r="M307" s="8" t="n">
        <v>14.11764706</v>
      </c>
      <c r="N307" s="3" t="str">
        <f aca="false">IF(L307="","",IF(L307&lt;0,"negative profit",IF(L307&gt;Notes!$B$4,"unusually high - verify","")))</f>
        <v/>
      </c>
      <c r="O307" s="3" t="s">
        <v>29</v>
      </c>
      <c r="P307" s="3" t="str">
        <f aca="false">IF(O307&lt;&gt;"both",O307&amp;" only",IF(Q307="","agree","conflict"))</f>
        <v>agree</v>
      </c>
      <c r="Q307" s="3" t="str">
        <f aca="false">IF(O307="both",TRIM(IF(I307&lt;&gt;"","price ","")&amp;IF(K307&lt;&gt;"","xp ","")&amp;IF(G307="differs","time","")),"")</f>
        <v/>
      </c>
      <c r="R307" s="3" t="s">
        <v>30</v>
      </c>
      <c r="S307" s="3" t="s">
        <v>404</v>
      </c>
    </row>
    <row r="308" customFormat="false" ht="15" hidden="false" customHeight="false" outlineLevel="0" collapsed="false">
      <c r="A308" s="3" t="s">
        <v>405</v>
      </c>
      <c r="B308" s="3" t="s">
        <v>403</v>
      </c>
      <c r="C308" s="4" t="n">
        <v>13</v>
      </c>
      <c r="D308" s="5" t="n">
        <v>40</v>
      </c>
      <c r="E308" s="5" t="n">
        <v>34</v>
      </c>
      <c r="F308" s="5" t="n">
        <v>34</v>
      </c>
      <c r="G308" s="3" t="str">
        <f aca="false">IF(OR(F308="",AND(D308="",E308="")),"n/a",IF(F308=E308,"mastered",IF(F308=D308,"normal","differs")))</f>
        <v>mastered</v>
      </c>
      <c r="H308" s="6" t="n">
        <v>50</v>
      </c>
      <c r="I308" s="6"/>
      <c r="J308" s="4" t="n">
        <v>6</v>
      </c>
      <c r="K308" s="4"/>
      <c r="L308" s="7" t="n">
        <v>38.82352941</v>
      </c>
      <c r="M308" s="8" t="n">
        <v>10.58823529</v>
      </c>
      <c r="N308" s="3" t="str">
        <f aca="false">IF(L308="","",IF(L308&lt;0,"negative profit",IF(L308&gt;Notes!$B$4,"unusually high - verify","")))</f>
        <v/>
      </c>
      <c r="O308" s="3" t="s">
        <v>29</v>
      </c>
      <c r="P308" s="3" t="str">
        <f aca="false">IF(O308&lt;&gt;"both",O308&amp;" only",IF(Q308="","agree","conflict"))</f>
        <v>agree</v>
      </c>
      <c r="Q308" s="3" t="str">
        <f aca="false">IF(O308="both",TRIM(IF(I308&lt;&gt;"","price ","")&amp;IF(K308&lt;&gt;"","xp ","")&amp;IF(G308="differs","time","")),"")</f>
        <v/>
      </c>
      <c r="R308" s="3" t="s">
        <v>30</v>
      </c>
      <c r="S308" s="3" t="s">
        <v>404</v>
      </c>
    </row>
    <row r="309" customFormat="false" ht="15" hidden="false" customHeight="false" outlineLevel="0" collapsed="false">
      <c r="A309" s="3" t="s">
        <v>406</v>
      </c>
      <c r="B309" s="3" t="s">
        <v>403</v>
      </c>
      <c r="C309" s="4" t="n">
        <v>18</v>
      </c>
      <c r="D309" s="5" t="n">
        <v>90</v>
      </c>
      <c r="E309" s="5" t="n">
        <v>76</v>
      </c>
      <c r="F309" s="5" t="n">
        <v>76</v>
      </c>
      <c r="G309" s="3" t="str">
        <f aca="false">IF(OR(F309="",AND(D309="",E309="")),"n/a",IF(F309=E309,"mastered",IF(F309=D309,"normal","differs")))</f>
        <v>mastered</v>
      </c>
      <c r="H309" s="6" t="n">
        <v>90</v>
      </c>
      <c r="I309" s="6"/>
      <c r="J309" s="4" t="n">
        <v>11</v>
      </c>
      <c r="K309" s="4"/>
      <c r="L309" s="7" t="n">
        <v>26.66666667</v>
      </c>
      <c r="M309" s="8" t="n">
        <v>8.62745098</v>
      </c>
      <c r="N309" s="3" t="str">
        <f aca="false">IF(L309="","",IF(L309&lt;0,"negative profit",IF(L309&gt;Notes!$B$4,"unusually high - verify","")))</f>
        <v/>
      </c>
      <c r="O309" s="3" t="s">
        <v>29</v>
      </c>
      <c r="P309" s="3" t="str">
        <f aca="false">IF(O309&lt;&gt;"both",O309&amp;" only",IF(Q309="","agree","conflict"))</f>
        <v>agree</v>
      </c>
      <c r="Q309" s="3" t="str">
        <f aca="false">IF(O309="both",TRIM(IF(I309&lt;&gt;"","price ","")&amp;IF(K309&lt;&gt;"","xp ","")&amp;IF(G309="differs","time","")),"")</f>
        <v/>
      </c>
      <c r="R309" s="3" t="s">
        <v>30</v>
      </c>
      <c r="S309" s="3" t="s">
        <v>404</v>
      </c>
    </row>
    <row r="310" customFormat="false" ht="15" hidden="false" customHeight="false" outlineLevel="0" collapsed="false">
      <c r="A310" s="3" t="s">
        <v>407</v>
      </c>
      <c r="B310" s="3" t="s">
        <v>408</v>
      </c>
      <c r="C310" s="4" t="n">
        <v>56</v>
      </c>
      <c r="D310" s="5" t="n">
        <v>60</v>
      </c>
      <c r="E310" s="5" t="n">
        <v>51</v>
      </c>
      <c r="F310" s="5" t="n">
        <v>51</v>
      </c>
      <c r="G310" s="3" t="str">
        <f aca="false">IF(OR(F310="",AND(D310="",E310="")),"n/a",IF(F310=E310,"mastered",IF(F310=D310,"normal","differs")))</f>
        <v>mastered</v>
      </c>
      <c r="H310" s="6" t="n">
        <v>489</v>
      </c>
      <c r="I310" s="6"/>
      <c r="J310" s="4" t="n">
        <v>58</v>
      </c>
      <c r="K310" s="4"/>
      <c r="L310" s="7" t="n">
        <v>12.94117647</v>
      </c>
      <c r="M310" s="8" t="n">
        <v>68.23529412</v>
      </c>
      <c r="N310" s="3" t="str">
        <f aca="false">IF(L310="","",IF(L310&lt;0,"negative profit",IF(L310&gt;Notes!$B$4,"unusually high - verify","")))</f>
        <v/>
      </c>
      <c r="O310" s="3" t="s">
        <v>29</v>
      </c>
      <c r="P310" s="3" t="str">
        <f aca="false">IF(O310&lt;&gt;"both",O310&amp;" only",IF(Q310="","agree","conflict"))</f>
        <v>agree</v>
      </c>
      <c r="Q310" s="3" t="str">
        <f aca="false">IF(O310="both",TRIM(IF(I310&lt;&gt;"","price ","")&amp;IF(K310&lt;&gt;"","xp ","")&amp;IF(G310="differs","time","")),"")</f>
        <v/>
      </c>
      <c r="R310" s="3" t="s">
        <v>30</v>
      </c>
      <c r="S310" s="3" t="s">
        <v>409</v>
      </c>
    </row>
    <row r="311" customFormat="false" ht="15" hidden="false" customHeight="false" outlineLevel="0" collapsed="false">
      <c r="A311" s="3" t="s">
        <v>410</v>
      </c>
      <c r="B311" s="3" t="s">
        <v>408</v>
      </c>
      <c r="C311" s="4" t="n">
        <v>59</v>
      </c>
      <c r="D311" s="5" t="n">
        <v>60</v>
      </c>
      <c r="E311" s="5" t="n">
        <v>51</v>
      </c>
      <c r="F311" s="5" t="n">
        <v>51</v>
      </c>
      <c r="G311" s="3" t="str">
        <f aca="false">IF(OR(F311="",AND(D311="",E311="")),"n/a",IF(F311=E311,"mastered",IF(F311=D311,"normal","differs")))</f>
        <v>mastered</v>
      </c>
      <c r="H311" s="6" t="n">
        <v>637</v>
      </c>
      <c r="I311" s="6"/>
      <c r="J311" s="4" t="n">
        <v>76</v>
      </c>
      <c r="K311" s="4"/>
      <c r="L311" s="7" t="n">
        <v>14.11764706</v>
      </c>
      <c r="M311" s="8" t="n">
        <v>89.41176471</v>
      </c>
      <c r="N311" s="3" t="str">
        <f aca="false">IF(L311="","",IF(L311&lt;0,"negative profit",IF(L311&gt;Notes!$B$4,"unusually high - verify","")))</f>
        <v/>
      </c>
      <c r="O311" s="3" t="s">
        <v>29</v>
      </c>
      <c r="P311" s="3" t="str">
        <f aca="false">IF(O311&lt;&gt;"both",O311&amp;" only",IF(Q311="","agree","conflict"))</f>
        <v>agree</v>
      </c>
      <c r="Q311" s="3" t="str">
        <f aca="false">IF(O311="both",TRIM(IF(I311&lt;&gt;"","price ","")&amp;IF(K311&lt;&gt;"","xp ","")&amp;IF(G311="differs","time","")),"")</f>
        <v/>
      </c>
      <c r="R311" s="3" t="s">
        <v>30</v>
      </c>
      <c r="S311" s="3" t="s">
        <v>409</v>
      </c>
    </row>
    <row r="312" customFormat="false" ht="15" hidden="false" customHeight="false" outlineLevel="0" collapsed="false">
      <c r="A312" s="3" t="s">
        <v>411</v>
      </c>
      <c r="B312" s="3" t="s">
        <v>408</v>
      </c>
      <c r="C312" s="4" t="n">
        <v>63</v>
      </c>
      <c r="D312" s="5" t="n">
        <v>120</v>
      </c>
      <c r="E312" s="5" t="n">
        <v>102</v>
      </c>
      <c r="F312" s="5" t="n">
        <v>102</v>
      </c>
      <c r="G312" s="3" t="str">
        <f aca="false">IF(OR(F312="",AND(D312="",E312="")),"n/a",IF(F312=E312,"mastered",IF(F312=D312,"normal","differs")))</f>
        <v>mastered</v>
      </c>
      <c r="H312" s="6" t="n">
        <v>550</v>
      </c>
      <c r="I312" s="6"/>
      <c r="J312" s="4" t="n">
        <v>66</v>
      </c>
      <c r="K312" s="4"/>
      <c r="L312" s="7" t="n">
        <v>12.94117647</v>
      </c>
      <c r="M312" s="8" t="n">
        <v>38.82352941</v>
      </c>
      <c r="N312" s="3" t="str">
        <f aca="false">IF(L312="","",IF(L312&lt;0,"negative profit",IF(L312&gt;Notes!$B$4,"unusually high - verify","")))</f>
        <v/>
      </c>
      <c r="O312" s="3" t="s">
        <v>29</v>
      </c>
      <c r="P312" s="3" t="str">
        <f aca="false">IF(O312&lt;&gt;"both",O312&amp;" only",IF(Q312="","agree","conflict"))</f>
        <v>agree</v>
      </c>
      <c r="Q312" s="3" t="str">
        <f aca="false">IF(O312="both",TRIM(IF(I312&lt;&gt;"","price ","")&amp;IF(K312&lt;&gt;"","xp ","")&amp;IF(G312="differs","time","")),"")</f>
        <v/>
      </c>
      <c r="R312" s="3" t="s">
        <v>30</v>
      </c>
      <c r="S312" s="3" t="s">
        <v>409</v>
      </c>
    </row>
    <row r="313" customFormat="false" ht="15" hidden="false" customHeight="false" outlineLevel="0" collapsed="false">
      <c r="A313" s="3" t="s">
        <v>412</v>
      </c>
      <c r="B313" s="3" t="s">
        <v>408</v>
      </c>
      <c r="C313" s="4" t="n">
        <v>76</v>
      </c>
      <c r="D313" s="5" t="n">
        <v>90</v>
      </c>
      <c r="E313" s="5" t="n">
        <v>76</v>
      </c>
      <c r="F313" s="5" t="n">
        <v>76</v>
      </c>
      <c r="G313" s="3" t="str">
        <f aca="false">IF(OR(F313="",AND(D313="",E313="")),"n/a",IF(F313=E313,"mastered",IF(F313=D313,"normal","differs")))</f>
        <v>mastered</v>
      </c>
      <c r="H313" s="6" t="n">
        <v>648</v>
      </c>
      <c r="I313" s="6" t="n">
        <v>550</v>
      </c>
      <c r="J313" s="4" t="n">
        <v>77</v>
      </c>
      <c r="K313" s="4"/>
      <c r="L313" s="7" t="n">
        <v>15.68627451</v>
      </c>
      <c r="M313" s="8" t="n">
        <v>60.39215686</v>
      </c>
      <c r="N313" s="3" t="str">
        <f aca="false">IF(L313="","",IF(L313&lt;0,"negative profit",IF(L313&gt;Notes!$B$4,"unusually high - verify","")))</f>
        <v/>
      </c>
      <c r="O313" s="3" t="s">
        <v>29</v>
      </c>
      <c r="P313" s="3" t="str">
        <f aca="false">IF(O313&lt;&gt;"both",O313&amp;" only",IF(Q313="","agree","conflict"))</f>
        <v>conflict</v>
      </c>
      <c r="Q313" s="3" t="str">
        <f aca="false">IF(O313="both",TRIM(IF(I313&lt;&gt;"","price ","")&amp;IF(K313&lt;&gt;"","xp ","")&amp;IF(G313="differs","time","")),"")</f>
        <v>price</v>
      </c>
      <c r="R313" s="3" t="s">
        <v>30</v>
      </c>
      <c r="S313" s="3" t="s">
        <v>409</v>
      </c>
    </row>
    <row r="314" customFormat="false" ht="15" hidden="false" customHeight="false" outlineLevel="0" collapsed="false">
      <c r="A314" s="3" t="s">
        <v>413</v>
      </c>
      <c r="B314" s="3" t="s">
        <v>408</v>
      </c>
      <c r="C314" s="4" t="n">
        <v>110</v>
      </c>
      <c r="D314" s="5"/>
      <c r="E314" s="5"/>
      <c r="F314" s="5" t="n">
        <v>38</v>
      </c>
      <c r="G314" s="3" t="str">
        <f aca="false">IF(OR(F314="",AND(D314="",E314="")),"n/a",IF(F314=E314,"mastered",IF(F314=D314,"normal","differs")))</f>
        <v>n/a</v>
      </c>
      <c r="H314" s="6" t="n">
        <v>464</v>
      </c>
      <c r="I314" s="6"/>
      <c r="J314" s="4" t="n">
        <v>55</v>
      </c>
      <c r="K314" s="4"/>
      <c r="L314" s="7" t="n">
        <v>6.274509804</v>
      </c>
      <c r="M314" s="8" t="n">
        <v>86.2745098</v>
      </c>
      <c r="N314" s="3" t="str">
        <f aca="false">IF(L314="","",IF(L314&lt;0,"negative profit",IF(L314&gt;Notes!$B$4,"unusually high - verify","")))</f>
        <v/>
      </c>
      <c r="O314" s="3" t="s">
        <v>21</v>
      </c>
      <c r="P314" s="3" t="str">
        <f aca="false">IF(O314&lt;&gt;"both",O314&amp;" only",IF(Q314="","agree","conflict"))</f>
        <v>hayday.info only</v>
      </c>
      <c r="Q314" s="3" t="str">
        <f aca="false">IF(O314="both",TRIM(IF(I314&lt;&gt;"","price ","")&amp;IF(K314&lt;&gt;"","xp ","")&amp;IF(G314="differs","time","")),"")</f>
        <v/>
      </c>
      <c r="R314" s="3" t="s">
        <v>22</v>
      </c>
      <c r="S314" s="3"/>
    </row>
    <row r="315" customFormat="false" ht="15" hidden="false" customHeight="false" outlineLevel="0" collapsed="false">
      <c r="A315" s="3" t="s">
        <v>414</v>
      </c>
      <c r="B315" s="3" t="s">
        <v>415</v>
      </c>
      <c r="C315" s="4" t="n">
        <v>77</v>
      </c>
      <c r="D315" s="5" t="n">
        <v>45</v>
      </c>
      <c r="E315" s="5" t="n">
        <v>38</v>
      </c>
      <c r="F315" s="5" t="n">
        <v>38</v>
      </c>
      <c r="G315" s="3" t="str">
        <f aca="false">IF(OR(F315="",AND(D315="",E315="")),"n/a",IF(F315=E315,"mastered",IF(F315=D315,"normal","differs")))</f>
        <v>mastered</v>
      </c>
      <c r="H315" s="6" t="n">
        <v>396</v>
      </c>
      <c r="I315" s="6"/>
      <c r="J315" s="4" t="n">
        <v>47</v>
      </c>
      <c r="K315" s="4"/>
      <c r="L315" s="7" t="n">
        <v>34.50980392</v>
      </c>
      <c r="M315" s="8" t="n">
        <v>73.7254902</v>
      </c>
      <c r="N315" s="3" t="str">
        <f aca="false">IF(L315="","",IF(L315&lt;0,"negative profit",IF(L315&gt;Notes!$B$4,"unusually high - verify","")))</f>
        <v/>
      </c>
      <c r="O315" s="3" t="s">
        <v>29</v>
      </c>
      <c r="P315" s="3" t="str">
        <f aca="false">IF(O315&lt;&gt;"both",O315&amp;" only",IF(Q315="","agree","conflict"))</f>
        <v>agree</v>
      </c>
      <c r="Q315" s="3" t="str">
        <f aca="false">IF(O315="both",TRIM(IF(I315&lt;&gt;"","price ","")&amp;IF(K315&lt;&gt;"","xp ","")&amp;IF(G315="differs","time","")),"")</f>
        <v/>
      </c>
      <c r="R315" s="3" t="s">
        <v>30</v>
      </c>
      <c r="S315" s="3" t="s">
        <v>416</v>
      </c>
    </row>
    <row r="316" customFormat="false" ht="15" hidden="false" customHeight="false" outlineLevel="0" collapsed="false">
      <c r="A316" s="3" t="s">
        <v>417</v>
      </c>
      <c r="B316" s="3" t="s">
        <v>415</v>
      </c>
      <c r="C316" s="4" t="n">
        <v>79</v>
      </c>
      <c r="D316" s="5" t="n">
        <v>90</v>
      </c>
      <c r="E316" s="5" t="n">
        <v>76</v>
      </c>
      <c r="F316" s="5" t="n">
        <v>76</v>
      </c>
      <c r="G316" s="3" t="str">
        <f aca="false">IF(OR(F316="",AND(D316="",E316="")),"n/a",IF(F316=E316,"mastered",IF(F316=D316,"normal","differs")))</f>
        <v>mastered</v>
      </c>
      <c r="H316" s="6" t="n">
        <v>392</v>
      </c>
      <c r="I316" s="6"/>
      <c r="J316" s="4" t="n">
        <v>47</v>
      </c>
      <c r="K316" s="4" t="n">
        <v>44</v>
      </c>
      <c r="L316" s="7" t="n">
        <v>22.74509804</v>
      </c>
      <c r="M316" s="8" t="n">
        <v>36.8627451</v>
      </c>
      <c r="N316" s="3" t="str">
        <f aca="false">IF(L316="","",IF(L316&lt;0,"negative profit",IF(L316&gt;Notes!$B$4,"unusually high - verify","")))</f>
        <v/>
      </c>
      <c r="O316" s="3" t="s">
        <v>29</v>
      </c>
      <c r="P316" s="3" t="str">
        <f aca="false">IF(O316&lt;&gt;"both",O316&amp;" only",IF(Q316="","agree","conflict"))</f>
        <v>conflict</v>
      </c>
      <c r="Q316" s="3" t="str">
        <f aca="false">IF(O316="both",TRIM(IF(I316&lt;&gt;"","price ","")&amp;IF(K316&lt;&gt;"","xp ","")&amp;IF(G316="differs","time","")),"")</f>
        <v>xp</v>
      </c>
      <c r="R316" s="3" t="s">
        <v>30</v>
      </c>
      <c r="S316" s="3" t="s">
        <v>416</v>
      </c>
    </row>
    <row r="317" customFormat="false" ht="15" hidden="false" customHeight="false" outlineLevel="0" collapsed="false">
      <c r="A317" s="3" t="s">
        <v>418</v>
      </c>
      <c r="B317" s="3" t="s">
        <v>415</v>
      </c>
      <c r="C317" s="4" t="n">
        <v>82</v>
      </c>
      <c r="D317" s="5" t="n">
        <v>60</v>
      </c>
      <c r="E317" s="5" t="n">
        <v>51</v>
      </c>
      <c r="F317" s="5" t="n">
        <v>51</v>
      </c>
      <c r="G317" s="3" t="str">
        <f aca="false">IF(OR(F317="",AND(D317="",E317="")),"n/a",IF(F317=E317,"mastered",IF(F317=D317,"normal","differs")))</f>
        <v>mastered</v>
      </c>
      <c r="H317" s="6" t="n">
        <v>241</v>
      </c>
      <c r="I317" s="6"/>
      <c r="J317" s="4" t="n">
        <v>29</v>
      </c>
      <c r="K317" s="4"/>
      <c r="L317" s="7" t="n">
        <v>41.17647059</v>
      </c>
      <c r="M317" s="8" t="n">
        <v>34.11764706</v>
      </c>
      <c r="N317" s="3" t="str">
        <f aca="false">IF(L317="","",IF(L317&lt;0,"negative profit",IF(L317&gt;Notes!$B$4,"unusually high - verify","")))</f>
        <v/>
      </c>
      <c r="O317" s="3" t="s">
        <v>29</v>
      </c>
      <c r="P317" s="3" t="str">
        <f aca="false">IF(O317&lt;&gt;"both",O317&amp;" only",IF(Q317="","agree","conflict"))</f>
        <v>agree</v>
      </c>
      <c r="Q317" s="3" t="str">
        <f aca="false">IF(O317="both",TRIM(IF(I317&lt;&gt;"","price ","")&amp;IF(K317&lt;&gt;"","xp ","")&amp;IF(G317="differs","time","")),"")</f>
        <v/>
      </c>
      <c r="R317" s="3" t="s">
        <v>30</v>
      </c>
      <c r="S317" s="3" t="s">
        <v>416</v>
      </c>
    </row>
    <row r="318" customFormat="false" ht="15" hidden="false" customHeight="false" outlineLevel="0" collapsed="false">
      <c r="A318" s="3" t="s">
        <v>419</v>
      </c>
      <c r="B318" s="3" t="s">
        <v>415</v>
      </c>
      <c r="C318" s="4" t="n">
        <v>87</v>
      </c>
      <c r="D318" s="5" t="n">
        <v>75</v>
      </c>
      <c r="E318" s="5" t="n">
        <v>63</v>
      </c>
      <c r="F318" s="5" t="n">
        <v>63</v>
      </c>
      <c r="G318" s="3" t="str">
        <f aca="false">IF(OR(F318="",AND(D318="",E318="")),"n/a",IF(F318=E318,"mastered",IF(F318=D318,"normal","differs")))</f>
        <v>mastered</v>
      </c>
      <c r="H318" s="6" t="n">
        <v>432</v>
      </c>
      <c r="I318" s="6" t="n">
        <v>430</v>
      </c>
      <c r="J318" s="4" t="n">
        <v>52</v>
      </c>
      <c r="K318" s="4"/>
      <c r="L318" s="7" t="n">
        <v>28.23529412</v>
      </c>
      <c r="M318" s="8" t="n">
        <v>48.94117647</v>
      </c>
      <c r="N318" s="3" t="str">
        <f aca="false">IF(L318="","",IF(L318&lt;0,"negative profit",IF(L318&gt;Notes!$B$4,"unusually high - verify","")))</f>
        <v/>
      </c>
      <c r="O318" s="3" t="s">
        <v>29</v>
      </c>
      <c r="P318" s="3" t="str">
        <f aca="false">IF(O318&lt;&gt;"both",O318&amp;" only",IF(Q318="","agree","conflict"))</f>
        <v>conflict</v>
      </c>
      <c r="Q318" s="3" t="str">
        <f aca="false">IF(O318="both",TRIM(IF(I318&lt;&gt;"","price ","")&amp;IF(K318&lt;&gt;"","xp ","")&amp;IF(G318="differs","time","")),"")</f>
        <v>price</v>
      </c>
      <c r="R318" s="3" t="s">
        <v>30</v>
      </c>
      <c r="S318" s="3" t="s">
        <v>416</v>
      </c>
    </row>
    <row r="319" customFormat="false" ht="15" hidden="false" customHeight="false" outlineLevel="0" collapsed="false">
      <c r="A319" s="3" t="s">
        <v>420</v>
      </c>
      <c r="B319" s="3" t="s">
        <v>421</v>
      </c>
      <c r="C319" s="4" t="n">
        <v>80</v>
      </c>
      <c r="D319" s="5" t="n">
        <v>30</v>
      </c>
      <c r="E319" s="5" t="n">
        <v>25</v>
      </c>
      <c r="F319" s="5" t="n">
        <v>25</v>
      </c>
      <c r="G319" s="3" t="str">
        <f aca="false">IF(OR(F319="",AND(D319="",E319="")),"n/a",IF(F319=E319,"mastered",IF(F319=D319,"normal","differs")))</f>
        <v>mastered</v>
      </c>
      <c r="H319" s="6" t="n">
        <v>241</v>
      </c>
      <c r="I319" s="6"/>
      <c r="J319" s="4" t="n">
        <v>29</v>
      </c>
      <c r="K319" s="4"/>
      <c r="L319" s="7" t="n">
        <v>61.17647059</v>
      </c>
      <c r="M319" s="8" t="n">
        <v>68.23529412</v>
      </c>
      <c r="N319" s="3" t="str">
        <f aca="false">IF(L319="","",IF(L319&lt;0,"negative profit",IF(L319&gt;Notes!$B$4,"unusually high - verify","")))</f>
        <v/>
      </c>
      <c r="O319" s="3" t="s">
        <v>29</v>
      </c>
      <c r="P319" s="3" t="str">
        <f aca="false">IF(O319&lt;&gt;"both",O319&amp;" only",IF(Q319="","agree","conflict"))</f>
        <v>agree</v>
      </c>
      <c r="Q319" s="3" t="str">
        <f aca="false">IF(O319="both",TRIM(IF(I319&lt;&gt;"","price ","")&amp;IF(K319&lt;&gt;"","xp ","")&amp;IF(G319="differs","time","")),"")</f>
        <v/>
      </c>
      <c r="R319" s="3" t="s">
        <v>30</v>
      </c>
      <c r="S319" s="3" t="s">
        <v>422</v>
      </c>
    </row>
    <row r="320" customFormat="false" ht="15" hidden="false" customHeight="false" outlineLevel="0" collapsed="false">
      <c r="A320" s="3" t="s">
        <v>423</v>
      </c>
      <c r="B320" s="3" t="s">
        <v>421</v>
      </c>
      <c r="C320" s="4" t="n">
        <v>81</v>
      </c>
      <c r="D320" s="5" t="n">
        <v>45</v>
      </c>
      <c r="E320" s="5" t="n">
        <v>38</v>
      </c>
      <c r="F320" s="5" t="n">
        <v>38</v>
      </c>
      <c r="G320" s="3" t="str">
        <f aca="false">IF(OR(F320="",AND(D320="",E320="")),"n/a",IF(F320=E320,"mastered",IF(F320=D320,"normal","differs")))</f>
        <v>mastered</v>
      </c>
      <c r="H320" s="6" t="n">
        <v>190</v>
      </c>
      <c r="I320" s="6"/>
      <c r="J320" s="4" t="n">
        <v>23</v>
      </c>
      <c r="K320" s="4"/>
      <c r="L320" s="7" t="n">
        <v>45.49019608</v>
      </c>
      <c r="M320" s="8" t="n">
        <v>36.07843137</v>
      </c>
      <c r="N320" s="3" t="str">
        <f aca="false">IF(L320="","",IF(L320&lt;0,"negative profit",IF(L320&gt;Notes!$B$4,"unusually high - verify","")))</f>
        <v/>
      </c>
      <c r="O320" s="3" t="s">
        <v>29</v>
      </c>
      <c r="P320" s="3" t="str">
        <f aca="false">IF(O320&lt;&gt;"both",O320&amp;" only",IF(Q320="","agree","conflict"))</f>
        <v>agree</v>
      </c>
      <c r="Q320" s="3" t="str">
        <f aca="false">IF(O320="both",TRIM(IF(I320&lt;&gt;"","price ","")&amp;IF(K320&lt;&gt;"","xp ","")&amp;IF(G320="differs","time","")),"")</f>
        <v/>
      </c>
      <c r="R320" s="3" t="s">
        <v>30</v>
      </c>
      <c r="S320" s="3" t="s">
        <v>422</v>
      </c>
    </row>
    <row r="321" customFormat="false" ht="15" hidden="false" customHeight="false" outlineLevel="0" collapsed="false">
      <c r="A321" s="3" t="s">
        <v>424</v>
      </c>
      <c r="B321" s="3" t="s">
        <v>421</v>
      </c>
      <c r="C321" s="4" t="n">
        <v>83</v>
      </c>
      <c r="D321" s="5" t="n">
        <v>40</v>
      </c>
      <c r="E321" s="5" t="n">
        <v>34</v>
      </c>
      <c r="F321" s="5" t="n">
        <v>34</v>
      </c>
      <c r="G321" s="3" t="str">
        <f aca="false">IF(OR(F321="",AND(D321="",E321="")),"n/a",IF(F321=E321,"mastered",IF(F321=D321,"normal","differs")))</f>
        <v>mastered</v>
      </c>
      <c r="H321" s="6" t="n">
        <v>313</v>
      </c>
      <c r="I321" s="6"/>
      <c r="J321" s="4" t="n">
        <v>37</v>
      </c>
      <c r="K321" s="4"/>
      <c r="L321" s="7" t="n">
        <v>52.94117647</v>
      </c>
      <c r="M321" s="8" t="n">
        <v>65.29411765</v>
      </c>
      <c r="N321" s="3" t="str">
        <f aca="false">IF(L321="","",IF(L321&lt;0,"negative profit",IF(L321&gt;Notes!$B$4,"unusually high - verify","")))</f>
        <v/>
      </c>
      <c r="O321" s="3" t="s">
        <v>29</v>
      </c>
      <c r="P321" s="3" t="str">
        <f aca="false">IF(O321&lt;&gt;"both",O321&amp;" only",IF(Q321="","agree","conflict"))</f>
        <v>agree</v>
      </c>
      <c r="Q321" s="3" t="str">
        <f aca="false">IF(O321="both",TRIM(IF(I321&lt;&gt;"","price ","")&amp;IF(K321&lt;&gt;"","xp ","")&amp;IF(G321="differs","time","")),"")</f>
        <v/>
      </c>
      <c r="R321" s="3" t="s">
        <v>30</v>
      </c>
      <c r="S321" s="3" t="s">
        <v>422</v>
      </c>
    </row>
    <row r="322" customFormat="false" ht="15" hidden="false" customHeight="false" outlineLevel="0" collapsed="false">
      <c r="A322" s="3" t="s">
        <v>425</v>
      </c>
      <c r="B322" s="3" t="s">
        <v>421</v>
      </c>
      <c r="C322" s="4" t="n">
        <v>86</v>
      </c>
      <c r="D322" s="5" t="n">
        <v>20</v>
      </c>
      <c r="E322" s="5" t="n">
        <v>17</v>
      </c>
      <c r="F322" s="5" t="n">
        <v>17</v>
      </c>
      <c r="G322" s="3" t="str">
        <f aca="false">IF(OR(F322="",AND(D322="",E322="")),"n/a",IF(F322=E322,"mastered",IF(F322=D322,"normal","differs")))</f>
        <v>mastered</v>
      </c>
      <c r="H322" s="6" t="n">
        <v>241</v>
      </c>
      <c r="I322" s="6"/>
      <c r="J322" s="4" t="n">
        <v>29</v>
      </c>
      <c r="K322" s="4"/>
      <c r="L322" s="7" t="n">
        <v>67.05882353</v>
      </c>
      <c r="M322" s="8" t="n">
        <v>102.3529412</v>
      </c>
      <c r="N322" s="3" t="str">
        <f aca="false">IF(L322="","",IF(L322&lt;0,"negative profit",IF(L322&gt;Notes!$B$4,"unusually high - verify","")))</f>
        <v/>
      </c>
      <c r="O322" s="3" t="s">
        <v>29</v>
      </c>
      <c r="P322" s="3" t="str">
        <f aca="false">IF(O322&lt;&gt;"both",O322&amp;" only",IF(Q322="","agree","conflict"))</f>
        <v>agree</v>
      </c>
      <c r="Q322" s="3" t="str">
        <f aca="false">IF(O322="both",TRIM(IF(I322&lt;&gt;"","price ","")&amp;IF(K322&lt;&gt;"","xp ","")&amp;IF(G322="differs","time","")),"")</f>
        <v/>
      </c>
      <c r="R322" s="3" t="s">
        <v>30</v>
      </c>
      <c r="S322" s="3" t="s">
        <v>422</v>
      </c>
    </row>
    <row r="323" customFormat="false" ht="15" hidden="false" customHeight="false" outlineLevel="0" collapsed="false">
      <c r="A323" s="3" t="s">
        <v>426</v>
      </c>
      <c r="B323" s="3" t="s">
        <v>421</v>
      </c>
      <c r="C323" s="4" t="n">
        <v>88</v>
      </c>
      <c r="D323" s="5" t="n">
        <v>30</v>
      </c>
      <c r="E323" s="5" t="n">
        <v>25</v>
      </c>
      <c r="F323" s="5" t="n">
        <v>25</v>
      </c>
      <c r="G323" s="3" t="str">
        <f aca="false">IF(OR(F323="",AND(D323="",E323="")),"n/a",IF(F323=E323,"mastered",IF(F323=D323,"normal","differs")))</f>
        <v>mastered</v>
      </c>
      <c r="H323" s="6" t="n">
        <v>169</v>
      </c>
      <c r="I323" s="6"/>
      <c r="J323" s="4" t="n">
        <v>20</v>
      </c>
      <c r="K323" s="4"/>
      <c r="L323" s="7" t="n">
        <v>47.05882353</v>
      </c>
      <c r="M323" s="8" t="n">
        <v>47.05882353</v>
      </c>
      <c r="N323" s="3" t="str">
        <f aca="false">IF(L323="","",IF(L323&lt;0,"negative profit",IF(L323&gt;Notes!$B$4,"unusually high - verify","")))</f>
        <v/>
      </c>
      <c r="O323" s="3" t="s">
        <v>29</v>
      </c>
      <c r="P323" s="3" t="str">
        <f aca="false">IF(O323&lt;&gt;"both",O323&amp;" only",IF(Q323="","agree","conflict"))</f>
        <v>agree</v>
      </c>
      <c r="Q323" s="3" t="str">
        <f aca="false">IF(O323="both",TRIM(IF(I323&lt;&gt;"","price ","")&amp;IF(K323&lt;&gt;"","xp ","")&amp;IF(G323="differs","time","")),"")</f>
        <v/>
      </c>
      <c r="R323" s="3" t="s">
        <v>30</v>
      </c>
      <c r="S323" s="3" t="s">
        <v>422</v>
      </c>
    </row>
    <row r="324" customFormat="false" ht="15" hidden="false" customHeight="false" outlineLevel="0" collapsed="false">
      <c r="A324" s="3" t="s">
        <v>427</v>
      </c>
      <c r="B324" s="3" t="s">
        <v>421</v>
      </c>
      <c r="C324" s="4" t="n">
        <v>89</v>
      </c>
      <c r="D324" s="5" t="n">
        <v>40</v>
      </c>
      <c r="E324" s="5" t="n">
        <v>34</v>
      </c>
      <c r="F324" s="5" t="n">
        <v>34</v>
      </c>
      <c r="G324" s="3" t="str">
        <f aca="false">IF(OR(F324="",AND(D324="",E324="")),"n/a",IF(F324=E324,"mastered",IF(F324=D324,"normal","differs")))</f>
        <v>mastered</v>
      </c>
      <c r="H324" s="6" t="n">
        <v>255</v>
      </c>
      <c r="I324" s="6"/>
      <c r="J324" s="4" t="n">
        <v>30</v>
      </c>
      <c r="K324" s="4"/>
      <c r="L324" s="7" t="n">
        <v>51.17647059</v>
      </c>
      <c r="M324" s="8" t="n">
        <v>52.94117647</v>
      </c>
      <c r="N324" s="3" t="str">
        <f aca="false">IF(L324="","",IF(L324&lt;0,"negative profit",IF(L324&gt;Notes!$B$4,"unusually high - verify","")))</f>
        <v/>
      </c>
      <c r="O324" s="3" t="s">
        <v>29</v>
      </c>
      <c r="P324" s="3" t="str">
        <f aca="false">IF(O324&lt;&gt;"both",O324&amp;" only",IF(Q324="","agree","conflict"))</f>
        <v>agree</v>
      </c>
      <c r="Q324" s="3" t="str">
        <f aca="false">IF(O324="both",TRIM(IF(I324&lt;&gt;"","price ","")&amp;IF(K324&lt;&gt;"","xp ","")&amp;IF(G324="differs","time","")),"")</f>
        <v/>
      </c>
      <c r="R324" s="3" t="s">
        <v>30</v>
      </c>
      <c r="S324" s="3" t="s">
        <v>422</v>
      </c>
    </row>
    <row r="325" customFormat="false" ht="15" hidden="false" customHeight="false" outlineLevel="0" collapsed="false">
      <c r="A325" s="3" t="s">
        <v>428</v>
      </c>
      <c r="B325" s="3" t="s">
        <v>421</v>
      </c>
      <c r="C325" s="4" t="n">
        <v>92</v>
      </c>
      <c r="D325" s="5" t="n">
        <v>30</v>
      </c>
      <c r="E325" s="5" t="n">
        <v>25</v>
      </c>
      <c r="F325" s="5" t="n">
        <v>25</v>
      </c>
      <c r="G325" s="3" t="str">
        <f aca="false">IF(OR(F325="",AND(D325="",E325="")),"n/a",IF(F325=E325,"mastered",IF(F325=D325,"normal","differs")))</f>
        <v>mastered</v>
      </c>
      <c r="H325" s="6" t="n">
        <v>252</v>
      </c>
      <c r="I325" s="6"/>
      <c r="J325" s="4" t="n">
        <v>30</v>
      </c>
      <c r="K325" s="4"/>
      <c r="L325" s="7" t="n">
        <v>54.11764706</v>
      </c>
      <c r="M325" s="8" t="n">
        <v>70.58823529</v>
      </c>
      <c r="N325" s="3" t="str">
        <f aca="false">IF(L325="","",IF(L325&lt;0,"negative profit",IF(L325&gt;Notes!$B$4,"unusually high - verify","")))</f>
        <v/>
      </c>
      <c r="O325" s="3" t="s">
        <v>29</v>
      </c>
      <c r="P325" s="3" t="str">
        <f aca="false">IF(O325&lt;&gt;"both",O325&amp;" only",IF(Q325="","agree","conflict"))</f>
        <v>agree</v>
      </c>
      <c r="Q325" s="3" t="str">
        <f aca="false">IF(O325="both",TRIM(IF(I325&lt;&gt;"","price ","")&amp;IF(K325&lt;&gt;"","xp ","")&amp;IF(G325="differs","time","")),"")</f>
        <v/>
      </c>
      <c r="R325" s="3" t="s">
        <v>30</v>
      </c>
      <c r="S325" s="3" t="s">
        <v>422</v>
      </c>
    </row>
    <row r="326" customFormat="false" ht="15" hidden="false" customHeight="false" outlineLevel="0" collapsed="false">
      <c r="A326" s="3" t="s">
        <v>429</v>
      </c>
      <c r="B326" s="3" t="s">
        <v>421</v>
      </c>
      <c r="C326" s="4" t="n">
        <v>97</v>
      </c>
      <c r="D326" s="5" t="n">
        <v>35</v>
      </c>
      <c r="E326" s="5" t="n">
        <v>29</v>
      </c>
      <c r="F326" s="5" t="n">
        <v>29</v>
      </c>
      <c r="G326" s="3" t="str">
        <f aca="false">IF(OR(F326="",AND(D326="",E326="")),"n/a",IF(F326=E326,"mastered",IF(F326=D326,"normal","differs")))</f>
        <v>mastered</v>
      </c>
      <c r="H326" s="6" t="n">
        <v>255</v>
      </c>
      <c r="I326" s="6"/>
      <c r="J326" s="4" t="n">
        <v>31</v>
      </c>
      <c r="K326" s="4"/>
      <c r="L326" s="7" t="n">
        <v>110.9243697</v>
      </c>
      <c r="M326" s="8" t="n">
        <v>62.5210084</v>
      </c>
      <c r="N326" s="3" t="str">
        <f aca="false">IF(L326="","",IF(L326&lt;0,"negative profit",IF(L326&gt;Notes!$B$4,"unusually high - verify","")))</f>
        <v/>
      </c>
      <c r="O326" s="3" t="s">
        <v>29</v>
      </c>
      <c r="P326" s="3" t="str">
        <f aca="false">IF(O326&lt;&gt;"both",O326&amp;" only",IF(Q326="","agree","conflict"))</f>
        <v>agree</v>
      </c>
      <c r="Q326" s="3" t="str">
        <f aca="false">IF(O326="both",TRIM(IF(I326&lt;&gt;"","price ","")&amp;IF(K326&lt;&gt;"","xp ","")&amp;IF(G326="differs","time","")),"")</f>
        <v/>
      </c>
      <c r="R326" s="3" t="s">
        <v>30</v>
      </c>
      <c r="S326" s="3" t="s">
        <v>422</v>
      </c>
    </row>
    <row r="327" customFormat="false" ht="15" hidden="false" customHeight="false" outlineLevel="0" collapsed="false">
      <c r="A327" s="3" t="s">
        <v>430</v>
      </c>
      <c r="B327" s="3" t="s">
        <v>431</v>
      </c>
      <c r="C327" s="4" t="n">
        <v>15</v>
      </c>
      <c r="D327" s="5" t="n">
        <v>960</v>
      </c>
      <c r="E327" s="5"/>
      <c r="F327" s="5" t="n">
        <v>960</v>
      </c>
      <c r="G327" s="3" t="str">
        <f aca="false">IF(OR(F327="",AND(D327="",E327="")),"n/a",IF(F327=E327,"mastered",IF(F327=D327,"normal","differs")))</f>
        <v>normal</v>
      </c>
      <c r="H327" s="6" t="n">
        <v>39</v>
      </c>
      <c r="I327" s="6"/>
      <c r="J327" s="4" t="n">
        <v>7</v>
      </c>
      <c r="K327" s="4"/>
      <c r="L327" s="7" t="n">
        <v>22.175</v>
      </c>
      <c r="M327" s="8" t="n">
        <v>0.4375</v>
      </c>
      <c r="N327" s="3" t="str">
        <f aca="false">IF(L327="","",IF(L327&lt;0,"negative profit",IF(L327&gt;Notes!$B$4,"unusually high - verify","")))</f>
        <v/>
      </c>
      <c r="O327" s="3" t="s">
        <v>29</v>
      </c>
      <c r="P327" s="3" t="str">
        <f aca="false">IF(O327&lt;&gt;"both",O327&amp;" only",IF(Q327="","agree","conflict"))</f>
        <v>agree</v>
      </c>
      <c r="Q327" s="3" t="str">
        <f aca="false">IF(O327="both",TRIM(IF(I327&lt;&gt;"","price ","")&amp;IF(K327&lt;&gt;"","xp ","")&amp;IF(G327="differs","time","")),"")</f>
        <v/>
      </c>
      <c r="R327" s="3" t="s">
        <v>30</v>
      </c>
      <c r="S327" s="3" t="s">
        <v>432</v>
      </c>
    </row>
    <row r="328" customFormat="false" ht="15" hidden="false" customHeight="false" outlineLevel="0" collapsed="false">
      <c r="A328" s="3" t="s">
        <v>433</v>
      </c>
      <c r="B328" s="3" t="s">
        <v>431</v>
      </c>
      <c r="C328" s="4" t="n">
        <v>19</v>
      </c>
      <c r="D328" s="5" t="n">
        <v>1080</v>
      </c>
      <c r="E328" s="5"/>
      <c r="F328" s="5" t="n">
        <v>1080</v>
      </c>
      <c r="G328" s="3" t="str">
        <f aca="false">IF(OR(F328="",AND(D328="",E328="")),"n/a",IF(F328=E328,"mastered",IF(F328=D328,"normal","differs")))</f>
        <v>normal</v>
      </c>
      <c r="H328" s="6" t="n">
        <v>46</v>
      </c>
      <c r="I328" s="6"/>
      <c r="J328" s="4" t="n">
        <v>9</v>
      </c>
      <c r="K328" s="4"/>
      <c r="L328" s="7" t="n">
        <v>21.57777778</v>
      </c>
      <c r="M328" s="8" t="n">
        <v>0.5</v>
      </c>
      <c r="N328" s="3" t="str">
        <f aca="false">IF(L328="","",IF(L328&lt;0,"negative profit",IF(L328&gt;Notes!$B$4,"unusually high - verify","")))</f>
        <v/>
      </c>
      <c r="O328" s="3" t="s">
        <v>29</v>
      </c>
      <c r="P328" s="3" t="str">
        <f aca="false">IF(O328&lt;&gt;"both",O328&amp;" only",IF(Q328="","agree","conflict"))</f>
        <v>agree</v>
      </c>
      <c r="Q328" s="3" t="str">
        <f aca="false">IF(O328="both",TRIM(IF(I328&lt;&gt;"","price ","")&amp;IF(K328&lt;&gt;"","xp ","")&amp;IF(G328="differs","time","")),"")</f>
        <v/>
      </c>
      <c r="R328" s="3" t="s">
        <v>30</v>
      </c>
      <c r="S328" s="3" t="s">
        <v>432</v>
      </c>
    </row>
    <row r="329" customFormat="false" ht="15" hidden="false" customHeight="false" outlineLevel="0" collapsed="false">
      <c r="A329" s="3" t="s">
        <v>434</v>
      </c>
      <c r="B329" s="3" t="s">
        <v>431</v>
      </c>
      <c r="C329" s="4" t="n">
        <v>22</v>
      </c>
      <c r="D329" s="5" t="n">
        <v>1620</v>
      </c>
      <c r="E329" s="5"/>
      <c r="F329" s="5" t="n">
        <v>1620</v>
      </c>
      <c r="G329" s="3" t="str">
        <f aca="false">IF(OR(F329="",AND(D329="",E329="")),"n/a",IF(F329=E329,"mastered",IF(F329=D329,"normal","differs")))</f>
        <v>normal</v>
      </c>
      <c r="H329" s="6" t="n">
        <v>68</v>
      </c>
      <c r="I329" s="6"/>
      <c r="J329" s="4" t="n">
        <v>13</v>
      </c>
      <c r="K329" s="4"/>
      <c r="L329" s="7" t="n">
        <v>17.74814815</v>
      </c>
      <c r="M329" s="8" t="n">
        <v>0.4814814815</v>
      </c>
      <c r="N329" s="3" t="str">
        <f aca="false">IF(L329="","",IF(L329&lt;0,"negative profit",IF(L329&gt;Notes!$B$4,"unusually high - verify","")))</f>
        <v/>
      </c>
      <c r="O329" s="3" t="s">
        <v>29</v>
      </c>
      <c r="P329" s="3" t="str">
        <f aca="false">IF(O329&lt;&gt;"both",O329&amp;" only",IF(Q329="","agree","conflict"))</f>
        <v>agree</v>
      </c>
      <c r="Q329" s="3" t="str">
        <f aca="false">IF(O329="both",TRIM(IF(I329&lt;&gt;"","price ","")&amp;IF(K329&lt;&gt;"","xp ","")&amp;IF(G329="differs","time","")),"")</f>
        <v/>
      </c>
      <c r="R329" s="3" t="s">
        <v>30</v>
      </c>
      <c r="S329" s="3" t="s">
        <v>432</v>
      </c>
    </row>
    <row r="330" customFormat="false" ht="15" hidden="false" customHeight="false" outlineLevel="0" collapsed="false">
      <c r="A330" s="3" t="s">
        <v>435</v>
      </c>
      <c r="B330" s="3" t="s">
        <v>431</v>
      </c>
      <c r="C330" s="4" t="n">
        <v>26</v>
      </c>
      <c r="D330" s="5" t="n">
        <v>1920</v>
      </c>
      <c r="E330" s="5"/>
      <c r="F330" s="5" t="n">
        <v>1920</v>
      </c>
      <c r="G330" s="3" t="str">
        <f aca="false">IF(OR(F330="",AND(D330="",E330="")),"n/a",IF(F330=E330,"mastered",IF(F330=D330,"normal","differs")))</f>
        <v>normal</v>
      </c>
      <c r="H330" s="6" t="n">
        <v>82</v>
      </c>
      <c r="I330" s="6"/>
      <c r="J330" s="4" t="n">
        <v>16</v>
      </c>
      <c r="K330" s="4"/>
      <c r="L330" s="7" t="n">
        <v>17.075</v>
      </c>
      <c r="M330" s="8" t="n">
        <v>0.5</v>
      </c>
      <c r="N330" s="3" t="str">
        <f aca="false">IF(L330="","",IF(L330&lt;0,"negative profit",IF(L330&gt;Notes!$B$4,"unusually high - verify","")))</f>
        <v/>
      </c>
      <c r="O330" s="3" t="s">
        <v>29</v>
      </c>
      <c r="P330" s="3" t="str">
        <f aca="false">IF(O330&lt;&gt;"both",O330&amp;" only",IF(Q330="","agree","conflict"))</f>
        <v>agree</v>
      </c>
      <c r="Q330" s="3" t="str">
        <f aca="false">IF(O330="both",TRIM(IF(I330&lt;&gt;"","price ","")&amp;IF(K330&lt;&gt;"","xp ","")&amp;IF(G330="differs","time","")),"")</f>
        <v/>
      </c>
      <c r="R330" s="3" t="s">
        <v>30</v>
      </c>
      <c r="S330" s="3" t="s">
        <v>432</v>
      </c>
    </row>
    <row r="331" customFormat="false" ht="15" hidden="false" customHeight="false" outlineLevel="0" collapsed="false">
      <c r="A331" s="3" t="s">
        <v>436</v>
      </c>
      <c r="B331" s="3" t="s">
        <v>431</v>
      </c>
      <c r="C331" s="4" t="n">
        <v>36</v>
      </c>
      <c r="D331" s="5" t="n">
        <v>2100</v>
      </c>
      <c r="E331" s="5"/>
      <c r="F331" s="5" t="n">
        <v>2040</v>
      </c>
      <c r="G331" s="3" t="str">
        <f aca="false">IF(OR(F331="",AND(D331="",E331="")),"n/a",IF(F331=E331,"mastered",IF(F331=D331,"normal","differs")))</f>
        <v>differs</v>
      </c>
      <c r="H331" s="6" t="n">
        <v>86</v>
      </c>
      <c r="I331" s="6"/>
      <c r="J331" s="4" t="n">
        <v>16</v>
      </c>
      <c r="K331" s="4"/>
      <c r="L331" s="7" t="n">
        <v>16.85882353</v>
      </c>
      <c r="M331" s="8" t="n">
        <v>0.4705882353</v>
      </c>
      <c r="N331" s="3" t="str">
        <f aca="false">IF(L331="","",IF(L331&lt;0,"negative profit",IF(L331&gt;Notes!$B$4,"unusually high - verify","")))</f>
        <v/>
      </c>
      <c r="O331" s="3" t="s">
        <v>29</v>
      </c>
      <c r="P331" s="3" t="str">
        <f aca="false">IF(O331&lt;&gt;"both",O331&amp;" only",IF(Q331="","agree","conflict"))</f>
        <v>conflict</v>
      </c>
      <c r="Q331" s="3" t="str">
        <f aca="false">IF(O331="both",TRIM(IF(I331&lt;&gt;"","price ","")&amp;IF(K331&lt;&gt;"","xp ","")&amp;IF(G331="differs","time","")),"")</f>
        <v>time</v>
      </c>
      <c r="R331" s="3" t="s">
        <v>30</v>
      </c>
      <c r="S331" s="3" t="s">
        <v>432</v>
      </c>
    </row>
    <row r="332" customFormat="false" ht="15" hidden="false" customHeight="false" outlineLevel="0" collapsed="false">
      <c r="A332" s="3" t="s">
        <v>437</v>
      </c>
      <c r="B332" s="3" t="s">
        <v>431</v>
      </c>
      <c r="C332" s="4" t="n">
        <v>39</v>
      </c>
      <c r="D332" s="5"/>
      <c r="E332" s="5"/>
      <c r="F332" s="5" t="n">
        <v>35</v>
      </c>
      <c r="G332" s="3" t="str">
        <f aca="false">IF(OR(F332="",AND(D332="",E332="")),"n/a",IF(F332=E332,"mastered",IF(F332=D332,"normal","differs")))</f>
        <v>n/a</v>
      </c>
      <c r="H332" s="6" t="n">
        <v>68</v>
      </c>
      <c r="I332" s="6"/>
      <c r="J332" s="4" t="n">
        <v>8</v>
      </c>
      <c r="K332" s="4"/>
      <c r="L332" s="7" t="n">
        <v>109.7142857</v>
      </c>
      <c r="M332" s="8" t="n">
        <v>13.71428571</v>
      </c>
      <c r="N332" s="3" t="str">
        <f aca="false">IF(L332="","",IF(L332&lt;0,"negative profit",IF(L332&gt;Notes!$B$4,"unusually high - verify","")))</f>
        <v/>
      </c>
      <c r="O332" s="3" t="s">
        <v>21</v>
      </c>
      <c r="P332" s="3" t="str">
        <f aca="false">IF(O332&lt;&gt;"both",O332&amp;" only",IF(Q332="","agree","conflict"))</f>
        <v>hayday.info only</v>
      </c>
      <c r="Q332" s="3" t="str">
        <f aca="false">IF(O332="both",TRIM(IF(I332&lt;&gt;"","price ","")&amp;IF(K332&lt;&gt;"","xp ","")&amp;IF(G332="differs","time","")),"")</f>
        <v/>
      </c>
      <c r="R332" s="3" t="s">
        <v>22</v>
      </c>
      <c r="S332" s="3"/>
    </row>
    <row r="333" customFormat="false" ht="15" hidden="false" customHeight="false" outlineLevel="0" collapsed="false">
      <c r="A333" s="3" t="s">
        <v>438</v>
      </c>
      <c r="B333" s="3" t="s">
        <v>431</v>
      </c>
      <c r="C333" s="4" t="n">
        <v>42</v>
      </c>
      <c r="D333" s="5" t="n">
        <v>1440</v>
      </c>
      <c r="E333" s="5"/>
      <c r="F333" s="5" t="n">
        <v>1500</v>
      </c>
      <c r="G333" s="3" t="str">
        <f aca="false">IF(OR(F333="",AND(D333="",E333="")),"n/a",IF(F333=E333,"mastered",IF(F333=D333,"normal","differs")))</f>
        <v>differs</v>
      </c>
      <c r="H333" s="6" t="n">
        <v>64</v>
      </c>
      <c r="I333" s="6"/>
      <c r="J333" s="4" t="n">
        <v>12</v>
      </c>
      <c r="K333" s="4"/>
      <c r="L333" s="7" t="n">
        <v>18.696</v>
      </c>
      <c r="M333" s="8" t="n">
        <v>0.48</v>
      </c>
      <c r="N333" s="3" t="str">
        <f aca="false">IF(L333="","",IF(L333&lt;0,"negative profit",IF(L333&gt;Notes!$B$4,"unusually high - verify","")))</f>
        <v/>
      </c>
      <c r="O333" s="3" t="s">
        <v>29</v>
      </c>
      <c r="P333" s="3" t="str">
        <f aca="false">IF(O333&lt;&gt;"both",O333&amp;" only",IF(Q333="","agree","conflict"))</f>
        <v>conflict</v>
      </c>
      <c r="Q333" s="3" t="str">
        <f aca="false">IF(O333="both",TRIM(IF(I333&lt;&gt;"","price ","")&amp;IF(K333&lt;&gt;"","xp ","")&amp;IF(G333="differs","time","")),"")</f>
        <v>time</v>
      </c>
      <c r="R333" s="3" t="s">
        <v>30</v>
      </c>
      <c r="S333" s="3" t="s">
        <v>432</v>
      </c>
    </row>
    <row r="334" customFormat="false" ht="15" hidden="false" customHeight="false" outlineLevel="0" collapsed="false">
      <c r="A334" s="3" t="s">
        <v>439</v>
      </c>
      <c r="B334" s="3" t="s">
        <v>431</v>
      </c>
      <c r="C334" s="4" t="n">
        <v>57</v>
      </c>
      <c r="D334" s="5" t="n">
        <v>1440</v>
      </c>
      <c r="E334" s="5"/>
      <c r="F334" s="5" t="n">
        <v>1440</v>
      </c>
      <c r="G334" s="3" t="str">
        <f aca="false">IF(OR(F334="",AND(D334="",E334="")),"n/a",IF(F334=E334,"mastered",IF(F334=D334,"normal","differs")))</f>
        <v>normal</v>
      </c>
      <c r="H334" s="6" t="n">
        <v>82</v>
      </c>
      <c r="I334" s="6"/>
      <c r="J334" s="4" t="n">
        <v>17</v>
      </c>
      <c r="K334" s="4"/>
      <c r="L334" s="7" t="n">
        <v>19.01666667</v>
      </c>
      <c r="M334" s="8" t="n">
        <v>0.7083333333</v>
      </c>
      <c r="N334" s="3" t="str">
        <f aca="false">IF(L334="","",IF(L334&lt;0,"negative profit",IF(L334&gt;Notes!$B$4,"unusually high - verify","")))</f>
        <v/>
      </c>
      <c r="O334" s="3" t="s">
        <v>29</v>
      </c>
      <c r="P334" s="3" t="str">
        <f aca="false">IF(O334&lt;&gt;"both",O334&amp;" only",IF(Q334="","agree","conflict"))</f>
        <v>agree</v>
      </c>
      <c r="Q334" s="3" t="str">
        <f aca="false">IF(O334="both",TRIM(IF(I334&lt;&gt;"","price ","")&amp;IF(K334&lt;&gt;"","xp ","")&amp;IF(G334="differs","time","")),"")</f>
        <v/>
      </c>
      <c r="R334" s="3" t="s">
        <v>30</v>
      </c>
      <c r="S334" s="3" t="s">
        <v>432</v>
      </c>
    </row>
    <row r="335" customFormat="false" ht="15" hidden="false" customHeight="false" outlineLevel="0" collapsed="false">
      <c r="A335" s="3" t="s">
        <v>440</v>
      </c>
      <c r="B335" s="3" t="s">
        <v>431</v>
      </c>
      <c r="C335" s="4" t="n">
        <v>66</v>
      </c>
      <c r="D335" s="5" t="n">
        <v>1740</v>
      </c>
      <c r="E335" s="5"/>
      <c r="F335" s="5" t="n">
        <v>1740</v>
      </c>
      <c r="G335" s="3" t="str">
        <f aca="false">IF(OR(F335="",AND(D335="",E335="")),"n/a",IF(F335=E335,"mastered",IF(F335=D335,"normal","differs")))</f>
        <v>normal</v>
      </c>
      <c r="H335" s="6" t="n">
        <v>93</v>
      </c>
      <c r="I335" s="6"/>
      <c r="J335" s="4" t="n">
        <v>18</v>
      </c>
      <c r="K335" s="4"/>
      <c r="L335" s="7" t="n">
        <v>18.85517241</v>
      </c>
      <c r="M335" s="8" t="n">
        <v>0.6206896552</v>
      </c>
      <c r="N335" s="3" t="str">
        <f aca="false">IF(L335="","",IF(L335&lt;0,"negative profit",IF(L335&gt;Notes!$B$4,"unusually high - verify","")))</f>
        <v/>
      </c>
      <c r="O335" s="3" t="s">
        <v>29</v>
      </c>
      <c r="P335" s="3" t="str">
        <f aca="false">IF(O335&lt;&gt;"both",O335&amp;" only",IF(Q335="","agree","conflict"))</f>
        <v>agree</v>
      </c>
      <c r="Q335" s="3" t="str">
        <f aca="false">IF(O335="both",TRIM(IF(I335&lt;&gt;"","price ","")&amp;IF(K335&lt;&gt;"","xp ","")&amp;IF(G335="differs","time","")),"")</f>
        <v/>
      </c>
      <c r="R335" s="3" t="s">
        <v>30</v>
      </c>
      <c r="S335" s="3" t="s">
        <v>432</v>
      </c>
    </row>
    <row r="336" customFormat="false" ht="15" hidden="false" customHeight="false" outlineLevel="0" collapsed="false">
      <c r="A336" s="3" t="s">
        <v>441</v>
      </c>
      <c r="B336" s="3" t="s">
        <v>431</v>
      </c>
      <c r="C336" s="4" t="n">
        <v>71</v>
      </c>
      <c r="D336" s="5" t="n">
        <v>1860</v>
      </c>
      <c r="E336" s="5"/>
      <c r="F336" s="5" t="n">
        <v>1860</v>
      </c>
      <c r="G336" s="3" t="str">
        <f aca="false">IF(OR(F336="",AND(D336="",E336="")),"n/a",IF(F336=E336,"mastered",IF(F336=D336,"normal","differs")))</f>
        <v>normal</v>
      </c>
      <c r="H336" s="6" t="n">
        <v>97</v>
      </c>
      <c r="I336" s="6"/>
      <c r="J336" s="4" t="n">
        <v>19</v>
      </c>
      <c r="K336" s="4"/>
      <c r="L336" s="7" t="n">
        <v>17.53548387</v>
      </c>
      <c r="M336" s="8" t="n">
        <v>0.6129032258</v>
      </c>
      <c r="N336" s="3" t="str">
        <f aca="false">IF(L336="","",IF(L336&lt;0,"negative profit",IF(L336&gt;Notes!$B$4,"unusually high - verify","")))</f>
        <v/>
      </c>
      <c r="O336" s="3" t="s">
        <v>29</v>
      </c>
      <c r="P336" s="3" t="str">
        <f aca="false">IF(O336&lt;&gt;"both",O336&amp;" only",IF(Q336="","agree","conflict"))</f>
        <v>agree</v>
      </c>
      <c r="Q336" s="3" t="str">
        <f aca="false">IF(O336="both",TRIM(IF(I336&lt;&gt;"","price ","")&amp;IF(K336&lt;&gt;"","xp ","")&amp;IF(G336="differs","time","")),"")</f>
        <v/>
      </c>
      <c r="R336" s="3" t="s">
        <v>30</v>
      </c>
      <c r="S336" s="3" t="s">
        <v>432</v>
      </c>
    </row>
    <row r="337" customFormat="false" ht="15" hidden="false" customHeight="false" outlineLevel="0" collapsed="false">
      <c r="A337" s="3" t="s">
        <v>442</v>
      </c>
      <c r="B337" s="3" t="s">
        <v>431</v>
      </c>
      <c r="C337" s="4" t="n">
        <v>76</v>
      </c>
      <c r="D337" s="5" t="n">
        <v>1800</v>
      </c>
      <c r="E337" s="5"/>
      <c r="F337" s="5" t="n">
        <v>1800</v>
      </c>
      <c r="G337" s="3" t="str">
        <f aca="false">IF(OR(F337="",AND(D337="",E337="")),"n/a",IF(F337=E337,"mastered",IF(F337=D337,"normal","differs")))</f>
        <v>normal</v>
      </c>
      <c r="H337" s="6" t="n">
        <v>100</v>
      </c>
      <c r="I337" s="6"/>
      <c r="J337" s="4" t="n">
        <v>20</v>
      </c>
      <c r="K337" s="4"/>
      <c r="L337" s="7" t="n">
        <v>18.68</v>
      </c>
      <c r="M337" s="8" t="n">
        <v>0.6666666667</v>
      </c>
      <c r="N337" s="3" t="str">
        <f aca="false">IF(L337="","",IF(L337&lt;0,"negative profit",IF(L337&gt;Notes!$B$4,"unusually high - verify","")))</f>
        <v/>
      </c>
      <c r="O337" s="3" t="s">
        <v>29</v>
      </c>
      <c r="P337" s="3" t="str">
        <f aca="false">IF(O337&lt;&gt;"both",O337&amp;" only",IF(Q337="","agree","conflict"))</f>
        <v>agree</v>
      </c>
      <c r="Q337" s="3" t="str">
        <f aca="false">IF(O337="both",TRIM(IF(I337&lt;&gt;"","price ","")&amp;IF(K337&lt;&gt;"","xp ","")&amp;IF(G337="differs","time","")),"")</f>
        <v/>
      </c>
      <c r="R337" s="3" t="s">
        <v>30</v>
      </c>
      <c r="S337" s="3" t="s">
        <v>432</v>
      </c>
    </row>
    <row r="338" customFormat="false" ht="15" hidden="false" customHeight="false" outlineLevel="0" collapsed="false">
      <c r="A338" s="3" t="s">
        <v>443</v>
      </c>
      <c r="B338" s="3" t="s">
        <v>431</v>
      </c>
      <c r="C338" s="4" t="n">
        <v>88</v>
      </c>
      <c r="D338" s="5" t="n">
        <v>1620</v>
      </c>
      <c r="E338" s="5"/>
      <c r="F338" s="5" t="n">
        <v>1620</v>
      </c>
      <c r="G338" s="3" t="str">
        <f aca="false">IF(OR(F338="",AND(D338="",E338="")),"n/a",IF(F338=E338,"mastered",IF(F338=D338,"normal","differs")))</f>
        <v>normal</v>
      </c>
      <c r="H338" s="6" t="n">
        <v>104</v>
      </c>
      <c r="I338" s="6"/>
      <c r="J338" s="4" t="n">
        <v>20</v>
      </c>
      <c r="K338" s="4"/>
      <c r="L338" s="7" t="n">
        <v>20.63703704</v>
      </c>
      <c r="M338" s="8" t="n">
        <v>0.7407407407</v>
      </c>
      <c r="N338" s="3" t="str">
        <f aca="false">IF(L338="","",IF(L338&lt;0,"negative profit",IF(L338&gt;Notes!$B$4,"unusually high - verify","")))</f>
        <v/>
      </c>
      <c r="O338" s="3" t="s">
        <v>29</v>
      </c>
      <c r="P338" s="3" t="str">
        <f aca="false">IF(O338&lt;&gt;"both",O338&amp;" only",IF(Q338="","agree","conflict"))</f>
        <v>agree</v>
      </c>
      <c r="Q338" s="3" t="str">
        <f aca="false">IF(O338="both",TRIM(IF(I338&lt;&gt;"","price ","")&amp;IF(K338&lt;&gt;"","xp ","")&amp;IF(G338="differs","time","")),"")</f>
        <v/>
      </c>
      <c r="R338" s="3" t="s">
        <v>30</v>
      </c>
      <c r="S338" s="3" t="s">
        <v>432</v>
      </c>
    </row>
    <row r="339" customFormat="false" ht="15" hidden="false" customHeight="false" outlineLevel="0" collapsed="false">
      <c r="A339" s="3" t="s">
        <v>444</v>
      </c>
      <c r="B339" s="3" t="s">
        <v>431</v>
      </c>
      <c r="C339" s="4" t="n">
        <v>94</v>
      </c>
      <c r="D339" s="5" t="n">
        <v>1500</v>
      </c>
      <c r="E339" s="5"/>
      <c r="F339" s="5" t="n">
        <v>1620</v>
      </c>
      <c r="G339" s="3" t="str">
        <f aca="false">IF(OR(F339="",AND(D339="",E339="")),"n/a",IF(F339=E339,"mastered",IF(F339=D339,"normal","differs")))</f>
        <v>differs</v>
      </c>
      <c r="H339" s="6" t="n">
        <v>82</v>
      </c>
      <c r="I339" s="6"/>
      <c r="J339" s="4" t="n">
        <v>16</v>
      </c>
      <c r="K339" s="4"/>
      <c r="L339" s="7" t="n">
        <v>17.64444444</v>
      </c>
      <c r="M339" s="8" t="n">
        <v>0.5925925926</v>
      </c>
      <c r="N339" s="3" t="str">
        <f aca="false">IF(L339="","",IF(L339&lt;0,"negative profit",IF(L339&gt;Notes!$B$4,"unusually high - verify","")))</f>
        <v/>
      </c>
      <c r="O339" s="3" t="s">
        <v>29</v>
      </c>
      <c r="P339" s="3" t="str">
        <f aca="false">IF(O339&lt;&gt;"both",O339&amp;" only",IF(Q339="","agree","conflict"))</f>
        <v>conflict</v>
      </c>
      <c r="Q339" s="3" t="str">
        <f aca="false">IF(O339="both",TRIM(IF(I339&lt;&gt;"","price ","")&amp;IF(K339&lt;&gt;"","xp ","")&amp;IF(G339="differs","time","")),"")</f>
        <v>time</v>
      </c>
      <c r="R339" s="3" t="s">
        <v>30</v>
      </c>
      <c r="S339" s="3" t="s">
        <v>432</v>
      </c>
    </row>
    <row r="340" customFormat="false" ht="15" hidden="false" customHeight="false" outlineLevel="0" collapsed="false">
      <c r="A340" s="3" t="s">
        <v>445</v>
      </c>
      <c r="B340" s="3" t="s">
        <v>431</v>
      </c>
      <c r="C340" s="4" t="n">
        <v>97</v>
      </c>
      <c r="D340" s="5" t="n">
        <v>1920</v>
      </c>
      <c r="E340" s="5"/>
      <c r="F340" s="5" t="n">
        <v>1920</v>
      </c>
      <c r="G340" s="3" t="str">
        <f aca="false">IF(OR(F340="",AND(D340="",E340="")),"n/a",IF(F340=E340,"mastered",IF(F340=D340,"normal","differs")))</f>
        <v>normal</v>
      </c>
      <c r="H340" s="6" t="n">
        <v>100</v>
      </c>
      <c r="I340" s="6"/>
      <c r="J340" s="4" t="n">
        <v>20</v>
      </c>
      <c r="K340" s="4"/>
      <c r="L340" s="7" t="n">
        <v>16.8875</v>
      </c>
      <c r="M340" s="8" t="n">
        <v>0.625</v>
      </c>
      <c r="N340" s="3" t="str">
        <f aca="false">IF(L340="","",IF(L340&lt;0,"negative profit",IF(L340&gt;Notes!$B$4,"unusually high - verify","")))</f>
        <v/>
      </c>
      <c r="O340" s="3" t="s">
        <v>29</v>
      </c>
      <c r="P340" s="3" t="str">
        <f aca="false">IF(O340&lt;&gt;"both",O340&amp;" only",IF(Q340="","agree","conflict"))</f>
        <v>agree</v>
      </c>
      <c r="Q340" s="3" t="str">
        <f aca="false">IF(O340="both",TRIM(IF(I340&lt;&gt;"","price ","")&amp;IF(K340&lt;&gt;"","xp ","")&amp;IF(G340="differs","time","")),"")</f>
        <v/>
      </c>
      <c r="R340" s="3" t="s">
        <v>30</v>
      </c>
      <c r="S340" s="3" t="s">
        <v>432</v>
      </c>
    </row>
    <row r="341" customFormat="false" ht="15" hidden="false" customHeight="false" outlineLevel="0" collapsed="false">
      <c r="A341" s="3" t="s">
        <v>446</v>
      </c>
      <c r="B341" s="3" t="s">
        <v>431</v>
      </c>
      <c r="C341" s="4" t="n">
        <v>101</v>
      </c>
      <c r="D341" s="5" t="n">
        <v>2160</v>
      </c>
      <c r="E341" s="5"/>
      <c r="F341" s="5" t="n">
        <v>2160</v>
      </c>
      <c r="G341" s="3" t="str">
        <f aca="false">IF(OR(F341="",AND(D341="",E341="")),"n/a",IF(F341=E341,"mastered",IF(F341=D341,"normal","differs")))</f>
        <v>normal</v>
      </c>
      <c r="H341" s="6" t="n">
        <v>108</v>
      </c>
      <c r="I341" s="6"/>
      <c r="J341" s="4" t="n">
        <v>21</v>
      </c>
      <c r="K341" s="4"/>
      <c r="L341" s="7" t="n">
        <v>16.5</v>
      </c>
      <c r="M341" s="8" t="n">
        <v>0.5833333333</v>
      </c>
      <c r="N341" s="3" t="str">
        <f aca="false">IF(L341="","",IF(L341&lt;0,"negative profit",IF(L341&gt;Notes!$B$4,"unusually high - verify","")))</f>
        <v/>
      </c>
      <c r="O341" s="3" t="s">
        <v>29</v>
      </c>
      <c r="P341" s="3" t="str">
        <f aca="false">IF(O341&lt;&gt;"both",O341&amp;" only",IF(Q341="","agree","conflict"))</f>
        <v>agree</v>
      </c>
      <c r="Q341" s="3" t="str">
        <f aca="false">IF(O341="both",TRIM(IF(I341&lt;&gt;"","price ","")&amp;IF(K341&lt;&gt;"","xp ","")&amp;IF(G341="differs","time","")),"")</f>
        <v/>
      </c>
      <c r="R341" s="3" t="s">
        <v>30</v>
      </c>
      <c r="S341" s="3" t="s">
        <v>432</v>
      </c>
    </row>
    <row r="342" customFormat="false" ht="15" hidden="false" customHeight="false" outlineLevel="0" collapsed="false">
      <c r="A342" s="3" t="s">
        <v>447</v>
      </c>
      <c r="B342" s="3" t="s">
        <v>431</v>
      </c>
      <c r="C342" s="4" t="n">
        <v>104</v>
      </c>
      <c r="D342" s="5" t="n">
        <v>2040</v>
      </c>
      <c r="E342" s="5"/>
      <c r="F342" s="5" t="n">
        <v>2040</v>
      </c>
      <c r="G342" s="3" t="str">
        <f aca="false">IF(OR(F342="",AND(D342="",E342="")),"n/a",IF(F342=E342,"mastered",IF(F342=D342,"normal","differs")))</f>
        <v>normal</v>
      </c>
      <c r="H342" s="6" t="n">
        <v>111</v>
      </c>
      <c r="I342" s="6"/>
      <c r="J342" s="4" t="n">
        <v>22</v>
      </c>
      <c r="K342" s="4"/>
      <c r="L342" s="7" t="n">
        <v>17.37647059</v>
      </c>
      <c r="M342" s="8" t="n">
        <v>0.6470588235</v>
      </c>
      <c r="N342" s="3" t="str">
        <f aca="false">IF(L342="","",IF(L342&lt;0,"negative profit",IF(L342&gt;Notes!$B$4,"unusually high - verify","")))</f>
        <v/>
      </c>
      <c r="O342" s="3" t="s">
        <v>29</v>
      </c>
      <c r="P342" s="3" t="str">
        <f aca="false">IF(O342&lt;&gt;"both",O342&amp;" only",IF(Q342="","agree","conflict"))</f>
        <v>agree</v>
      </c>
      <c r="Q342" s="3" t="str">
        <f aca="false">IF(O342="both",TRIM(IF(I342&lt;&gt;"","price ","")&amp;IF(K342&lt;&gt;"","xp ","")&amp;IF(G342="differs","time","")),"")</f>
        <v/>
      </c>
      <c r="R342" s="3" t="s">
        <v>30</v>
      </c>
      <c r="S342" s="3" t="s">
        <v>432</v>
      </c>
    </row>
    <row r="343" customFormat="false" ht="15" hidden="false" customHeight="false" outlineLevel="0" collapsed="false">
      <c r="A343" s="3" t="s">
        <v>448</v>
      </c>
      <c r="B343" s="3" t="s">
        <v>431</v>
      </c>
      <c r="C343" s="4" t="n">
        <v>107</v>
      </c>
      <c r="D343" s="5" t="n">
        <v>1620</v>
      </c>
      <c r="E343" s="5"/>
      <c r="F343" s="5"/>
      <c r="G343" s="3" t="str">
        <f aca="false">IF(OR(F343="",AND(D343="",E343="")),"n/a",IF(F343=E343,"mastered",IF(F343=D343,"normal","differs")))</f>
        <v>n/a</v>
      </c>
      <c r="H343" s="6"/>
      <c r="I343" s="6"/>
      <c r="J343" s="4"/>
      <c r="K343" s="4"/>
      <c r="L343" s="7"/>
      <c r="M343" s="8"/>
      <c r="N343" s="3" t="str">
        <f aca="false">IF(L343="","",IF(L343&lt;0,"negative profit",IF(L343&gt;Notes!$B$4,"unusually high - verify","")))</f>
        <v/>
      </c>
      <c r="O343" s="3" t="s">
        <v>449</v>
      </c>
      <c r="P343" s="3" t="str">
        <f aca="false">IF(O343&lt;&gt;"both",O343&amp;" only",IF(Q343="","agree","conflict"))</f>
        <v>Fandom only</v>
      </c>
      <c r="Q343" s="3" t="str">
        <f aca="false">IF(O343="both",TRIM(IF(I343&lt;&gt;"","price ","")&amp;IF(K343&lt;&gt;"","xp ","")&amp;IF(G343="differs","time","")),"")</f>
        <v/>
      </c>
      <c r="R343" s="3" t="s">
        <v>450</v>
      </c>
      <c r="S343" s="3" t="s">
        <v>432</v>
      </c>
    </row>
    <row r="344" customFormat="false" ht="15" hidden="false" customHeight="false" outlineLevel="0" collapsed="false">
      <c r="A344" s="3" t="s">
        <v>451</v>
      </c>
      <c r="B344" s="3" t="s">
        <v>452</v>
      </c>
      <c r="C344" s="4" t="n">
        <v>69</v>
      </c>
      <c r="D344" s="5" t="n">
        <v>60</v>
      </c>
      <c r="E344" s="5" t="n">
        <v>51</v>
      </c>
      <c r="F344" s="5" t="n">
        <v>51</v>
      </c>
      <c r="G344" s="3" t="str">
        <f aca="false">IF(OR(F344="",AND(D344="",E344="")),"n/a",IF(F344=E344,"mastered",IF(F344=D344,"normal","differs")))</f>
        <v>mastered</v>
      </c>
      <c r="H344" s="6" t="n">
        <v>205</v>
      </c>
      <c r="I344" s="6"/>
      <c r="J344" s="4" t="n">
        <v>24</v>
      </c>
      <c r="K344" s="4"/>
      <c r="L344" s="7" t="n">
        <v>29.41176471</v>
      </c>
      <c r="M344" s="8" t="n">
        <v>28.23529412</v>
      </c>
      <c r="N344" s="3" t="str">
        <f aca="false">IF(L344="","",IF(L344&lt;0,"negative profit",IF(L344&gt;Notes!$B$4,"unusually high - verify","")))</f>
        <v/>
      </c>
      <c r="O344" s="3" t="s">
        <v>29</v>
      </c>
      <c r="P344" s="3" t="str">
        <f aca="false">IF(O344&lt;&gt;"both",O344&amp;" only",IF(Q344="","agree","conflict"))</f>
        <v>agree</v>
      </c>
      <c r="Q344" s="3" t="str">
        <f aca="false">IF(O344="both",TRIM(IF(I344&lt;&gt;"","price ","")&amp;IF(K344&lt;&gt;"","xp ","")&amp;IF(G344="differs","time","")),"")</f>
        <v/>
      </c>
      <c r="R344" s="3" t="s">
        <v>30</v>
      </c>
      <c r="S344" s="3" t="s">
        <v>453</v>
      </c>
    </row>
    <row r="345" customFormat="false" ht="15" hidden="false" customHeight="false" outlineLevel="0" collapsed="false">
      <c r="A345" s="3" t="s">
        <v>454</v>
      </c>
      <c r="B345" s="3" t="s">
        <v>452</v>
      </c>
      <c r="C345" s="4" t="n">
        <v>79</v>
      </c>
      <c r="D345" s="5" t="n">
        <v>90</v>
      </c>
      <c r="E345" s="5" t="n">
        <v>76</v>
      </c>
      <c r="F345" s="5" t="n">
        <v>76</v>
      </c>
      <c r="G345" s="3" t="str">
        <f aca="false">IF(OR(F345="",AND(D345="",E345="")),"n/a",IF(F345=E345,"mastered",IF(F345=D345,"normal","differs")))</f>
        <v>mastered</v>
      </c>
      <c r="H345" s="6" t="n">
        <v>543</v>
      </c>
      <c r="I345" s="6"/>
      <c r="J345" s="4" t="n">
        <v>65</v>
      </c>
      <c r="K345" s="4"/>
      <c r="L345" s="7" t="n">
        <v>26.66666667</v>
      </c>
      <c r="M345" s="8" t="n">
        <v>50.98039216</v>
      </c>
      <c r="N345" s="3" t="str">
        <f aca="false">IF(L345="","",IF(L345&lt;0,"negative profit",IF(L345&gt;Notes!$B$4,"unusually high - verify","")))</f>
        <v/>
      </c>
      <c r="O345" s="3" t="s">
        <v>29</v>
      </c>
      <c r="P345" s="3" t="str">
        <f aca="false">IF(O345&lt;&gt;"both",O345&amp;" only",IF(Q345="","agree","conflict"))</f>
        <v>agree</v>
      </c>
      <c r="Q345" s="3" t="str">
        <f aca="false">IF(O345="both",TRIM(IF(I345&lt;&gt;"","price ","")&amp;IF(K345&lt;&gt;"","xp ","")&amp;IF(G345="differs","time","")),"")</f>
        <v/>
      </c>
      <c r="R345" s="3" t="s">
        <v>30</v>
      </c>
      <c r="S345" s="3" t="s">
        <v>453</v>
      </c>
    </row>
    <row r="346" customFormat="false" ht="15" hidden="false" customHeight="false" outlineLevel="0" collapsed="false">
      <c r="A346" s="3" t="s">
        <v>455</v>
      </c>
      <c r="B346" s="3" t="s">
        <v>452</v>
      </c>
      <c r="C346" s="4" t="n">
        <v>86</v>
      </c>
      <c r="D346" s="5" t="n">
        <v>45</v>
      </c>
      <c r="E346" s="5" t="n">
        <v>38</v>
      </c>
      <c r="F346" s="5" t="n">
        <v>38</v>
      </c>
      <c r="G346" s="3" t="str">
        <f aca="false">IF(OR(F346="",AND(D346="",E346="")),"n/a",IF(F346=E346,"mastered",IF(F346=D346,"normal","differs")))</f>
        <v>mastered</v>
      </c>
      <c r="H346" s="6" t="n">
        <v>669</v>
      </c>
      <c r="I346" s="6"/>
      <c r="J346" s="4" t="n">
        <v>80</v>
      </c>
      <c r="K346" s="4"/>
      <c r="L346" s="7" t="n">
        <v>240</v>
      </c>
      <c r="M346" s="8" t="n">
        <v>125.4901961</v>
      </c>
      <c r="N346" s="3" t="str">
        <f aca="false">IF(L346="","",IF(L346&lt;0,"negative profit",IF(L346&gt;Notes!$B$4,"unusually high - verify","")))</f>
        <v>unusually high - verify</v>
      </c>
      <c r="O346" s="3" t="s">
        <v>29</v>
      </c>
      <c r="P346" s="3" t="str">
        <f aca="false">IF(O346&lt;&gt;"both",O346&amp;" only",IF(Q346="","agree","conflict"))</f>
        <v>agree</v>
      </c>
      <c r="Q346" s="3" t="str">
        <f aca="false">IF(O346="both",TRIM(IF(I346&lt;&gt;"","price ","")&amp;IF(K346&lt;&gt;"","xp ","")&amp;IF(G346="differs","time","")),"")</f>
        <v/>
      </c>
      <c r="R346" s="3" t="s">
        <v>30</v>
      </c>
      <c r="S346" s="3" t="s">
        <v>453</v>
      </c>
    </row>
    <row r="347" customFormat="false" ht="15" hidden="false" customHeight="false" outlineLevel="0" collapsed="false">
      <c r="A347" s="3" t="s">
        <v>456</v>
      </c>
      <c r="B347" s="3" t="s">
        <v>452</v>
      </c>
      <c r="C347" s="4" t="n">
        <v>89</v>
      </c>
      <c r="D347" s="5" t="n">
        <v>75</v>
      </c>
      <c r="E347" s="5" t="n">
        <v>63</v>
      </c>
      <c r="F347" s="5" t="n">
        <v>63</v>
      </c>
      <c r="G347" s="3" t="str">
        <f aca="false">IF(OR(F347="",AND(D347="",E347="")),"n/a",IF(F347=E347,"mastered",IF(F347=D347,"normal","differs")))</f>
        <v>mastered</v>
      </c>
      <c r="H347" s="6" t="n">
        <v>306</v>
      </c>
      <c r="I347" s="6"/>
      <c r="J347" s="4" t="n">
        <v>37</v>
      </c>
      <c r="K347" s="4"/>
      <c r="L347" s="7" t="n">
        <v>39.52941176</v>
      </c>
      <c r="M347" s="8" t="n">
        <v>34.82352941</v>
      </c>
      <c r="N347" s="3" t="str">
        <f aca="false">IF(L347="","",IF(L347&lt;0,"negative profit",IF(L347&gt;Notes!$B$4,"unusually high - verify","")))</f>
        <v/>
      </c>
      <c r="O347" s="3" t="s">
        <v>29</v>
      </c>
      <c r="P347" s="3" t="str">
        <f aca="false">IF(O347&lt;&gt;"both",O347&amp;" only",IF(Q347="","agree","conflict"))</f>
        <v>agree</v>
      </c>
      <c r="Q347" s="3" t="str">
        <f aca="false">IF(O347="both",TRIM(IF(I347&lt;&gt;"","price ","")&amp;IF(K347&lt;&gt;"","xp ","")&amp;IF(G347="differs","time","")),"")</f>
        <v/>
      </c>
      <c r="R347" s="3" t="s">
        <v>30</v>
      </c>
      <c r="S347" s="3" t="s">
        <v>453</v>
      </c>
    </row>
    <row r="348" customFormat="false" ht="15" hidden="false" customHeight="false" outlineLevel="0" collapsed="false">
      <c r="A348" s="3" t="s">
        <v>457</v>
      </c>
      <c r="B348" s="3" t="s">
        <v>458</v>
      </c>
      <c r="C348" s="4" t="n">
        <v>103</v>
      </c>
      <c r="D348" s="5"/>
      <c r="E348" s="5" t="n">
        <v>102</v>
      </c>
      <c r="F348" s="5" t="n">
        <v>102</v>
      </c>
      <c r="G348" s="3" t="str">
        <f aca="false">IF(OR(F348="",AND(D348="",E348="")),"n/a",IF(F348=E348,"mastered",IF(F348=D348,"normal","differs")))</f>
        <v>mastered</v>
      </c>
      <c r="H348" s="6" t="n">
        <v>234</v>
      </c>
      <c r="I348" s="6"/>
      <c r="J348" s="4" t="n">
        <v>28</v>
      </c>
      <c r="K348" s="4"/>
      <c r="L348" s="7" t="n">
        <v>22.35294118</v>
      </c>
      <c r="M348" s="8" t="n">
        <v>16.47058824</v>
      </c>
      <c r="N348" s="3" t="str">
        <f aca="false">IF(L348="","",IF(L348&lt;0,"negative profit",IF(L348&gt;Notes!$B$4,"unusually high - verify","")))</f>
        <v/>
      </c>
      <c r="O348" s="3" t="s">
        <v>29</v>
      </c>
      <c r="P348" s="3" t="str">
        <f aca="false">IF(O348&lt;&gt;"both",O348&amp;" only",IF(Q348="","agree","conflict"))</f>
        <v>agree</v>
      </c>
      <c r="Q348" s="3" t="str">
        <f aca="false">IF(O348="both",TRIM(IF(I348&lt;&gt;"","price ","")&amp;IF(K348&lt;&gt;"","xp ","")&amp;IF(G348="differs","time","")),"")</f>
        <v/>
      </c>
      <c r="R348" s="3" t="s">
        <v>30</v>
      </c>
      <c r="S348" s="3" t="s">
        <v>459</v>
      </c>
    </row>
    <row r="349" customFormat="false" ht="15" hidden="false" customHeight="false" outlineLevel="0" collapsed="false">
      <c r="A349" s="3" t="s">
        <v>460</v>
      </c>
      <c r="B349" s="3" t="s">
        <v>458</v>
      </c>
      <c r="C349" s="4" t="n">
        <v>105</v>
      </c>
      <c r="D349" s="5"/>
      <c r="E349" s="5" t="n">
        <v>34</v>
      </c>
      <c r="F349" s="5" t="n">
        <v>34</v>
      </c>
      <c r="G349" s="3" t="str">
        <f aca="false">IF(OR(F349="",AND(D349="",E349="")),"n/a",IF(F349=E349,"mastered",IF(F349=D349,"normal","differs")))</f>
        <v>mastered</v>
      </c>
      <c r="H349" s="6" t="n">
        <v>529</v>
      </c>
      <c r="I349" s="6"/>
      <c r="J349" s="4" t="n">
        <v>63</v>
      </c>
      <c r="K349" s="4"/>
      <c r="L349" s="7" t="n">
        <v>44.11764706</v>
      </c>
      <c r="M349" s="8" t="n">
        <v>111.1764706</v>
      </c>
      <c r="N349" s="3" t="str">
        <f aca="false">IF(L349="","",IF(L349&lt;0,"negative profit",IF(L349&gt;Notes!$B$4,"unusually high - verify","")))</f>
        <v/>
      </c>
      <c r="O349" s="3" t="s">
        <v>29</v>
      </c>
      <c r="P349" s="3" t="str">
        <f aca="false">IF(O349&lt;&gt;"both",O349&amp;" only",IF(Q349="","agree","conflict"))</f>
        <v>agree</v>
      </c>
      <c r="Q349" s="3" t="str">
        <f aca="false">IF(O349="both",TRIM(IF(I349&lt;&gt;"","price ","")&amp;IF(K349&lt;&gt;"","xp ","")&amp;IF(G349="differs","time","")),"")</f>
        <v/>
      </c>
      <c r="R349" s="3" t="s">
        <v>30</v>
      </c>
      <c r="S349" s="3" t="s">
        <v>459</v>
      </c>
    </row>
    <row r="350" customFormat="false" ht="15" hidden="false" customHeight="false" outlineLevel="0" collapsed="false">
      <c r="A350" s="3" t="s">
        <v>461</v>
      </c>
      <c r="B350" s="3" t="s">
        <v>458</v>
      </c>
      <c r="C350" s="4" t="n">
        <v>109</v>
      </c>
      <c r="D350" s="5"/>
      <c r="E350" s="5" t="n">
        <v>51</v>
      </c>
      <c r="F350" s="5" t="n">
        <v>51</v>
      </c>
      <c r="G350" s="3" t="str">
        <f aca="false">IF(OR(F350="",AND(D350="",E350="")),"n/a",IF(F350=E350,"mastered",IF(F350=D350,"normal","differs")))</f>
        <v>mastered</v>
      </c>
      <c r="H350" s="6" t="n">
        <v>457</v>
      </c>
      <c r="I350" s="6"/>
      <c r="J350" s="4" t="n">
        <v>54</v>
      </c>
      <c r="K350" s="4"/>
      <c r="L350" s="7" t="n">
        <v>-210.5882353</v>
      </c>
      <c r="M350" s="8" t="n">
        <v>63.52941176</v>
      </c>
      <c r="N350" s="3" t="str">
        <f aca="false">IF(L350="","",IF(L350&lt;0,"negative profit",IF(L350&gt;Notes!$B$4,"unusually high - verify","")))</f>
        <v>negative profit</v>
      </c>
      <c r="O350" s="3" t="s">
        <v>29</v>
      </c>
      <c r="P350" s="3" t="str">
        <f aca="false">IF(O350&lt;&gt;"both",O350&amp;" only",IF(Q350="","agree","conflict"))</f>
        <v>agree</v>
      </c>
      <c r="Q350" s="3" t="str">
        <f aca="false">IF(O350="both",TRIM(IF(I350&lt;&gt;"","price ","")&amp;IF(K350&lt;&gt;"","xp ","")&amp;IF(G350="differs","time","")),"")</f>
        <v/>
      </c>
      <c r="R350" s="3" t="s">
        <v>30</v>
      </c>
      <c r="S350" s="3" t="s">
        <v>459</v>
      </c>
    </row>
    <row r="351" customFormat="false" ht="15" hidden="false" customHeight="false" outlineLevel="0" collapsed="false">
      <c r="A351" s="3" t="s">
        <v>462</v>
      </c>
      <c r="B351" s="3" t="s">
        <v>458</v>
      </c>
      <c r="C351" s="4" t="n">
        <v>119</v>
      </c>
      <c r="D351" s="5"/>
      <c r="E351" s="5" t="n">
        <v>42</v>
      </c>
      <c r="F351" s="5"/>
      <c r="G351" s="3" t="str">
        <f aca="false">IF(OR(F351="",AND(D351="",E351="")),"n/a",IF(F351=E351,"mastered",IF(F351=D351,"normal","differs")))</f>
        <v>n/a</v>
      </c>
      <c r="H351" s="6" t="n">
        <v>604</v>
      </c>
      <c r="I351" s="6"/>
      <c r="J351" s="4" t="n">
        <v>72</v>
      </c>
      <c r="K351" s="4"/>
      <c r="L351" s="7"/>
      <c r="M351" s="8"/>
      <c r="N351" s="3" t="str">
        <f aca="false">IF(L351="","",IF(L351&lt;0,"negative profit",IF(L351&gt;Notes!$B$4,"unusually high - verify","")))</f>
        <v/>
      </c>
      <c r="O351" s="3" t="s">
        <v>449</v>
      </c>
      <c r="P351" s="3" t="str">
        <f aca="false">IF(O351&lt;&gt;"both",O351&amp;" only",IF(Q351="","agree","conflict"))</f>
        <v>Fandom only</v>
      </c>
      <c r="Q351" s="3" t="str">
        <f aca="false">IF(O351="both",TRIM(IF(I351&lt;&gt;"","price ","")&amp;IF(K351&lt;&gt;"","xp ","")&amp;IF(G351="differs","time","")),"")</f>
        <v/>
      </c>
      <c r="R351" s="3" t="s">
        <v>450</v>
      </c>
      <c r="S351" s="3" t="s">
        <v>459</v>
      </c>
    </row>
  </sheetData>
  <autoFilter ref="A1:S351"/>
  <conditionalFormatting sqref="P2:P351">
    <cfRule type="expression" priority="2" aboveAverage="0" equalAverage="0" bottom="0" percent="0" rank="0" text="" dxfId="7">
      <formula>P2="conflict"</formula>
    </cfRule>
  </conditionalFormatting>
  <conditionalFormatting sqref="G2:G351">
    <cfRule type="expression" priority="3" aboveAverage="0" equalAverage="0" bottom="0" percent="0" rank="0" text="" dxfId="7">
      <formula>G2="differs"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9" width="34"/>
    <col collapsed="false" customWidth="true" hidden="false" outlineLevel="0" max="2" min="2" style="9" width="22"/>
    <col collapsed="false" customWidth="true" hidden="false" outlineLevel="0" max="3" min="3" style="9" width="8"/>
    <col collapsed="false" customWidth="true" hidden="false" outlineLevel="0" max="5" min="4" style="9" width="11"/>
    <col collapsed="false" customWidth="true" hidden="false" outlineLevel="0" max="6" min="6" style="9" width="7"/>
    <col collapsed="false" customWidth="true" hidden="false" outlineLevel="0" max="7" min="7" style="9" width="15"/>
    <col collapsed="false" customWidth="true" hidden="false" outlineLevel="0" max="8" min="8" style="9" width="13"/>
    <col collapsed="false" customWidth="true" hidden="false" outlineLevel="0" max="9" min="9" style="9" width="24"/>
    <col collapsed="false" customWidth="true" hidden="false" outlineLevel="0" max="10" min="10" style="9" width="72"/>
  </cols>
  <sheetData>
    <row r="1" customFormat="false" ht="30" hidden="false" customHeight="true" outlineLevel="0" collapsed="false">
      <c r="A1" s="1" t="s">
        <v>0</v>
      </c>
      <c r="B1" s="1" t="s">
        <v>1</v>
      </c>
      <c r="C1" s="1" t="s">
        <v>2</v>
      </c>
      <c r="D1" s="1" t="s">
        <v>463</v>
      </c>
      <c r="E1" s="1" t="s">
        <v>7</v>
      </c>
      <c r="F1" s="1" t="s">
        <v>9</v>
      </c>
      <c r="G1" s="1" t="s">
        <v>11</v>
      </c>
      <c r="H1" s="1" t="s">
        <v>12</v>
      </c>
      <c r="I1" s="1" t="s">
        <v>13</v>
      </c>
      <c r="J1" s="1" t="s">
        <v>17</v>
      </c>
    </row>
    <row r="2" customFormat="false" ht="15" hidden="false" customHeight="true" outlineLevel="0" collapsed="false">
      <c r="A2" s="10" t="s">
        <v>19</v>
      </c>
      <c r="B2" s="10" t="s">
        <v>20</v>
      </c>
      <c r="C2" s="11" t="n">
        <v>1</v>
      </c>
      <c r="D2" s="12" t="n">
        <v>20</v>
      </c>
      <c r="E2" s="13" t="n">
        <v>18</v>
      </c>
      <c r="F2" s="11" t="n">
        <v>2</v>
      </c>
      <c r="G2" s="14" t="n">
        <v>33</v>
      </c>
      <c r="H2" s="15" t="n">
        <v>6</v>
      </c>
      <c r="I2" s="10" t="str">
        <f aca="false">IF(G2&lt;0,"negative profit",IF(G2&gt;Notes!$B$4,"unusually high - verify",""))</f>
        <v/>
      </c>
      <c r="J2" s="10" t="s">
        <v>464</v>
      </c>
    </row>
    <row r="3" customFormat="false" ht="15" hidden="false" customHeight="true" outlineLevel="0" collapsed="false">
      <c r="A3" s="10" t="s">
        <v>23</v>
      </c>
      <c r="B3" s="10" t="s">
        <v>20</v>
      </c>
      <c r="C3" s="11" t="n">
        <v>6</v>
      </c>
      <c r="D3" s="12" t="n">
        <v>60</v>
      </c>
      <c r="E3" s="13" t="n">
        <v>32</v>
      </c>
      <c r="F3" s="11" t="n">
        <v>3</v>
      </c>
      <c r="G3" s="14" t="n">
        <v>18</v>
      </c>
      <c r="H3" s="15" t="n">
        <v>3</v>
      </c>
      <c r="I3" s="10" t="str">
        <f aca="false">IF(G3&lt;0,"negative profit",IF(G3&gt;Notes!$B$4,"unusually high - verify",""))</f>
        <v/>
      </c>
      <c r="J3" s="10" t="s">
        <v>464</v>
      </c>
    </row>
    <row r="4" customFormat="false" ht="15" hidden="false" customHeight="true" outlineLevel="0" collapsed="false">
      <c r="A4" s="10" t="s">
        <v>24</v>
      </c>
      <c r="B4" s="10" t="s">
        <v>20</v>
      </c>
      <c r="C4" s="11" t="n">
        <v>10</v>
      </c>
      <c r="D4" s="12" t="n">
        <v>240</v>
      </c>
      <c r="E4" s="13" t="n">
        <v>50</v>
      </c>
      <c r="F4" s="11" t="n">
        <v>5</v>
      </c>
      <c r="G4" s="14" t="n">
        <v>-2.5</v>
      </c>
      <c r="H4" s="15" t="n">
        <v>1.25</v>
      </c>
      <c r="I4" s="10" t="str">
        <f aca="false">IF(G4&lt;0,"negative profit",IF(G4&gt;Notes!$B$4,"unusually high - verify",""))</f>
        <v>negative profit</v>
      </c>
      <c r="J4" s="10" t="s">
        <v>464</v>
      </c>
    </row>
    <row r="5" customFormat="false" ht="15" hidden="false" customHeight="true" outlineLevel="0" collapsed="false">
      <c r="A5" s="10" t="s">
        <v>25</v>
      </c>
      <c r="B5" s="10" t="s">
        <v>20</v>
      </c>
      <c r="C5" s="11" t="n">
        <v>16</v>
      </c>
      <c r="D5" s="12" t="n">
        <v>360</v>
      </c>
      <c r="E5" s="13" t="n">
        <v>54</v>
      </c>
      <c r="F5" s="11" t="n">
        <v>5</v>
      </c>
      <c r="G5" s="14" t="n">
        <v>-0.8333333333</v>
      </c>
      <c r="H5" s="15" t="n">
        <v>0.8333333333</v>
      </c>
      <c r="I5" s="10" t="str">
        <f aca="false">IF(G5&lt;0,"negative profit",IF(G5&gt;Notes!$B$4,"unusually high - verify",""))</f>
        <v>negative profit</v>
      </c>
      <c r="J5" s="10" t="s">
        <v>464</v>
      </c>
    </row>
    <row r="6" customFormat="false" ht="15" hidden="false" customHeight="true" outlineLevel="0" collapsed="false">
      <c r="A6" s="10" t="s">
        <v>465</v>
      </c>
      <c r="B6" s="10" t="s">
        <v>20</v>
      </c>
      <c r="C6" s="11" t="n">
        <v>32</v>
      </c>
      <c r="D6" s="12" t="n">
        <v>480</v>
      </c>
      <c r="E6" s="13" t="n">
        <v>64</v>
      </c>
      <c r="F6" s="11" t="n">
        <v>6</v>
      </c>
      <c r="G6" s="14" t="n">
        <v>-1.25</v>
      </c>
      <c r="H6" s="15" t="n">
        <v>0.75</v>
      </c>
      <c r="I6" s="10" t="str">
        <f aca="false">IF(G6&lt;0,"negative profit",IF(G6&gt;Notes!$B$4,"unusually high - verify",""))</f>
        <v>negative profit</v>
      </c>
      <c r="J6" s="10" t="s">
        <v>464</v>
      </c>
    </row>
    <row r="7" customFormat="false" ht="15" hidden="false" customHeight="true" outlineLevel="0" collapsed="false">
      <c r="A7" s="10" t="s">
        <v>27</v>
      </c>
      <c r="B7" s="10" t="s">
        <v>28</v>
      </c>
      <c r="C7" s="11" t="n">
        <v>2</v>
      </c>
      <c r="D7" s="12" t="n">
        <v>4</v>
      </c>
      <c r="E7" s="13" t="n">
        <v>21</v>
      </c>
      <c r="F7" s="11" t="n">
        <v>3</v>
      </c>
      <c r="G7" s="14" t="n">
        <v>169.4117647</v>
      </c>
      <c r="H7" s="15" t="n">
        <v>42.35294118</v>
      </c>
      <c r="I7" s="10" t="str">
        <f aca="false">IF(G7&lt;0,"negative profit",IF(G7&gt;Notes!$B$4,"unusually high - verify",""))</f>
        <v/>
      </c>
      <c r="J7" s="10" t="s">
        <v>464</v>
      </c>
    </row>
    <row r="8" customFormat="false" ht="15" hidden="false" customHeight="true" outlineLevel="0" collapsed="false">
      <c r="A8" s="10" t="s">
        <v>466</v>
      </c>
      <c r="B8" s="10" t="s">
        <v>28</v>
      </c>
      <c r="C8" s="11" t="n">
        <v>7</v>
      </c>
      <c r="D8" s="12" t="n">
        <v>25</v>
      </c>
      <c r="E8" s="13" t="n">
        <v>72</v>
      </c>
      <c r="F8" s="11" t="n">
        <v>8</v>
      </c>
      <c r="G8" s="14" t="n">
        <v>51.76470588</v>
      </c>
      <c r="H8" s="15" t="n">
        <v>18.82352941</v>
      </c>
      <c r="I8" s="10" t="str">
        <f aca="false">IF(G8&lt;0,"negative profit",IF(G8&gt;Notes!$B$4,"unusually high - verify",""))</f>
        <v/>
      </c>
      <c r="J8" s="10" t="s">
        <v>464</v>
      </c>
    </row>
    <row r="9" customFormat="false" ht="15" hidden="false" customHeight="true" outlineLevel="0" collapsed="false">
      <c r="A9" s="10" t="s">
        <v>33</v>
      </c>
      <c r="B9" s="10" t="s">
        <v>28</v>
      </c>
      <c r="C9" s="11" t="n">
        <v>10</v>
      </c>
      <c r="D9" s="12" t="n">
        <v>51</v>
      </c>
      <c r="E9" s="13" t="n">
        <v>104</v>
      </c>
      <c r="F9" s="11" t="n">
        <v>13</v>
      </c>
      <c r="G9" s="14" t="n">
        <v>35.29411765</v>
      </c>
      <c r="H9" s="15" t="n">
        <v>15.29411765</v>
      </c>
      <c r="I9" s="10" t="str">
        <f aca="false">IF(G9&lt;0,"negative profit",IF(G9&gt;Notes!$B$4,"unusually high - verify",""))</f>
        <v/>
      </c>
      <c r="J9" s="10" t="s">
        <v>464</v>
      </c>
    </row>
    <row r="10" customFormat="false" ht="15" hidden="false" customHeight="true" outlineLevel="0" collapsed="false">
      <c r="A10" s="10" t="s">
        <v>467</v>
      </c>
      <c r="B10" s="10" t="s">
        <v>28</v>
      </c>
      <c r="C10" s="11" t="n">
        <v>19</v>
      </c>
      <c r="D10" s="12" t="n">
        <v>38</v>
      </c>
      <c r="E10" s="13" t="n">
        <v>140</v>
      </c>
      <c r="F10" s="11" t="n">
        <v>17</v>
      </c>
      <c r="G10" s="14" t="n">
        <v>37.64705882</v>
      </c>
      <c r="H10" s="15" t="n">
        <v>26.66666667</v>
      </c>
      <c r="I10" s="10" t="str">
        <f aca="false">IF(G10&lt;0,"negative profit",IF(G10&gt;Notes!$B$4,"unusually high - verify",""))</f>
        <v/>
      </c>
      <c r="J10" s="10" t="s">
        <v>464</v>
      </c>
    </row>
    <row r="11" customFormat="false" ht="15" hidden="false" customHeight="true" outlineLevel="0" collapsed="false">
      <c r="A11" s="10" t="s">
        <v>468</v>
      </c>
      <c r="B11" s="10" t="s">
        <v>28</v>
      </c>
      <c r="C11" s="11" t="n">
        <v>26</v>
      </c>
      <c r="D11" s="12" t="n">
        <v>38</v>
      </c>
      <c r="E11" s="13" t="n">
        <v>226</v>
      </c>
      <c r="F11" s="11" t="n">
        <v>27</v>
      </c>
      <c r="G11" s="14" t="n">
        <v>36.07843137</v>
      </c>
      <c r="H11" s="15" t="n">
        <v>42.35294118</v>
      </c>
      <c r="I11" s="10" t="str">
        <f aca="false">IF(G11&lt;0,"negative profit",IF(G11&gt;Notes!$B$4,"unusually high - verify",""))</f>
        <v/>
      </c>
      <c r="J11" s="10" t="s">
        <v>464</v>
      </c>
    </row>
    <row r="12" customFormat="false" ht="15" hidden="false" customHeight="true" outlineLevel="0" collapsed="false">
      <c r="A12" s="10" t="s">
        <v>36</v>
      </c>
      <c r="B12" s="10" t="s">
        <v>28</v>
      </c>
      <c r="C12" s="11" t="n">
        <v>33</v>
      </c>
      <c r="D12" s="12" t="n">
        <v>12</v>
      </c>
      <c r="E12" s="13" t="n">
        <v>190</v>
      </c>
      <c r="F12" s="11" t="n">
        <v>23</v>
      </c>
      <c r="G12" s="14" t="n">
        <v>89.41176471</v>
      </c>
      <c r="H12" s="15" t="n">
        <v>108.2352941</v>
      </c>
      <c r="I12" s="10" t="str">
        <f aca="false">IF(G12&lt;0,"negative profit",IF(G12&gt;Notes!$B$4,"unusually high - verify",""))</f>
        <v/>
      </c>
      <c r="J12" s="10" t="s">
        <v>464</v>
      </c>
    </row>
    <row r="13" customFormat="false" ht="15" hidden="false" customHeight="true" outlineLevel="0" collapsed="false">
      <c r="A13" s="10" t="s">
        <v>469</v>
      </c>
      <c r="B13" s="10" t="s">
        <v>28</v>
      </c>
      <c r="C13" s="11" t="n">
        <v>37</v>
      </c>
      <c r="D13" s="12" t="n">
        <v>12</v>
      </c>
      <c r="E13" s="13" t="n">
        <v>226</v>
      </c>
      <c r="F13" s="11" t="n">
        <v>27</v>
      </c>
      <c r="G13" s="14" t="n">
        <v>89.41176471</v>
      </c>
      <c r="H13" s="15" t="n">
        <v>127.0588235</v>
      </c>
      <c r="I13" s="10" t="str">
        <f aca="false">IF(G13&lt;0,"negative profit",IF(G13&gt;Notes!$B$4,"unusually high - verify",""))</f>
        <v/>
      </c>
      <c r="J13" s="10" t="s">
        <v>464</v>
      </c>
    </row>
    <row r="14" customFormat="false" ht="15" hidden="false" customHeight="true" outlineLevel="0" collapsed="false">
      <c r="A14" s="10" t="s">
        <v>470</v>
      </c>
      <c r="B14" s="10" t="s">
        <v>28</v>
      </c>
      <c r="C14" s="11" t="n">
        <v>39</v>
      </c>
      <c r="D14" s="12" t="n">
        <v>38</v>
      </c>
      <c r="E14" s="13" t="n">
        <v>284</v>
      </c>
      <c r="F14" s="11" t="n">
        <v>34</v>
      </c>
      <c r="G14" s="14" t="n">
        <v>40.78431373</v>
      </c>
      <c r="H14" s="15" t="n">
        <v>53.33333333</v>
      </c>
      <c r="I14" s="10" t="str">
        <f aca="false">IF(G14&lt;0,"negative profit",IF(G14&gt;Notes!$B$4,"unusually high - verify",""))</f>
        <v/>
      </c>
      <c r="J14" s="10" t="s">
        <v>464</v>
      </c>
    </row>
    <row r="15" customFormat="false" ht="15" hidden="false" customHeight="true" outlineLevel="0" collapsed="false">
      <c r="A15" s="10" t="s">
        <v>471</v>
      </c>
      <c r="B15" s="10" t="s">
        <v>28</v>
      </c>
      <c r="C15" s="11" t="n">
        <v>45</v>
      </c>
      <c r="D15" s="12" t="n">
        <v>12</v>
      </c>
      <c r="E15" s="13" t="n">
        <v>403</v>
      </c>
      <c r="F15" s="11" t="n">
        <v>48</v>
      </c>
      <c r="G15" s="14" t="n">
        <v>94.11764706</v>
      </c>
      <c r="H15" s="15" t="n">
        <v>225.8823529</v>
      </c>
      <c r="I15" s="10" t="str">
        <f aca="false">IF(G15&lt;0,"negative profit",IF(G15&gt;Notes!$B$4,"unusually high - verify",""))</f>
        <v/>
      </c>
      <c r="J15" s="10" t="s">
        <v>464</v>
      </c>
    </row>
    <row r="16" customFormat="false" ht="15" hidden="false" customHeight="true" outlineLevel="0" collapsed="false">
      <c r="A16" s="10" t="s">
        <v>472</v>
      </c>
      <c r="B16" s="10" t="s">
        <v>28</v>
      </c>
      <c r="C16" s="11" t="n">
        <v>86</v>
      </c>
      <c r="D16" s="12" t="n">
        <v>25</v>
      </c>
      <c r="E16" s="13" t="n">
        <v>273</v>
      </c>
      <c r="F16" s="11" t="n">
        <v>33</v>
      </c>
      <c r="G16" s="14" t="n">
        <v>70.58823529</v>
      </c>
      <c r="H16" s="15" t="n">
        <v>77.64705882</v>
      </c>
      <c r="I16" s="10" t="str">
        <f aca="false">IF(G16&lt;0,"negative profit",IF(G16&gt;Notes!$B$4,"unusually high - verify",""))</f>
        <v/>
      </c>
      <c r="J16" s="10" t="s">
        <v>464</v>
      </c>
    </row>
    <row r="17" customFormat="false" ht="15" hidden="false" customHeight="true" outlineLevel="0" collapsed="false">
      <c r="A17" s="10" t="s">
        <v>473</v>
      </c>
      <c r="B17" s="10" t="s">
        <v>28</v>
      </c>
      <c r="C17" s="11" t="n">
        <v>91</v>
      </c>
      <c r="D17" s="12" t="n">
        <v>25</v>
      </c>
      <c r="E17" s="13" t="n">
        <v>424</v>
      </c>
      <c r="F17" s="11" t="n">
        <v>50</v>
      </c>
      <c r="G17" s="14" t="n">
        <v>49.41176471</v>
      </c>
      <c r="H17" s="15" t="n">
        <v>117.6470588</v>
      </c>
      <c r="I17" s="10" t="str">
        <f aca="false">IF(G17&lt;0,"negative profit",IF(G17&gt;Notes!$B$4,"unusually high - verify",""))</f>
        <v/>
      </c>
      <c r="J17" s="10" t="s">
        <v>464</v>
      </c>
    </row>
    <row r="18" customFormat="false" ht="15" hidden="false" customHeight="true" outlineLevel="0" collapsed="false">
      <c r="A18" s="10" t="s">
        <v>42</v>
      </c>
      <c r="B18" s="10" t="s">
        <v>28</v>
      </c>
      <c r="C18" s="11" t="n">
        <v>101</v>
      </c>
      <c r="D18" s="12" t="n">
        <v>30</v>
      </c>
      <c r="E18" s="13" t="n">
        <v>421</v>
      </c>
      <c r="F18" s="11" t="n">
        <v>50</v>
      </c>
      <c r="G18" s="14" t="n">
        <v>38</v>
      </c>
      <c r="H18" s="15" t="n">
        <v>100</v>
      </c>
      <c r="I18" s="10" t="str">
        <f aca="false">IF(G18&lt;0,"negative profit",IF(G18&gt;Notes!$B$4,"unusually high - verify",""))</f>
        <v/>
      </c>
      <c r="J18" s="10" t="s">
        <v>464</v>
      </c>
    </row>
    <row r="19" customFormat="false" ht="15" hidden="false" customHeight="true" outlineLevel="0" collapsed="false">
      <c r="A19" s="10" t="s">
        <v>474</v>
      </c>
      <c r="B19" s="10" t="s">
        <v>44</v>
      </c>
      <c r="C19" s="11" t="n">
        <v>84</v>
      </c>
      <c r="D19" s="12" t="n">
        <v>51</v>
      </c>
      <c r="E19" s="13" t="n">
        <v>327</v>
      </c>
      <c r="F19" s="11" t="n">
        <v>39</v>
      </c>
      <c r="G19" s="14" t="n">
        <v>27.05882353</v>
      </c>
      <c r="H19" s="15" t="n">
        <v>45.88235294</v>
      </c>
      <c r="I19" s="10" t="str">
        <f aca="false">IF(G19&lt;0,"negative profit",IF(G19&gt;Notes!$B$4,"unusually high - verify",""))</f>
        <v/>
      </c>
      <c r="J19" s="10" t="s">
        <v>464</v>
      </c>
    </row>
    <row r="20" customFormat="false" ht="15" hidden="false" customHeight="true" outlineLevel="0" collapsed="false">
      <c r="A20" s="10" t="s">
        <v>475</v>
      </c>
      <c r="B20" s="10" t="s">
        <v>44</v>
      </c>
      <c r="C20" s="11" t="n">
        <v>84</v>
      </c>
      <c r="D20" s="12" t="n">
        <v>63</v>
      </c>
      <c r="E20" s="13" t="n">
        <v>403</v>
      </c>
      <c r="F20" s="11" t="n">
        <v>48</v>
      </c>
      <c r="G20" s="14" t="n">
        <v>31.05882353</v>
      </c>
      <c r="H20" s="15" t="n">
        <v>45.17647059</v>
      </c>
      <c r="I20" s="10" t="str">
        <f aca="false">IF(G20&lt;0,"negative profit",IF(G20&gt;Notes!$B$4,"unusually high - verify",""))</f>
        <v/>
      </c>
      <c r="J20" s="10" t="s">
        <v>464</v>
      </c>
    </row>
    <row r="21" customFormat="false" ht="15" hidden="false" customHeight="true" outlineLevel="0" collapsed="false">
      <c r="A21" s="10" t="s">
        <v>476</v>
      </c>
      <c r="B21" s="10" t="s">
        <v>44</v>
      </c>
      <c r="C21" s="11" t="n">
        <v>93</v>
      </c>
      <c r="D21" s="12" t="n">
        <v>51</v>
      </c>
      <c r="E21" s="13" t="n">
        <v>363</v>
      </c>
      <c r="F21" s="11" t="n">
        <v>43</v>
      </c>
      <c r="G21" s="14" t="n">
        <v>20</v>
      </c>
      <c r="H21" s="15" t="n">
        <v>50.58823529</v>
      </c>
      <c r="I21" s="10" t="str">
        <f aca="false">IF(G21&lt;0,"negative profit",IF(G21&gt;Notes!$B$4,"unusually high - verify",""))</f>
        <v/>
      </c>
      <c r="J21" s="10" t="s">
        <v>464</v>
      </c>
    </row>
    <row r="22" customFormat="false" ht="15" hidden="false" customHeight="true" outlineLevel="0" collapsed="false">
      <c r="A22" s="10" t="s">
        <v>477</v>
      </c>
      <c r="B22" s="10" t="s">
        <v>44</v>
      </c>
      <c r="C22" s="11" t="n">
        <v>99</v>
      </c>
      <c r="D22" s="12" t="n">
        <v>76</v>
      </c>
      <c r="E22" s="13" t="n">
        <v>320</v>
      </c>
      <c r="F22" s="11" t="n">
        <v>38</v>
      </c>
      <c r="G22" s="14" t="n">
        <v>29.01960784</v>
      </c>
      <c r="H22" s="15" t="n">
        <v>29.80392157</v>
      </c>
      <c r="I22" s="10" t="str">
        <f aca="false">IF(G22&lt;0,"negative profit",IF(G22&gt;Notes!$B$4,"unusually high - verify",""))</f>
        <v/>
      </c>
      <c r="J22" s="10" t="s">
        <v>464</v>
      </c>
    </row>
    <row r="23" customFormat="false" ht="15" hidden="false" customHeight="true" outlineLevel="0" collapsed="false">
      <c r="A23" s="10" t="s">
        <v>48</v>
      </c>
      <c r="B23" s="10" t="s">
        <v>49</v>
      </c>
      <c r="C23" s="11" t="n">
        <v>9</v>
      </c>
      <c r="D23" s="12" t="n">
        <v>25</v>
      </c>
      <c r="E23" s="13" t="n">
        <v>108</v>
      </c>
      <c r="F23" s="11" t="n">
        <v>13</v>
      </c>
      <c r="G23" s="14" t="n">
        <v>51.76470588</v>
      </c>
      <c r="H23" s="15" t="n">
        <v>30.58823529</v>
      </c>
      <c r="I23" s="10" t="str">
        <f aca="false">IF(G23&lt;0,"negative profit",IF(G23&gt;Notes!$B$4,"unusually high - verify",""))</f>
        <v/>
      </c>
      <c r="J23" s="10" t="s">
        <v>464</v>
      </c>
    </row>
    <row r="24" customFormat="false" ht="15" hidden="false" customHeight="true" outlineLevel="0" collapsed="false">
      <c r="A24" s="10" t="s">
        <v>478</v>
      </c>
      <c r="B24" s="10" t="s">
        <v>49</v>
      </c>
      <c r="C24" s="11" t="n">
        <v>11</v>
      </c>
      <c r="D24" s="12" t="n">
        <v>51</v>
      </c>
      <c r="E24" s="13" t="n">
        <v>201</v>
      </c>
      <c r="F24" s="11" t="n">
        <v>24</v>
      </c>
      <c r="G24" s="14" t="n">
        <v>34.11764706</v>
      </c>
      <c r="H24" s="15" t="n">
        <v>28.23529412</v>
      </c>
      <c r="I24" s="10" t="str">
        <f aca="false">IF(G24&lt;0,"negative profit",IF(G24&gt;Notes!$B$4,"unusually high - verify",""))</f>
        <v/>
      </c>
      <c r="J24" s="10" t="s">
        <v>464</v>
      </c>
    </row>
    <row r="25" customFormat="false" ht="15" hidden="false" customHeight="true" outlineLevel="0" collapsed="false">
      <c r="A25" s="10" t="s">
        <v>51</v>
      </c>
      <c r="B25" s="10" t="s">
        <v>49</v>
      </c>
      <c r="C25" s="11" t="n">
        <v>18</v>
      </c>
      <c r="D25" s="12" t="n">
        <v>102</v>
      </c>
      <c r="E25" s="13" t="n">
        <v>180</v>
      </c>
      <c r="F25" s="11" t="n">
        <v>22</v>
      </c>
      <c r="G25" s="14" t="n">
        <v>22.35294118</v>
      </c>
      <c r="H25" s="15" t="n">
        <v>12.94117647</v>
      </c>
      <c r="I25" s="10" t="str">
        <f aca="false">IF(G25&lt;0,"negative profit",IF(G25&gt;Notes!$B$4,"unusually high - verify",""))</f>
        <v/>
      </c>
      <c r="J25" s="10" t="s">
        <v>464</v>
      </c>
    </row>
    <row r="26" customFormat="false" ht="15" hidden="false" customHeight="true" outlineLevel="0" collapsed="false">
      <c r="A26" s="10" t="s">
        <v>479</v>
      </c>
      <c r="B26" s="10" t="s">
        <v>49</v>
      </c>
      <c r="C26" s="11" t="n">
        <v>27</v>
      </c>
      <c r="D26" s="12" t="n">
        <v>102</v>
      </c>
      <c r="E26" s="13" t="n">
        <v>226</v>
      </c>
      <c r="F26" s="11" t="n">
        <v>27</v>
      </c>
      <c r="G26" s="14" t="n">
        <v>23.52941176</v>
      </c>
      <c r="H26" s="15" t="n">
        <v>15.88235294</v>
      </c>
      <c r="I26" s="10" t="str">
        <f aca="false">IF(G26&lt;0,"negative profit",IF(G26&gt;Notes!$B$4,"unusually high - verify",""))</f>
        <v/>
      </c>
      <c r="J26" s="10" t="s">
        <v>464</v>
      </c>
    </row>
    <row r="27" customFormat="false" ht="15" hidden="false" customHeight="true" outlineLevel="0" collapsed="false">
      <c r="A27" s="10" t="s">
        <v>480</v>
      </c>
      <c r="B27" s="10" t="s">
        <v>49</v>
      </c>
      <c r="C27" s="11" t="n">
        <v>30</v>
      </c>
      <c r="D27" s="12" t="n">
        <v>76</v>
      </c>
      <c r="E27" s="13" t="n">
        <v>118</v>
      </c>
      <c r="F27" s="11" t="n">
        <v>14</v>
      </c>
      <c r="G27" s="14" t="n">
        <v>25.09803922</v>
      </c>
      <c r="H27" s="15" t="n">
        <v>10.98039216</v>
      </c>
      <c r="I27" s="10" t="str">
        <f aca="false">IF(G27&lt;0,"negative profit",IF(G27&gt;Notes!$B$4,"unusually high - verify",""))</f>
        <v/>
      </c>
      <c r="J27" s="10" t="s">
        <v>464</v>
      </c>
    </row>
    <row r="28" customFormat="false" ht="15" hidden="false" customHeight="true" outlineLevel="0" collapsed="false">
      <c r="A28" s="10" t="s">
        <v>481</v>
      </c>
      <c r="B28" s="10" t="s">
        <v>49</v>
      </c>
      <c r="C28" s="11" t="n">
        <v>35</v>
      </c>
      <c r="D28" s="12" t="n">
        <v>29</v>
      </c>
      <c r="E28" s="13" t="n">
        <v>298</v>
      </c>
      <c r="F28" s="11" t="n">
        <v>36</v>
      </c>
      <c r="G28" s="14" t="n">
        <v>36.30252101</v>
      </c>
      <c r="H28" s="15" t="n">
        <v>72.60504202</v>
      </c>
      <c r="I28" s="10" t="str">
        <f aca="false">IF(G28&lt;0,"negative profit",IF(G28&gt;Notes!$B$4,"unusually high - verify",""))</f>
        <v/>
      </c>
      <c r="J28" s="10" t="s">
        <v>464</v>
      </c>
    </row>
    <row r="29" customFormat="false" ht="15" hidden="false" customHeight="true" outlineLevel="0" collapsed="false">
      <c r="A29" s="10" t="s">
        <v>482</v>
      </c>
      <c r="B29" s="10" t="s">
        <v>49</v>
      </c>
      <c r="C29" s="11" t="n">
        <v>41</v>
      </c>
      <c r="D29" s="12" t="n">
        <v>76</v>
      </c>
      <c r="E29" s="13" t="n">
        <v>244</v>
      </c>
      <c r="F29" s="11" t="n">
        <v>29</v>
      </c>
      <c r="G29" s="14" t="n">
        <v>21.96078431</v>
      </c>
      <c r="H29" s="15" t="n">
        <v>22.74509804</v>
      </c>
      <c r="I29" s="10" t="str">
        <f aca="false">IF(G29&lt;0,"negative profit",IF(G29&gt;Notes!$B$4,"unusually high - verify",""))</f>
        <v/>
      </c>
      <c r="J29" s="10" t="s">
        <v>464</v>
      </c>
    </row>
    <row r="30" customFormat="false" ht="15" hidden="false" customHeight="true" outlineLevel="0" collapsed="false">
      <c r="A30" s="10" t="s">
        <v>483</v>
      </c>
      <c r="B30" s="10" t="s">
        <v>49</v>
      </c>
      <c r="C30" s="11" t="n">
        <v>48</v>
      </c>
      <c r="D30" s="12" t="n">
        <v>34</v>
      </c>
      <c r="E30" s="13" t="n">
        <v>417</v>
      </c>
      <c r="F30" s="11" t="n">
        <v>50</v>
      </c>
      <c r="G30" s="14" t="n">
        <v>45.88235294</v>
      </c>
      <c r="H30" s="15" t="n">
        <v>88.23529412</v>
      </c>
      <c r="I30" s="10" t="str">
        <f aca="false">IF(G30&lt;0,"negative profit",IF(G30&gt;Notes!$B$4,"unusually high - verify",""))</f>
        <v/>
      </c>
      <c r="J30" s="10" t="s">
        <v>464</v>
      </c>
    </row>
    <row r="31" customFormat="false" ht="15" hidden="false" customHeight="true" outlineLevel="0" collapsed="false">
      <c r="A31" s="10" t="s">
        <v>484</v>
      </c>
      <c r="B31" s="10" t="s">
        <v>49</v>
      </c>
      <c r="C31" s="11" t="n">
        <v>60</v>
      </c>
      <c r="D31" s="12" t="n">
        <v>12</v>
      </c>
      <c r="E31" s="13" t="n">
        <v>198</v>
      </c>
      <c r="F31" s="11" t="n">
        <v>24</v>
      </c>
      <c r="G31" s="14" t="n">
        <v>84.70588235</v>
      </c>
      <c r="H31" s="15" t="n">
        <v>112.9411765</v>
      </c>
      <c r="I31" s="10" t="str">
        <f aca="false">IF(G31&lt;0,"negative profit",IF(G31&gt;Notes!$B$4,"unusually high - verify",""))</f>
        <v/>
      </c>
      <c r="J31" s="10" t="s">
        <v>464</v>
      </c>
    </row>
    <row r="32" customFormat="false" ht="15" hidden="false" customHeight="true" outlineLevel="0" collapsed="false">
      <c r="A32" s="10" t="s">
        <v>485</v>
      </c>
      <c r="B32" s="10" t="s">
        <v>49</v>
      </c>
      <c r="C32" s="11" t="n">
        <v>68</v>
      </c>
      <c r="D32" s="12" t="n">
        <v>51</v>
      </c>
      <c r="E32" s="13" t="n">
        <v>190</v>
      </c>
      <c r="F32" s="11" t="n">
        <v>23</v>
      </c>
      <c r="G32" s="14" t="n">
        <v>35.29411765</v>
      </c>
      <c r="H32" s="15" t="n">
        <v>27.05882353</v>
      </c>
      <c r="I32" s="10" t="str">
        <f aca="false">IF(G32&lt;0,"negative profit",IF(G32&gt;Notes!$B$4,"unusually high - verify",""))</f>
        <v/>
      </c>
      <c r="J32" s="10" t="s">
        <v>464</v>
      </c>
    </row>
    <row r="33" customFormat="false" ht="15" hidden="false" customHeight="true" outlineLevel="0" collapsed="false">
      <c r="A33" s="10" t="s">
        <v>486</v>
      </c>
      <c r="B33" s="10" t="s">
        <v>49</v>
      </c>
      <c r="C33" s="11" t="n">
        <v>72</v>
      </c>
      <c r="D33" s="12" t="n">
        <v>21</v>
      </c>
      <c r="E33" s="13" t="n">
        <v>198</v>
      </c>
      <c r="F33" s="11" t="n">
        <v>24</v>
      </c>
      <c r="G33" s="14" t="n">
        <v>36.70588235</v>
      </c>
      <c r="H33" s="15" t="n">
        <v>67.76470588</v>
      </c>
      <c r="I33" s="10" t="str">
        <f aca="false">IF(G33&lt;0,"negative profit",IF(G33&gt;Notes!$B$4,"unusually high - verify",""))</f>
        <v/>
      </c>
      <c r="J33" s="10" t="s">
        <v>464</v>
      </c>
    </row>
    <row r="34" customFormat="false" ht="15" hidden="false" customHeight="true" outlineLevel="0" collapsed="false">
      <c r="A34" s="10" t="s">
        <v>487</v>
      </c>
      <c r="B34" s="10" t="s">
        <v>49</v>
      </c>
      <c r="C34" s="11" t="n">
        <v>80</v>
      </c>
      <c r="D34" s="12" t="n">
        <v>17</v>
      </c>
      <c r="E34" s="13" t="n">
        <v>352</v>
      </c>
      <c r="F34" s="11" t="n">
        <v>42</v>
      </c>
      <c r="G34" s="14" t="n">
        <v>63.52941176</v>
      </c>
      <c r="H34" s="15" t="n">
        <v>148.2352941</v>
      </c>
      <c r="I34" s="10" t="str">
        <f aca="false">IF(G34&lt;0,"negative profit",IF(G34&gt;Notes!$B$4,"unusually high - verify",""))</f>
        <v/>
      </c>
      <c r="J34" s="10" t="s">
        <v>464</v>
      </c>
    </row>
    <row r="35" customFormat="false" ht="15" hidden="false" customHeight="true" outlineLevel="0" collapsed="false">
      <c r="A35" s="10" t="s">
        <v>488</v>
      </c>
      <c r="B35" s="10" t="s">
        <v>49</v>
      </c>
      <c r="C35" s="11" t="n">
        <v>90</v>
      </c>
      <c r="D35" s="12" t="n">
        <v>34</v>
      </c>
      <c r="E35" s="13" t="n">
        <v>324</v>
      </c>
      <c r="F35" s="11" t="n">
        <v>39</v>
      </c>
      <c r="G35" s="14" t="n">
        <v>52.94117647</v>
      </c>
      <c r="H35" s="15" t="n">
        <v>68.82352941</v>
      </c>
      <c r="I35" s="10" t="str">
        <f aca="false">IF(G35&lt;0,"negative profit",IF(G35&gt;Notes!$B$4,"unusually high - verify",""))</f>
        <v/>
      </c>
      <c r="J35" s="10" t="s">
        <v>464</v>
      </c>
    </row>
    <row r="36" customFormat="false" ht="15" hidden="false" customHeight="true" outlineLevel="0" collapsed="false">
      <c r="A36" s="10" t="s">
        <v>489</v>
      </c>
      <c r="B36" s="10" t="s">
        <v>49</v>
      </c>
      <c r="C36" s="11" t="n">
        <v>94</v>
      </c>
      <c r="D36" s="12" t="n">
        <v>51</v>
      </c>
      <c r="E36" s="13" t="n">
        <v>352</v>
      </c>
      <c r="F36" s="11" t="n">
        <v>42</v>
      </c>
      <c r="G36" s="14" t="n">
        <v>29.41176471</v>
      </c>
      <c r="H36" s="15" t="n">
        <v>49.41176471</v>
      </c>
      <c r="I36" s="10" t="str">
        <f aca="false">IF(G36&lt;0,"negative profit",IF(G36&gt;Notes!$B$4,"unusually high - verify",""))</f>
        <v/>
      </c>
      <c r="J36" s="10" t="s">
        <v>464</v>
      </c>
    </row>
    <row r="37" customFormat="false" ht="15" hidden="false" customHeight="true" outlineLevel="0" collapsed="false">
      <c r="A37" s="10" t="s">
        <v>490</v>
      </c>
      <c r="B37" s="10" t="s">
        <v>49</v>
      </c>
      <c r="C37" s="11" t="n">
        <v>96</v>
      </c>
      <c r="D37" s="12" t="n">
        <v>25</v>
      </c>
      <c r="E37" s="13" t="n">
        <v>176</v>
      </c>
      <c r="F37" s="11" t="n">
        <v>21</v>
      </c>
      <c r="G37" s="14" t="n">
        <v>65.88235294</v>
      </c>
      <c r="H37" s="15" t="n">
        <v>49.41176471</v>
      </c>
      <c r="I37" s="10" t="str">
        <f aca="false">IF(G37&lt;0,"negative profit",IF(G37&gt;Notes!$B$4,"unusually high - verify",""))</f>
        <v/>
      </c>
      <c r="J37" s="10" t="s">
        <v>464</v>
      </c>
    </row>
    <row r="38" customFormat="false" ht="15" hidden="false" customHeight="true" outlineLevel="0" collapsed="false">
      <c r="A38" s="10" t="s">
        <v>491</v>
      </c>
      <c r="B38" s="10" t="s">
        <v>65</v>
      </c>
      <c r="C38" s="11" t="n">
        <v>21</v>
      </c>
      <c r="D38" s="12" t="n">
        <v>76</v>
      </c>
      <c r="E38" s="13" t="n">
        <v>165</v>
      </c>
      <c r="F38" s="11" t="n">
        <v>20</v>
      </c>
      <c r="G38" s="14" t="n">
        <v>29.01960784</v>
      </c>
      <c r="H38" s="15" t="n">
        <v>15.68627451</v>
      </c>
      <c r="I38" s="10" t="str">
        <f aca="false">IF(G38&lt;0,"negative profit",IF(G38&gt;Notes!$B$4,"unusually high - verify",""))</f>
        <v/>
      </c>
      <c r="J38" s="10" t="s">
        <v>464</v>
      </c>
    </row>
    <row r="39" customFormat="false" ht="15" hidden="false" customHeight="true" outlineLevel="0" collapsed="false">
      <c r="A39" s="10" t="s">
        <v>492</v>
      </c>
      <c r="B39" s="10" t="s">
        <v>65</v>
      </c>
      <c r="C39" s="11" t="n">
        <v>23</v>
      </c>
      <c r="D39" s="12" t="n">
        <v>153</v>
      </c>
      <c r="E39" s="13" t="n">
        <v>219</v>
      </c>
      <c r="F39" s="11" t="n">
        <v>26</v>
      </c>
      <c r="G39" s="14" t="n">
        <v>40.78431373</v>
      </c>
      <c r="H39" s="15" t="n">
        <v>10.19607843</v>
      </c>
      <c r="I39" s="10" t="str">
        <f aca="false">IF(G39&lt;0,"negative profit",IF(G39&gt;Notes!$B$4,"unusually high - verify",""))</f>
        <v/>
      </c>
      <c r="J39" s="10" t="s">
        <v>464</v>
      </c>
    </row>
    <row r="40" customFormat="false" ht="15" hidden="false" customHeight="true" outlineLevel="0" collapsed="false">
      <c r="A40" s="10" t="s">
        <v>493</v>
      </c>
      <c r="B40" s="10" t="s">
        <v>65</v>
      </c>
      <c r="C40" s="11" t="n">
        <v>23</v>
      </c>
      <c r="D40" s="12" t="n">
        <v>51</v>
      </c>
      <c r="E40" s="13" t="n">
        <v>255</v>
      </c>
      <c r="F40" s="11" t="n">
        <v>31</v>
      </c>
      <c r="G40" s="14" t="n">
        <v>27.05882353</v>
      </c>
      <c r="H40" s="15" t="n">
        <v>36.47058824</v>
      </c>
      <c r="I40" s="10" t="str">
        <f aca="false">IF(G40&lt;0,"negative profit",IF(G40&gt;Notes!$B$4,"unusually high - verify",""))</f>
        <v/>
      </c>
      <c r="J40" s="10" t="s">
        <v>464</v>
      </c>
    </row>
    <row r="41" customFormat="false" ht="15" hidden="false" customHeight="true" outlineLevel="0" collapsed="false">
      <c r="A41" s="10" t="s">
        <v>69</v>
      </c>
      <c r="B41" s="10" t="s">
        <v>65</v>
      </c>
      <c r="C41" s="11" t="n">
        <v>24</v>
      </c>
      <c r="D41" s="12" t="n">
        <v>204</v>
      </c>
      <c r="E41" s="13" t="n">
        <v>284</v>
      </c>
      <c r="F41" s="11" t="n">
        <v>34</v>
      </c>
      <c r="G41" s="14" t="n">
        <v>17.05882353</v>
      </c>
      <c r="H41" s="15" t="n">
        <v>10</v>
      </c>
      <c r="I41" s="10" t="str">
        <f aca="false">IF(G41&lt;0,"negative profit",IF(G41&gt;Notes!$B$4,"unusually high - verify",""))</f>
        <v/>
      </c>
      <c r="J41" s="10" t="s">
        <v>464</v>
      </c>
    </row>
    <row r="42" customFormat="false" ht="15" hidden="false" customHeight="true" outlineLevel="0" collapsed="false">
      <c r="A42" s="10" t="s">
        <v>494</v>
      </c>
      <c r="B42" s="10" t="s">
        <v>65</v>
      </c>
      <c r="C42" s="11" t="n">
        <v>35</v>
      </c>
      <c r="D42" s="12" t="n">
        <v>153</v>
      </c>
      <c r="E42" s="13" t="n">
        <v>316</v>
      </c>
      <c r="F42" s="11" t="n">
        <v>38</v>
      </c>
      <c r="G42" s="14" t="n">
        <v>41.96078431</v>
      </c>
      <c r="H42" s="15" t="n">
        <v>14.90196078</v>
      </c>
      <c r="I42" s="10" t="str">
        <f aca="false">IF(G42&lt;0,"negative profit",IF(G42&gt;Notes!$B$4,"unusually high - verify",""))</f>
        <v/>
      </c>
      <c r="J42" s="10" t="s">
        <v>464</v>
      </c>
    </row>
    <row r="43" customFormat="false" ht="15" hidden="false" customHeight="true" outlineLevel="0" collapsed="false">
      <c r="A43" s="10" t="s">
        <v>495</v>
      </c>
      <c r="B43" s="10" t="s">
        <v>65</v>
      </c>
      <c r="C43" s="11" t="n">
        <v>36</v>
      </c>
      <c r="D43" s="12" t="n">
        <v>102</v>
      </c>
      <c r="E43" s="13" t="n">
        <v>320</v>
      </c>
      <c r="F43" s="11" t="n">
        <v>38</v>
      </c>
      <c r="G43" s="14" t="n">
        <v>20</v>
      </c>
      <c r="H43" s="15" t="n">
        <v>22.35294118</v>
      </c>
      <c r="I43" s="10" t="str">
        <f aca="false">IF(G43&lt;0,"negative profit",IF(G43&gt;Notes!$B$4,"unusually high - verify",""))</f>
        <v/>
      </c>
      <c r="J43" s="10" t="s">
        <v>464</v>
      </c>
    </row>
    <row r="44" customFormat="false" ht="15" hidden="false" customHeight="true" outlineLevel="0" collapsed="false">
      <c r="A44" s="10" t="s">
        <v>496</v>
      </c>
      <c r="B44" s="10" t="s">
        <v>65</v>
      </c>
      <c r="C44" s="11" t="n">
        <v>38</v>
      </c>
      <c r="D44" s="12" t="n">
        <v>102</v>
      </c>
      <c r="E44" s="13" t="n">
        <v>309</v>
      </c>
      <c r="F44" s="11" t="n">
        <v>37</v>
      </c>
      <c r="G44" s="14" t="n">
        <v>22.94117647</v>
      </c>
      <c r="H44" s="15" t="n">
        <v>21.76470588</v>
      </c>
      <c r="I44" s="10" t="str">
        <f aca="false">IF(G44&lt;0,"negative profit",IF(G44&gt;Notes!$B$4,"unusually high - verify",""))</f>
        <v/>
      </c>
      <c r="J44" s="10" t="s">
        <v>464</v>
      </c>
    </row>
    <row r="45" customFormat="false" ht="15" hidden="false" customHeight="true" outlineLevel="0" collapsed="false">
      <c r="A45" s="10" t="s">
        <v>497</v>
      </c>
      <c r="B45" s="10" t="s">
        <v>65</v>
      </c>
      <c r="C45" s="11" t="n">
        <v>42</v>
      </c>
      <c r="D45" s="12" t="n">
        <v>170</v>
      </c>
      <c r="E45" s="13" t="n">
        <v>482</v>
      </c>
      <c r="F45" s="11" t="n">
        <v>57</v>
      </c>
      <c r="G45" s="14" t="n">
        <v>19.05882353</v>
      </c>
      <c r="H45" s="15" t="n">
        <v>20.11764706</v>
      </c>
      <c r="I45" s="10" t="str">
        <f aca="false">IF(G45&lt;0,"negative profit",IF(G45&gt;Notes!$B$4,"unusually high - verify",""))</f>
        <v/>
      </c>
      <c r="J45" s="10" t="s">
        <v>464</v>
      </c>
    </row>
    <row r="46" customFormat="false" ht="15" hidden="false" customHeight="true" outlineLevel="0" collapsed="false">
      <c r="A46" s="10" t="s">
        <v>498</v>
      </c>
      <c r="B46" s="10" t="s">
        <v>65</v>
      </c>
      <c r="C46" s="11" t="n">
        <v>54</v>
      </c>
      <c r="D46" s="12" t="n">
        <v>12</v>
      </c>
      <c r="E46" s="13" t="n">
        <v>450</v>
      </c>
      <c r="F46" s="11" t="n">
        <v>49</v>
      </c>
      <c r="G46" s="14" t="n">
        <v>42.35294118</v>
      </c>
      <c r="H46" s="15" t="n">
        <v>230.5882353</v>
      </c>
      <c r="I46" s="10" t="str">
        <f aca="false">IF(G46&lt;0,"negative profit",IF(G46&gt;Notes!$B$4,"unusually high - verify",""))</f>
        <v/>
      </c>
      <c r="J46" s="10" t="s">
        <v>464</v>
      </c>
    </row>
    <row r="47" customFormat="false" ht="15" hidden="false" customHeight="true" outlineLevel="0" collapsed="false">
      <c r="A47" s="10" t="s">
        <v>499</v>
      </c>
      <c r="B47" s="10" t="s">
        <v>65</v>
      </c>
      <c r="C47" s="11" t="n">
        <v>65</v>
      </c>
      <c r="D47" s="12" t="n">
        <v>63</v>
      </c>
      <c r="E47" s="13" t="n">
        <v>259</v>
      </c>
      <c r="F47" s="11" t="n">
        <v>31</v>
      </c>
      <c r="G47" s="14" t="n">
        <v>31.05882353</v>
      </c>
      <c r="H47" s="15" t="n">
        <v>29.17647059</v>
      </c>
      <c r="I47" s="10" t="str">
        <f aca="false">IF(G47&lt;0,"negative profit",IF(G47&gt;Notes!$B$4,"unusually high - verify",""))</f>
        <v/>
      </c>
      <c r="J47" s="10" t="s">
        <v>464</v>
      </c>
    </row>
    <row r="48" customFormat="false" ht="15" hidden="false" customHeight="true" outlineLevel="0" collapsed="false">
      <c r="A48" s="10" t="s">
        <v>500</v>
      </c>
      <c r="B48" s="10" t="s">
        <v>65</v>
      </c>
      <c r="C48" s="11" t="n">
        <v>68</v>
      </c>
      <c r="D48" s="12" t="n">
        <v>127</v>
      </c>
      <c r="E48" s="13" t="n">
        <v>896</v>
      </c>
      <c r="F48" s="11" t="n">
        <v>107</v>
      </c>
      <c r="G48" s="14" t="n">
        <v>21.17647059</v>
      </c>
      <c r="H48" s="15" t="n">
        <v>50.35294118</v>
      </c>
      <c r="I48" s="10" t="str">
        <f aca="false">IF(G48&lt;0,"negative profit",IF(G48&gt;Notes!$B$4,"unusually high - verify",""))</f>
        <v/>
      </c>
      <c r="J48" s="10" t="s">
        <v>464</v>
      </c>
    </row>
    <row r="49" customFormat="false" ht="15" hidden="false" customHeight="true" outlineLevel="0" collapsed="false">
      <c r="A49" s="10" t="s">
        <v>501</v>
      </c>
      <c r="B49" s="10" t="s">
        <v>65</v>
      </c>
      <c r="C49" s="11" t="n">
        <v>89</v>
      </c>
      <c r="D49" s="12" t="n">
        <v>153</v>
      </c>
      <c r="E49" s="13" t="n">
        <v>450</v>
      </c>
      <c r="F49" s="11" t="n">
        <v>54</v>
      </c>
      <c r="G49" s="14" t="n">
        <v>18.43137255</v>
      </c>
      <c r="H49" s="15" t="n">
        <v>21.17647059</v>
      </c>
      <c r="I49" s="10" t="str">
        <f aca="false">IF(G49&lt;0,"negative profit",IF(G49&gt;Notes!$B$4,"unusually high - verify",""))</f>
        <v/>
      </c>
      <c r="J49" s="10" t="s">
        <v>464</v>
      </c>
    </row>
    <row r="50" customFormat="false" ht="15" hidden="false" customHeight="true" outlineLevel="0" collapsed="false">
      <c r="A50" s="10" t="s">
        <v>502</v>
      </c>
      <c r="B50" s="10" t="s">
        <v>65</v>
      </c>
      <c r="C50" s="11" t="n">
        <v>95</v>
      </c>
      <c r="D50" s="12" t="n">
        <v>76</v>
      </c>
      <c r="E50" s="13" t="n">
        <v>604</v>
      </c>
      <c r="F50" s="11" t="n">
        <v>72</v>
      </c>
      <c r="G50" s="14" t="n">
        <v>14.90196078</v>
      </c>
      <c r="H50" s="15" t="n">
        <v>56.47058824</v>
      </c>
      <c r="I50" s="10" t="str">
        <f aca="false">IF(G50&lt;0,"negative profit",IF(G50&gt;Notes!$B$4,"unusually high - verify",""))</f>
        <v/>
      </c>
      <c r="J50" s="10" t="s">
        <v>464</v>
      </c>
    </row>
    <row r="51" customFormat="false" ht="15" hidden="false" customHeight="true" outlineLevel="0" collapsed="false">
      <c r="A51" s="10" t="s">
        <v>503</v>
      </c>
      <c r="B51" s="10" t="s">
        <v>80</v>
      </c>
      <c r="C51" s="11" t="n">
        <v>48</v>
      </c>
      <c r="D51" s="12" t="n">
        <v>102</v>
      </c>
      <c r="E51" s="13" t="n">
        <v>370</v>
      </c>
      <c r="F51" s="11" t="n">
        <v>44</v>
      </c>
      <c r="G51" s="14" t="n">
        <v>21.17647059</v>
      </c>
      <c r="H51" s="15" t="n">
        <v>25.88235294</v>
      </c>
      <c r="I51" s="10" t="str">
        <f aca="false">IF(G51&lt;0,"negative profit",IF(G51&gt;Notes!$B$4,"unusually high - verify",""))</f>
        <v/>
      </c>
      <c r="J51" s="10" t="s">
        <v>464</v>
      </c>
    </row>
    <row r="52" customFormat="false" ht="15" hidden="false" customHeight="true" outlineLevel="0" collapsed="false">
      <c r="A52" s="10" t="s">
        <v>504</v>
      </c>
      <c r="B52" s="10" t="s">
        <v>80</v>
      </c>
      <c r="C52" s="11" t="n">
        <v>52</v>
      </c>
      <c r="D52" s="12" t="n">
        <v>89</v>
      </c>
      <c r="E52" s="13" t="n">
        <v>360</v>
      </c>
      <c r="F52" s="11" t="n">
        <v>43</v>
      </c>
      <c r="G52" s="14" t="n">
        <v>22.85714286</v>
      </c>
      <c r="H52" s="15" t="n">
        <v>28.90756303</v>
      </c>
      <c r="I52" s="10" t="str">
        <f aca="false">IF(G52&lt;0,"negative profit",IF(G52&gt;Notes!$B$4,"unusually high - verify",""))</f>
        <v/>
      </c>
      <c r="J52" s="10" t="s">
        <v>464</v>
      </c>
    </row>
    <row r="53" customFormat="false" ht="15" hidden="false" customHeight="true" outlineLevel="0" collapsed="false">
      <c r="A53" s="10" t="s">
        <v>505</v>
      </c>
      <c r="B53" s="10" t="s">
        <v>80</v>
      </c>
      <c r="C53" s="11" t="n">
        <v>72</v>
      </c>
      <c r="D53" s="12" t="n">
        <v>114</v>
      </c>
      <c r="E53" s="13" t="n">
        <v>457</v>
      </c>
      <c r="F53" s="11" t="n">
        <v>55</v>
      </c>
      <c r="G53" s="14" t="n">
        <v>19.34640523</v>
      </c>
      <c r="H53" s="15" t="n">
        <v>28.75816993</v>
      </c>
      <c r="I53" s="10" t="str">
        <f aca="false">IF(G53&lt;0,"negative profit",IF(G53&gt;Notes!$B$4,"unusually high - verify",""))</f>
        <v/>
      </c>
      <c r="J53" s="10" t="s">
        <v>464</v>
      </c>
    </row>
    <row r="54" customFormat="false" ht="15" hidden="false" customHeight="true" outlineLevel="0" collapsed="false">
      <c r="A54" s="10" t="s">
        <v>84</v>
      </c>
      <c r="B54" s="10" t="s">
        <v>80</v>
      </c>
      <c r="C54" s="11" t="n">
        <v>84</v>
      </c>
      <c r="D54" s="12" t="n">
        <v>93</v>
      </c>
      <c r="E54" s="13" t="n">
        <v>324</v>
      </c>
      <c r="F54" s="11" t="n">
        <v>39</v>
      </c>
      <c r="G54" s="14" t="n">
        <v>23.74331551</v>
      </c>
      <c r="H54" s="15" t="n">
        <v>25.02673797</v>
      </c>
      <c r="I54" s="10" t="str">
        <f aca="false">IF(G54&lt;0,"negative profit",IF(G54&gt;Notes!$B$4,"unusually high - verify",""))</f>
        <v/>
      </c>
      <c r="J54" s="10" t="s">
        <v>464</v>
      </c>
    </row>
    <row r="55" customFormat="false" ht="15" hidden="false" customHeight="true" outlineLevel="0" collapsed="false">
      <c r="A55" s="10" t="s">
        <v>506</v>
      </c>
      <c r="B55" s="10" t="s">
        <v>80</v>
      </c>
      <c r="C55" s="11" t="n">
        <v>95</v>
      </c>
      <c r="D55" s="12" t="n">
        <v>102</v>
      </c>
      <c r="E55" s="13" t="n">
        <v>442</v>
      </c>
      <c r="F55" s="11" t="n">
        <v>53</v>
      </c>
      <c r="G55" s="14" t="n">
        <v>11.17647059</v>
      </c>
      <c r="H55" s="15" t="n">
        <v>31.17647059</v>
      </c>
      <c r="I55" s="10" t="str">
        <f aca="false">IF(G55&lt;0,"negative profit",IF(G55&gt;Notes!$B$4,"unusually high - verify",""))</f>
        <v/>
      </c>
      <c r="J55" s="10" t="s">
        <v>464</v>
      </c>
    </row>
    <row r="56" customFormat="false" ht="15" hidden="false" customHeight="true" outlineLevel="0" collapsed="false">
      <c r="A56" s="10" t="s">
        <v>507</v>
      </c>
      <c r="B56" s="10" t="s">
        <v>87</v>
      </c>
      <c r="C56" s="11" t="n">
        <v>51</v>
      </c>
      <c r="D56" s="12" t="n">
        <v>102</v>
      </c>
      <c r="E56" s="13" t="n">
        <v>255</v>
      </c>
      <c r="F56" s="11" t="n">
        <v>31</v>
      </c>
      <c r="G56" s="14" t="n">
        <v>21.17647059</v>
      </c>
      <c r="H56" s="15" t="n">
        <v>18.23529412</v>
      </c>
      <c r="I56" s="10" t="str">
        <f aca="false">IF(G56&lt;0,"negative profit",IF(G56&gt;Notes!$B$4,"unusually high - verify",""))</f>
        <v/>
      </c>
      <c r="J56" s="10" t="s">
        <v>464</v>
      </c>
    </row>
    <row r="57" customFormat="false" ht="15" hidden="false" customHeight="true" outlineLevel="0" collapsed="false">
      <c r="A57" s="10" t="s">
        <v>89</v>
      </c>
      <c r="B57" s="10" t="s">
        <v>87</v>
      </c>
      <c r="C57" s="11" t="n">
        <v>52</v>
      </c>
      <c r="D57" s="12" t="n">
        <v>76</v>
      </c>
      <c r="E57" s="13" t="n">
        <v>176</v>
      </c>
      <c r="F57" s="11" t="n">
        <v>21</v>
      </c>
      <c r="G57" s="14" t="n">
        <v>32.15686275</v>
      </c>
      <c r="H57" s="15" t="n">
        <v>16.47058824</v>
      </c>
      <c r="I57" s="10" t="str">
        <f aca="false">IF(G57&lt;0,"negative profit",IF(G57&gt;Notes!$B$4,"unusually high - verify",""))</f>
        <v/>
      </c>
      <c r="J57" s="10" t="s">
        <v>464</v>
      </c>
    </row>
    <row r="58" customFormat="false" ht="15" hidden="false" customHeight="true" outlineLevel="0" collapsed="false">
      <c r="A58" s="10" t="s">
        <v>90</v>
      </c>
      <c r="B58" s="10" t="s">
        <v>87</v>
      </c>
      <c r="C58" s="11" t="n">
        <v>54</v>
      </c>
      <c r="D58" s="12" t="n">
        <v>1020</v>
      </c>
      <c r="E58" s="13" t="n">
        <v>460</v>
      </c>
      <c r="F58" s="11" t="n">
        <v>55</v>
      </c>
      <c r="G58" s="14" t="n">
        <v>6</v>
      </c>
      <c r="H58" s="15" t="n">
        <v>3.235294118</v>
      </c>
      <c r="I58" s="10" t="str">
        <f aca="false">IF(G58&lt;0,"negative profit",IF(G58&gt;Notes!$B$4,"unusually high - verify",""))</f>
        <v/>
      </c>
      <c r="J58" s="10" t="s">
        <v>464</v>
      </c>
    </row>
    <row r="59" customFormat="false" ht="15" hidden="false" customHeight="true" outlineLevel="0" collapsed="false">
      <c r="A59" s="10" t="s">
        <v>91</v>
      </c>
      <c r="B59" s="10" t="s">
        <v>87</v>
      </c>
      <c r="C59" s="11" t="n">
        <v>57</v>
      </c>
      <c r="D59" s="12" t="n">
        <v>612</v>
      </c>
      <c r="E59" s="13" t="n">
        <v>342</v>
      </c>
      <c r="F59" s="11" t="n">
        <v>41</v>
      </c>
      <c r="G59" s="14" t="n">
        <v>8.235294118</v>
      </c>
      <c r="H59" s="15" t="n">
        <v>4.019607843</v>
      </c>
      <c r="I59" s="10" t="str">
        <f aca="false">IF(G59&lt;0,"negative profit",IF(G59&gt;Notes!$B$4,"unusually high - verify",""))</f>
        <v/>
      </c>
      <c r="J59" s="10" t="s">
        <v>464</v>
      </c>
    </row>
    <row r="60" customFormat="false" ht="15" hidden="false" customHeight="true" outlineLevel="0" collapsed="false">
      <c r="A60" s="10" t="s">
        <v>508</v>
      </c>
      <c r="B60" s="10" t="s">
        <v>87</v>
      </c>
      <c r="C60" s="11" t="n">
        <v>60</v>
      </c>
      <c r="D60" s="12" t="n">
        <v>1224</v>
      </c>
      <c r="E60" s="13" t="n">
        <v>684</v>
      </c>
      <c r="F60" s="11" t="n">
        <v>81</v>
      </c>
      <c r="G60" s="14" t="n">
        <v>-0.2941176471</v>
      </c>
      <c r="H60" s="15" t="n">
        <v>3.970588235</v>
      </c>
      <c r="I60" s="10" t="str">
        <f aca="false">IF(G60&lt;0,"negative profit",IF(G60&gt;Notes!$B$4,"unusually high - verify",""))</f>
        <v>negative profit</v>
      </c>
      <c r="J60" s="10" t="s">
        <v>464</v>
      </c>
    </row>
    <row r="61" customFormat="false" ht="15" hidden="false" customHeight="true" outlineLevel="0" collapsed="false">
      <c r="A61" s="10" t="s">
        <v>509</v>
      </c>
      <c r="B61" s="10" t="s">
        <v>87</v>
      </c>
      <c r="C61" s="11" t="n">
        <v>63</v>
      </c>
      <c r="D61" s="12" t="n">
        <v>34</v>
      </c>
      <c r="E61" s="13" t="n">
        <v>540</v>
      </c>
      <c r="F61" s="11" t="n">
        <v>64</v>
      </c>
      <c r="G61" s="14" t="n">
        <v>268.2352941</v>
      </c>
      <c r="H61" s="15" t="n">
        <v>112.9411765</v>
      </c>
      <c r="I61" s="10" t="str">
        <f aca="false">IF(G61&lt;0,"negative profit",IF(G61&gt;Notes!$B$4,"unusually high - verify",""))</f>
        <v>unusually high - verify</v>
      </c>
      <c r="J61" s="10" t="s">
        <v>464</v>
      </c>
    </row>
    <row r="62" customFormat="false" ht="15" hidden="false" customHeight="true" outlineLevel="0" collapsed="false">
      <c r="A62" s="10" t="s">
        <v>94</v>
      </c>
      <c r="B62" s="10" t="s">
        <v>87</v>
      </c>
      <c r="C62" s="11" t="n">
        <v>75</v>
      </c>
      <c r="D62" s="12" t="n">
        <v>25</v>
      </c>
      <c r="E62" s="13" t="n">
        <v>226</v>
      </c>
      <c r="F62" s="11" t="n">
        <v>27</v>
      </c>
      <c r="G62" s="14" t="n">
        <v>61.17647059</v>
      </c>
      <c r="H62" s="15" t="n">
        <v>63.52941176</v>
      </c>
      <c r="I62" s="10" t="str">
        <f aca="false">IF(G62&lt;0,"negative profit",IF(G62&gt;Notes!$B$4,"unusually high - verify",""))</f>
        <v/>
      </c>
      <c r="J62" s="10" t="s">
        <v>464</v>
      </c>
    </row>
    <row r="63" customFormat="false" ht="15" hidden="false" customHeight="true" outlineLevel="0" collapsed="false">
      <c r="A63" s="10" t="s">
        <v>510</v>
      </c>
      <c r="B63" s="10" t="s">
        <v>87</v>
      </c>
      <c r="C63" s="11" t="n">
        <v>78</v>
      </c>
      <c r="D63" s="12" t="n">
        <v>51</v>
      </c>
      <c r="E63" s="13" t="n">
        <v>270</v>
      </c>
      <c r="F63" s="11" t="n">
        <v>32</v>
      </c>
      <c r="G63" s="14" t="n">
        <v>40</v>
      </c>
      <c r="H63" s="15" t="n">
        <v>37.64705882</v>
      </c>
      <c r="I63" s="10" t="str">
        <f aca="false">IF(G63&lt;0,"negative profit",IF(G63&gt;Notes!$B$4,"unusually high - verify",""))</f>
        <v/>
      </c>
      <c r="J63" s="10" t="s">
        <v>464</v>
      </c>
    </row>
    <row r="64" customFormat="false" ht="15" hidden="false" customHeight="true" outlineLevel="0" collapsed="false">
      <c r="A64" s="10" t="s">
        <v>96</v>
      </c>
      <c r="B64" s="10" t="s">
        <v>97</v>
      </c>
      <c r="C64" s="11" t="n">
        <v>42</v>
      </c>
      <c r="D64" s="12" t="n">
        <v>4</v>
      </c>
      <c r="E64" s="13" t="n">
        <v>248</v>
      </c>
      <c r="F64" s="11" t="n">
        <v>29</v>
      </c>
      <c r="G64" s="14" t="n">
        <v>84.70588235</v>
      </c>
      <c r="H64" s="15" t="n">
        <v>409.4117647</v>
      </c>
      <c r="I64" s="10" t="str">
        <f aca="false">IF(G64&lt;0,"negative profit",IF(G64&gt;Notes!$B$4,"unusually high - verify",""))</f>
        <v/>
      </c>
      <c r="J64" s="10" t="s">
        <v>464</v>
      </c>
    </row>
    <row r="65" customFormat="false" ht="15" hidden="false" customHeight="true" outlineLevel="0" collapsed="false">
      <c r="A65" s="10" t="s">
        <v>511</v>
      </c>
      <c r="B65" s="10" t="s">
        <v>97</v>
      </c>
      <c r="C65" s="11" t="n">
        <v>43</v>
      </c>
      <c r="D65" s="12" t="n">
        <v>8</v>
      </c>
      <c r="E65" s="13" t="n">
        <v>219</v>
      </c>
      <c r="F65" s="11" t="n">
        <v>26</v>
      </c>
      <c r="G65" s="14" t="n">
        <v>63.52941176</v>
      </c>
      <c r="H65" s="15" t="n">
        <v>183.5294118</v>
      </c>
      <c r="I65" s="10" t="str">
        <f aca="false">IF(G65&lt;0,"negative profit",IF(G65&gt;Notes!$B$4,"unusually high - verify",""))</f>
        <v/>
      </c>
      <c r="J65" s="10" t="s">
        <v>464</v>
      </c>
    </row>
    <row r="66" customFormat="false" ht="15" hidden="false" customHeight="true" outlineLevel="0" collapsed="false">
      <c r="A66" s="10" t="s">
        <v>512</v>
      </c>
      <c r="B66" s="10" t="s">
        <v>97</v>
      </c>
      <c r="C66" s="11" t="n">
        <v>45</v>
      </c>
      <c r="D66" s="12" t="n">
        <v>12</v>
      </c>
      <c r="E66" s="13" t="n">
        <v>291</v>
      </c>
      <c r="F66" s="11" t="n">
        <v>35</v>
      </c>
      <c r="G66" s="14" t="n">
        <v>23.52941176</v>
      </c>
      <c r="H66" s="15" t="n">
        <v>164.7058824</v>
      </c>
      <c r="I66" s="10" t="str">
        <f aca="false">IF(G66&lt;0,"negative profit",IF(G66&gt;Notes!$B$4,"unusually high - verify",""))</f>
        <v/>
      </c>
      <c r="J66" s="10" t="s">
        <v>464</v>
      </c>
    </row>
    <row r="67" customFormat="false" ht="15" hidden="false" customHeight="true" outlineLevel="0" collapsed="false">
      <c r="A67" s="10" t="s">
        <v>513</v>
      </c>
      <c r="B67" s="10" t="s">
        <v>97</v>
      </c>
      <c r="C67" s="11" t="n">
        <v>46</v>
      </c>
      <c r="D67" s="12" t="n">
        <v>25</v>
      </c>
      <c r="E67" s="13" t="n">
        <v>259</v>
      </c>
      <c r="F67" s="11" t="n">
        <v>31</v>
      </c>
      <c r="G67" s="14" t="n">
        <v>30.58823529</v>
      </c>
      <c r="H67" s="15" t="n">
        <v>72.94117647</v>
      </c>
      <c r="I67" s="10" t="str">
        <f aca="false">IF(G67&lt;0,"negative profit",IF(G67&gt;Notes!$B$4,"unusually high - verify",""))</f>
        <v/>
      </c>
      <c r="J67" s="10" t="s">
        <v>464</v>
      </c>
    </row>
    <row r="68" customFormat="false" ht="15" hidden="false" customHeight="true" outlineLevel="0" collapsed="false">
      <c r="A68" s="10" t="s">
        <v>514</v>
      </c>
      <c r="B68" s="10" t="s">
        <v>97</v>
      </c>
      <c r="C68" s="11" t="n">
        <v>47</v>
      </c>
      <c r="D68" s="12" t="n">
        <v>21</v>
      </c>
      <c r="E68" s="13" t="n">
        <v>316</v>
      </c>
      <c r="F68" s="11" t="n">
        <v>38</v>
      </c>
      <c r="G68" s="14" t="n">
        <v>33.88235294</v>
      </c>
      <c r="H68" s="15" t="n">
        <v>107.2941176</v>
      </c>
      <c r="I68" s="10" t="str">
        <f aca="false">IF(G68&lt;0,"negative profit",IF(G68&gt;Notes!$B$4,"unusually high - verify",""))</f>
        <v/>
      </c>
      <c r="J68" s="10" t="s">
        <v>464</v>
      </c>
    </row>
    <row r="69" customFormat="false" ht="15" hidden="false" customHeight="true" outlineLevel="0" collapsed="false">
      <c r="A69" s="10" t="s">
        <v>515</v>
      </c>
      <c r="B69" s="10" t="s">
        <v>97</v>
      </c>
      <c r="C69" s="11" t="n">
        <v>62</v>
      </c>
      <c r="D69" s="12" t="n">
        <v>12</v>
      </c>
      <c r="E69" s="13" t="n">
        <v>345</v>
      </c>
      <c r="F69" s="11" t="n">
        <v>41</v>
      </c>
      <c r="G69" s="14" t="n">
        <v>42.35294118</v>
      </c>
      <c r="H69" s="15" t="n">
        <v>192.9411765</v>
      </c>
      <c r="I69" s="10" t="str">
        <f aca="false">IF(G69&lt;0,"negative profit",IF(G69&gt;Notes!$B$4,"unusually high - verify",""))</f>
        <v/>
      </c>
      <c r="J69" s="10" t="s">
        <v>464</v>
      </c>
    </row>
    <row r="70" customFormat="false" ht="15" hidden="false" customHeight="true" outlineLevel="0" collapsed="false">
      <c r="A70" s="10" t="s">
        <v>516</v>
      </c>
      <c r="B70" s="10" t="s">
        <v>97</v>
      </c>
      <c r="C70" s="11" t="n">
        <v>88</v>
      </c>
      <c r="D70" s="12" t="n">
        <v>17</v>
      </c>
      <c r="E70" s="13" t="n">
        <v>277</v>
      </c>
      <c r="F70" s="11" t="n">
        <v>33</v>
      </c>
      <c r="G70" s="14" t="n">
        <v>45.88235294</v>
      </c>
      <c r="H70" s="15" t="n">
        <v>116.4705882</v>
      </c>
      <c r="I70" s="10" t="str">
        <f aca="false">IF(G70&lt;0,"negative profit",IF(G70&gt;Notes!$B$4,"unusually high - verify",""))</f>
        <v/>
      </c>
      <c r="J70" s="10" t="s">
        <v>464</v>
      </c>
    </row>
    <row r="71" customFormat="false" ht="15" hidden="false" customHeight="true" outlineLevel="0" collapsed="false">
      <c r="A71" s="10" t="s">
        <v>105</v>
      </c>
      <c r="B71" s="10" t="s">
        <v>106</v>
      </c>
      <c r="C71" s="11" t="n">
        <v>1</v>
      </c>
      <c r="D71" s="12" t="n">
        <v>2</v>
      </c>
      <c r="E71" s="13" t="n">
        <v>3</v>
      </c>
      <c r="F71" s="11" t="n">
        <v>1</v>
      </c>
      <c r="G71" s="14" t="n">
        <v>90</v>
      </c>
      <c r="H71" s="15" t="n">
        <v>30</v>
      </c>
      <c r="I71" s="10" t="str">
        <f aca="false">IF(G71&lt;0,"negative profit",IF(G71&gt;Notes!$B$4,"unusually high - verify",""))</f>
        <v/>
      </c>
      <c r="J71" s="10" t="s">
        <v>464</v>
      </c>
    </row>
    <row r="72" customFormat="false" ht="15" hidden="false" customHeight="true" outlineLevel="0" collapsed="false">
      <c r="A72" s="10" t="s">
        <v>107</v>
      </c>
      <c r="B72" s="10" t="s">
        <v>106</v>
      </c>
      <c r="C72" s="11" t="n">
        <v>2</v>
      </c>
      <c r="D72" s="12" t="n">
        <v>5</v>
      </c>
      <c r="E72" s="13" t="n">
        <v>7</v>
      </c>
      <c r="F72" s="11" t="n">
        <v>1</v>
      </c>
      <c r="G72" s="14" t="n">
        <v>84</v>
      </c>
      <c r="H72" s="15" t="n">
        <v>12</v>
      </c>
      <c r="I72" s="10" t="str">
        <f aca="false">IF(G72&lt;0,"negative profit",IF(G72&gt;Notes!$B$4,"unusually high - verify",""))</f>
        <v/>
      </c>
      <c r="J72" s="10" t="s">
        <v>464</v>
      </c>
    </row>
    <row r="73" customFormat="false" ht="15" hidden="false" customHeight="true" outlineLevel="0" collapsed="false">
      <c r="A73" s="10" t="s">
        <v>108</v>
      </c>
      <c r="B73" s="10" t="s">
        <v>106</v>
      </c>
      <c r="C73" s="11" t="n">
        <v>5</v>
      </c>
      <c r="D73" s="12" t="n">
        <v>20</v>
      </c>
      <c r="E73" s="13" t="n">
        <v>10</v>
      </c>
      <c r="F73" s="11" t="n">
        <v>2</v>
      </c>
      <c r="G73" s="14" t="n">
        <v>30</v>
      </c>
      <c r="H73" s="15" t="n">
        <v>6</v>
      </c>
      <c r="I73" s="10" t="str">
        <f aca="false">IF(G73&lt;0,"negative profit",IF(G73&gt;Notes!$B$4,"unusually high - verify",""))</f>
        <v/>
      </c>
      <c r="J73" s="10" t="s">
        <v>464</v>
      </c>
    </row>
    <row r="74" customFormat="false" ht="15" hidden="false" customHeight="true" outlineLevel="0" collapsed="false">
      <c r="A74" s="10" t="s">
        <v>109</v>
      </c>
      <c r="B74" s="10" t="s">
        <v>106</v>
      </c>
      <c r="C74" s="11" t="n">
        <v>7</v>
      </c>
      <c r="D74" s="12" t="n">
        <v>30</v>
      </c>
      <c r="E74" s="13" t="n">
        <v>14</v>
      </c>
      <c r="F74" s="11" t="n">
        <v>3</v>
      </c>
      <c r="G74" s="14" t="n">
        <v>28</v>
      </c>
      <c r="H74" s="15" t="n">
        <v>6</v>
      </c>
      <c r="I74" s="10" t="str">
        <f aca="false">IF(G74&lt;0,"negative profit",IF(G74&gt;Notes!$B$4,"unusually high - verify",""))</f>
        <v/>
      </c>
      <c r="J74" s="10" t="s">
        <v>464</v>
      </c>
    </row>
    <row r="75" customFormat="false" ht="15" hidden="false" customHeight="true" outlineLevel="0" collapsed="false">
      <c r="A75" s="10" t="s">
        <v>110</v>
      </c>
      <c r="B75" s="10" t="s">
        <v>106</v>
      </c>
      <c r="C75" s="11" t="n">
        <v>9</v>
      </c>
      <c r="D75" s="12" t="n">
        <v>10</v>
      </c>
      <c r="E75" s="13" t="n">
        <v>7</v>
      </c>
      <c r="F75" s="11" t="n">
        <v>2</v>
      </c>
      <c r="G75" s="14" t="n">
        <v>42</v>
      </c>
      <c r="H75" s="15" t="n">
        <v>12</v>
      </c>
      <c r="I75" s="10" t="str">
        <f aca="false">IF(G75&lt;0,"negative profit",IF(G75&gt;Notes!$B$4,"unusually high - verify",""))</f>
        <v/>
      </c>
      <c r="J75" s="10" t="s">
        <v>464</v>
      </c>
    </row>
    <row r="76" customFormat="false" ht="15" hidden="false" customHeight="true" outlineLevel="0" collapsed="false">
      <c r="A76" s="10" t="s">
        <v>111</v>
      </c>
      <c r="B76" s="10" t="s">
        <v>106</v>
      </c>
      <c r="C76" s="11" t="n">
        <v>13</v>
      </c>
      <c r="D76" s="12" t="n">
        <v>120</v>
      </c>
      <c r="E76" s="13" t="n">
        <v>25</v>
      </c>
      <c r="F76" s="11" t="n">
        <v>5</v>
      </c>
      <c r="G76" s="14" t="n">
        <v>12.5</v>
      </c>
      <c r="H76" s="15" t="n">
        <v>2.5</v>
      </c>
      <c r="I76" s="10" t="str">
        <f aca="false">IF(G76&lt;0,"negative profit",IF(G76&gt;Notes!$B$4,"unusually high - verify",""))</f>
        <v/>
      </c>
      <c r="J76" s="10" t="s">
        <v>464</v>
      </c>
    </row>
    <row r="77" customFormat="false" ht="15" hidden="false" customHeight="true" outlineLevel="0" collapsed="false">
      <c r="A77" s="10" t="s">
        <v>112</v>
      </c>
      <c r="B77" s="10" t="s">
        <v>106</v>
      </c>
      <c r="C77" s="11" t="n">
        <v>15</v>
      </c>
      <c r="D77" s="12" t="n">
        <v>180</v>
      </c>
      <c r="E77" s="13" t="n">
        <v>32</v>
      </c>
      <c r="F77" s="11" t="n">
        <v>6</v>
      </c>
      <c r="G77" s="14" t="n">
        <v>10.66666667</v>
      </c>
      <c r="H77" s="15" t="n">
        <v>2</v>
      </c>
      <c r="I77" s="10" t="str">
        <f aca="false">IF(G77&lt;0,"negative profit",IF(G77&gt;Notes!$B$4,"unusually high - verify",""))</f>
        <v/>
      </c>
      <c r="J77" s="10" t="s">
        <v>464</v>
      </c>
    </row>
    <row r="78" customFormat="false" ht="15" hidden="false" customHeight="true" outlineLevel="0" collapsed="false">
      <c r="A78" s="10" t="s">
        <v>113</v>
      </c>
      <c r="B78" s="10" t="s">
        <v>106</v>
      </c>
      <c r="C78" s="11" t="n">
        <v>18</v>
      </c>
      <c r="D78" s="12" t="n">
        <v>150</v>
      </c>
      <c r="E78" s="13" t="n">
        <v>28</v>
      </c>
      <c r="F78" s="11" t="n">
        <v>6</v>
      </c>
      <c r="G78" s="14" t="n">
        <v>11.2</v>
      </c>
      <c r="H78" s="15" t="n">
        <v>2.4</v>
      </c>
      <c r="I78" s="10" t="str">
        <f aca="false">IF(G78&lt;0,"negative profit",IF(G78&gt;Notes!$B$4,"unusually high - verify",""))</f>
        <v/>
      </c>
      <c r="J78" s="10" t="s">
        <v>464</v>
      </c>
    </row>
    <row r="79" customFormat="false" ht="15" hidden="false" customHeight="true" outlineLevel="0" collapsed="false">
      <c r="A79" s="10" t="s">
        <v>517</v>
      </c>
      <c r="B79" s="10" t="s">
        <v>106</v>
      </c>
      <c r="C79" s="11" t="n">
        <v>25</v>
      </c>
      <c r="D79" s="12" t="n">
        <v>240</v>
      </c>
      <c r="E79" s="13" t="n">
        <v>36</v>
      </c>
      <c r="F79" s="11" t="n">
        <v>4</v>
      </c>
      <c r="G79" s="14" t="n">
        <v>9</v>
      </c>
      <c r="H79" s="15" t="n">
        <v>1</v>
      </c>
      <c r="I79" s="10" t="str">
        <f aca="false">IF(G79&lt;0,"negative profit",IF(G79&gt;Notes!$B$4,"unusually high - verify",""))</f>
        <v/>
      </c>
      <c r="J79" s="10" t="s">
        <v>464</v>
      </c>
    </row>
    <row r="80" customFormat="false" ht="15" hidden="false" customHeight="true" outlineLevel="0" collapsed="false">
      <c r="A80" s="10" t="s">
        <v>115</v>
      </c>
      <c r="B80" s="10" t="s">
        <v>106</v>
      </c>
      <c r="C80" s="11" t="n">
        <v>30</v>
      </c>
      <c r="D80" s="12" t="n">
        <v>360</v>
      </c>
      <c r="E80" s="13" t="n">
        <v>43</v>
      </c>
      <c r="F80" s="11" t="n">
        <v>8</v>
      </c>
      <c r="G80" s="14" t="n">
        <v>7.166666667</v>
      </c>
      <c r="H80" s="15" t="n">
        <v>1.333333333</v>
      </c>
      <c r="I80" s="10" t="str">
        <f aca="false">IF(G80&lt;0,"negative profit",IF(G80&gt;Notes!$B$4,"unusually high - verify",""))</f>
        <v/>
      </c>
      <c r="J80" s="10" t="s">
        <v>464</v>
      </c>
    </row>
    <row r="81" customFormat="false" ht="15" hidden="false" customHeight="true" outlineLevel="0" collapsed="false">
      <c r="A81" s="10" t="s">
        <v>116</v>
      </c>
      <c r="B81" s="10" t="s">
        <v>106</v>
      </c>
      <c r="C81" s="11" t="n">
        <v>34</v>
      </c>
      <c r="D81" s="12" t="n">
        <v>480</v>
      </c>
      <c r="E81" s="13" t="n">
        <v>50</v>
      </c>
      <c r="F81" s="11" t="n">
        <v>10</v>
      </c>
      <c r="G81" s="14" t="n">
        <v>6.25</v>
      </c>
      <c r="H81" s="15" t="n">
        <v>1.25</v>
      </c>
      <c r="I81" s="10" t="str">
        <f aca="false">IF(G81&lt;0,"negative profit",IF(G81&gt;Notes!$B$4,"unusually high - verify",""))</f>
        <v/>
      </c>
      <c r="J81" s="10" t="s">
        <v>464</v>
      </c>
    </row>
    <row r="82" customFormat="false" ht="15" hidden="false" customHeight="true" outlineLevel="0" collapsed="false">
      <c r="A82" s="10" t="s">
        <v>117</v>
      </c>
      <c r="B82" s="10" t="s">
        <v>106</v>
      </c>
      <c r="C82" s="11" t="n">
        <v>35</v>
      </c>
      <c r="D82" s="12" t="n">
        <v>220</v>
      </c>
      <c r="E82" s="13" t="n">
        <v>36</v>
      </c>
      <c r="F82" s="11" t="n">
        <v>7</v>
      </c>
      <c r="G82" s="14" t="n">
        <v>9.818181818</v>
      </c>
      <c r="H82" s="15" t="n">
        <v>1.909090909</v>
      </c>
      <c r="I82" s="10" t="str">
        <f aca="false">IF(G82&lt;0,"negative profit",IF(G82&gt;Notes!$B$4,"unusually high - verify",""))</f>
        <v/>
      </c>
      <c r="J82" s="10" t="s">
        <v>464</v>
      </c>
    </row>
    <row r="83" customFormat="false" ht="15" hidden="false" customHeight="true" outlineLevel="0" collapsed="false">
      <c r="A83" s="10" t="s">
        <v>118</v>
      </c>
      <c r="B83" s="10" t="s">
        <v>106</v>
      </c>
      <c r="C83" s="11" t="n">
        <v>50</v>
      </c>
      <c r="D83" s="12" t="n">
        <v>60</v>
      </c>
      <c r="E83" s="13" t="n">
        <v>18</v>
      </c>
      <c r="F83" s="11" t="n">
        <v>4</v>
      </c>
      <c r="G83" s="14" t="n">
        <v>18</v>
      </c>
      <c r="H83" s="15" t="n">
        <v>4</v>
      </c>
      <c r="I83" s="10" t="str">
        <f aca="false">IF(G83&lt;0,"negative profit",IF(G83&gt;Notes!$B$4,"unusually high - verify",""))</f>
        <v/>
      </c>
      <c r="J83" s="10" t="s">
        <v>464</v>
      </c>
    </row>
    <row r="84" customFormat="false" ht="15" hidden="false" customHeight="true" outlineLevel="0" collapsed="false">
      <c r="A84" s="10" t="s">
        <v>119</v>
      </c>
      <c r="B84" s="10" t="s">
        <v>106</v>
      </c>
      <c r="C84" s="11" t="n">
        <v>52</v>
      </c>
      <c r="D84" s="12" t="n">
        <v>30</v>
      </c>
      <c r="E84" s="13" t="n">
        <v>14</v>
      </c>
      <c r="F84" s="11" t="n">
        <v>3</v>
      </c>
      <c r="G84" s="14" t="n">
        <v>28</v>
      </c>
      <c r="H84" s="15" t="n">
        <v>6</v>
      </c>
      <c r="I84" s="10" t="str">
        <f aca="false">IF(G84&lt;0,"negative profit",IF(G84&gt;Notes!$B$4,"unusually high - verify",""))</f>
        <v/>
      </c>
      <c r="J84" s="10" t="s">
        <v>464</v>
      </c>
    </row>
    <row r="85" customFormat="false" ht="15" hidden="false" customHeight="true" outlineLevel="0" collapsed="false">
      <c r="A85" s="10" t="s">
        <v>120</v>
      </c>
      <c r="B85" s="10" t="s">
        <v>106</v>
      </c>
      <c r="C85" s="11" t="n">
        <v>53</v>
      </c>
      <c r="D85" s="12" t="n">
        <v>90</v>
      </c>
      <c r="E85" s="13" t="n">
        <v>21</v>
      </c>
      <c r="F85" s="11" t="n">
        <v>5</v>
      </c>
      <c r="G85" s="14" t="n">
        <v>14</v>
      </c>
      <c r="H85" s="15" t="n">
        <v>3.333333333</v>
      </c>
      <c r="I85" s="10" t="str">
        <f aca="false">IF(G85&lt;0,"negative profit",IF(G85&gt;Notes!$B$4,"unusually high - verify",""))</f>
        <v/>
      </c>
      <c r="J85" s="10" t="s">
        <v>464</v>
      </c>
    </row>
    <row r="86" customFormat="false" ht="15" hidden="false" customHeight="true" outlineLevel="0" collapsed="false">
      <c r="A86" s="10" t="s">
        <v>121</v>
      </c>
      <c r="B86" s="10" t="s">
        <v>106</v>
      </c>
      <c r="C86" s="11" t="n">
        <v>56</v>
      </c>
      <c r="D86" s="12" t="n">
        <v>45</v>
      </c>
      <c r="E86" s="13" t="n">
        <v>18</v>
      </c>
      <c r="F86" s="11" t="n">
        <v>3</v>
      </c>
      <c r="G86" s="14" t="n">
        <v>24</v>
      </c>
      <c r="H86" s="15" t="n">
        <v>4</v>
      </c>
      <c r="I86" s="10" t="str">
        <f aca="false">IF(G86&lt;0,"negative profit",IF(G86&gt;Notes!$B$4,"unusually high - verify",""))</f>
        <v/>
      </c>
      <c r="J86" s="10" t="s">
        <v>464</v>
      </c>
    </row>
    <row r="87" customFormat="false" ht="15" hidden="false" customHeight="true" outlineLevel="0" collapsed="false">
      <c r="A87" s="10" t="s">
        <v>122</v>
      </c>
      <c r="B87" s="10" t="s">
        <v>106</v>
      </c>
      <c r="C87" s="11" t="n">
        <v>58</v>
      </c>
      <c r="D87" s="12" t="n">
        <v>210</v>
      </c>
      <c r="E87" s="13" t="n">
        <v>32</v>
      </c>
      <c r="F87" s="11" t="n">
        <v>7</v>
      </c>
      <c r="G87" s="14" t="n">
        <v>9.142857143</v>
      </c>
      <c r="H87" s="15" t="n">
        <v>2</v>
      </c>
      <c r="I87" s="10" t="str">
        <f aca="false">IF(G87&lt;0,"negative profit",IF(G87&gt;Notes!$B$4,"unusually high - verify",""))</f>
        <v/>
      </c>
      <c r="J87" s="10" t="s">
        <v>464</v>
      </c>
    </row>
    <row r="88" customFormat="false" ht="15" hidden="false" customHeight="true" outlineLevel="0" collapsed="false">
      <c r="A88" s="10" t="s">
        <v>123</v>
      </c>
      <c r="B88" s="10" t="s">
        <v>106</v>
      </c>
      <c r="C88" s="11" t="n">
        <v>60</v>
      </c>
      <c r="D88" s="12" t="n">
        <v>30</v>
      </c>
      <c r="E88" s="13" t="n">
        <v>14</v>
      </c>
      <c r="F88" s="11" t="n">
        <v>3</v>
      </c>
      <c r="G88" s="14" t="n">
        <v>28</v>
      </c>
      <c r="H88" s="15" t="n">
        <v>6</v>
      </c>
      <c r="I88" s="10" t="str">
        <f aca="false">IF(G88&lt;0,"negative profit",IF(G88&gt;Notes!$B$4,"unusually high - verify",""))</f>
        <v/>
      </c>
      <c r="J88" s="10" t="s">
        <v>464</v>
      </c>
    </row>
    <row r="89" customFormat="false" ht="15" hidden="false" customHeight="true" outlineLevel="0" collapsed="false">
      <c r="A89" s="10" t="s">
        <v>124</v>
      </c>
      <c r="B89" s="10" t="s">
        <v>106</v>
      </c>
      <c r="C89" s="11" t="n">
        <v>63</v>
      </c>
      <c r="D89" s="12" t="n">
        <v>90</v>
      </c>
      <c r="E89" s="13" t="n">
        <v>21</v>
      </c>
      <c r="F89" s="11" t="n">
        <v>5</v>
      </c>
      <c r="G89" s="14" t="n">
        <v>14</v>
      </c>
      <c r="H89" s="15" t="n">
        <v>3.333333333</v>
      </c>
      <c r="I89" s="10" t="str">
        <f aca="false">IF(G89&lt;0,"negative profit",IF(G89&gt;Notes!$B$4,"unusually high - verify",""))</f>
        <v/>
      </c>
      <c r="J89" s="10" t="s">
        <v>464</v>
      </c>
    </row>
    <row r="90" customFormat="false" ht="15" hidden="false" customHeight="true" outlineLevel="0" collapsed="false">
      <c r="A90" s="10" t="s">
        <v>125</v>
      </c>
      <c r="B90" s="10" t="s">
        <v>106</v>
      </c>
      <c r="C90" s="11" t="n">
        <v>65</v>
      </c>
      <c r="D90" s="12" t="n">
        <v>45</v>
      </c>
      <c r="E90" s="13" t="n">
        <v>18</v>
      </c>
      <c r="F90" s="11" t="n">
        <v>3</v>
      </c>
      <c r="G90" s="14" t="n">
        <v>24</v>
      </c>
      <c r="H90" s="15" t="n">
        <v>4</v>
      </c>
      <c r="I90" s="10" t="str">
        <f aca="false">IF(G90&lt;0,"negative profit",IF(G90&gt;Notes!$B$4,"unusually high - verify",""))</f>
        <v/>
      </c>
      <c r="J90" s="10" t="s">
        <v>464</v>
      </c>
    </row>
    <row r="91" customFormat="false" ht="15" hidden="false" customHeight="true" outlineLevel="0" collapsed="false">
      <c r="A91" s="10" t="s">
        <v>126</v>
      </c>
      <c r="B91" s="10" t="s">
        <v>106</v>
      </c>
      <c r="C91" s="11" t="n">
        <v>68</v>
      </c>
      <c r="D91" s="12" t="n">
        <v>300</v>
      </c>
      <c r="E91" s="13" t="n">
        <v>39</v>
      </c>
      <c r="F91" s="11" t="n">
        <v>8</v>
      </c>
      <c r="G91" s="14" t="n">
        <v>7.8</v>
      </c>
      <c r="H91" s="15" t="n">
        <v>1.6</v>
      </c>
      <c r="I91" s="10" t="str">
        <f aca="false">IF(G91&lt;0,"negative profit",IF(G91&gt;Notes!$B$4,"unusually high - verify",""))</f>
        <v/>
      </c>
      <c r="J91" s="10" t="s">
        <v>464</v>
      </c>
    </row>
    <row r="92" customFormat="false" ht="15" hidden="false" customHeight="true" outlineLevel="0" collapsed="false">
      <c r="A92" s="10" t="s">
        <v>127</v>
      </c>
      <c r="B92" s="10" t="s">
        <v>106</v>
      </c>
      <c r="C92" s="11" t="n">
        <v>70</v>
      </c>
      <c r="D92" s="12" t="n">
        <v>35</v>
      </c>
      <c r="E92" s="13" t="n">
        <v>14</v>
      </c>
      <c r="F92" s="11" t="n">
        <v>3</v>
      </c>
      <c r="G92" s="14" t="n">
        <v>24</v>
      </c>
      <c r="H92" s="15" t="n">
        <v>5.142857143</v>
      </c>
      <c r="I92" s="10" t="str">
        <f aca="false">IF(G92&lt;0,"negative profit",IF(G92&gt;Notes!$B$4,"unusually high - verify",""))</f>
        <v/>
      </c>
      <c r="J92" s="10" t="s">
        <v>464</v>
      </c>
    </row>
    <row r="93" customFormat="false" ht="15" hidden="false" customHeight="true" outlineLevel="0" collapsed="false">
      <c r="A93" s="10" t="s">
        <v>128</v>
      </c>
      <c r="B93" s="10" t="s">
        <v>106</v>
      </c>
      <c r="C93" s="11" t="n">
        <v>72</v>
      </c>
      <c r="D93" s="12" t="n">
        <v>40</v>
      </c>
      <c r="E93" s="13" t="n">
        <v>14</v>
      </c>
      <c r="F93" s="11" t="n">
        <v>3</v>
      </c>
      <c r="G93" s="14" t="n">
        <v>21</v>
      </c>
      <c r="H93" s="15" t="n">
        <v>4.5</v>
      </c>
      <c r="I93" s="10" t="str">
        <f aca="false">IF(G93&lt;0,"negative profit",IF(G93&gt;Notes!$B$4,"unusually high - verify",""))</f>
        <v/>
      </c>
      <c r="J93" s="10" t="s">
        <v>464</v>
      </c>
    </row>
    <row r="94" customFormat="false" ht="15" hidden="false" customHeight="true" outlineLevel="0" collapsed="false">
      <c r="A94" s="10" t="s">
        <v>518</v>
      </c>
      <c r="B94" s="10" t="s">
        <v>106</v>
      </c>
      <c r="C94" s="11" t="n">
        <v>74</v>
      </c>
      <c r="D94" s="12" t="n">
        <v>270</v>
      </c>
      <c r="E94" s="13" t="n">
        <v>36</v>
      </c>
      <c r="F94" s="11" t="n">
        <v>7</v>
      </c>
      <c r="G94" s="14" t="n">
        <v>8</v>
      </c>
      <c r="H94" s="15" t="n">
        <v>1.555555556</v>
      </c>
      <c r="I94" s="10" t="str">
        <f aca="false">IF(G94&lt;0,"negative profit",IF(G94&gt;Notes!$B$4,"unusually high - verify",""))</f>
        <v/>
      </c>
      <c r="J94" s="10" t="s">
        <v>464</v>
      </c>
    </row>
    <row r="95" customFormat="false" ht="15" hidden="false" customHeight="true" outlineLevel="0" collapsed="false">
      <c r="A95" s="10" t="s">
        <v>130</v>
      </c>
      <c r="B95" s="10" t="s">
        <v>106</v>
      </c>
      <c r="C95" s="11" t="n">
        <v>78</v>
      </c>
      <c r="D95" s="12" t="n">
        <v>150</v>
      </c>
      <c r="E95" s="13" t="n">
        <v>28</v>
      </c>
      <c r="F95" s="11" t="n">
        <v>6</v>
      </c>
      <c r="G95" s="14" t="n">
        <v>11.2</v>
      </c>
      <c r="H95" s="15" t="n">
        <v>2.4</v>
      </c>
      <c r="I95" s="10" t="str">
        <f aca="false">IF(G95&lt;0,"negative profit",IF(G95&gt;Notes!$B$4,"unusually high - verify",""))</f>
        <v/>
      </c>
      <c r="J95" s="10" t="s">
        <v>464</v>
      </c>
    </row>
    <row r="96" customFormat="false" ht="15" hidden="false" customHeight="true" outlineLevel="0" collapsed="false">
      <c r="A96" s="10" t="s">
        <v>519</v>
      </c>
      <c r="B96" s="10" t="s">
        <v>106</v>
      </c>
      <c r="C96" s="11" t="n">
        <v>80</v>
      </c>
      <c r="D96" s="12" t="n">
        <v>390</v>
      </c>
      <c r="E96" s="13" t="n">
        <v>43</v>
      </c>
      <c r="F96" s="11" t="n">
        <v>9</v>
      </c>
      <c r="G96" s="14" t="n">
        <v>6.615384615</v>
      </c>
      <c r="H96" s="15" t="n">
        <v>1.384615385</v>
      </c>
      <c r="I96" s="10" t="str">
        <f aca="false">IF(G96&lt;0,"negative profit",IF(G96&gt;Notes!$B$4,"unusually high - verify",""))</f>
        <v/>
      </c>
      <c r="J96" s="10" t="s">
        <v>464</v>
      </c>
    </row>
    <row r="97" customFormat="false" ht="15" hidden="false" customHeight="true" outlineLevel="0" collapsed="false">
      <c r="A97" s="10" t="s">
        <v>132</v>
      </c>
      <c r="B97" s="10" t="s">
        <v>106</v>
      </c>
      <c r="C97" s="11" t="n">
        <v>82</v>
      </c>
      <c r="D97" s="12" t="n">
        <v>240</v>
      </c>
      <c r="E97" s="13" t="n">
        <v>36</v>
      </c>
      <c r="F97" s="11" t="n">
        <v>7</v>
      </c>
      <c r="G97" s="14" t="n">
        <v>9</v>
      </c>
      <c r="H97" s="15" t="n">
        <v>1.75</v>
      </c>
      <c r="I97" s="10" t="str">
        <f aca="false">IF(G97&lt;0,"negative profit",IF(G97&gt;Notes!$B$4,"unusually high - verify",""))</f>
        <v/>
      </c>
      <c r="J97" s="10" t="s">
        <v>464</v>
      </c>
    </row>
    <row r="98" customFormat="false" ht="15" hidden="false" customHeight="true" outlineLevel="0" collapsed="false">
      <c r="A98" s="10" t="s">
        <v>133</v>
      </c>
      <c r="B98" s="10" t="s">
        <v>106</v>
      </c>
      <c r="C98" s="11" t="n">
        <v>83</v>
      </c>
      <c r="D98" s="12" t="n">
        <v>90</v>
      </c>
      <c r="E98" s="13" t="n">
        <v>21</v>
      </c>
      <c r="F98" s="11" t="n">
        <v>4</v>
      </c>
      <c r="G98" s="14" t="n">
        <v>14</v>
      </c>
      <c r="H98" s="15" t="n">
        <v>2.666666667</v>
      </c>
      <c r="I98" s="10" t="str">
        <f aca="false">IF(G98&lt;0,"negative profit",IF(G98&gt;Notes!$B$4,"unusually high - verify",""))</f>
        <v/>
      </c>
      <c r="J98" s="10" t="s">
        <v>464</v>
      </c>
    </row>
    <row r="99" customFormat="false" ht="15" hidden="false" customHeight="true" outlineLevel="0" collapsed="false">
      <c r="A99" s="10" t="s">
        <v>134</v>
      </c>
      <c r="B99" s="10" t="s">
        <v>106</v>
      </c>
      <c r="C99" s="11" t="n">
        <v>84</v>
      </c>
      <c r="D99" s="12" t="n">
        <v>180</v>
      </c>
      <c r="E99" s="13" t="n">
        <v>32</v>
      </c>
      <c r="F99" s="11" t="n">
        <v>6</v>
      </c>
      <c r="G99" s="14" t="n">
        <v>10.66666667</v>
      </c>
      <c r="H99" s="15" t="n">
        <v>2</v>
      </c>
      <c r="I99" s="10" t="str">
        <f aca="false">IF(G99&lt;0,"negative profit",IF(G99&gt;Notes!$B$4,"unusually high - verify",""))</f>
        <v/>
      </c>
      <c r="J99" s="10" t="s">
        <v>464</v>
      </c>
    </row>
    <row r="100" customFormat="false" ht="15" hidden="false" customHeight="true" outlineLevel="0" collapsed="false">
      <c r="A100" s="10" t="s">
        <v>135</v>
      </c>
      <c r="B100" s="10" t="s">
        <v>106</v>
      </c>
      <c r="C100" s="11" t="n">
        <v>85</v>
      </c>
      <c r="D100" s="12" t="n">
        <v>180</v>
      </c>
      <c r="E100" s="13" t="n">
        <v>32</v>
      </c>
      <c r="F100" s="11" t="n">
        <v>6</v>
      </c>
      <c r="G100" s="14" t="n">
        <v>10.66666667</v>
      </c>
      <c r="H100" s="15" t="n">
        <v>2</v>
      </c>
      <c r="I100" s="10" t="str">
        <f aca="false">IF(G100&lt;0,"negative profit",IF(G100&gt;Notes!$B$4,"unusually high - verify",""))</f>
        <v/>
      </c>
      <c r="J100" s="10" t="s">
        <v>464</v>
      </c>
    </row>
    <row r="101" customFormat="false" ht="15" hidden="false" customHeight="true" outlineLevel="0" collapsed="false">
      <c r="A101" s="10" t="s">
        <v>520</v>
      </c>
      <c r="B101" s="10" t="s">
        <v>106</v>
      </c>
      <c r="C101" s="11" t="n">
        <v>88</v>
      </c>
      <c r="D101" s="12" t="n">
        <v>60</v>
      </c>
      <c r="E101" s="13" t="n">
        <v>18</v>
      </c>
      <c r="F101" s="11" t="n">
        <v>4</v>
      </c>
      <c r="G101" s="14" t="n">
        <v>18</v>
      </c>
      <c r="H101" s="15" t="n">
        <v>4</v>
      </c>
      <c r="I101" s="10" t="str">
        <f aca="false">IF(G101&lt;0,"negative profit",IF(G101&gt;Notes!$B$4,"unusually high - verify",""))</f>
        <v/>
      </c>
      <c r="J101" s="10" t="s">
        <v>464</v>
      </c>
    </row>
    <row r="102" customFormat="false" ht="15" hidden="false" customHeight="true" outlineLevel="0" collapsed="false">
      <c r="A102" s="10" t="s">
        <v>137</v>
      </c>
      <c r="B102" s="10" t="s">
        <v>106</v>
      </c>
      <c r="C102" s="11" t="n">
        <v>89</v>
      </c>
      <c r="D102" s="12" t="n">
        <v>20</v>
      </c>
      <c r="E102" s="13" t="n">
        <v>10</v>
      </c>
      <c r="F102" s="11" t="n">
        <v>2</v>
      </c>
      <c r="G102" s="14" t="n">
        <v>30</v>
      </c>
      <c r="H102" s="15" t="n">
        <v>6</v>
      </c>
      <c r="I102" s="10" t="str">
        <f aca="false">IF(G102&lt;0,"negative profit",IF(G102&gt;Notes!$B$4,"unusually high - verify",""))</f>
        <v/>
      </c>
      <c r="J102" s="10" t="s">
        <v>464</v>
      </c>
    </row>
    <row r="103" customFormat="false" ht="15" hidden="false" customHeight="true" outlineLevel="0" collapsed="false">
      <c r="A103" s="10" t="s">
        <v>138</v>
      </c>
      <c r="B103" s="10" t="s">
        <v>106</v>
      </c>
      <c r="C103" s="11" t="n">
        <v>90</v>
      </c>
      <c r="D103" s="12" t="n">
        <v>40</v>
      </c>
      <c r="E103" s="13" t="n">
        <v>14</v>
      </c>
      <c r="F103" s="11" t="n">
        <v>3</v>
      </c>
      <c r="G103" s="14" t="n">
        <v>21</v>
      </c>
      <c r="H103" s="15" t="n">
        <v>4.5</v>
      </c>
      <c r="I103" s="10" t="str">
        <f aca="false">IF(G103&lt;0,"negative profit",IF(G103&gt;Notes!$B$4,"unusually high - verify",""))</f>
        <v/>
      </c>
      <c r="J103" s="10" t="s">
        <v>464</v>
      </c>
    </row>
    <row r="104" customFormat="false" ht="15" hidden="false" customHeight="true" outlineLevel="0" collapsed="false">
      <c r="A104" s="10" t="s">
        <v>139</v>
      </c>
      <c r="B104" s="10" t="s">
        <v>106</v>
      </c>
      <c r="C104" s="11" t="n">
        <v>92</v>
      </c>
      <c r="D104" s="12" t="n">
        <v>300</v>
      </c>
      <c r="E104" s="13" t="n">
        <v>39</v>
      </c>
      <c r="F104" s="11" t="n">
        <v>8</v>
      </c>
      <c r="G104" s="14" t="n">
        <v>7.8</v>
      </c>
      <c r="H104" s="15" t="n">
        <v>1.6</v>
      </c>
      <c r="I104" s="10" t="str">
        <f aca="false">IF(G104&lt;0,"negative profit",IF(G104&gt;Notes!$B$4,"unusually high - verify",""))</f>
        <v/>
      </c>
      <c r="J104" s="10" t="s">
        <v>464</v>
      </c>
    </row>
    <row r="105" customFormat="false" ht="15" hidden="false" customHeight="true" outlineLevel="0" collapsed="false">
      <c r="A105" s="10" t="s">
        <v>140</v>
      </c>
      <c r="B105" s="10" t="s">
        <v>106</v>
      </c>
      <c r="C105" s="11" t="n">
        <v>94</v>
      </c>
      <c r="D105" s="12" t="n">
        <v>110</v>
      </c>
      <c r="E105" s="13" t="n">
        <v>18</v>
      </c>
      <c r="F105" s="11" t="n">
        <v>5</v>
      </c>
      <c r="G105" s="14" t="n">
        <v>9.818181818</v>
      </c>
      <c r="H105" s="15" t="n">
        <v>2.727272727</v>
      </c>
      <c r="I105" s="10" t="str">
        <f aca="false">IF(G105&lt;0,"negative profit",IF(G105&gt;Notes!$B$4,"unusually high - verify",""))</f>
        <v/>
      </c>
      <c r="J105" s="10" t="s">
        <v>464</v>
      </c>
    </row>
    <row r="106" customFormat="false" ht="15" hidden="false" customHeight="true" outlineLevel="0" collapsed="false">
      <c r="A106" s="10" t="s">
        <v>141</v>
      </c>
      <c r="B106" s="10" t="s">
        <v>106</v>
      </c>
      <c r="C106" s="11" t="n">
        <v>95</v>
      </c>
      <c r="D106" s="12" t="n">
        <v>60</v>
      </c>
      <c r="E106" s="13" t="n">
        <v>18</v>
      </c>
      <c r="F106" s="11" t="n">
        <v>4</v>
      </c>
      <c r="G106" s="14" t="n">
        <v>18</v>
      </c>
      <c r="H106" s="15" t="n">
        <v>4</v>
      </c>
      <c r="I106" s="10" t="str">
        <f aca="false">IF(G106&lt;0,"negative profit",IF(G106&gt;Notes!$B$4,"unusually high - verify",""))</f>
        <v/>
      </c>
      <c r="J106" s="10" t="s">
        <v>464</v>
      </c>
    </row>
    <row r="107" customFormat="false" ht="15" hidden="false" customHeight="true" outlineLevel="0" collapsed="false">
      <c r="A107" s="10" t="s">
        <v>142</v>
      </c>
      <c r="B107" s="10" t="s">
        <v>143</v>
      </c>
      <c r="C107" s="11" t="n">
        <v>109</v>
      </c>
      <c r="D107" s="12" t="n">
        <v>70</v>
      </c>
      <c r="E107" s="13" t="n">
        <v>583</v>
      </c>
      <c r="F107" s="11" t="n">
        <v>70</v>
      </c>
      <c r="G107" s="14" t="n">
        <v>26.57142857</v>
      </c>
      <c r="H107" s="15" t="n">
        <v>60</v>
      </c>
      <c r="I107" s="10" t="str">
        <f aca="false">IF(G107&lt;0,"negative profit",IF(G107&gt;Notes!$B$4,"unusually high - verify",""))</f>
        <v/>
      </c>
      <c r="J107" s="10" t="s">
        <v>464</v>
      </c>
    </row>
    <row r="108" customFormat="false" ht="15" hidden="false" customHeight="true" outlineLevel="0" collapsed="false">
      <c r="A108" s="10" t="s">
        <v>144</v>
      </c>
      <c r="B108" s="10" t="s">
        <v>143</v>
      </c>
      <c r="C108" s="11" t="n">
        <v>109</v>
      </c>
      <c r="D108" s="12" t="n">
        <v>40</v>
      </c>
      <c r="E108" s="13" t="n">
        <v>280</v>
      </c>
      <c r="F108" s="11" t="n">
        <v>34</v>
      </c>
      <c r="G108" s="14" t="n">
        <v>43.5</v>
      </c>
      <c r="H108" s="15" t="n">
        <v>51</v>
      </c>
      <c r="I108" s="10" t="str">
        <f aca="false">IF(G108&lt;0,"negative profit",IF(G108&gt;Notes!$B$4,"unusually high - verify",""))</f>
        <v/>
      </c>
      <c r="J108" s="10" t="s">
        <v>464</v>
      </c>
    </row>
    <row r="109" customFormat="false" ht="15" hidden="false" customHeight="true" outlineLevel="0" collapsed="false">
      <c r="A109" s="10" t="s">
        <v>145</v>
      </c>
      <c r="B109" s="10" t="s">
        <v>143</v>
      </c>
      <c r="C109" s="11" t="n">
        <v>112</v>
      </c>
      <c r="D109" s="12" t="n">
        <v>90</v>
      </c>
      <c r="E109" s="13" t="n">
        <v>572</v>
      </c>
      <c r="F109" s="11" t="n">
        <v>68</v>
      </c>
      <c r="G109" s="14" t="n">
        <v>22.66666667</v>
      </c>
      <c r="H109" s="15" t="n">
        <v>45.33333333</v>
      </c>
      <c r="I109" s="10" t="str">
        <f aca="false">IF(G109&lt;0,"negative profit",IF(G109&gt;Notes!$B$4,"unusually high - verify",""))</f>
        <v/>
      </c>
      <c r="J109" s="10" t="s">
        <v>464</v>
      </c>
    </row>
    <row r="110" customFormat="false" ht="15" hidden="false" customHeight="true" outlineLevel="0" collapsed="false">
      <c r="A110" s="10" t="s">
        <v>146</v>
      </c>
      <c r="B110" s="10" t="s">
        <v>143</v>
      </c>
      <c r="C110" s="11" t="n">
        <v>114</v>
      </c>
      <c r="D110" s="12" t="n">
        <v>120</v>
      </c>
      <c r="E110" s="13" t="n">
        <v>712</v>
      </c>
      <c r="F110" s="11" t="n">
        <v>85</v>
      </c>
      <c r="G110" s="14" t="n">
        <v>69</v>
      </c>
      <c r="H110" s="15" t="n">
        <v>42.5</v>
      </c>
      <c r="I110" s="10" t="str">
        <f aca="false">IF(G110&lt;0,"negative profit",IF(G110&gt;Notes!$B$4,"unusually high - verify",""))</f>
        <v/>
      </c>
      <c r="J110" s="10" t="s">
        <v>464</v>
      </c>
    </row>
    <row r="111" customFormat="false" ht="15" hidden="false" customHeight="true" outlineLevel="0" collapsed="false">
      <c r="A111" s="10" t="s">
        <v>147</v>
      </c>
      <c r="B111" s="10" t="s">
        <v>148</v>
      </c>
      <c r="C111" s="11" t="n">
        <v>6</v>
      </c>
      <c r="D111" s="12" t="n">
        <v>17</v>
      </c>
      <c r="E111" s="13" t="n">
        <v>50</v>
      </c>
      <c r="F111" s="11" t="n">
        <v>6</v>
      </c>
      <c r="G111" s="14" t="n">
        <v>63.52941176</v>
      </c>
      <c r="H111" s="15" t="n">
        <v>21.17647059</v>
      </c>
      <c r="I111" s="10" t="str">
        <f aca="false">IF(G111&lt;0,"negative profit",IF(G111&gt;Notes!$B$4,"unusually high - verify",""))</f>
        <v/>
      </c>
      <c r="J111" s="10" t="s">
        <v>464</v>
      </c>
    </row>
    <row r="112" customFormat="false" ht="15" hidden="false" customHeight="true" outlineLevel="0" collapsed="false">
      <c r="A112" s="10" t="s">
        <v>150</v>
      </c>
      <c r="B112" s="10" t="s">
        <v>148</v>
      </c>
      <c r="C112" s="11" t="n">
        <v>9</v>
      </c>
      <c r="D112" s="12" t="n">
        <v>25</v>
      </c>
      <c r="E112" s="13" t="n">
        <v>82</v>
      </c>
      <c r="F112" s="11" t="n">
        <v>10</v>
      </c>
      <c r="G112" s="14" t="n">
        <v>42.35294118</v>
      </c>
      <c r="H112" s="15" t="n">
        <v>23.52941176</v>
      </c>
      <c r="I112" s="10" t="str">
        <f aca="false">IF(G112&lt;0,"negative profit",IF(G112&gt;Notes!$B$4,"unusually high - verify",""))</f>
        <v/>
      </c>
      <c r="J112" s="10" t="s">
        <v>464</v>
      </c>
    </row>
    <row r="113" customFormat="false" ht="15" hidden="false" customHeight="true" outlineLevel="0" collapsed="false">
      <c r="A113" s="10" t="s">
        <v>151</v>
      </c>
      <c r="B113" s="10" t="s">
        <v>148</v>
      </c>
      <c r="C113" s="11" t="n">
        <v>12</v>
      </c>
      <c r="D113" s="12" t="n">
        <v>51</v>
      </c>
      <c r="E113" s="13" t="n">
        <v>122</v>
      </c>
      <c r="F113" s="11" t="n">
        <v>15</v>
      </c>
      <c r="G113" s="14" t="n">
        <v>30.58823529</v>
      </c>
      <c r="H113" s="15" t="n">
        <v>17.64705882</v>
      </c>
      <c r="I113" s="10" t="str">
        <f aca="false">IF(G113&lt;0,"negative profit",IF(G113&gt;Notes!$B$4,"unusually high - verify",""))</f>
        <v/>
      </c>
      <c r="J113" s="10" t="s">
        <v>464</v>
      </c>
    </row>
    <row r="114" customFormat="false" ht="15" hidden="false" customHeight="true" outlineLevel="0" collapsed="false">
      <c r="A114" s="10" t="s">
        <v>521</v>
      </c>
      <c r="B114" s="10" t="s">
        <v>148</v>
      </c>
      <c r="C114" s="11" t="n">
        <v>33</v>
      </c>
      <c r="D114" s="12" t="n">
        <v>76</v>
      </c>
      <c r="E114" s="13" t="n">
        <v>162</v>
      </c>
      <c r="F114" s="11" t="n">
        <v>19</v>
      </c>
      <c r="G114" s="14" t="n">
        <v>26.66666667</v>
      </c>
      <c r="H114" s="15" t="n">
        <v>14.90196078</v>
      </c>
      <c r="I114" s="10" t="str">
        <f aca="false">IF(G114&lt;0,"negative profit",IF(G114&gt;Notes!$B$4,"unusually high - verify",""))</f>
        <v/>
      </c>
      <c r="J114" s="10" t="s">
        <v>464</v>
      </c>
    </row>
    <row r="115" customFormat="false" ht="15" hidden="false" customHeight="true" outlineLevel="0" collapsed="false">
      <c r="A115" s="10" t="s">
        <v>522</v>
      </c>
      <c r="B115" s="10" t="s">
        <v>154</v>
      </c>
      <c r="C115" s="11" t="n">
        <v>87</v>
      </c>
      <c r="D115" s="12" t="n">
        <v>21</v>
      </c>
      <c r="E115" s="13" t="n">
        <v>302</v>
      </c>
      <c r="F115" s="11" t="n">
        <v>36</v>
      </c>
      <c r="G115" s="14" t="n">
        <v>22.58823529</v>
      </c>
      <c r="H115" s="15" t="n">
        <v>101.6470588</v>
      </c>
      <c r="I115" s="10" t="str">
        <f aca="false">IF(G115&lt;0,"negative profit",IF(G115&gt;Notes!$B$4,"unusually high - verify",""))</f>
        <v/>
      </c>
      <c r="J115" s="10" t="s">
        <v>464</v>
      </c>
    </row>
    <row r="116" customFormat="false" ht="15" hidden="false" customHeight="true" outlineLevel="0" collapsed="false">
      <c r="A116" s="10" t="s">
        <v>523</v>
      </c>
      <c r="B116" s="10" t="s">
        <v>154</v>
      </c>
      <c r="C116" s="11" t="n">
        <v>91</v>
      </c>
      <c r="D116" s="12" t="n">
        <v>17</v>
      </c>
      <c r="E116" s="13" t="n">
        <v>295</v>
      </c>
      <c r="F116" s="11" t="n">
        <v>35</v>
      </c>
      <c r="G116" s="14" t="n">
        <v>88.23529412</v>
      </c>
      <c r="H116" s="15" t="n">
        <v>123.5294118</v>
      </c>
      <c r="I116" s="10" t="str">
        <f aca="false">IF(G116&lt;0,"negative profit",IF(G116&gt;Notes!$B$4,"unusually high - verify",""))</f>
        <v/>
      </c>
      <c r="J116" s="10" t="s">
        <v>464</v>
      </c>
    </row>
    <row r="117" customFormat="false" ht="15" hidden="false" customHeight="true" outlineLevel="0" collapsed="false">
      <c r="A117" s="10" t="s">
        <v>524</v>
      </c>
      <c r="B117" s="10" t="s">
        <v>154</v>
      </c>
      <c r="C117" s="11" t="n">
        <v>98</v>
      </c>
      <c r="D117" s="12" t="n">
        <v>34</v>
      </c>
      <c r="E117" s="13" t="n">
        <v>406</v>
      </c>
      <c r="F117" s="11" t="n">
        <v>48</v>
      </c>
      <c r="G117" s="14" t="n">
        <v>40.58823529</v>
      </c>
      <c r="H117" s="15" t="n">
        <v>84.70588235</v>
      </c>
      <c r="I117" s="10" t="str">
        <f aca="false">IF(G117&lt;0,"negative profit",IF(G117&gt;Notes!$B$4,"unusually high - verify",""))</f>
        <v/>
      </c>
      <c r="J117" s="10" t="s">
        <v>464</v>
      </c>
    </row>
    <row r="118" customFormat="false" ht="15" hidden="false" customHeight="true" outlineLevel="0" collapsed="false">
      <c r="A118" s="10" t="s">
        <v>157</v>
      </c>
      <c r="B118" s="10" t="s">
        <v>154</v>
      </c>
      <c r="C118" s="11" t="n">
        <v>98</v>
      </c>
      <c r="D118" s="12" t="n">
        <v>46</v>
      </c>
      <c r="E118" s="13" t="n">
        <v>226</v>
      </c>
      <c r="F118" s="11" t="n">
        <v>27</v>
      </c>
      <c r="G118" s="14" t="n">
        <v>38.5026738</v>
      </c>
      <c r="H118" s="15" t="n">
        <v>34.65240642</v>
      </c>
      <c r="I118" s="10" t="str">
        <f aca="false">IF(G118&lt;0,"negative profit",IF(G118&gt;Notes!$B$4,"unusually high - verify",""))</f>
        <v/>
      </c>
      <c r="J118" s="10" t="s">
        <v>464</v>
      </c>
    </row>
    <row r="119" customFormat="false" ht="15" hidden="false" customHeight="true" outlineLevel="0" collapsed="false">
      <c r="A119" s="10" t="s">
        <v>525</v>
      </c>
      <c r="B119" s="10" t="s">
        <v>154</v>
      </c>
      <c r="C119" s="11" t="n">
        <v>100</v>
      </c>
      <c r="D119" s="12" t="n">
        <v>12</v>
      </c>
      <c r="E119" s="13" t="n">
        <v>658</v>
      </c>
      <c r="F119" s="11" t="n">
        <v>87</v>
      </c>
      <c r="G119" s="14" t="n">
        <v>291.7647059</v>
      </c>
      <c r="H119" s="15" t="n">
        <v>409.4117647</v>
      </c>
      <c r="I119" s="10" t="str">
        <f aca="false">IF(G119&lt;0,"negative profit",IF(G119&gt;Notes!$B$4,"unusually high - verify",""))</f>
        <v>unusually high - verify</v>
      </c>
      <c r="J119" s="10" t="s">
        <v>464</v>
      </c>
    </row>
    <row r="120" customFormat="false" ht="15" hidden="false" customHeight="true" outlineLevel="0" collapsed="false">
      <c r="A120" s="10" t="s">
        <v>159</v>
      </c>
      <c r="B120" s="10" t="s">
        <v>154</v>
      </c>
      <c r="C120" s="11" t="n">
        <v>103</v>
      </c>
      <c r="D120" s="12" t="n">
        <v>63</v>
      </c>
      <c r="E120" s="13" t="n">
        <v>223</v>
      </c>
      <c r="F120" s="11" t="n">
        <v>27</v>
      </c>
      <c r="G120" s="14" t="n">
        <v>29.17647059</v>
      </c>
      <c r="H120" s="15" t="n">
        <v>25.41176471</v>
      </c>
      <c r="I120" s="10" t="str">
        <f aca="false">IF(G120&lt;0,"negative profit",IF(G120&gt;Notes!$B$4,"unusually high - verify",""))</f>
        <v/>
      </c>
      <c r="J120" s="10" t="s">
        <v>464</v>
      </c>
    </row>
    <row r="121" customFormat="false" ht="15" hidden="false" customHeight="true" outlineLevel="0" collapsed="false">
      <c r="A121" s="10" t="s">
        <v>160</v>
      </c>
      <c r="B121" s="10" t="s">
        <v>526</v>
      </c>
      <c r="C121" s="11" t="n">
        <v>76</v>
      </c>
      <c r="D121" s="12" t="n">
        <v>12</v>
      </c>
      <c r="E121" s="13" t="n">
        <v>129</v>
      </c>
      <c r="F121" s="11" t="n">
        <v>15</v>
      </c>
      <c r="G121" s="14" t="n">
        <v>94.11764706</v>
      </c>
      <c r="H121" s="15" t="n">
        <v>70.58823529</v>
      </c>
      <c r="I121" s="10" t="str">
        <f aca="false">IF(G121&lt;0,"negative profit",IF(G121&gt;Notes!$B$4,"unusually high - verify",""))</f>
        <v/>
      </c>
      <c r="J121" s="10" t="s">
        <v>464</v>
      </c>
    </row>
    <row r="122" customFormat="false" ht="15" hidden="false" customHeight="true" outlineLevel="0" collapsed="false">
      <c r="A122" s="10" t="s">
        <v>163</v>
      </c>
      <c r="B122" s="10" t="s">
        <v>526</v>
      </c>
      <c r="C122" s="11" t="n">
        <v>79</v>
      </c>
      <c r="D122" s="12" t="n">
        <v>17</v>
      </c>
      <c r="E122" s="13" t="n">
        <v>313</v>
      </c>
      <c r="F122" s="11" t="n">
        <v>37</v>
      </c>
      <c r="G122" s="14" t="n">
        <v>42.35294118</v>
      </c>
      <c r="H122" s="15" t="n">
        <v>130.5882353</v>
      </c>
      <c r="I122" s="10" t="str">
        <f aca="false">IF(G122&lt;0,"negative profit",IF(G122&gt;Notes!$B$4,"unusually high - verify",""))</f>
        <v/>
      </c>
      <c r="J122" s="10" t="s">
        <v>464</v>
      </c>
    </row>
    <row r="123" customFormat="false" ht="15" hidden="false" customHeight="true" outlineLevel="0" collapsed="false">
      <c r="A123" s="10" t="s">
        <v>164</v>
      </c>
      <c r="B123" s="10" t="s">
        <v>526</v>
      </c>
      <c r="C123" s="11" t="n">
        <v>82</v>
      </c>
      <c r="D123" s="12" t="n">
        <v>25</v>
      </c>
      <c r="E123" s="13" t="n">
        <v>594</v>
      </c>
      <c r="F123" s="11" t="n">
        <v>71</v>
      </c>
      <c r="G123" s="14" t="n">
        <v>341.1764706</v>
      </c>
      <c r="H123" s="15" t="n">
        <v>167.0588235</v>
      </c>
      <c r="I123" s="10" t="str">
        <f aca="false">IF(G123&lt;0,"negative profit",IF(G123&gt;Notes!$B$4,"unusually high - verify",""))</f>
        <v>unusually high - verify</v>
      </c>
      <c r="J123" s="10" t="s">
        <v>464</v>
      </c>
    </row>
    <row r="124" customFormat="false" ht="15" hidden="false" customHeight="true" outlineLevel="0" collapsed="false">
      <c r="A124" s="10" t="s">
        <v>165</v>
      </c>
      <c r="B124" s="10" t="s">
        <v>526</v>
      </c>
      <c r="C124" s="11" t="n">
        <v>86</v>
      </c>
      <c r="D124" s="12" t="n">
        <v>21</v>
      </c>
      <c r="E124" s="13" t="n">
        <v>230</v>
      </c>
      <c r="F124" s="11" t="n">
        <v>27</v>
      </c>
      <c r="G124" s="14" t="n">
        <v>53.64705882</v>
      </c>
      <c r="H124" s="15" t="n">
        <v>76.23529412</v>
      </c>
      <c r="I124" s="10" t="str">
        <f aca="false">IF(G124&lt;0,"negative profit",IF(G124&gt;Notes!$B$4,"unusually high - verify",""))</f>
        <v/>
      </c>
      <c r="J124" s="10" t="s">
        <v>464</v>
      </c>
    </row>
    <row r="125" customFormat="false" ht="15" hidden="false" customHeight="true" outlineLevel="0" collapsed="false">
      <c r="A125" s="10" t="s">
        <v>166</v>
      </c>
      <c r="B125" s="10" t="s">
        <v>526</v>
      </c>
      <c r="C125" s="11" t="n">
        <v>88</v>
      </c>
      <c r="D125" s="12" t="n">
        <v>25</v>
      </c>
      <c r="E125" s="13" t="n">
        <v>388</v>
      </c>
      <c r="F125" s="11" t="n">
        <v>46</v>
      </c>
      <c r="G125" s="14" t="n">
        <v>44.70588235</v>
      </c>
      <c r="H125" s="15" t="n">
        <v>108.2352941</v>
      </c>
      <c r="I125" s="10" t="str">
        <f aca="false">IF(G125&lt;0,"negative profit",IF(G125&gt;Notes!$B$4,"unusually high - verify",""))</f>
        <v/>
      </c>
      <c r="J125" s="10" t="s">
        <v>464</v>
      </c>
    </row>
    <row r="126" customFormat="false" ht="15" hidden="false" customHeight="true" outlineLevel="0" collapsed="false">
      <c r="A126" s="10" t="s">
        <v>167</v>
      </c>
      <c r="B126" s="10" t="s">
        <v>526</v>
      </c>
      <c r="C126" s="11" t="n">
        <v>93</v>
      </c>
      <c r="D126" s="12" t="n">
        <v>29</v>
      </c>
      <c r="E126" s="13" t="n">
        <v>403</v>
      </c>
      <c r="F126" s="11" t="n">
        <v>48</v>
      </c>
      <c r="G126" s="14" t="n">
        <v>44.3697479</v>
      </c>
      <c r="H126" s="15" t="n">
        <v>96.80672269</v>
      </c>
      <c r="I126" s="10" t="str">
        <f aca="false">IF(G126&lt;0,"negative profit",IF(G126&gt;Notes!$B$4,"unusually high - verify",""))</f>
        <v/>
      </c>
      <c r="J126" s="10" t="s">
        <v>464</v>
      </c>
    </row>
    <row r="127" customFormat="false" ht="15" hidden="false" customHeight="true" outlineLevel="0" collapsed="false">
      <c r="A127" s="10" t="s">
        <v>527</v>
      </c>
      <c r="B127" s="10" t="s">
        <v>169</v>
      </c>
      <c r="C127" s="11" t="n">
        <v>50</v>
      </c>
      <c r="D127" s="12" t="n">
        <v>180</v>
      </c>
      <c r="E127" s="13" t="n">
        <v>140</v>
      </c>
      <c r="F127" s="11" t="n">
        <v>17</v>
      </c>
      <c r="G127" s="14" t="n">
        <v>46.66666667</v>
      </c>
      <c r="H127" s="15" t="n">
        <v>5.666666667</v>
      </c>
      <c r="I127" s="10" t="str">
        <f aca="false">IF(G127&lt;0,"negative profit",IF(G127&gt;Notes!$B$4,"unusually high - verify",""))</f>
        <v/>
      </c>
      <c r="J127" s="10" t="s">
        <v>464</v>
      </c>
    </row>
    <row r="128" customFormat="false" ht="15" hidden="false" customHeight="true" outlineLevel="0" collapsed="false">
      <c r="A128" s="10" t="s">
        <v>528</v>
      </c>
      <c r="B128" s="10" t="s">
        <v>172</v>
      </c>
      <c r="C128" s="11" t="n">
        <v>3</v>
      </c>
      <c r="D128" s="12" t="n">
        <v>4</v>
      </c>
      <c r="E128" s="13" t="n">
        <v>7</v>
      </c>
      <c r="F128" s="11" t="n">
        <v>1</v>
      </c>
      <c r="G128" s="14" t="n">
        <v>112.9411765</v>
      </c>
      <c r="H128" s="15" t="n">
        <v>14.11764706</v>
      </c>
      <c r="I128" s="10" t="str">
        <f aca="false">IF(G128&lt;0,"negative profit",IF(G128&gt;Notes!$B$4,"unusually high - verify",""))</f>
        <v/>
      </c>
      <c r="J128" s="10" t="s">
        <v>464</v>
      </c>
    </row>
    <row r="129" customFormat="false" ht="15" hidden="false" customHeight="true" outlineLevel="0" collapsed="false">
      <c r="A129" s="10" t="s">
        <v>529</v>
      </c>
      <c r="B129" s="10" t="s">
        <v>172</v>
      </c>
      <c r="C129" s="11" t="n">
        <v>6</v>
      </c>
      <c r="D129" s="12" t="n">
        <v>8</v>
      </c>
      <c r="E129" s="13" t="n">
        <v>14</v>
      </c>
      <c r="F129" s="11" t="n">
        <v>2</v>
      </c>
      <c r="G129" s="14" t="n">
        <v>105.8823529</v>
      </c>
      <c r="H129" s="15" t="n">
        <v>14.11764706</v>
      </c>
      <c r="I129" s="10" t="str">
        <f aca="false">IF(G129&lt;0,"negative profit",IF(G129&gt;Notes!$B$4,"unusually high - verify",""))</f>
        <v/>
      </c>
      <c r="J129" s="10" t="s">
        <v>464</v>
      </c>
    </row>
    <row r="130" customFormat="false" ht="15" hidden="false" customHeight="true" outlineLevel="0" collapsed="false">
      <c r="A130" s="10" t="s">
        <v>530</v>
      </c>
      <c r="B130" s="10" t="s">
        <v>172</v>
      </c>
      <c r="C130" s="11" t="n">
        <v>10</v>
      </c>
      <c r="D130" s="12" t="n">
        <v>17</v>
      </c>
      <c r="E130" s="13" t="n">
        <v>14</v>
      </c>
      <c r="F130" s="11" t="n">
        <v>2</v>
      </c>
      <c r="G130" s="14" t="n">
        <v>63.52941176</v>
      </c>
      <c r="H130" s="15" t="n">
        <v>7.058823529</v>
      </c>
      <c r="I130" s="10" t="str">
        <f aca="false">IF(G130&lt;0,"negative profit",IF(G130&gt;Notes!$B$4,"unusually high - verify",""))</f>
        <v/>
      </c>
      <c r="J130" s="10" t="s">
        <v>464</v>
      </c>
    </row>
    <row r="131" customFormat="false" ht="15" hidden="false" customHeight="true" outlineLevel="0" collapsed="false">
      <c r="A131" s="10" t="s">
        <v>531</v>
      </c>
      <c r="B131" s="10" t="s">
        <v>172</v>
      </c>
      <c r="C131" s="11" t="n">
        <v>16</v>
      </c>
      <c r="D131" s="12" t="n">
        <v>25</v>
      </c>
      <c r="E131" s="13" t="n">
        <v>14</v>
      </c>
      <c r="F131" s="11" t="n">
        <v>3</v>
      </c>
      <c r="G131" s="14" t="n">
        <v>54.11764706</v>
      </c>
      <c r="H131" s="15" t="n">
        <v>7.058823529</v>
      </c>
      <c r="I131" s="10" t="str">
        <f aca="false">IF(G131&lt;0,"negative profit",IF(G131&gt;Notes!$B$4,"unusually high - verify",""))</f>
        <v/>
      </c>
      <c r="J131" s="10" t="s">
        <v>464</v>
      </c>
    </row>
    <row r="132" customFormat="false" ht="15" hidden="false" customHeight="true" outlineLevel="0" collapsed="false">
      <c r="A132" s="10" t="s">
        <v>532</v>
      </c>
      <c r="B132" s="10" t="s">
        <v>172</v>
      </c>
      <c r="C132" s="11" t="n">
        <v>32</v>
      </c>
      <c r="D132" s="12" t="n">
        <v>34</v>
      </c>
      <c r="E132" s="13" t="n">
        <v>14</v>
      </c>
      <c r="F132" s="11" t="n">
        <v>3</v>
      </c>
      <c r="G132" s="14" t="n">
        <v>31.76470588</v>
      </c>
      <c r="H132" s="15" t="n">
        <v>5.294117647</v>
      </c>
      <c r="I132" s="10" t="str">
        <f aca="false">IF(G132&lt;0,"negative profit",IF(G132&gt;Notes!$B$4,"unusually high - verify",""))</f>
        <v/>
      </c>
      <c r="J132" s="10" t="s">
        <v>464</v>
      </c>
    </row>
    <row r="133" customFormat="false" ht="15" hidden="false" customHeight="true" outlineLevel="0" collapsed="false">
      <c r="A133" s="10" t="s">
        <v>533</v>
      </c>
      <c r="B133" s="10" t="s">
        <v>172</v>
      </c>
      <c r="C133" s="11" t="n">
        <v>34</v>
      </c>
      <c r="D133" s="12" t="n">
        <v>38</v>
      </c>
      <c r="E133" s="13" t="n">
        <v>72</v>
      </c>
      <c r="F133" s="11" t="n">
        <v>15</v>
      </c>
      <c r="G133" s="14" t="n">
        <v>29.80392157</v>
      </c>
      <c r="H133" s="15" t="n">
        <v>23.52941176</v>
      </c>
      <c r="I133" s="10" t="str">
        <f aca="false">IF(G133&lt;0,"negative profit",IF(G133&gt;Notes!$B$4,"unusually high - verify",""))</f>
        <v/>
      </c>
      <c r="J133" s="10" t="s">
        <v>464</v>
      </c>
    </row>
    <row r="134" customFormat="false" ht="15" hidden="false" customHeight="true" outlineLevel="0" collapsed="false">
      <c r="A134" s="10" t="s">
        <v>534</v>
      </c>
      <c r="B134" s="10" t="s">
        <v>172</v>
      </c>
      <c r="C134" s="11" t="n">
        <v>34</v>
      </c>
      <c r="D134" s="12" t="n">
        <v>76</v>
      </c>
      <c r="E134" s="13" t="n">
        <v>50</v>
      </c>
      <c r="F134" s="11" t="n">
        <v>10</v>
      </c>
      <c r="G134" s="14" t="n">
        <v>-58.82352941</v>
      </c>
      <c r="H134" s="15" t="n">
        <v>7.843137255</v>
      </c>
      <c r="I134" s="10" t="str">
        <f aca="false">IF(G134&lt;0,"negative profit",IF(G134&gt;Notes!$B$4,"unusually high - verify",""))</f>
        <v>negative profit</v>
      </c>
      <c r="J134" s="10" t="s">
        <v>464</v>
      </c>
    </row>
    <row r="135" customFormat="false" ht="15" hidden="false" customHeight="true" outlineLevel="0" collapsed="false">
      <c r="A135" s="10" t="s">
        <v>535</v>
      </c>
      <c r="B135" s="10" t="s">
        <v>181</v>
      </c>
      <c r="C135" s="11" t="n">
        <v>49</v>
      </c>
      <c r="D135" s="12" t="n">
        <v>38</v>
      </c>
      <c r="E135" s="13" t="n">
        <v>208</v>
      </c>
      <c r="F135" s="11" t="n">
        <v>25</v>
      </c>
      <c r="G135" s="14" t="n">
        <v>53.33333333</v>
      </c>
      <c r="H135" s="15" t="n">
        <v>39.21568627</v>
      </c>
      <c r="I135" s="10" t="str">
        <f aca="false">IF(G135&lt;0,"negative profit",IF(G135&gt;Notes!$B$4,"unusually high - verify",""))</f>
        <v/>
      </c>
      <c r="J135" s="10" t="s">
        <v>464</v>
      </c>
    </row>
    <row r="136" customFormat="false" ht="15" hidden="false" customHeight="true" outlineLevel="0" collapsed="false">
      <c r="A136" s="10" t="s">
        <v>536</v>
      </c>
      <c r="B136" s="10" t="s">
        <v>181</v>
      </c>
      <c r="C136" s="11" t="n">
        <v>65</v>
      </c>
      <c r="D136" s="12" t="n">
        <v>17</v>
      </c>
      <c r="E136" s="13" t="n">
        <v>338</v>
      </c>
      <c r="F136" s="11" t="n">
        <v>40</v>
      </c>
      <c r="G136" s="14" t="n">
        <v>458.8235294</v>
      </c>
      <c r="H136" s="15" t="n">
        <v>141.1764706</v>
      </c>
      <c r="I136" s="10" t="str">
        <f aca="false">IF(G136&lt;0,"negative profit",IF(G136&gt;Notes!$B$4,"unusually high - verify",""))</f>
        <v>unusually high - verify</v>
      </c>
      <c r="J136" s="10" t="s">
        <v>464</v>
      </c>
    </row>
    <row r="137" customFormat="false" ht="15" hidden="false" customHeight="true" outlineLevel="0" collapsed="false">
      <c r="A137" s="10" t="s">
        <v>537</v>
      </c>
      <c r="B137" s="10" t="s">
        <v>181</v>
      </c>
      <c r="C137" s="11" t="n">
        <v>73</v>
      </c>
      <c r="D137" s="12" t="n">
        <v>34</v>
      </c>
      <c r="E137" s="13" t="n">
        <v>500</v>
      </c>
      <c r="F137" s="11" t="n">
        <v>60</v>
      </c>
      <c r="G137" s="14" t="n">
        <v>469.4117647</v>
      </c>
      <c r="H137" s="15" t="n">
        <v>105.8823529</v>
      </c>
      <c r="I137" s="10" t="str">
        <f aca="false">IF(G137&lt;0,"negative profit",IF(G137&gt;Notes!$B$4,"unusually high - verify",""))</f>
        <v>unusually high - verify</v>
      </c>
      <c r="J137" s="10" t="s">
        <v>464</v>
      </c>
    </row>
    <row r="138" customFormat="false" ht="15" hidden="false" customHeight="true" outlineLevel="0" collapsed="false">
      <c r="A138" s="10" t="s">
        <v>538</v>
      </c>
      <c r="B138" s="10" t="s">
        <v>181</v>
      </c>
      <c r="C138" s="11" t="n">
        <v>90</v>
      </c>
      <c r="D138" s="12" t="n">
        <v>17</v>
      </c>
      <c r="E138" s="13" t="n">
        <v>554</v>
      </c>
      <c r="F138" s="11" t="n">
        <v>66</v>
      </c>
      <c r="G138" s="14" t="n">
        <v>52.94117647</v>
      </c>
      <c r="H138" s="15" t="n">
        <v>232.9411765</v>
      </c>
      <c r="I138" s="10" t="str">
        <f aca="false">IF(G138&lt;0,"negative profit",IF(G138&gt;Notes!$B$4,"unusually high - verify",""))</f>
        <v/>
      </c>
      <c r="J138" s="10" t="s">
        <v>464</v>
      </c>
    </row>
    <row r="139" customFormat="false" ht="15" hidden="false" customHeight="true" outlineLevel="0" collapsed="false">
      <c r="A139" s="10" t="s">
        <v>186</v>
      </c>
      <c r="B139" s="10" t="s">
        <v>181</v>
      </c>
      <c r="C139" s="11" t="n">
        <v>92</v>
      </c>
      <c r="D139" s="12" t="n">
        <v>17</v>
      </c>
      <c r="E139" s="13" t="n">
        <v>349</v>
      </c>
      <c r="F139" s="11" t="n">
        <v>42</v>
      </c>
      <c r="G139" s="14" t="n">
        <v>-74.11764706</v>
      </c>
      <c r="H139" s="15" t="n">
        <v>148.2352941</v>
      </c>
      <c r="I139" s="10" t="str">
        <f aca="false">IF(G139&lt;0,"negative profit",IF(G139&gt;Notes!$B$4,"unusually high - verify",""))</f>
        <v>negative profit</v>
      </c>
      <c r="J139" s="10" t="s">
        <v>464</v>
      </c>
    </row>
    <row r="140" customFormat="false" ht="15" hidden="false" customHeight="true" outlineLevel="0" collapsed="false">
      <c r="A140" s="10" t="s">
        <v>539</v>
      </c>
      <c r="B140" s="10" t="s">
        <v>181</v>
      </c>
      <c r="C140" s="11" t="n">
        <v>93</v>
      </c>
      <c r="D140" s="12" t="n">
        <v>25</v>
      </c>
      <c r="E140" s="13" t="n">
        <v>298</v>
      </c>
      <c r="F140" s="11" t="n">
        <v>36</v>
      </c>
      <c r="G140" s="14" t="n">
        <v>42.35294118</v>
      </c>
      <c r="H140" s="15" t="n">
        <v>84.70588235</v>
      </c>
      <c r="I140" s="10" t="str">
        <f aca="false">IF(G140&lt;0,"negative profit",IF(G140&gt;Notes!$B$4,"unusually high - verify",""))</f>
        <v/>
      </c>
      <c r="J140" s="10" t="s">
        <v>464</v>
      </c>
    </row>
    <row r="141" customFormat="false" ht="15" hidden="false" customHeight="true" outlineLevel="0" collapsed="false">
      <c r="A141" s="10" t="s">
        <v>540</v>
      </c>
      <c r="B141" s="10" t="s">
        <v>181</v>
      </c>
      <c r="C141" s="11" t="n">
        <v>106</v>
      </c>
      <c r="D141" s="12" t="n">
        <v>12</v>
      </c>
      <c r="E141" s="13" t="n">
        <v>352</v>
      </c>
      <c r="F141" s="11" t="n">
        <v>42</v>
      </c>
      <c r="G141" s="14" t="n">
        <v>103.5294118</v>
      </c>
      <c r="H141" s="15" t="n">
        <v>197.6470588</v>
      </c>
      <c r="I141" s="10" t="str">
        <f aca="false">IF(G141&lt;0,"negative profit",IF(G141&gt;Notes!$B$4,"unusually high - verify",""))</f>
        <v/>
      </c>
      <c r="J141" s="10" t="s">
        <v>464</v>
      </c>
    </row>
    <row r="142" customFormat="false" ht="15" hidden="false" customHeight="true" outlineLevel="0" collapsed="false">
      <c r="A142" s="10" t="s">
        <v>541</v>
      </c>
      <c r="B142" s="10" t="s">
        <v>190</v>
      </c>
      <c r="C142" s="11" t="n">
        <v>81</v>
      </c>
      <c r="D142" s="12" t="n">
        <v>21</v>
      </c>
      <c r="E142" s="13" t="n">
        <v>626</v>
      </c>
      <c r="F142" s="11" t="n">
        <v>74</v>
      </c>
      <c r="G142" s="14" t="n">
        <v>45.17647059</v>
      </c>
      <c r="H142" s="15" t="n">
        <v>208.9411765</v>
      </c>
      <c r="I142" s="10" t="str">
        <f aca="false">IF(G142&lt;0,"negative profit",IF(G142&gt;Notes!$B$4,"unusually high - verify",""))</f>
        <v/>
      </c>
      <c r="J142" s="10" t="s">
        <v>464</v>
      </c>
    </row>
    <row r="143" customFormat="false" ht="15" hidden="false" customHeight="true" outlineLevel="0" collapsed="false">
      <c r="A143" s="10" t="s">
        <v>542</v>
      </c>
      <c r="B143" s="10" t="s">
        <v>190</v>
      </c>
      <c r="C143" s="11" t="n">
        <v>86</v>
      </c>
      <c r="D143" s="12" t="n">
        <v>25</v>
      </c>
      <c r="E143" s="13" t="n">
        <v>507</v>
      </c>
      <c r="F143" s="11" t="n">
        <v>60</v>
      </c>
      <c r="G143" s="14" t="n">
        <v>54.11764706</v>
      </c>
      <c r="H143" s="15" t="n">
        <v>141.1764706</v>
      </c>
      <c r="I143" s="10" t="str">
        <f aca="false">IF(G143&lt;0,"negative profit",IF(G143&gt;Notes!$B$4,"unusually high - verify",""))</f>
        <v/>
      </c>
      <c r="J143" s="10" t="s">
        <v>464</v>
      </c>
    </row>
    <row r="144" customFormat="false" ht="15" hidden="false" customHeight="true" outlineLevel="0" collapsed="false">
      <c r="A144" s="10" t="s">
        <v>543</v>
      </c>
      <c r="B144" s="10" t="s">
        <v>190</v>
      </c>
      <c r="C144" s="11" t="n">
        <v>91</v>
      </c>
      <c r="D144" s="12" t="n">
        <v>17</v>
      </c>
      <c r="E144" s="13" t="n">
        <v>493</v>
      </c>
      <c r="F144" s="11" t="n">
        <v>59</v>
      </c>
      <c r="G144" s="14" t="n">
        <v>84.70588235</v>
      </c>
      <c r="H144" s="15" t="n">
        <v>208.2352941</v>
      </c>
      <c r="I144" s="10" t="str">
        <f aca="false">IF(G144&lt;0,"negative profit",IF(G144&gt;Notes!$B$4,"unusually high - verify",""))</f>
        <v/>
      </c>
      <c r="J144" s="10" t="s">
        <v>464</v>
      </c>
    </row>
    <row r="145" customFormat="false" ht="15" hidden="false" customHeight="true" outlineLevel="0" collapsed="false">
      <c r="A145" s="10" t="s">
        <v>544</v>
      </c>
      <c r="B145" s="10" t="s">
        <v>190</v>
      </c>
      <c r="C145" s="11" t="n">
        <v>100</v>
      </c>
      <c r="D145" s="12" t="n">
        <v>29</v>
      </c>
      <c r="E145" s="13" t="n">
        <v>417</v>
      </c>
      <c r="F145" s="11" t="n">
        <v>50</v>
      </c>
      <c r="G145" s="14" t="n">
        <v>50.42016807</v>
      </c>
      <c r="H145" s="15" t="n">
        <v>100.8403361</v>
      </c>
      <c r="I145" s="10" t="str">
        <f aca="false">IF(G145&lt;0,"negative profit",IF(G145&gt;Notes!$B$4,"unusually high - verify",""))</f>
        <v/>
      </c>
      <c r="J145" s="10" t="s">
        <v>464</v>
      </c>
    </row>
    <row r="146" customFormat="false" ht="15" hidden="false" customHeight="true" outlineLevel="0" collapsed="false">
      <c r="A146" s="10" t="s">
        <v>545</v>
      </c>
      <c r="B146" s="10" t="s">
        <v>196</v>
      </c>
      <c r="C146" s="11" t="n">
        <v>99</v>
      </c>
      <c r="D146" s="12" t="n">
        <v>102</v>
      </c>
      <c r="E146" s="13" t="n">
        <v>644</v>
      </c>
      <c r="F146" s="11" t="n">
        <v>77</v>
      </c>
      <c r="G146" s="14" t="n">
        <v>23.52941176</v>
      </c>
      <c r="H146" s="15" t="n">
        <v>45.29411765</v>
      </c>
      <c r="I146" s="10" t="str">
        <f aca="false">IF(G146&lt;0,"negative profit",IF(G146&gt;Notes!$B$4,"unusually high - verify",""))</f>
        <v/>
      </c>
      <c r="J146" s="10" t="s">
        <v>464</v>
      </c>
    </row>
    <row r="147" customFormat="false" ht="15" hidden="false" customHeight="true" outlineLevel="0" collapsed="false">
      <c r="A147" s="10" t="s">
        <v>546</v>
      </c>
      <c r="B147" s="10" t="s">
        <v>196</v>
      </c>
      <c r="C147" s="11" t="n">
        <v>102</v>
      </c>
      <c r="D147" s="12" t="n">
        <v>127</v>
      </c>
      <c r="E147" s="13" t="n">
        <v>522</v>
      </c>
      <c r="F147" s="11" t="n">
        <v>62</v>
      </c>
      <c r="G147" s="14" t="n">
        <v>18.82352941</v>
      </c>
      <c r="H147" s="15" t="n">
        <v>29.17647059</v>
      </c>
      <c r="I147" s="10" t="str">
        <f aca="false">IF(G147&lt;0,"negative profit",IF(G147&gt;Notes!$B$4,"unusually high - verify",""))</f>
        <v/>
      </c>
      <c r="J147" s="10" t="s">
        <v>464</v>
      </c>
    </row>
    <row r="148" customFormat="false" ht="15" hidden="false" customHeight="true" outlineLevel="0" collapsed="false">
      <c r="A148" s="10" t="s">
        <v>547</v>
      </c>
      <c r="B148" s="10" t="s">
        <v>196</v>
      </c>
      <c r="C148" s="11" t="n">
        <v>104</v>
      </c>
      <c r="D148" s="12" t="n">
        <v>144</v>
      </c>
      <c r="E148" s="13" t="n">
        <v>540</v>
      </c>
      <c r="F148" s="11" t="n">
        <v>64</v>
      </c>
      <c r="G148" s="14" t="n">
        <v>19.10034602</v>
      </c>
      <c r="H148" s="15" t="n">
        <v>26.57439446</v>
      </c>
      <c r="I148" s="10" t="str">
        <f aca="false">IF(G148&lt;0,"negative profit",IF(G148&gt;Notes!$B$4,"unusually high - verify",""))</f>
        <v/>
      </c>
      <c r="J148" s="10" t="s">
        <v>464</v>
      </c>
    </row>
    <row r="149" customFormat="false" ht="15" hidden="false" customHeight="true" outlineLevel="0" collapsed="false">
      <c r="A149" s="10" t="s">
        <v>548</v>
      </c>
      <c r="B149" s="10" t="s">
        <v>196</v>
      </c>
      <c r="C149" s="11" t="n">
        <v>108</v>
      </c>
      <c r="D149" s="12" t="n">
        <v>93</v>
      </c>
      <c r="E149" s="13" t="n">
        <v>590</v>
      </c>
      <c r="F149" s="11" t="n">
        <v>70</v>
      </c>
      <c r="G149" s="14" t="n">
        <v>28.23529412</v>
      </c>
      <c r="H149" s="15" t="n">
        <v>44.9197861</v>
      </c>
      <c r="I149" s="10" t="str">
        <f aca="false">IF(G149&lt;0,"negative profit",IF(G149&gt;Notes!$B$4,"unusually high - verify",""))</f>
        <v/>
      </c>
      <c r="J149" s="10" t="s">
        <v>464</v>
      </c>
    </row>
    <row r="150" customFormat="false" ht="15" hidden="false" customHeight="true" outlineLevel="0" collapsed="false">
      <c r="A150" s="10" t="s">
        <v>549</v>
      </c>
      <c r="B150" s="10" t="s">
        <v>196</v>
      </c>
      <c r="C150" s="11" t="n">
        <v>111</v>
      </c>
      <c r="D150" s="12" t="n">
        <v>76</v>
      </c>
      <c r="E150" s="13" t="n">
        <v>1141</v>
      </c>
      <c r="F150" s="11" t="n">
        <v>136</v>
      </c>
      <c r="G150" s="14" t="n">
        <v>41.56862745</v>
      </c>
      <c r="H150" s="15" t="n">
        <v>106.6666667</v>
      </c>
      <c r="I150" s="10" t="str">
        <f aca="false">IF(G150&lt;0,"negative profit",IF(G150&gt;Notes!$B$4,"unusually high - verify",""))</f>
        <v/>
      </c>
      <c r="J150" s="10" t="s">
        <v>464</v>
      </c>
    </row>
    <row r="151" customFormat="false" ht="15" hidden="false" customHeight="true" outlineLevel="0" collapsed="false">
      <c r="A151" s="10" t="s">
        <v>550</v>
      </c>
      <c r="B151" s="10" t="s">
        <v>202</v>
      </c>
      <c r="C151" s="11" t="n">
        <v>70</v>
      </c>
      <c r="D151" s="12" t="n">
        <v>102</v>
      </c>
      <c r="E151" s="13" t="n">
        <v>468</v>
      </c>
      <c r="F151" s="11" t="n">
        <v>56</v>
      </c>
      <c r="G151" s="14" t="n">
        <v>25.88235294</v>
      </c>
      <c r="H151" s="15" t="n">
        <v>32.94117647</v>
      </c>
      <c r="I151" s="10" t="str">
        <f aca="false">IF(G151&lt;0,"negative profit",IF(G151&gt;Notes!$B$4,"unusually high - verify",""))</f>
        <v/>
      </c>
      <c r="J151" s="10" t="s">
        <v>464</v>
      </c>
    </row>
    <row r="152" customFormat="false" ht="15" hidden="false" customHeight="true" outlineLevel="0" collapsed="false">
      <c r="A152" s="10" t="s">
        <v>551</v>
      </c>
      <c r="B152" s="10" t="s">
        <v>202</v>
      </c>
      <c r="C152" s="11" t="n">
        <v>72</v>
      </c>
      <c r="D152" s="12" t="n">
        <v>178</v>
      </c>
      <c r="E152" s="13" t="n">
        <v>619</v>
      </c>
      <c r="F152" s="11" t="n">
        <v>74</v>
      </c>
      <c r="G152" s="14" t="n">
        <v>15.79831933</v>
      </c>
      <c r="H152" s="15" t="n">
        <v>24.87394958</v>
      </c>
      <c r="I152" s="10" t="str">
        <f aca="false">IF(G152&lt;0,"negative profit",IF(G152&gt;Notes!$B$4,"unusually high - verify",""))</f>
        <v/>
      </c>
      <c r="J152" s="10" t="s">
        <v>464</v>
      </c>
    </row>
    <row r="153" customFormat="false" ht="15" hidden="false" customHeight="true" outlineLevel="0" collapsed="false">
      <c r="A153" s="10" t="s">
        <v>552</v>
      </c>
      <c r="B153" s="10" t="s">
        <v>202</v>
      </c>
      <c r="C153" s="11" t="n">
        <v>74</v>
      </c>
      <c r="D153" s="12" t="n">
        <v>127</v>
      </c>
      <c r="E153" s="13" t="n">
        <v>558</v>
      </c>
      <c r="F153" s="11" t="n">
        <v>66</v>
      </c>
      <c r="G153" s="14" t="n">
        <v>21.17647059</v>
      </c>
      <c r="H153" s="15" t="n">
        <v>31.05882353</v>
      </c>
      <c r="I153" s="10" t="str">
        <f aca="false">IF(G153&lt;0,"negative profit",IF(G153&gt;Notes!$B$4,"unusually high - verify",""))</f>
        <v/>
      </c>
      <c r="J153" s="10" t="s">
        <v>464</v>
      </c>
    </row>
    <row r="154" customFormat="false" ht="15" hidden="false" customHeight="true" outlineLevel="0" collapsed="false">
      <c r="A154" s="10" t="s">
        <v>553</v>
      </c>
      <c r="B154" s="10" t="s">
        <v>202</v>
      </c>
      <c r="C154" s="11" t="n">
        <v>86</v>
      </c>
      <c r="D154" s="12" t="n">
        <v>102</v>
      </c>
      <c r="E154" s="13" t="n">
        <v>331</v>
      </c>
      <c r="F154" s="11" t="n">
        <v>40</v>
      </c>
      <c r="G154" s="14" t="n">
        <v>22.94117647</v>
      </c>
      <c r="H154" s="15" t="n">
        <v>23.52941176</v>
      </c>
      <c r="I154" s="10" t="str">
        <f aca="false">IF(G154&lt;0,"negative profit",IF(G154&gt;Notes!$B$4,"unusually high - verify",""))</f>
        <v/>
      </c>
      <c r="J154" s="10" t="s">
        <v>464</v>
      </c>
    </row>
    <row r="155" customFormat="false" ht="15" hidden="false" customHeight="true" outlineLevel="0" collapsed="false">
      <c r="A155" s="10" t="s">
        <v>207</v>
      </c>
      <c r="B155" s="10" t="s">
        <v>208</v>
      </c>
      <c r="C155" s="11" t="n">
        <v>39</v>
      </c>
      <c r="D155" s="12" t="n">
        <v>17</v>
      </c>
      <c r="E155" s="13" t="n">
        <v>154</v>
      </c>
      <c r="F155" s="11" t="n">
        <v>19</v>
      </c>
      <c r="G155" s="14" t="n">
        <v>63.52941176</v>
      </c>
      <c r="H155" s="15" t="n">
        <v>67.05882353</v>
      </c>
      <c r="I155" s="10" t="str">
        <f aca="false">IF(G155&lt;0,"negative profit",IF(G155&gt;Notes!$B$4,"unusually high - verify",""))</f>
        <v/>
      </c>
      <c r="J155" s="10" t="s">
        <v>464</v>
      </c>
    </row>
    <row r="156" customFormat="false" ht="15" hidden="false" customHeight="true" outlineLevel="0" collapsed="false">
      <c r="A156" s="10" t="s">
        <v>210</v>
      </c>
      <c r="B156" s="10" t="s">
        <v>208</v>
      </c>
      <c r="C156" s="11" t="n">
        <v>48</v>
      </c>
      <c r="D156" s="12" t="n">
        <v>38</v>
      </c>
      <c r="E156" s="13" t="n">
        <v>234</v>
      </c>
      <c r="F156" s="11" t="n">
        <v>28</v>
      </c>
      <c r="G156" s="14" t="n">
        <v>47.05882353</v>
      </c>
      <c r="H156" s="15" t="n">
        <v>43.92156863</v>
      </c>
      <c r="I156" s="10" t="str">
        <f aca="false">IF(G156&lt;0,"negative profit",IF(G156&gt;Notes!$B$4,"unusually high - verify",""))</f>
        <v/>
      </c>
      <c r="J156" s="10" t="s">
        <v>464</v>
      </c>
    </row>
    <row r="157" customFormat="false" ht="15" hidden="false" customHeight="true" outlineLevel="0" collapsed="false">
      <c r="A157" s="10" t="s">
        <v>554</v>
      </c>
      <c r="B157" s="10" t="s">
        <v>212</v>
      </c>
      <c r="C157" s="11" t="n">
        <v>75</v>
      </c>
      <c r="D157" s="12" t="n">
        <v>25</v>
      </c>
      <c r="E157" s="13" t="n">
        <v>370</v>
      </c>
      <c r="F157" s="11" t="n">
        <v>44</v>
      </c>
      <c r="G157" s="14" t="n">
        <v>44.70588235</v>
      </c>
      <c r="H157" s="15" t="n">
        <v>103.5294118</v>
      </c>
      <c r="I157" s="10" t="str">
        <f aca="false">IF(G157&lt;0,"negative profit",IF(G157&gt;Notes!$B$4,"unusually high - verify",""))</f>
        <v/>
      </c>
      <c r="J157" s="10" t="s">
        <v>464</v>
      </c>
    </row>
    <row r="158" customFormat="false" ht="15" hidden="false" customHeight="true" outlineLevel="0" collapsed="false">
      <c r="A158" s="10" t="s">
        <v>555</v>
      </c>
      <c r="B158" s="10" t="s">
        <v>212</v>
      </c>
      <c r="C158" s="11" t="n">
        <v>76</v>
      </c>
      <c r="D158" s="12" t="n">
        <v>38</v>
      </c>
      <c r="E158" s="13" t="n">
        <v>367</v>
      </c>
      <c r="F158" s="11" t="n">
        <v>44</v>
      </c>
      <c r="G158" s="14" t="n">
        <v>61.17647059</v>
      </c>
      <c r="H158" s="15" t="n">
        <v>69.01960784</v>
      </c>
      <c r="I158" s="10" t="str">
        <f aca="false">IF(G158&lt;0,"negative profit",IF(G158&gt;Notes!$B$4,"unusually high - verify",""))</f>
        <v/>
      </c>
      <c r="J158" s="10" t="s">
        <v>464</v>
      </c>
    </row>
    <row r="159" customFormat="false" ht="15" hidden="false" customHeight="true" outlineLevel="0" collapsed="false">
      <c r="A159" s="10" t="s">
        <v>556</v>
      </c>
      <c r="B159" s="10" t="s">
        <v>212</v>
      </c>
      <c r="C159" s="11" t="n">
        <v>78</v>
      </c>
      <c r="D159" s="12" t="n">
        <v>51</v>
      </c>
      <c r="E159" s="13" t="n">
        <v>529</v>
      </c>
      <c r="F159" s="11" t="n">
        <v>63</v>
      </c>
      <c r="G159" s="14" t="n">
        <v>28.23529412</v>
      </c>
      <c r="H159" s="15" t="n">
        <v>74.11764706</v>
      </c>
      <c r="I159" s="10" t="str">
        <f aca="false">IF(G159&lt;0,"negative profit",IF(G159&gt;Notes!$B$4,"unusually high - verify",""))</f>
        <v/>
      </c>
      <c r="J159" s="10" t="s">
        <v>464</v>
      </c>
    </row>
    <row r="160" customFormat="false" ht="15" hidden="false" customHeight="true" outlineLevel="0" collapsed="false">
      <c r="A160" s="10" t="s">
        <v>557</v>
      </c>
      <c r="B160" s="10" t="s">
        <v>212</v>
      </c>
      <c r="C160" s="11" t="n">
        <v>80</v>
      </c>
      <c r="D160" s="12" t="n">
        <v>63</v>
      </c>
      <c r="E160" s="13" t="n">
        <v>306</v>
      </c>
      <c r="F160" s="11" t="n">
        <v>36</v>
      </c>
      <c r="G160" s="14" t="n">
        <v>30.11764706</v>
      </c>
      <c r="H160" s="15" t="n">
        <v>33.88235294</v>
      </c>
      <c r="I160" s="10" t="str">
        <f aca="false">IF(G160&lt;0,"negative profit",IF(G160&gt;Notes!$B$4,"unusually high - verify",""))</f>
        <v/>
      </c>
      <c r="J160" s="10" t="s">
        <v>464</v>
      </c>
    </row>
    <row r="161" customFormat="false" ht="15" hidden="false" customHeight="true" outlineLevel="0" collapsed="false">
      <c r="A161" s="10" t="s">
        <v>558</v>
      </c>
      <c r="B161" s="10" t="s">
        <v>218</v>
      </c>
      <c r="C161" s="11" t="n">
        <v>29</v>
      </c>
      <c r="D161" s="12" t="n">
        <v>102</v>
      </c>
      <c r="E161" s="13" t="n">
        <v>172</v>
      </c>
      <c r="F161" s="11" t="n">
        <v>20</v>
      </c>
      <c r="G161" s="14" t="n">
        <v>23.52941176</v>
      </c>
      <c r="H161" s="15" t="n">
        <v>11.76470588</v>
      </c>
      <c r="I161" s="10" t="str">
        <f aca="false">IF(G161&lt;0,"negative profit",IF(G161&gt;Notes!$B$4,"unusually high - verify",""))</f>
        <v/>
      </c>
      <c r="J161" s="10" t="s">
        <v>464</v>
      </c>
    </row>
    <row r="162" customFormat="false" ht="15" hidden="false" customHeight="true" outlineLevel="0" collapsed="false">
      <c r="A162" s="10" t="s">
        <v>559</v>
      </c>
      <c r="B162" s="10" t="s">
        <v>218</v>
      </c>
      <c r="C162" s="11" t="n">
        <v>33</v>
      </c>
      <c r="D162" s="12" t="n">
        <v>153</v>
      </c>
      <c r="E162" s="13" t="n">
        <v>352</v>
      </c>
      <c r="F162" s="11" t="n">
        <v>42</v>
      </c>
      <c r="G162" s="14" t="n">
        <v>18.03921569</v>
      </c>
      <c r="H162" s="15" t="n">
        <v>16.47058824</v>
      </c>
      <c r="I162" s="10" t="str">
        <f aca="false">IF(G162&lt;0,"negative profit",IF(G162&gt;Notes!$B$4,"unusually high - verify",""))</f>
        <v/>
      </c>
      <c r="J162" s="10" t="s">
        <v>464</v>
      </c>
    </row>
    <row r="163" customFormat="false" ht="15" hidden="false" customHeight="true" outlineLevel="0" collapsed="false">
      <c r="A163" s="10" t="s">
        <v>560</v>
      </c>
      <c r="B163" s="10" t="s">
        <v>218</v>
      </c>
      <c r="C163" s="11" t="n">
        <v>34</v>
      </c>
      <c r="D163" s="12" t="n">
        <v>204</v>
      </c>
      <c r="E163" s="13" t="n">
        <v>331</v>
      </c>
      <c r="F163" s="11" t="n">
        <v>40</v>
      </c>
      <c r="G163" s="14" t="n">
        <v>14.41176471</v>
      </c>
      <c r="H163" s="15" t="n">
        <v>11.76470588</v>
      </c>
      <c r="I163" s="10" t="str">
        <f aca="false">IF(G163&lt;0,"negative profit",IF(G163&gt;Notes!$B$4,"unusually high - verify",""))</f>
        <v/>
      </c>
      <c r="J163" s="10" t="s">
        <v>464</v>
      </c>
    </row>
    <row r="164" customFormat="false" ht="15" hidden="false" customHeight="true" outlineLevel="0" collapsed="false">
      <c r="A164" s="10" t="s">
        <v>561</v>
      </c>
      <c r="B164" s="10" t="s">
        <v>218</v>
      </c>
      <c r="C164" s="11" t="n">
        <v>39</v>
      </c>
      <c r="D164" s="12" t="n">
        <v>127</v>
      </c>
      <c r="E164" s="13" t="n">
        <v>342</v>
      </c>
      <c r="F164" s="11" t="n">
        <v>41</v>
      </c>
      <c r="G164" s="14" t="n">
        <v>17.88235294</v>
      </c>
      <c r="H164" s="15" t="n">
        <v>19.29411765</v>
      </c>
      <c r="I164" s="10" t="str">
        <f aca="false">IF(G164&lt;0,"negative profit",IF(G164&gt;Notes!$B$4,"unusually high - verify",""))</f>
        <v/>
      </c>
      <c r="J164" s="10" t="s">
        <v>464</v>
      </c>
    </row>
    <row r="165" customFormat="false" ht="15" hidden="false" customHeight="true" outlineLevel="0" collapsed="false">
      <c r="A165" s="10" t="s">
        <v>562</v>
      </c>
      <c r="B165" s="10" t="s">
        <v>218</v>
      </c>
      <c r="C165" s="11" t="n">
        <v>50</v>
      </c>
      <c r="D165" s="12" t="n">
        <v>102</v>
      </c>
      <c r="E165" s="13" t="n">
        <v>176</v>
      </c>
      <c r="F165" s="11" t="n">
        <v>21</v>
      </c>
      <c r="G165" s="14" t="n">
        <v>23.52941176</v>
      </c>
      <c r="H165" s="15" t="n">
        <v>12.35294118</v>
      </c>
      <c r="I165" s="10" t="str">
        <f aca="false">IF(G165&lt;0,"negative profit",IF(G165&gt;Notes!$B$4,"unusually high - verify",""))</f>
        <v/>
      </c>
      <c r="J165" s="10" t="s">
        <v>464</v>
      </c>
    </row>
    <row r="166" customFormat="false" ht="15" hidden="false" customHeight="true" outlineLevel="0" collapsed="false">
      <c r="A166" s="10" t="s">
        <v>563</v>
      </c>
      <c r="B166" s="10" t="s">
        <v>218</v>
      </c>
      <c r="C166" s="11" t="n">
        <v>68</v>
      </c>
      <c r="D166" s="12" t="n">
        <v>85</v>
      </c>
      <c r="E166" s="13" t="n">
        <v>619</v>
      </c>
      <c r="F166" s="11" t="n">
        <v>86</v>
      </c>
      <c r="G166" s="14" t="n">
        <v>31.76470588</v>
      </c>
      <c r="H166" s="15" t="n">
        <v>60.70588235</v>
      </c>
      <c r="I166" s="10" t="str">
        <f aca="false">IF(G166&lt;0,"negative profit",IF(G166&gt;Notes!$B$4,"unusually high - verify",""))</f>
        <v/>
      </c>
      <c r="J166" s="10" t="s">
        <v>464</v>
      </c>
    </row>
    <row r="167" customFormat="false" ht="15" hidden="false" customHeight="true" outlineLevel="0" collapsed="false">
      <c r="A167" s="10" t="s">
        <v>225</v>
      </c>
      <c r="B167" s="10" t="s">
        <v>218</v>
      </c>
      <c r="C167" s="11" t="n">
        <v>78</v>
      </c>
      <c r="D167" s="12" t="n">
        <v>17</v>
      </c>
      <c r="E167" s="13" t="n">
        <v>435</v>
      </c>
      <c r="F167" s="11" t="n">
        <v>56</v>
      </c>
      <c r="G167" s="14" t="n">
        <v>52.94117647</v>
      </c>
      <c r="H167" s="15" t="n">
        <v>197.6470588</v>
      </c>
      <c r="I167" s="10" t="str">
        <f aca="false">IF(G167&lt;0,"negative profit",IF(G167&gt;Notes!$B$4,"unusually high - verify",""))</f>
        <v/>
      </c>
      <c r="J167" s="10" t="s">
        <v>464</v>
      </c>
    </row>
    <row r="168" customFormat="false" ht="15" hidden="false" customHeight="true" outlineLevel="0" collapsed="false">
      <c r="A168" s="10" t="s">
        <v>564</v>
      </c>
      <c r="B168" s="10" t="s">
        <v>218</v>
      </c>
      <c r="C168" s="11" t="n">
        <v>78</v>
      </c>
      <c r="D168" s="12" t="n">
        <v>178</v>
      </c>
      <c r="E168" s="13" t="n">
        <v>399</v>
      </c>
      <c r="F168" s="11" t="n">
        <v>48</v>
      </c>
      <c r="G168" s="14" t="n">
        <v>17.14285714</v>
      </c>
      <c r="H168" s="15" t="n">
        <v>16.13445378</v>
      </c>
      <c r="I168" s="10" t="str">
        <f aca="false">IF(G168&lt;0,"negative profit",IF(G168&gt;Notes!$B$4,"unusually high - verify",""))</f>
        <v/>
      </c>
      <c r="J168" s="10" t="s">
        <v>464</v>
      </c>
    </row>
    <row r="169" customFormat="false" ht="15" hidden="false" customHeight="true" outlineLevel="0" collapsed="false">
      <c r="A169" s="10" t="s">
        <v>565</v>
      </c>
      <c r="B169" s="10" t="s">
        <v>218</v>
      </c>
      <c r="C169" s="11" t="n">
        <v>83</v>
      </c>
      <c r="D169" s="12" t="n">
        <v>153</v>
      </c>
      <c r="E169" s="13" t="n">
        <v>450</v>
      </c>
      <c r="F169" s="11" t="n">
        <v>54</v>
      </c>
      <c r="G169" s="14" t="n">
        <v>18.03921569</v>
      </c>
      <c r="H169" s="15" t="n">
        <v>21.17647059</v>
      </c>
      <c r="I169" s="10" t="str">
        <f aca="false">IF(G169&lt;0,"negative profit",IF(G169&gt;Notes!$B$4,"unusually high - verify",""))</f>
        <v/>
      </c>
      <c r="J169" s="10" t="s">
        <v>464</v>
      </c>
    </row>
    <row r="170" customFormat="false" ht="15" hidden="false" customHeight="true" outlineLevel="0" collapsed="false">
      <c r="A170" s="10" t="s">
        <v>566</v>
      </c>
      <c r="B170" s="10" t="s">
        <v>218</v>
      </c>
      <c r="C170" s="11" t="n">
        <v>85</v>
      </c>
      <c r="D170" s="12" t="n">
        <v>114</v>
      </c>
      <c r="E170" s="13" t="n">
        <v>288</v>
      </c>
      <c r="F170" s="11" t="n">
        <v>34</v>
      </c>
      <c r="G170" s="14" t="n">
        <v>19.86928105</v>
      </c>
      <c r="H170" s="15" t="n">
        <v>17.77777778</v>
      </c>
      <c r="I170" s="10" t="str">
        <f aca="false">IF(G170&lt;0,"negative profit",IF(G170&gt;Notes!$B$4,"unusually high - verify",""))</f>
        <v/>
      </c>
      <c r="J170" s="10" t="s">
        <v>464</v>
      </c>
    </row>
    <row r="171" customFormat="false" ht="15" hidden="false" customHeight="true" outlineLevel="0" collapsed="false">
      <c r="A171" s="10" t="s">
        <v>567</v>
      </c>
      <c r="B171" s="10" t="s">
        <v>218</v>
      </c>
      <c r="C171" s="11" t="n">
        <v>96</v>
      </c>
      <c r="D171" s="12" t="n">
        <v>178</v>
      </c>
      <c r="E171" s="13" t="n">
        <v>403</v>
      </c>
      <c r="F171" s="11" t="n">
        <v>48</v>
      </c>
      <c r="G171" s="14" t="n">
        <v>15.12605042</v>
      </c>
      <c r="H171" s="15" t="n">
        <v>16.13445378</v>
      </c>
      <c r="I171" s="10" t="str">
        <f aca="false">IF(G171&lt;0,"negative profit",IF(G171&gt;Notes!$B$4,"unusually high - verify",""))</f>
        <v/>
      </c>
      <c r="J171" s="10" t="s">
        <v>464</v>
      </c>
    </row>
    <row r="172" customFormat="false" ht="15" hidden="false" customHeight="true" outlineLevel="0" collapsed="false">
      <c r="A172" s="10" t="s">
        <v>230</v>
      </c>
      <c r="B172" s="10" t="s">
        <v>218</v>
      </c>
      <c r="C172" s="11" t="n">
        <v>102</v>
      </c>
      <c r="D172" s="12" t="n">
        <v>15</v>
      </c>
      <c r="E172" s="13" t="n">
        <v>320</v>
      </c>
      <c r="F172" s="11" t="n">
        <v>38</v>
      </c>
      <c r="G172" s="14" t="n">
        <v>56</v>
      </c>
      <c r="H172" s="15" t="n">
        <v>152</v>
      </c>
      <c r="I172" s="10" t="str">
        <f aca="false">IF(G172&lt;0,"negative profit",IF(G172&gt;Notes!$B$4,"unusually high - verify",""))</f>
        <v/>
      </c>
      <c r="J172" s="10" t="s">
        <v>464</v>
      </c>
    </row>
    <row r="173" customFormat="false" ht="15" hidden="false" customHeight="true" outlineLevel="0" collapsed="false">
      <c r="A173" s="10" t="s">
        <v>231</v>
      </c>
      <c r="B173" s="10" t="s">
        <v>218</v>
      </c>
      <c r="C173" s="11" t="n">
        <v>106</v>
      </c>
      <c r="D173" s="12" t="n">
        <v>60</v>
      </c>
      <c r="E173" s="13" t="n">
        <v>518</v>
      </c>
      <c r="F173" s="11" t="n">
        <v>62</v>
      </c>
      <c r="G173" s="14" t="n">
        <v>139</v>
      </c>
      <c r="H173" s="15" t="n">
        <v>62</v>
      </c>
      <c r="I173" s="10" t="str">
        <f aca="false">IF(G173&lt;0,"negative profit",IF(G173&gt;Notes!$B$4,"unusually high - verify",""))</f>
        <v/>
      </c>
      <c r="J173" s="10" t="s">
        <v>464</v>
      </c>
    </row>
    <row r="174" customFormat="false" ht="15" hidden="false" customHeight="true" outlineLevel="0" collapsed="false">
      <c r="A174" s="10" t="s">
        <v>568</v>
      </c>
      <c r="B174" s="10" t="s">
        <v>233</v>
      </c>
      <c r="C174" s="11" t="n">
        <v>35</v>
      </c>
      <c r="D174" s="12" t="n">
        <v>306</v>
      </c>
      <c r="E174" s="13" t="n">
        <v>219</v>
      </c>
      <c r="F174" s="11" t="n">
        <v>26</v>
      </c>
      <c r="G174" s="14" t="n">
        <v>20</v>
      </c>
      <c r="H174" s="15" t="n">
        <v>5.098039216</v>
      </c>
      <c r="I174" s="10" t="str">
        <f aca="false">IF(G174&lt;0,"negative profit",IF(G174&gt;Notes!$B$4,"unusually high - verify",""))</f>
        <v/>
      </c>
      <c r="J174" s="10" t="s">
        <v>464</v>
      </c>
    </row>
    <row r="175" customFormat="false" ht="15" hidden="false" customHeight="true" outlineLevel="0" collapsed="false">
      <c r="A175" s="10" t="s">
        <v>569</v>
      </c>
      <c r="B175" s="10" t="s">
        <v>233</v>
      </c>
      <c r="C175" s="11" t="n">
        <v>36</v>
      </c>
      <c r="D175" s="12" t="n">
        <v>357</v>
      </c>
      <c r="E175" s="13" t="n">
        <v>252</v>
      </c>
      <c r="F175" s="11" t="n">
        <v>30</v>
      </c>
      <c r="G175" s="14" t="n">
        <v>19.15966387</v>
      </c>
      <c r="H175" s="15" t="n">
        <v>5.042016807</v>
      </c>
      <c r="I175" s="10" t="str">
        <f aca="false">IF(G175&lt;0,"negative profit",IF(G175&gt;Notes!$B$4,"unusually high - verify",""))</f>
        <v/>
      </c>
      <c r="J175" s="10" t="s">
        <v>464</v>
      </c>
    </row>
    <row r="176" customFormat="false" ht="15" hidden="false" customHeight="true" outlineLevel="0" collapsed="false">
      <c r="A176" s="10" t="s">
        <v>570</v>
      </c>
      <c r="B176" s="10" t="s">
        <v>233</v>
      </c>
      <c r="C176" s="11" t="n">
        <v>37</v>
      </c>
      <c r="D176" s="12" t="n">
        <v>408</v>
      </c>
      <c r="E176" s="13" t="n">
        <v>388</v>
      </c>
      <c r="F176" s="11" t="n">
        <v>46</v>
      </c>
      <c r="G176" s="14" t="n">
        <v>20.88235294</v>
      </c>
      <c r="H176" s="15" t="n">
        <v>6.764705882</v>
      </c>
      <c r="I176" s="10" t="str">
        <f aca="false">IF(G176&lt;0,"negative profit",IF(G176&gt;Notes!$B$4,"unusually high - verify",""))</f>
        <v/>
      </c>
      <c r="J176" s="10" t="s">
        <v>464</v>
      </c>
    </row>
    <row r="177" customFormat="false" ht="15" hidden="false" customHeight="true" outlineLevel="0" collapsed="false">
      <c r="A177" s="10" t="s">
        <v>571</v>
      </c>
      <c r="B177" s="10" t="s">
        <v>233</v>
      </c>
      <c r="C177" s="11" t="n">
        <v>38</v>
      </c>
      <c r="D177" s="12" t="n">
        <v>357</v>
      </c>
      <c r="E177" s="13" t="n">
        <v>334</v>
      </c>
      <c r="F177" s="11" t="n">
        <v>40</v>
      </c>
      <c r="G177" s="14" t="n">
        <v>21.8487395</v>
      </c>
      <c r="H177" s="15" t="n">
        <v>6.722689076</v>
      </c>
      <c r="I177" s="10" t="str">
        <f aca="false">IF(G177&lt;0,"negative profit",IF(G177&gt;Notes!$B$4,"unusually high - verify",""))</f>
        <v/>
      </c>
      <c r="J177" s="10" t="s">
        <v>464</v>
      </c>
    </row>
    <row r="178" customFormat="false" ht="15" hidden="false" customHeight="true" outlineLevel="0" collapsed="false">
      <c r="A178" s="10" t="s">
        <v>572</v>
      </c>
      <c r="B178" s="10" t="s">
        <v>233</v>
      </c>
      <c r="C178" s="11" t="n">
        <v>50</v>
      </c>
      <c r="D178" s="12" t="n">
        <v>382</v>
      </c>
      <c r="E178" s="13" t="n">
        <v>270</v>
      </c>
      <c r="F178" s="11" t="n">
        <v>32</v>
      </c>
      <c r="G178" s="14" t="n">
        <v>18.82352941</v>
      </c>
      <c r="H178" s="15" t="n">
        <v>5.019607843</v>
      </c>
      <c r="I178" s="10" t="str">
        <f aca="false">IF(G178&lt;0,"negative profit",IF(G178&gt;Notes!$B$4,"unusually high - verify",""))</f>
        <v/>
      </c>
      <c r="J178" s="10" t="s">
        <v>464</v>
      </c>
    </row>
    <row r="179" customFormat="false" ht="15" hidden="false" customHeight="true" outlineLevel="0" collapsed="false">
      <c r="A179" s="10" t="s">
        <v>239</v>
      </c>
      <c r="B179" s="10" t="s">
        <v>233</v>
      </c>
      <c r="C179" s="11" t="n">
        <v>74</v>
      </c>
      <c r="D179" s="12" t="n">
        <v>433</v>
      </c>
      <c r="E179" s="13" t="n">
        <v>457</v>
      </c>
      <c r="F179" s="11" t="n">
        <v>54</v>
      </c>
      <c r="G179" s="14" t="n">
        <v>22.97577855</v>
      </c>
      <c r="H179" s="15" t="n">
        <v>7.474048443</v>
      </c>
      <c r="I179" s="10" t="str">
        <f aca="false">IF(G179&lt;0,"negative profit",IF(G179&gt;Notes!$B$4,"unusually high - verify",""))</f>
        <v/>
      </c>
      <c r="J179" s="10" t="s">
        <v>464</v>
      </c>
    </row>
    <row r="180" customFormat="false" ht="15" hidden="false" customHeight="true" outlineLevel="0" collapsed="false">
      <c r="A180" s="10" t="s">
        <v>573</v>
      </c>
      <c r="B180" s="10" t="s">
        <v>233</v>
      </c>
      <c r="C180" s="11" t="n">
        <v>79</v>
      </c>
      <c r="D180" s="12" t="n">
        <v>408</v>
      </c>
      <c r="E180" s="13" t="n">
        <v>464</v>
      </c>
      <c r="F180" s="11" t="n">
        <v>55</v>
      </c>
      <c r="G180" s="14" t="n">
        <v>24.11764706</v>
      </c>
      <c r="H180" s="15" t="n">
        <v>8.088235294</v>
      </c>
      <c r="I180" s="10" t="str">
        <f aca="false">IF(G180&lt;0,"negative profit",IF(G180&gt;Notes!$B$4,"unusually high - verify",""))</f>
        <v/>
      </c>
      <c r="J180" s="10" t="s">
        <v>464</v>
      </c>
    </row>
    <row r="181" customFormat="false" ht="15" hidden="false" customHeight="true" outlineLevel="0" collapsed="false">
      <c r="A181" s="10" t="s">
        <v>574</v>
      </c>
      <c r="B181" s="10" t="s">
        <v>233</v>
      </c>
      <c r="C181" s="11" t="n">
        <v>85</v>
      </c>
      <c r="D181" s="12" t="n">
        <v>331</v>
      </c>
      <c r="E181" s="13" t="n">
        <v>162</v>
      </c>
      <c r="F181" s="11" t="n">
        <v>19</v>
      </c>
      <c r="G181" s="14" t="n">
        <v>11.94570136</v>
      </c>
      <c r="H181" s="15" t="n">
        <v>3.438914027</v>
      </c>
      <c r="I181" s="10" t="str">
        <f aca="false">IF(G181&lt;0,"negative profit",IF(G181&gt;Notes!$B$4,"unusually high - verify",""))</f>
        <v/>
      </c>
      <c r="J181" s="10" t="s">
        <v>464</v>
      </c>
    </row>
    <row r="182" customFormat="false" ht="15" hidden="false" customHeight="true" outlineLevel="0" collapsed="false">
      <c r="A182" s="10" t="s">
        <v>575</v>
      </c>
      <c r="B182" s="10" t="s">
        <v>233</v>
      </c>
      <c r="C182" s="11" t="n">
        <v>94</v>
      </c>
      <c r="D182" s="12" t="n">
        <v>255</v>
      </c>
      <c r="E182" s="13" t="n">
        <v>385</v>
      </c>
      <c r="F182" s="11" t="n">
        <v>46</v>
      </c>
      <c r="G182" s="14" t="n">
        <v>32.70588235</v>
      </c>
      <c r="H182" s="15" t="n">
        <v>10.82352941</v>
      </c>
      <c r="I182" s="10" t="str">
        <f aca="false">IF(G182&lt;0,"negative profit",IF(G182&gt;Notes!$B$4,"unusually high - verify",""))</f>
        <v/>
      </c>
      <c r="J182" s="10" t="s">
        <v>464</v>
      </c>
    </row>
    <row r="183" customFormat="false" ht="15" hidden="false" customHeight="true" outlineLevel="0" collapsed="false">
      <c r="A183" s="10" t="s">
        <v>576</v>
      </c>
      <c r="B183" s="10" t="s">
        <v>233</v>
      </c>
      <c r="C183" s="11" t="n">
        <v>96</v>
      </c>
      <c r="D183" s="12" t="n">
        <v>272</v>
      </c>
      <c r="E183" s="13" t="n">
        <v>118</v>
      </c>
      <c r="F183" s="11" t="n">
        <v>14</v>
      </c>
      <c r="G183" s="14" t="n">
        <v>14.11764706</v>
      </c>
      <c r="H183" s="15" t="n">
        <v>3.088235294</v>
      </c>
      <c r="I183" s="10" t="str">
        <f aca="false">IF(G183&lt;0,"negative profit",IF(G183&gt;Notes!$B$4,"unusually high - verify",""))</f>
        <v/>
      </c>
      <c r="J183" s="10" t="s">
        <v>464</v>
      </c>
    </row>
    <row r="184" customFormat="false" ht="15" hidden="false" customHeight="true" outlineLevel="0" collapsed="false">
      <c r="A184" s="10" t="s">
        <v>244</v>
      </c>
      <c r="B184" s="10" t="s">
        <v>577</v>
      </c>
      <c r="C184" s="11" t="n">
        <v>38</v>
      </c>
      <c r="D184" s="12" t="n">
        <v>102</v>
      </c>
      <c r="E184" s="13" t="n">
        <v>514</v>
      </c>
      <c r="F184" s="11" t="n">
        <v>61</v>
      </c>
      <c r="G184" s="14" t="n">
        <v>23.52941176</v>
      </c>
      <c r="H184" s="15" t="n">
        <v>35.88235294</v>
      </c>
      <c r="I184" s="10" t="str">
        <f aca="false">IF(G184&lt;0,"negative profit",IF(G184&gt;Notes!$B$4,"unusually high - verify",""))</f>
        <v/>
      </c>
      <c r="J184" s="10" t="s">
        <v>464</v>
      </c>
    </row>
    <row r="185" customFormat="false" ht="15" hidden="false" customHeight="true" outlineLevel="0" collapsed="false">
      <c r="A185" s="10" t="s">
        <v>247</v>
      </c>
      <c r="B185" s="10" t="s">
        <v>577</v>
      </c>
      <c r="C185" s="11" t="n">
        <v>39</v>
      </c>
      <c r="D185" s="12" t="n">
        <v>153</v>
      </c>
      <c r="E185" s="13" t="n">
        <v>727</v>
      </c>
      <c r="F185" s="11" t="n">
        <v>87</v>
      </c>
      <c r="G185" s="14" t="n">
        <v>18.82352941</v>
      </c>
      <c r="H185" s="15" t="n">
        <v>34.11764706</v>
      </c>
      <c r="I185" s="10" t="str">
        <f aca="false">IF(G185&lt;0,"negative profit",IF(G185&gt;Notes!$B$4,"unusually high - verify",""))</f>
        <v/>
      </c>
      <c r="J185" s="10" t="s">
        <v>464</v>
      </c>
    </row>
    <row r="186" customFormat="false" ht="15" hidden="false" customHeight="true" outlineLevel="0" collapsed="false">
      <c r="A186" s="10" t="s">
        <v>578</v>
      </c>
      <c r="B186" s="10" t="s">
        <v>577</v>
      </c>
      <c r="C186" s="11" t="n">
        <v>40</v>
      </c>
      <c r="D186" s="12" t="n">
        <v>204</v>
      </c>
      <c r="E186" s="13" t="n">
        <v>824</v>
      </c>
      <c r="F186" s="11" t="n">
        <v>98</v>
      </c>
      <c r="G186" s="14" t="n">
        <v>15.88235294</v>
      </c>
      <c r="H186" s="15" t="n">
        <v>28.82352941</v>
      </c>
      <c r="I186" s="10" t="str">
        <f aca="false">IF(G186&lt;0,"negative profit",IF(G186&gt;Notes!$B$4,"unusually high - verify",""))</f>
        <v/>
      </c>
      <c r="J186" s="10" t="s">
        <v>464</v>
      </c>
    </row>
    <row r="187" customFormat="false" ht="15" hidden="false" customHeight="true" outlineLevel="0" collapsed="false">
      <c r="A187" s="10" t="s">
        <v>579</v>
      </c>
      <c r="B187" s="10" t="s">
        <v>577</v>
      </c>
      <c r="C187" s="11" t="n">
        <v>41</v>
      </c>
      <c r="D187" s="12" t="n">
        <v>76</v>
      </c>
      <c r="E187" s="13" t="n">
        <v>658</v>
      </c>
      <c r="F187" s="11" t="n">
        <v>79</v>
      </c>
      <c r="G187" s="14" t="n">
        <v>29.01960784</v>
      </c>
      <c r="H187" s="15" t="n">
        <v>61.96078431</v>
      </c>
      <c r="I187" s="10" t="str">
        <f aca="false">IF(G187&lt;0,"negative profit",IF(G187&gt;Notes!$B$4,"unusually high - verify",""))</f>
        <v/>
      </c>
      <c r="J187" s="10" t="s">
        <v>464</v>
      </c>
    </row>
    <row r="188" customFormat="false" ht="15" hidden="false" customHeight="true" outlineLevel="0" collapsed="false">
      <c r="A188" s="10" t="s">
        <v>580</v>
      </c>
      <c r="B188" s="10" t="s">
        <v>577</v>
      </c>
      <c r="C188" s="11" t="n">
        <v>98</v>
      </c>
      <c r="D188" s="12" t="n">
        <v>51</v>
      </c>
      <c r="E188" s="13" t="n">
        <v>698</v>
      </c>
      <c r="F188" s="11" t="n">
        <v>83</v>
      </c>
      <c r="G188" s="14" t="n">
        <v>29.41176471</v>
      </c>
      <c r="H188" s="15" t="n">
        <v>97.64705882</v>
      </c>
      <c r="I188" s="10" t="str">
        <f aca="false">IF(G188&lt;0,"negative profit",IF(G188&gt;Notes!$B$4,"unusually high - verify",""))</f>
        <v/>
      </c>
      <c r="J188" s="10" t="s">
        <v>464</v>
      </c>
    </row>
    <row r="189" customFormat="false" ht="15" hidden="false" customHeight="true" outlineLevel="0" collapsed="false">
      <c r="A189" s="10" t="s">
        <v>581</v>
      </c>
      <c r="B189" s="10" t="s">
        <v>252</v>
      </c>
      <c r="C189" s="11" t="n">
        <v>26</v>
      </c>
      <c r="D189" s="12" t="n">
        <v>25</v>
      </c>
      <c r="E189" s="13" t="n">
        <v>46</v>
      </c>
      <c r="F189" s="11" t="n">
        <v>6</v>
      </c>
      <c r="G189" s="14" t="n">
        <v>58.82352941</v>
      </c>
      <c r="H189" s="15" t="n">
        <v>14.11764706</v>
      </c>
      <c r="I189" s="10" t="str">
        <f aca="false">IF(G189&lt;0,"negative profit",IF(G189&gt;Notes!$B$4,"unusually high - verify",""))</f>
        <v/>
      </c>
      <c r="J189" s="10" t="s">
        <v>464</v>
      </c>
    </row>
    <row r="190" customFormat="false" ht="15" hidden="false" customHeight="true" outlineLevel="0" collapsed="false">
      <c r="A190" s="10" t="s">
        <v>582</v>
      </c>
      <c r="B190" s="10" t="s">
        <v>252</v>
      </c>
      <c r="C190" s="11" t="n">
        <v>28</v>
      </c>
      <c r="D190" s="12" t="n">
        <v>102</v>
      </c>
      <c r="E190" s="13" t="n">
        <v>129</v>
      </c>
      <c r="F190" s="11" t="n">
        <v>15</v>
      </c>
      <c r="G190" s="14" t="n">
        <v>30</v>
      </c>
      <c r="H190" s="15" t="n">
        <v>8.823529412</v>
      </c>
      <c r="I190" s="10" t="str">
        <f aca="false">IF(G190&lt;0,"negative profit",IF(G190&gt;Notes!$B$4,"unusually high - verify",""))</f>
        <v/>
      </c>
      <c r="J190" s="10" t="s">
        <v>464</v>
      </c>
    </row>
    <row r="191" customFormat="false" ht="15" hidden="false" customHeight="true" outlineLevel="0" collapsed="false">
      <c r="A191" s="10" t="s">
        <v>583</v>
      </c>
      <c r="B191" s="10" t="s">
        <v>252</v>
      </c>
      <c r="C191" s="11" t="n">
        <v>30</v>
      </c>
      <c r="D191" s="12" t="n">
        <v>127</v>
      </c>
      <c r="E191" s="13" t="n">
        <v>216</v>
      </c>
      <c r="F191" s="11" t="n">
        <v>26</v>
      </c>
      <c r="G191" s="14" t="n">
        <v>37.64705882</v>
      </c>
      <c r="H191" s="15" t="n">
        <v>12.23529412</v>
      </c>
      <c r="I191" s="10" t="str">
        <f aca="false">IF(G191&lt;0,"negative profit",IF(G191&gt;Notes!$B$4,"unusually high - verify",""))</f>
        <v/>
      </c>
      <c r="J191" s="10" t="s">
        <v>464</v>
      </c>
    </row>
    <row r="192" customFormat="false" ht="15" hidden="false" customHeight="true" outlineLevel="0" collapsed="false">
      <c r="A192" s="10" t="s">
        <v>584</v>
      </c>
      <c r="B192" s="10" t="s">
        <v>252</v>
      </c>
      <c r="C192" s="11" t="n">
        <v>31</v>
      </c>
      <c r="D192" s="12" t="n">
        <v>153</v>
      </c>
      <c r="E192" s="13" t="n">
        <v>205</v>
      </c>
      <c r="F192" s="11" t="n">
        <v>24</v>
      </c>
      <c r="G192" s="14" t="n">
        <v>30.19607843</v>
      </c>
      <c r="H192" s="15" t="n">
        <v>9.411764706</v>
      </c>
      <c r="I192" s="10" t="str">
        <f aca="false">IF(G192&lt;0,"negative profit",IF(G192&gt;Notes!$B$4,"unusually high - verify",""))</f>
        <v/>
      </c>
      <c r="J192" s="10" t="s">
        <v>464</v>
      </c>
    </row>
    <row r="193" customFormat="false" ht="15" hidden="false" customHeight="true" outlineLevel="0" collapsed="false">
      <c r="A193" s="10" t="s">
        <v>585</v>
      </c>
      <c r="B193" s="10" t="s">
        <v>252</v>
      </c>
      <c r="C193" s="11" t="n">
        <v>31</v>
      </c>
      <c r="D193" s="12" t="n">
        <v>76</v>
      </c>
      <c r="E193" s="13" t="n">
        <v>162</v>
      </c>
      <c r="F193" s="11" t="n">
        <v>19</v>
      </c>
      <c r="G193" s="14" t="n">
        <v>25.88235294</v>
      </c>
      <c r="H193" s="15" t="n">
        <v>14.90196078</v>
      </c>
      <c r="I193" s="10" t="str">
        <f aca="false">IF(G193&lt;0,"negative profit",IF(G193&gt;Notes!$B$4,"unusually high - verify",""))</f>
        <v/>
      </c>
      <c r="J193" s="10" t="s">
        <v>464</v>
      </c>
    </row>
    <row r="194" customFormat="false" ht="15" hidden="false" customHeight="true" outlineLevel="0" collapsed="false">
      <c r="A194" s="10" t="s">
        <v>586</v>
      </c>
      <c r="B194" s="10" t="s">
        <v>252</v>
      </c>
      <c r="C194" s="11" t="n">
        <v>52</v>
      </c>
      <c r="D194" s="12" t="n">
        <v>38</v>
      </c>
      <c r="E194" s="13" t="n">
        <v>68</v>
      </c>
      <c r="F194" s="11" t="n">
        <v>8</v>
      </c>
      <c r="G194" s="14" t="n">
        <v>40.78431373</v>
      </c>
      <c r="H194" s="15" t="n">
        <v>12.54901961</v>
      </c>
      <c r="I194" s="10" t="str">
        <f aca="false">IF(G194&lt;0,"negative profit",IF(G194&gt;Notes!$B$4,"unusually high - verify",""))</f>
        <v/>
      </c>
      <c r="J194" s="10" t="s">
        <v>464</v>
      </c>
    </row>
    <row r="195" customFormat="false" ht="15" hidden="false" customHeight="true" outlineLevel="0" collapsed="false">
      <c r="A195" s="10" t="s">
        <v>587</v>
      </c>
      <c r="B195" s="10" t="s">
        <v>252</v>
      </c>
      <c r="C195" s="11" t="n">
        <v>71</v>
      </c>
      <c r="D195" s="12" t="n">
        <v>102</v>
      </c>
      <c r="E195" s="13" t="n">
        <v>234</v>
      </c>
      <c r="F195" s="11" t="n">
        <v>28</v>
      </c>
      <c r="G195" s="14" t="n">
        <v>23.52941176</v>
      </c>
      <c r="H195" s="15" t="n">
        <v>16.47058824</v>
      </c>
      <c r="I195" s="10" t="str">
        <f aca="false">IF(G195&lt;0,"negative profit",IF(G195&gt;Notes!$B$4,"unusually high - verify",""))</f>
        <v/>
      </c>
      <c r="J195" s="10" t="s">
        <v>464</v>
      </c>
    </row>
    <row r="196" customFormat="false" ht="15" hidden="false" customHeight="true" outlineLevel="0" collapsed="false">
      <c r="A196" s="10" t="s">
        <v>588</v>
      </c>
      <c r="B196" s="10" t="s">
        <v>252</v>
      </c>
      <c r="C196" s="11" t="n">
        <v>84</v>
      </c>
      <c r="D196" s="12" t="n">
        <v>127</v>
      </c>
      <c r="E196" s="13" t="n">
        <v>104</v>
      </c>
      <c r="F196" s="11" t="n">
        <v>13</v>
      </c>
      <c r="G196" s="14" t="n">
        <v>18.82352941</v>
      </c>
      <c r="H196" s="15" t="n">
        <v>6.117647059</v>
      </c>
      <c r="I196" s="10" t="str">
        <f aca="false">IF(G196&lt;0,"negative profit",IF(G196&gt;Notes!$B$4,"unusually high - verify",""))</f>
        <v/>
      </c>
      <c r="J196" s="10" t="s">
        <v>464</v>
      </c>
    </row>
    <row r="197" customFormat="false" ht="15" hidden="false" customHeight="true" outlineLevel="0" collapsed="false">
      <c r="A197" s="10" t="s">
        <v>589</v>
      </c>
      <c r="B197" s="10" t="s">
        <v>252</v>
      </c>
      <c r="C197" s="11" t="n">
        <v>88</v>
      </c>
      <c r="D197" s="12" t="n">
        <v>38</v>
      </c>
      <c r="E197" s="13" t="n">
        <v>64</v>
      </c>
      <c r="F197" s="11" t="n">
        <v>8</v>
      </c>
      <c r="G197" s="14" t="n">
        <v>43.92156863</v>
      </c>
      <c r="H197" s="15" t="n">
        <v>12.54901961</v>
      </c>
      <c r="I197" s="10" t="str">
        <f aca="false">IF(G197&lt;0,"negative profit",IF(G197&gt;Notes!$B$4,"unusually high - verify",""))</f>
        <v/>
      </c>
      <c r="J197" s="10" t="s">
        <v>464</v>
      </c>
    </row>
    <row r="198" customFormat="false" ht="15" hidden="false" customHeight="true" outlineLevel="0" collapsed="false">
      <c r="A198" s="10" t="s">
        <v>590</v>
      </c>
      <c r="B198" s="10" t="s">
        <v>252</v>
      </c>
      <c r="C198" s="11" t="n">
        <v>92</v>
      </c>
      <c r="D198" s="12" t="n">
        <v>51</v>
      </c>
      <c r="E198" s="13" t="n">
        <v>108</v>
      </c>
      <c r="F198" s="11" t="n">
        <v>13</v>
      </c>
      <c r="G198" s="14" t="n">
        <v>35.29411765</v>
      </c>
      <c r="H198" s="15" t="n">
        <v>15.29411765</v>
      </c>
      <c r="I198" s="10" t="str">
        <f aca="false">IF(G198&lt;0,"negative profit",IF(G198&gt;Notes!$B$4,"unusually high - verify",""))</f>
        <v/>
      </c>
      <c r="J198" s="10" t="s">
        <v>464</v>
      </c>
    </row>
    <row r="199" customFormat="false" ht="15" hidden="false" customHeight="true" outlineLevel="0" collapsed="false">
      <c r="A199" s="10" t="s">
        <v>591</v>
      </c>
      <c r="B199" s="10" t="s">
        <v>252</v>
      </c>
      <c r="C199" s="11" t="n">
        <v>97</v>
      </c>
      <c r="D199" s="12" t="n">
        <v>42</v>
      </c>
      <c r="E199" s="13" t="n">
        <v>230</v>
      </c>
      <c r="F199" s="11" t="n">
        <v>27</v>
      </c>
      <c r="G199" s="14" t="n">
        <v>42.35294118</v>
      </c>
      <c r="H199" s="15" t="n">
        <v>38.11764706</v>
      </c>
      <c r="I199" s="10" t="str">
        <f aca="false">IF(G199&lt;0,"negative profit",IF(G199&gt;Notes!$B$4,"unusually high - verify",""))</f>
        <v/>
      </c>
      <c r="J199" s="10" t="s">
        <v>464</v>
      </c>
    </row>
    <row r="200" customFormat="false" ht="15" hidden="false" customHeight="true" outlineLevel="0" collapsed="false">
      <c r="A200" s="10" t="s">
        <v>264</v>
      </c>
      <c r="B200" s="10" t="s">
        <v>252</v>
      </c>
      <c r="C200" s="11" t="n">
        <v>104</v>
      </c>
      <c r="D200" s="12" t="n">
        <v>55</v>
      </c>
      <c r="E200" s="13" t="n">
        <v>252</v>
      </c>
      <c r="F200" s="11" t="n">
        <v>30</v>
      </c>
      <c r="G200" s="14" t="n">
        <v>31.41818182</v>
      </c>
      <c r="H200" s="15" t="n">
        <v>32.72727273</v>
      </c>
      <c r="I200" s="10" t="str">
        <f aca="false">IF(G200&lt;0,"negative profit",IF(G200&gt;Notes!$B$4,"unusually high - verify",""))</f>
        <v/>
      </c>
      <c r="J200" s="10" t="s">
        <v>464</v>
      </c>
    </row>
    <row r="201" customFormat="false" ht="15" hidden="false" customHeight="true" outlineLevel="0" collapsed="false">
      <c r="A201" s="10" t="s">
        <v>592</v>
      </c>
      <c r="B201" s="10" t="s">
        <v>266</v>
      </c>
      <c r="C201" s="11" t="n">
        <v>44</v>
      </c>
      <c r="D201" s="12" t="n">
        <v>360</v>
      </c>
      <c r="E201" s="13" t="n">
        <v>201</v>
      </c>
      <c r="F201" s="11" t="n">
        <v>24</v>
      </c>
      <c r="G201" s="14" t="n">
        <v>33.5</v>
      </c>
      <c r="H201" s="15" t="n">
        <v>4</v>
      </c>
      <c r="I201" s="10" t="str">
        <f aca="false">IF(G201&lt;0,"negative profit",IF(G201&gt;Notes!$B$4,"unusually high - verify",""))</f>
        <v/>
      </c>
      <c r="J201" s="10" t="s">
        <v>464</v>
      </c>
    </row>
    <row r="202" customFormat="false" ht="15" hidden="false" customHeight="true" outlineLevel="0" collapsed="false">
      <c r="A202" s="10" t="s">
        <v>268</v>
      </c>
      <c r="B202" s="10" t="s">
        <v>269</v>
      </c>
      <c r="C202" s="11" t="n">
        <v>17</v>
      </c>
      <c r="D202" s="12" t="n">
        <v>102</v>
      </c>
      <c r="E202" s="13" t="n">
        <v>151</v>
      </c>
      <c r="F202" s="11" t="n">
        <v>18</v>
      </c>
      <c r="G202" s="14" t="n">
        <v>25.29411765</v>
      </c>
      <c r="H202" s="15" t="n">
        <v>10.58823529</v>
      </c>
      <c r="I202" s="10" t="str">
        <f aca="false">IF(G202&lt;0,"negative profit",IF(G202&gt;Notes!$B$4,"unusually high - verify",""))</f>
        <v/>
      </c>
      <c r="J202" s="10" t="s">
        <v>464</v>
      </c>
    </row>
    <row r="203" customFormat="false" ht="15" hidden="false" customHeight="true" outlineLevel="0" collapsed="false">
      <c r="A203" s="10" t="s">
        <v>593</v>
      </c>
      <c r="B203" s="10" t="s">
        <v>269</v>
      </c>
      <c r="C203" s="11" t="n">
        <v>18</v>
      </c>
      <c r="D203" s="12" t="n">
        <v>25</v>
      </c>
      <c r="E203" s="13" t="n">
        <v>108</v>
      </c>
      <c r="F203" s="11" t="n">
        <v>13</v>
      </c>
      <c r="G203" s="14" t="n">
        <v>56.47058824</v>
      </c>
      <c r="H203" s="15" t="n">
        <v>30.58823529</v>
      </c>
      <c r="I203" s="10" t="str">
        <f aca="false">IF(G203&lt;0,"negative profit",IF(G203&gt;Notes!$B$4,"unusually high - verify",""))</f>
        <v/>
      </c>
      <c r="J203" s="10" t="s">
        <v>464</v>
      </c>
    </row>
    <row r="204" customFormat="false" ht="15" hidden="false" customHeight="true" outlineLevel="0" collapsed="false">
      <c r="A204" s="10" t="s">
        <v>594</v>
      </c>
      <c r="B204" s="10" t="s">
        <v>269</v>
      </c>
      <c r="C204" s="11" t="n">
        <v>19</v>
      </c>
      <c r="D204" s="12" t="n">
        <v>51</v>
      </c>
      <c r="E204" s="13" t="n">
        <v>111</v>
      </c>
      <c r="F204" s="11" t="n">
        <v>13</v>
      </c>
      <c r="G204" s="14" t="n">
        <v>37.64705882</v>
      </c>
      <c r="H204" s="15" t="n">
        <v>15.29411765</v>
      </c>
      <c r="I204" s="10" t="str">
        <f aca="false">IF(G204&lt;0,"negative profit",IF(G204&gt;Notes!$B$4,"unusually high - verify",""))</f>
        <v/>
      </c>
      <c r="J204" s="10" t="s">
        <v>464</v>
      </c>
    </row>
    <row r="205" customFormat="false" ht="15" hidden="false" customHeight="true" outlineLevel="0" collapsed="false">
      <c r="A205" s="10" t="s">
        <v>595</v>
      </c>
      <c r="B205" s="10" t="s">
        <v>269</v>
      </c>
      <c r="C205" s="11" t="n">
        <v>20</v>
      </c>
      <c r="D205" s="12" t="n">
        <v>153</v>
      </c>
      <c r="E205" s="13" t="n">
        <v>208</v>
      </c>
      <c r="F205" s="11" t="n">
        <v>25</v>
      </c>
      <c r="G205" s="14" t="n">
        <v>19.60784314</v>
      </c>
      <c r="H205" s="15" t="n">
        <v>9.803921569</v>
      </c>
      <c r="I205" s="10" t="str">
        <f aca="false">IF(G205&lt;0,"negative profit",IF(G205&gt;Notes!$B$4,"unusually high - verify",""))</f>
        <v/>
      </c>
      <c r="J205" s="10" t="s">
        <v>464</v>
      </c>
    </row>
    <row r="206" customFormat="false" ht="15" hidden="false" customHeight="true" outlineLevel="0" collapsed="false">
      <c r="A206" s="10" t="s">
        <v>596</v>
      </c>
      <c r="B206" s="10" t="s">
        <v>269</v>
      </c>
      <c r="C206" s="11" t="n">
        <v>48</v>
      </c>
      <c r="D206" s="12" t="n">
        <v>127</v>
      </c>
      <c r="E206" s="13" t="n">
        <v>288</v>
      </c>
      <c r="F206" s="11" t="n">
        <v>34</v>
      </c>
      <c r="G206" s="14" t="n">
        <v>37.64705882</v>
      </c>
      <c r="H206" s="15" t="n">
        <v>16</v>
      </c>
      <c r="I206" s="10" t="str">
        <f aca="false">IF(G206&lt;0,"negative profit",IF(G206&gt;Notes!$B$4,"unusually high - verify",""))</f>
        <v/>
      </c>
      <c r="J206" s="10" t="s">
        <v>464</v>
      </c>
    </row>
    <row r="207" customFormat="false" ht="15" hidden="false" customHeight="true" outlineLevel="0" collapsed="false">
      <c r="A207" s="10" t="s">
        <v>597</v>
      </c>
      <c r="B207" s="10" t="s">
        <v>269</v>
      </c>
      <c r="C207" s="11" t="n">
        <v>71</v>
      </c>
      <c r="D207" s="12" t="n">
        <v>76</v>
      </c>
      <c r="E207" s="13" t="n">
        <v>295</v>
      </c>
      <c r="F207" s="11" t="n">
        <v>35</v>
      </c>
      <c r="G207" s="14" t="n">
        <v>32.94117647</v>
      </c>
      <c r="H207" s="15" t="n">
        <v>27.45098039</v>
      </c>
      <c r="I207" s="10" t="str">
        <f aca="false">IF(G207&lt;0,"negative profit",IF(G207&gt;Notes!$B$4,"unusually high - verify",""))</f>
        <v/>
      </c>
      <c r="J207" s="10" t="s">
        <v>464</v>
      </c>
    </row>
    <row r="208" customFormat="false" ht="15" hidden="false" customHeight="true" outlineLevel="0" collapsed="false">
      <c r="A208" s="10" t="s">
        <v>276</v>
      </c>
      <c r="B208" s="10" t="s">
        <v>277</v>
      </c>
      <c r="C208" s="11" t="n">
        <v>72</v>
      </c>
      <c r="D208" s="12" t="n">
        <v>68</v>
      </c>
      <c r="E208" s="13" t="n">
        <v>475</v>
      </c>
      <c r="F208" s="11" t="n">
        <v>57</v>
      </c>
      <c r="G208" s="14" t="n">
        <v>28.23529412</v>
      </c>
      <c r="H208" s="15" t="n">
        <v>50.29411765</v>
      </c>
      <c r="I208" s="10" t="str">
        <f aca="false">IF(G208&lt;0,"negative profit",IF(G208&gt;Notes!$B$4,"unusually high - verify",""))</f>
        <v/>
      </c>
      <c r="J208" s="10" t="s">
        <v>464</v>
      </c>
    </row>
    <row r="209" customFormat="false" ht="15" hidden="false" customHeight="true" outlineLevel="0" collapsed="false">
      <c r="A209" s="10" t="s">
        <v>598</v>
      </c>
      <c r="B209" s="10" t="s">
        <v>277</v>
      </c>
      <c r="C209" s="11" t="n">
        <v>74</v>
      </c>
      <c r="D209" s="12" t="n">
        <v>85</v>
      </c>
      <c r="E209" s="13" t="n">
        <v>532</v>
      </c>
      <c r="F209" s="11" t="n">
        <v>63</v>
      </c>
      <c r="G209" s="14" t="n">
        <v>31.05882353</v>
      </c>
      <c r="H209" s="15" t="n">
        <v>44.47058824</v>
      </c>
      <c r="I209" s="10" t="str">
        <f aca="false">IF(G209&lt;0,"negative profit",IF(G209&gt;Notes!$B$4,"unusually high - verify",""))</f>
        <v/>
      </c>
      <c r="J209" s="10" t="s">
        <v>464</v>
      </c>
    </row>
    <row r="210" customFormat="false" ht="15" hidden="false" customHeight="true" outlineLevel="0" collapsed="false">
      <c r="A210" s="10" t="s">
        <v>599</v>
      </c>
      <c r="B210" s="10" t="s">
        <v>277</v>
      </c>
      <c r="C210" s="11" t="n">
        <v>79</v>
      </c>
      <c r="D210" s="12" t="n">
        <v>102</v>
      </c>
      <c r="E210" s="13" t="n">
        <v>637</v>
      </c>
      <c r="F210" s="11" t="n">
        <v>76</v>
      </c>
      <c r="G210" s="14" t="n">
        <v>20.58823529</v>
      </c>
      <c r="H210" s="15" t="n">
        <v>44.70588235</v>
      </c>
      <c r="I210" s="10" t="str">
        <f aca="false">IF(G210&lt;0,"negative profit",IF(G210&gt;Notes!$B$4,"unusually high - verify",""))</f>
        <v/>
      </c>
      <c r="J210" s="10" t="s">
        <v>464</v>
      </c>
    </row>
    <row r="211" customFormat="false" ht="15" hidden="false" customHeight="true" outlineLevel="0" collapsed="false">
      <c r="A211" s="10" t="s">
        <v>600</v>
      </c>
      <c r="B211" s="10" t="s">
        <v>277</v>
      </c>
      <c r="C211" s="11" t="n">
        <v>83</v>
      </c>
      <c r="D211" s="12" t="n">
        <v>51</v>
      </c>
      <c r="E211" s="13" t="n">
        <v>345</v>
      </c>
      <c r="F211" s="11" t="n">
        <v>41</v>
      </c>
      <c r="G211" s="14" t="n">
        <v>36.47058824</v>
      </c>
      <c r="H211" s="15" t="n">
        <v>48.23529412</v>
      </c>
      <c r="I211" s="10" t="str">
        <f aca="false">IF(G211&lt;0,"negative profit",IF(G211&gt;Notes!$B$4,"unusually high - verify",""))</f>
        <v/>
      </c>
      <c r="J211" s="10" t="s">
        <v>464</v>
      </c>
    </row>
    <row r="212" customFormat="false" ht="15" hidden="false" customHeight="true" outlineLevel="0" collapsed="false">
      <c r="A212" s="10" t="s">
        <v>601</v>
      </c>
      <c r="B212" s="10" t="s">
        <v>277</v>
      </c>
      <c r="C212" s="11" t="n">
        <v>83</v>
      </c>
      <c r="D212" s="12" t="n">
        <v>127</v>
      </c>
      <c r="E212" s="13" t="n">
        <v>410</v>
      </c>
      <c r="F212" s="11" t="n">
        <v>49</v>
      </c>
      <c r="G212" s="14" t="n">
        <v>19.29411765</v>
      </c>
      <c r="H212" s="15" t="n">
        <v>23.05882353</v>
      </c>
      <c r="I212" s="10" t="str">
        <f aca="false">IF(G212&lt;0,"negative profit",IF(G212&gt;Notes!$B$4,"unusually high - verify",""))</f>
        <v/>
      </c>
      <c r="J212" s="10" t="s">
        <v>464</v>
      </c>
    </row>
    <row r="213" customFormat="false" ht="15" hidden="false" customHeight="true" outlineLevel="0" collapsed="false">
      <c r="A213" s="10" t="s">
        <v>602</v>
      </c>
      <c r="B213" s="10" t="s">
        <v>277</v>
      </c>
      <c r="C213" s="11" t="n">
        <v>87</v>
      </c>
      <c r="D213" s="12" t="n">
        <v>76</v>
      </c>
      <c r="E213" s="13" t="n">
        <v>576</v>
      </c>
      <c r="F213" s="11" t="n">
        <v>69</v>
      </c>
      <c r="G213" s="14" t="n">
        <v>24.31372549</v>
      </c>
      <c r="H213" s="15" t="n">
        <v>54.11764706</v>
      </c>
      <c r="I213" s="10" t="str">
        <f aca="false">IF(G213&lt;0,"negative profit",IF(G213&gt;Notes!$B$4,"unusually high - verify",""))</f>
        <v/>
      </c>
      <c r="J213" s="10" t="s">
        <v>464</v>
      </c>
    </row>
    <row r="214" customFormat="false" ht="15" hidden="false" customHeight="true" outlineLevel="0" collapsed="false">
      <c r="A214" s="10" t="s">
        <v>603</v>
      </c>
      <c r="B214" s="10" t="s">
        <v>277</v>
      </c>
      <c r="C214" s="11" t="n">
        <v>101</v>
      </c>
      <c r="D214" s="12" t="n">
        <v>63</v>
      </c>
      <c r="E214" s="13" t="n">
        <v>280</v>
      </c>
      <c r="F214" s="11" t="n">
        <v>33</v>
      </c>
      <c r="G214" s="14" t="n">
        <v>34.82352941</v>
      </c>
      <c r="H214" s="15" t="n">
        <v>31.05882353</v>
      </c>
      <c r="I214" s="10" t="str">
        <f aca="false">IF(G214&lt;0,"negative profit",IF(G214&gt;Notes!$B$4,"unusually high - verify",""))</f>
        <v/>
      </c>
      <c r="J214" s="10" t="s">
        <v>464</v>
      </c>
    </row>
    <row r="215" customFormat="false" ht="15" hidden="false" customHeight="true" outlineLevel="0" collapsed="false">
      <c r="A215" s="10" t="s">
        <v>604</v>
      </c>
      <c r="B215" s="10" t="s">
        <v>286</v>
      </c>
      <c r="C215" s="11" t="n">
        <v>67</v>
      </c>
      <c r="D215" s="12" t="n">
        <v>12</v>
      </c>
      <c r="E215" s="13" t="n">
        <v>43</v>
      </c>
      <c r="F215" s="11" t="n">
        <v>5</v>
      </c>
      <c r="G215" s="14" t="n">
        <v>89.41176471</v>
      </c>
      <c r="H215" s="15" t="n">
        <v>23.52941176</v>
      </c>
      <c r="I215" s="10" t="str">
        <f aca="false">IF(G215&lt;0,"negative profit",IF(G215&gt;Notes!$B$4,"unusually high - verify",""))</f>
        <v/>
      </c>
      <c r="J215" s="10" t="s">
        <v>464</v>
      </c>
    </row>
    <row r="216" customFormat="false" ht="15" hidden="false" customHeight="true" outlineLevel="0" collapsed="false">
      <c r="A216" s="10" t="s">
        <v>605</v>
      </c>
      <c r="B216" s="10" t="s">
        <v>286</v>
      </c>
      <c r="C216" s="11" t="n">
        <v>73</v>
      </c>
      <c r="D216" s="12" t="n">
        <v>17</v>
      </c>
      <c r="E216" s="13" t="n">
        <v>100</v>
      </c>
      <c r="F216" s="11" t="n">
        <v>12</v>
      </c>
      <c r="G216" s="14" t="n">
        <v>35.29411765</v>
      </c>
      <c r="H216" s="15" t="n">
        <v>42.35294118</v>
      </c>
      <c r="I216" s="10" t="str">
        <f aca="false">IF(G216&lt;0,"negative profit",IF(G216&gt;Notes!$B$4,"unusually high - verify",""))</f>
        <v/>
      </c>
      <c r="J216" s="10" t="s">
        <v>464</v>
      </c>
    </row>
    <row r="217" customFormat="false" ht="15" hidden="false" customHeight="true" outlineLevel="0" collapsed="false">
      <c r="A217" s="10" t="s">
        <v>606</v>
      </c>
      <c r="B217" s="10" t="s">
        <v>290</v>
      </c>
      <c r="C217" s="11" t="n">
        <v>14</v>
      </c>
      <c r="D217" s="12" t="n">
        <v>51</v>
      </c>
      <c r="E217" s="13" t="n">
        <v>82</v>
      </c>
      <c r="F217" s="11" t="n">
        <v>10</v>
      </c>
      <c r="G217" s="14" t="n">
        <v>43.52941176</v>
      </c>
      <c r="H217" s="15" t="n">
        <v>11.76470588</v>
      </c>
      <c r="I217" s="10" t="str">
        <f aca="false">IF(G217&lt;0,"negative profit",IF(G217&gt;Notes!$B$4,"unusually high - verify",""))</f>
        <v/>
      </c>
      <c r="J217" s="10" t="s">
        <v>464</v>
      </c>
    </row>
    <row r="218" customFormat="false" ht="15" hidden="false" customHeight="true" outlineLevel="0" collapsed="false">
      <c r="A218" s="10" t="s">
        <v>607</v>
      </c>
      <c r="B218" s="10" t="s">
        <v>290</v>
      </c>
      <c r="C218" s="11" t="n">
        <v>15</v>
      </c>
      <c r="D218" s="12" t="n">
        <v>102</v>
      </c>
      <c r="E218" s="13" t="n">
        <v>158</v>
      </c>
      <c r="F218" s="11" t="n">
        <v>19</v>
      </c>
      <c r="G218" s="14" t="n">
        <v>22.35294118</v>
      </c>
      <c r="H218" s="15" t="n">
        <v>11.17647059</v>
      </c>
      <c r="I218" s="10" t="str">
        <f aca="false">IF(G218&lt;0,"negative profit",IF(G218&gt;Notes!$B$4,"unusually high - verify",""))</f>
        <v/>
      </c>
      <c r="J218" s="10" t="s">
        <v>464</v>
      </c>
    </row>
    <row r="219" customFormat="false" ht="15" hidden="false" customHeight="true" outlineLevel="0" collapsed="false">
      <c r="A219" s="10" t="s">
        <v>608</v>
      </c>
      <c r="B219" s="10" t="s">
        <v>290</v>
      </c>
      <c r="C219" s="11" t="n">
        <v>18</v>
      </c>
      <c r="D219" s="12" t="n">
        <v>153</v>
      </c>
      <c r="E219" s="13" t="n">
        <v>219</v>
      </c>
      <c r="F219" s="11" t="n">
        <v>26</v>
      </c>
      <c r="G219" s="14" t="n">
        <v>17.64705882</v>
      </c>
      <c r="H219" s="15" t="n">
        <v>10.19607843</v>
      </c>
      <c r="I219" s="10" t="str">
        <f aca="false">IF(G219&lt;0,"negative profit",IF(G219&gt;Notes!$B$4,"unusually high - verify",""))</f>
        <v/>
      </c>
      <c r="J219" s="10" t="s">
        <v>464</v>
      </c>
    </row>
    <row r="220" customFormat="false" ht="15" hidden="false" customHeight="true" outlineLevel="0" collapsed="false">
      <c r="A220" s="10" t="s">
        <v>609</v>
      </c>
      <c r="B220" s="10" t="s">
        <v>290</v>
      </c>
      <c r="C220" s="11" t="n">
        <v>28</v>
      </c>
      <c r="D220" s="12" t="n">
        <v>127</v>
      </c>
      <c r="E220" s="13" t="n">
        <v>270</v>
      </c>
      <c r="F220" s="11" t="n">
        <v>32</v>
      </c>
      <c r="G220" s="14" t="n">
        <v>18.35294118</v>
      </c>
      <c r="H220" s="15" t="n">
        <v>15.05882353</v>
      </c>
      <c r="I220" s="10" t="str">
        <f aca="false">IF(G220&lt;0,"negative profit",IF(G220&gt;Notes!$B$4,"unusually high - verify",""))</f>
        <v/>
      </c>
      <c r="J220" s="10" t="s">
        <v>464</v>
      </c>
    </row>
    <row r="221" customFormat="false" ht="15" hidden="false" customHeight="true" outlineLevel="0" collapsed="false">
      <c r="A221" s="10" t="s">
        <v>610</v>
      </c>
      <c r="B221" s="10" t="s">
        <v>290</v>
      </c>
      <c r="C221" s="11" t="n">
        <v>28</v>
      </c>
      <c r="D221" s="12" t="n">
        <v>102</v>
      </c>
      <c r="E221" s="13" t="n">
        <v>226</v>
      </c>
      <c r="F221" s="11" t="n">
        <v>27</v>
      </c>
      <c r="G221" s="14" t="n">
        <v>23.52941176</v>
      </c>
      <c r="H221" s="15" t="n">
        <v>15.88235294</v>
      </c>
      <c r="I221" s="10" t="str">
        <f aca="false">IF(G221&lt;0,"negative profit",IF(G221&gt;Notes!$B$4,"unusually high - verify",""))</f>
        <v/>
      </c>
      <c r="J221" s="10" t="s">
        <v>464</v>
      </c>
    </row>
    <row r="222" customFormat="false" ht="15" hidden="false" customHeight="true" outlineLevel="0" collapsed="false">
      <c r="A222" s="10" t="s">
        <v>611</v>
      </c>
      <c r="B222" s="10" t="s">
        <v>290</v>
      </c>
      <c r="C222" s="11" t="n">
        <v>34</v>
      </c>
      <c r="D222" s="12" t="n">
        <v>76</v>
      </c>
      <c r="E222" s="13" t="n">
        <v>223</v>
      </c>
      <c r="F222" s="11" t="n">
        <v>26</v>
      </c>
      <c r="G222" s="14" t="n">
        <v>29.01960784</v>
      </c>
      <c r="H222" s="15" t="n">
        <v>20.39215686</v>
      </c>
      <c r="I222" s="10" t="str">
        <f aca="false">IF(G222&lt;0,"negative profit",IF(G222&gt;Notes!$B$4,"unusually high - verify",""))</f>
        <v/>
      </c>
      <c r="J222" s="10" t="s">
        <v>464</v>
      </c>
    </row>
    <row r="223" customFormat="false" ht="15" hidden="false" customHeight="true" outlineLevel="0" collapsed="false">
      <c r="A223" s="10" t="s">
        <v>297</v>
      </c>
      <c r="B223" s="10" t="s">
        <v>290</v>
      </c>
      <c r="C223" s="11" t="n">
        <v>36</v>
      </c>
      <c r="D223" s="12" t="n">
        <v>102</v>
      </c>
      <c r="E223" s="13" t="n">
        <v>367</v>
      </c>
      <c r="F223" s="11" t="n">
        <v>44</v>
      </c>
      <c r="G223" s="14" t="n">
        <v>21.76470588</v>
      </c>
      <c r="H223" s="15" t="n">
        <v>25.88235294</v>
      </c>
      <c r="I223" s="10" t="str">
        <f aca="false">IF(G223&lt;0,"negative profit",IF(G223&gt;Notes!$B$4,"unusually high - verify",""))</f>
        <v/>
      </c>
      <c r="J223" s="10" t="s">
        <v>464</v>
      </c>
    </row>
    <row r="224" customFormat="false" ht="15" hidden="false" customHeight="true" outlineLevel="0" collapsed="false">
      <c r="A224" s="10" t="s">
        <v>612</v>
      </c>
      <c r="B224" s="10" t="s">
        <v>290</v>
      </c>
      <c r="C224" s="11" t="n">
        <v>39</v>
      </c>
      <c r="D224" s="12" t="n">
        <v>85</v>
      </c>
      <c r="E224" s="13" t="n">
        <v>280</v>
      </c>
      <c r="F224" s="11" t="n">
        <v>34</v>
      </c>
      <c r="G224" s="14" t="n">
        <v>21.17647059</v>
      </c>
      <c r="H224" s="15" t="n">
        <v>24</v>
      </c>
      <c r="I224" s="10" t="str">
        <f aca="false">IF(G224&lt;0,"negative profit",IF(G224&gt;Notes!$B$4,"unusually high - verify",""))</f>
        <v/>
      </c>
      <c r="J224" s="10" t="s">
        <v>464</v>
      </c>
    </row>
    <row r="225" customFormat="false" ht="15" hidden="false" customHeight="true" outlineLevel="0" collapsed="false">
      <c r="A225" s="10" t="s">
        <v>613</v>
      </c>
      <c r="B225" s="10" t="s">
        <v>290</v>
      </c>
      <c r="C225" s="11" t="n">
        <v>65</v>
      </c>
      <c r="D225" s="12" t="n">
        <v>63</v>
      </c>
      <c r="E225" s="13" t="n">
        <v>514</v>
      </c>
      <c r="F225" s="11" t="n">
        <v>70</v>
      </c>
      <c r="G225" s="14" t="n">
        <v>76.23529412</v>
      </c>
      <c r="H225" s="15" t="n">
        <v>65.88235294</v>
      </c>
      <c r="I225" s="10" t="str">
        <f aca="false">IF(G225&lt;0,"negative profit",IF(G225&gt;Notes!$B$4,"unusually high - verify",""))</f>
        <v/>
      </c>
      <c r="J225" s="10" t="s">
        <v>464</v>
      </c>
    </row>
    <row r="226" customFormat="false" ht="15" hidden="false" customHeight="true" outlineLevel="0" collapsed="false">
      <c r="A226" s="10" t="s">
        <v>614</v>
      </c>
      <c r="B226" s="10" t="s">
        <v>290</v>
      </c>
      <c r="C226" s="11" t="n">
        <v>67</v>
      </c>
      <c r="D226" s="12" t="n">
        <v>114</v>
      </c>
      <c r="E226" s="13" t="n">
        <v>446</v>
      </c>
      <c r="F226" s="11" t="n">
        <v>53</v>
      </c>
      <c r="G226" s="14" t="n">
        <v>23.00653595</v>
      </c>
      <c r="H226" s="15" t="n">
        <v>27.7124183</v>
      </c>
      <c r="I226" s="10" t="str">
        <f aca="false">IF(G226&lt;0,"negative profit",IF(G226&gt;Notes!$B$4,"unusually high - verify",""))</f>
        <v/>
      </c>
      <c r="J226" s="10" t="s">
        <v>464</v>
      </c>
    </row>
    <row r="227" customFormat="false" ht="15" hidden="false" customHeight="true" outlineLevel="0" collapsed="false">
      <c r="A227" s="10" t="s">
        <v>615</v>
      </c>
      <c r="B227" s="10" t="s">
        <v>290</v>
      </c>
      <c r="C227" s="11" t="n">
        <v>76</v>
      </c>
      <c r="D227" s="12" t="n">
        <v>127</v>
      </c>
      <c r="E227" s="13" t="n">
        <v>435</v>
      </c>
      <c r="F227" s="11" t="n">
        <v>52</v>
      </c>
      <c r="G227" s="14" t="n">
        <v>20.23529412</v>
      </c>
      <c r="H227" s="15" t="n">
        <v>24.47058824</v>
      </c>
      <c r="I227" s="10" t="str">
        <f aca="false">IF(G227&lt;0,"negative profit",IF(G227&gt;Notes!$B$4,"unusually high - verify",""))</f>
        <v/>
      </c>
      <c r="J227" s="10" t="s">
        <v>464</v>
      </c>
    </row>
    <row r="228" customFormat="false" ht="15" hidden="false" customHeight="true" outlineLevel="0" collapsed="false">
      <c r="A228" s="10" t="s">
        <v>616</v>
      </c>
      <c r="B228" s="10" t="s">
        <v>290</v>
      </c>
      <c r="C228" s="11" t="n">
        <v>92</v>
      </c>
      <c r="D228" s="12" t="n">
        <v>42</v>
      </c>
      <c r="E228" s="13" t="n">
        <v>111</v>
      </c>
      <c r="F228" s="11" t="n">
        <v>13</v>
      </c>
      <c r="G228" s="14" t="n">
        <v>46.58823529</v>
      </c>
      <c r="H228" s="15" t="n">
        <v>18.35294118</v>
      </c>
      <c r="I228" s="10" t="str">
        <f aca="false">IF(G228&lt;0,"negative profit",IF(G228&gt;Notes!$B$4,"unusually high - verify",""))</f>
        <v/>
      </c>
      <c r="J228" s="10" t="s">
        <v>464</v>
      </c>
    </row>
    <row r="229" customFormat="false" ht="15" hidden="false" customHeight="true" outlineLevel="0" collapsed="false">
      <c r="A229" s="10" t="s">
        <v>617</v>
      </c>
      <c r="B229" s="10" t="s">
        <v>290</v>
      </c>
      <c r="C229" s="11" t="n">
        <v>97</v>
      </c>
      <c r="D229" s="12" t="n">
        <v>51</v>
      </c>
      <c r="E229" s="13" t="n">
        <v>162</v>
      </c>
      <c r="F229" s="11" t="n">
        <v>19</v>
      </c>
      <c r="G229" s="14" t="n">
        <v>38.82352941</v>
      </c>
      <c r="H229" s="15" t="n">
        <v>22.35294118</v>
      </c>
      <c r="I229" s="10" t="str">
        <f aca="false">IF(G229&lt;0,"negative profit",IF(G229&gt;Notes!$B$4,"unusually high - verify",""))</f>
        <v/>
      </c>
      <c r="J229" s="10" t="s">
        <v>464</v>
      </c>
    </row>
    <row r="230" customFormat="false" ht="15" hidden="false" customHeight="true" outlineLevel="0" collapsed="false">
      <c r="A230" s="10" t="s">
        <v>618</v>
      </c>
      <c r="B230" s="10" t="s">
        <v>290</v>
      </c>
      <c r="C230" s="11" t="n">
        <v>99</v>
      </c>
      <c r="D230" s="12" t="n">
        <v>38</v>
      </c>
      <c r="E230" s="13" t="n">
        <v>442</v>
      </c>
      <c r="F230" s="11" t="n">
        <v>53</v>
      </c>
      <c r="G230" s="14" t="n">
        <v>75.29411765</v>
      </c>
      <c r="H230" s="15" t="n">
        <v>83.1372549</v>
      </c>
      <c r="I230" s="10" t="str">
        <f aca="false">IF(G230&lt;0,"negative profit",IF(G230&gt;Notes!$B$4,"unusually high - verify",""))</f>
        <v/>
      </c>
      <c r="J230" s="10" t="s">
        <v>464</v>
      </c>
    </row>
    <row r="231" customFormat="false" ht="15" hidden="false" customHeight="true" outlineLevel="0" collapsed="false">
      <c r="A231" s="10" t="s">
        <v>305</v>
      </c>
      <c r="B231" s="10" t="s">
        <v>306</v>
      </c>
      <c r="C231" s="11" t="n">
        <v>8</v>
      </c>
      <c r="D231" s="12" t="n">
        <v>25</v>
      </c>
      <c r="E231" s="13" t="n">
        <v>32</v>
      </c>
      <c r="F231" s="11" t="n">
        <v>4</v>
      </c>
      <c r="G231" s="14" t="n">
        <v>42.35294118</v>
      </c>
      <c r="H231" s="15" t="n">
        <v>9.411764706</v>
      </c>
      <c r="I231" s="10" t="str">
        <f aca="false">IF(G231&lt;0,"negative profit",IF(G231&gt;Notes!$B$4,"unusually high - verify",""))</f>
        <v/>
      </c>
      <c r="J231" s="10" t="s">
        <v>464</v>
      </c>
    </row>
    <row r="232" customFormat="false" ht="15" hidden="false" customHeight="true" outlineLevel="0" collapsed="false">
      <c r="A232" s="10" t="s">
        <v>619</v>
      </c>
      <c r="B232" s="10" t="s">
        <v>306</v>
      </c>
      <c r="C232" s="11" t="n">
        <v>16</v>
      </c>
      <c r="D232" s="12" t="n">
        <v>51</v>
      </c>
      <c r="E232" s="13" t="n">
        <v>126</v>
      </c>
      <c r="F232" s="11" t="n">
        <v>15</v>
      </c>
      <c r="G232" s="14" t="n">
        <v>35.29411765</v>
      </c>
      <c r="H232" s="15" t="n">
        <v>17.64705882</v>
      </c>
      <c r="I232" s="10" t="str">
        <f aca="false">IF(G232&lt;0,"negative profit",IF(G232&gt;Notes!$B$4,"unusually high - verify",""))</f>
        <v/>
      </c>
      <c r="J232" s="10" t="s">
        <v>464</v>
      </c>
    </row>
    <row r="233" customFormat="false" ht="15" hidden="false" customHeight="true" outlineLevel="0" collapsed="false">
      <c r="A233" s="10" t="s">
        <v>620</v>
      </c>
      <c r="B233" s="10" t="s">
        <v>306</v>
      </c>
      <c r="C233" s="11" t="n">
        <v>25</v>
      </c>
      <c r="D233" s="12" t="n">
        <v>102</v>
      </c>
      <c r="E233" s="13" t="n">
        <v>122</v>
      </c>
      <c r="F233" s="11" t="n">
        <v>15</v>
      </c>
      <c r="G233" s="14" t="n">
        <v>21.17647059</v>
      </c>
      <c r="H233" s="15" t="n">
        <v>8.823529412</v>
      </c>
      <c r="I233" s="10" t="str">
        <f aca="false">IF(G233&lt;0,"negative profit",IF(G233&gt;Notes!$B$4,"unusually high - verify",""))</f>
        <v/>
      </c>
      <c r="J233" s="10" t="s">
        <v>464</v>
      </c>
    </row>
    <row r="234" customFormat="false" ht="15" hidden="false" customHeight="true" outlineLevel="0" collapsed="false">
      <c r="A234" s="10" t="s">
        <v>621</v>
      </c>
      <c r="B234" s="10" t="s">
        <v>306</v>
      </c>
      <c r="C234" s="11" t="n">
        <v>40</v>
      </c>
      <c r="D234" s="12" t="n">
        <v>76</v>
      </c>
      <c r="E234" s="13" t="n">
        <v>360</v>
      </c>
      <c r="F234" s="11" t="n">
        <v>43</v>
      </c>
      <c r="G234" s="14" t="n">
        <v>29.80392157</v>
      </c>
      <c r="H234" s="15" t="n">
        <v>33.7254902</v>
      </c>
      <c r="I234" s="10" t="str">
        <f aca="false">IF(G234&lt;0,"negative profit",IF(G234&gt;Notes!$B$4,"unusually high - verify",""))</f>
        <v/>
      </c>
      <c r="J234" s="10" t="s">
        <v>464</v>
      </c>
    </row>
    <row r="235" customFormat="false" ht="15" hidden="false" customHeight="true" outlineLevel="0" collapsed="false">
      <c r="A235" s="10" t="s">
        <v>622</v>
      </c>
      <c r="B235" s="10" t="s">
        <v>306</v>
      </c>
      <c r="C235" s="11" t="n">
        <v>44</v>
      </c>
      <c r="D235" s="12" t="n">
        <v>127</v>
      </c>
      <c r="E235" s="13" t="n">
        <v>248</v>
      </c>
      <c r="F235" s="11" t="n">
        <v>29</v>
      </c>
      <c r="G235" s="14" t="n">
        <v>29.17647059</v>
      </c>
      <c r="H235" s="15" t="n">
        <v>13.64705882</v>
      </c>
      <c r="I235" s="10" t="str">
        <f aca="false">IF(G235&lt;0,"negative profit",IF(G235&gt;Notes!$B$4,"unusually high - verify",""))</f>
        <v/>
      </c>
      <c r="J235" s="10" t="s">
        <v>464</v>
      </c>
    </row>
    <row r="236" customFormat="false" ht="15" hidden="false" customHeight="true" outlineLevel="0" collapsed="false">
      <c r="A236" s="10" t="s">
        <v>623</v>
      </c>
      <c r="B236" s="10" t="s">
        <v>306</v>
      </c>
      <c r="C236" s="11" t="n">
        <v>64</v>
      </c>
      <c r="D236" s="12" t="n">
        <v>38</v>
      </c>
      <c r="E236" s="13" t="n">
        <v>309</v>
      </c>
      <c r="F236" s="11" t="n">
        <v>50</v>
      </c>
      <c r="G236" s="14" t="n">
        <v>67.45098039</v>
      </c>
      <c r="H236" s="15" t="n">
        <v>78.43137255</v>
      </c>
      <c r="I236" s="10" t="str">
        <f aca="false">IF(G236&lt;0,"negative profit",IF(G236&gt;Notes!$B$4,"unusually high - verify",""))</f>
        <v/>
      </c>
      <c r="J236" s="10" t="s">
        <v>464</v>
      </c>
    </row>
    <row r="237" customFormat="false" ht="15" hidden="false" customHeight="true" outlineLevel="0" collapsed="false">
      <c r="A237" s="10" t="s">
        <v>624</v>
      </c>
      <c r="B237" s="10" t="s">
        <v>314</v>
      </c>
      <c r="C237" s="11" t="n">
        <v>94</v>
      </c>
      <c r="D237" s="12" t="n">
        <v>187</v>
      </c>
      <c r="E237" s="13" t="n">
        <v>219</v>
      </c>
      <c r="F237" s="11" t="n">
        <v>26</v>
      </c>
      <c r="G237" s="14" t="n">
        <v>25.6684492</v>
      </c>
      <c r="H237" s="15" t="n">
        <v>8.342245989</v>
      </c>
      <c r="I237" s="10" t="str">
        <f aca="false">IF(G237&lt;0,"negative profit",IF(G237&gt;Notes!$B$4,"unusually high - verify",""))</f>
        <v/>
      </c>
      <c r="J237" s="10" t="s">
        <v>464</v>
      </c>
    </row>
    <row r="238" customFormat="false" ht="15" hidden="false" customHeight="true" outlineLevel="0" collapsed="false">
      <c r="A238" s="10" t="s">
        <v>625</v>
      </c>
      <c r="B238" s="10" t="s">
        <v>314</v>
      </c>
      <c r="C238" s="11" t="n">
        <v>96</v>
      </c>
      <c r="D238" s="12" t="n">
        <v>187</v>
      </c>
      <c r="E238" s="13" t="n">
        <v>151</v>
      </c>
      <c r="F238" s="11" t="n">
        <v>26</v>
      </c>
      <c r="G238" s="14" t="n">
        <v>24.38502674</v>
      </c>
      <c r="H238" s="15" t="n">
        <v>8.342245989</v>
      </c>
      <c r="I238" s="10" t="str">
        <f aca="false">IF(G238&lt;0,"negative profit",IF(G238&gt;Notes!$B$4,"unusually high - verify",""))</f>
        <v/>
      </c>
      <c r="J238" s="10" t="s">
        <v>464</v>
      </c>
    </row>
    <row r="239" customFormat="false" ht="15" hidden="false" customHeight="true" outlineLevel="0" collapsed="false">
      <c r="A239" s="10" t="s">
        <v>626</v>
      </c>
      <c r="B239" s="10" t="s">
        <v>314</v>
      </c>
      <c r="C239" s="11" t="n">
        <v>99</v>
      </c>
      <c r="D239" s="12" t="n">
        <v>170</v>
      </c>
      <c r="E239" s="13" t="n">
        <v>212</v>
      </c>
      <c r="F239" s="11" t="n">
        <v>25</v>
      </c>
      <c r="G239" s="14" t="n">
        <v>25.41176471</v>
      </c>
      <c r="H239" s="15" t="n">
        <v>8.823529412</v>
      </c>
      <c r="I239" s="10" t="str">
        <f aca="false">IF(G239&lt;0,"negative profit",IF(G239&gt;Notes!$B$4,"unusually high - verify",""))</f>
        <v/>
      </c>
      <c r="J239" s="10" t="s">
        <v>464</v>
      </c>
    </row>
    <row r="240" customFormat="false" ht="15" hidden="false" customHeight="true" outlineLevel="0" collapsed="false">
      <c r="A240" s="10" t="s">
        <v>318</v>
      </c>
      <c r="B240" s="10" t="s">
        <v>627</v>
      </c>
      <c r="C240" s="11" t="n">
        <v>91</v>
      </c>
      <c r="D240" s="12" t="n">
        <v>204</v>
      </c>
      <c r="E240" s="13" t="n">
        <v>270</v>
      </c>
      <c r="F240" s="11" t="n">
        <v>32</v>
      </c>
      <c r="G240" s="14" t="n">
        <v>16.76470588</v>
      </c>
      <c r="H240" s="15" t="n">
        <v>9.411764706</v>
      </c>
      <c r="I240" s="10" t="str">
        <f aca="false">IF(G240&lt;0,"negative profit",IF(G240&gt;Notes!$B$4,"unusually high - verify",""))</f>
        <v/>
      </c>
      <c r="J240" s="10" t="s">
        <v>464</v>
      </c>
    </row>
    <row r="241" customFormat="false" ht="15" hidden="false" customHeight="true" outlineLevel="0" collapsed="false">
      <c r="A241" s="10" t="s">
        <v>628</v>
      </c>
      <c r="B241" s="10" t="s">
        <v>627</v>
      </c>
      <c r="C241" s="11" t="n">
        <v>95</v>
      </c>
      <c r="D241" s="12" t="n">
        <v>187</v>
      </c>
      <c r="E241" s="13" t="n">
        <v>471</v>
      </c>
      <c r="F241" s="11" t="n">
        <v>56</v>
      </c>
      <c r="G241" s="14" t="n">
        <v>16.04278075</v>
      </c>
      <c r="H241" s="15" t="n">
        <v>17.96791444</v>
      </c>
      <c r="I241" s="10" t="str">
        <f aca="false">IF(G241&lt;0,"negative profit",IF(G241&gt;Notes!$B$4,"unusually high - verify",""))</f>
        <v/>
      </c>
      <c r="J241" s="10" t="s">
        <v>464</v>
      </c>
    </row>
    <row r="242" customFormat="false" ht="15" hidden="false" customHeight="true" outlineLevel="0" collapsed="false">
      <c r="A242" s="10" t="s">
        <v>322</v>
      </c>
      <c r="B242" s="10" t="s">
        <v>627</v>
      </c>
      <c r="C242" s="11" t="n">
        <v>98</v>
      </c>
      <c r="D242" s="12" t="n">
        <v>255</v>
      </c>
      <c r="E242" s="13" t="n">
        <v>219</v>
      </c>
      <c r="F242" s="11" t="n">
        <v>26</v>
      </c>
      <c r="G242" s="14" t="n">
        <v>12</v>
      </c>
      <c r="H242" s="15" t="n">
        <v>6.117647059</v>
      </c>
      <c r="I242" s="10" t="str">
        <f aca="false">IF(G242&lt;0,"negative profit",IF(G242&gt;Notes!$B$4,"unusually high - verify",""))</f>
        <v/>
      </c>
      <c r="J242" s="10" t="s">
        <v>464</v>
      </c>
    </row>
    <row r="243" customFormat="false" ht="15" hidden="false" customHeight="true" outlineLevel="0" collapsed="false">
      <c r="A243" s="10" t="s">
        <v>629</v>
      </c>
      <c r="B243" s="10" t="s">
        <v>627</v>
      </c>
      <c r="C243" s="11" t="n">
        <v>102</v>
      </c>
      <c r="D243" s="12" t="n">
        <v>153</v>
      </c>
      <c r="E243" s="13" t="n">
        <v>266</v>
      </c>
      <c r="F243" s="11" t="n">
        <v>32</v>
      </c>
      <c r="G243" s="14" t="n">
        <v>16.07843137</v>
      </c>
      <c r="H243" s="15" t="n">
        <v>12.54901961</v>
      </c>
      <c r="I243" s="10" t="str">
        <f aca="false">IF(G243&lt;0,"negative profit",IF(G243&gt;Notes!$B$4,"unusually high - verify",""))</f>
        <v/>
      </c>
      <c r="J243" s="10" t="s">
        <v>464</v>
      </c>
    </row>
    <row r="244" customFormat="false" ht="15" hidden="false" customHeight="true" outlineLevel="0" collapsed="false">
      <c r="A244" s="10" t="s">
        <v>324</v>
      </c>
      <c r="B244" s="10" t="s">
        <v>627</v>
      </c>
      <c r="C244" s="11" t="n">
        <v>104</v>
      </c>
      <c r="D244" s="12" t="n">
        <v>260</v>
      </c>
      <c r="E244" s="13" t="n">
        <v>421</v>
      </c>
      <c r="F244" s="11" t="n">
        <v>50</v>
      </c>
      <c r="G244" s="14" t="n">
        <v>12.92307692</v>
      </c>
      <c r="H244" s="15" t="n">
        <v>11.53846154</v>
      </c>
      <c r="I244" s="10" t="str">
        <f aca="false">IF(G244&lt;0,"negative profit",IF(G244&gt;Notes!$B$4,"unusually high - verify",""))</f>
        <v/>
      </c>
      <c r="J244" s="10" t="s">
        <v>464</v>
      </c>
    </row>
    <row r="245" customFormat="false" ht="15" hidden="false" customHeight="true" outlineLevel="0" collapsed="false">
      <c r="A245" s="10" t="s">
        <v>630</v>
      </c>
      <c r="B245" s="10" t="s">
        <v>326</v>
      </c>
      <c r="C245" s="11" t="n">
        <v>58</v>
      </c>
      <c r="D245" s="12" t="n">
        <v>76</v>
      </c>
      <c r="E245" s="13" t="n">
        <v>745</v>
      </c>
      <c r="F245" s="11" t="n">
        <v>89</v>
      </c>
      <c r="G245" s="14" t="n">
        <v>33.7254902</v>
      </c>
      <c r="H245" s="15" t="n">
        <v>69.80392157</v>
      </c>
      <c r="I245" s="10" t="str">
        <f aca="false">IF(G245&lt;0,"negative profit",IF(G245&gt;Notes!$B$4,"unusually high - verify",""))</f>
        <v/>
      </c>
      <c r="J245" s="10" t="s">
        <v>464</v>
      </c>
    </row>
    <row r="246" customFormat="false" ht="15" hidden="false" customHeight="true" outlineLevel="0" collapsed="false">
      <c r="A246" s="10" t="s">
        <v>631</v>
      </c>
      <c r="B246" s="10" t="s">
        <v>326</v>
      </c>
      <c r="C246" s="11" t="n">
        <v>62</v>
      </c>
      <c r="D246" s="12" t="n">
        <v>89</v>
      </c>
      <c r="E246" s="13" t="n">
        <v>723</v>
      </c>
      <c r="F246" s="11" t="n">
        <v>86</v>
      </c>
      <c r="G246" s="14" t="n">
        <v>28.23529412</v>
      </c>
      <c r="H246" s="15" t="n">
        <v>57.81512605</v>
      </c>
      <c r="I246" s="10" t="str">
        <f aca="false">IF(G246&lt;0,"negative profit",IF(G246&gt;Notes!$B$4,"unusually high - verify",""))</f>
        <v/>
      </c>
      <c r="J246" s="10" t="s">
        <v>464</v>
      </c>
    </row>
    <row r="247" customFormat="false" ht="15" hidden="false" customHeight="true" outlineLevel="0" collapsed="false">
      <c r="A247" s="10" t="s">
        <v>632</v>
      </c>
      <c r="B247" s="10" t="s">
        <v>326</v>
      </c>
      <c r="C247" s="11" t="n">
        <v>64</v>
      </c>
      <c r="D247" s="12" t="n">
        <v>102</v>
      </c>
      <c r="E247" s="13" t="n">
        <v>763</v>
      </c>
      <c r="F247" s="11" t="n">
        <v>91</v>
      </c>
      <c r="G247" s="14" t="n">
        <v>26.47058824</v>
      </c>
      <c r="H247" s="15" t="n">
        <v>53.52941176</v>
      </c>
      <c r="I247" s="10" t="str">
        <f aca="false">IF(G247&lt;0,"negative profit",IF(G247&gt;Notes!$B$4,"unusually high - verify",""))</f>
        <v/>
      </c>
      <c r="J247" s="10" t="s">
        <v>464</v>
      </c>
    </row>
    <row r="248" customFormat="false" ht="15" hidden="false" customHeight="true" outlineLevel="0" collapsed="false">
      <c r="A248" s="10" t="s">
        <v>633</v>
      </c>
      <c r="B248" s="10" t="s">
        <v>326</v>
      </c>
      <c r="C248" s="11" t="n">
        <v>67</v>
      </c>
      <c r="D248" s="12" t="n">
        <v>127</v>
      </c>
      <c r="E248" s="13" t="n">
        <v>759</v>
      </c>
      <c r="F248" s="11" t="n">
        <v>90</v>
      </c>
      <c r="G248" s="14" t="n">
        <v>17.88235294</v>
      </c>
      <c r="H248" s="15" t="n">
        <v>42.35294118</v>
      </c>
      <c r="I248" s="10" t="str">
        <f aca="false">IF(G248&lt;0,"negative profit",IF(G248&gt;Notes!$B$4,"unusually high - verify",""))</f>
        <v/>
      </c>
      <c r="J248" s="10" t="s">
        <v>464</v>
      </c>
    </row>
    <row r="249" customFormat="false" ht="15" hidden="false" customHeight="true" outlineLevel="0" collapsed="false">
      <c r="A249" s="10" t="s">
        <v>634</v>
      </c>
      <c r="B249" s="10" t="s">
        <v>326</v>
      </c>
      <c r="C249" s="11" t="n">
        <v>74</v>
      </c>
      <c r="D249" s="12" t="n">
        <v>102</v>
      </c>
      <c r="E249" s="13" t="n">
        <v>266</v>
      </c>
      <c r="F249" s="11" t="n">
        <v>32</v>
      </c>
      <c r="G249" s="14" t="n">
        <v>25.88235294</v>
      </c>
      <c r="H249" s="15" t="n">
        <v>18.82352941</v>
      </c>
      <c r="I249" s="10" t="str">
        <f aca="false">IF(G249&lt;0,"negative profit",IF(G249&gt;Notes!$B$4,"unusually high - verify",""))</f>
        <v/>
      </c>
      <c r="J249" s="10" t="s">
        <v>464</v>
      </c>
    </row>
    <row r="250" customFormat="false" ht="15" hidden="false" customHeight="true" outlineLevel="0" collapsed="false">
      <c r="A250" s="10" t="s">
        <v>331</v>
      </c>
      <c r="B250" s="10" t="s">
        <v>326</v>
      </c>
      <c r="C250" s="11" t="n">
        <v>75</v>
      </c>
      <c r="D250" s="12" t="n">
        <v>63</v>
      </c>
      <c r="E250" s="13" t="n">
        <v>468</v>
      </c>
      <c r="F250" s="11" t="n">
        <v>56</v>
      </c>
      <c r="G250" s="14" t="n">
        <v>31.05882353</v>
      </c>
      <c r="H250" s="15" t="n">
        <v>52.70588235</v>
      </c>
      <c r="I250" s="10" t="str">
        <f aca="false">IF(G250&lt;0,"negative profit",IF(G250&gt;Notes!$B$4,"unusually high - verify",""))</f>
        <v/>
      </c>
      <c r="J250" s="10" t="s">
        <v>464</v>
      </c>
    </row>
    <row r="251" customFormat="false" ht="15" hidden="false" customHeight="true" outlineLevel="0" collapsed="false">
      <c r="A251" s="10" t="s">
        <v>635</v>
      </c>
      <c r="B251" s="10" t="s">
        <v>326</v>
      </c>
      <c r="C251" s="11" t="n">
        <v>76</v>
      </c>
      <c r="D251" s="12" t="n">
        <v>38</v>
      </c>
      <c r="E251" s="13" t="n">
        <v>234</v>
      </c>
      <c r="F251" s="11" t="n">
        <v>28</v>
      </c>
      <c r="G251" s="14" t="n">
        <v>47.05882353</v>
      </c>
      <c r="H251" s="15" t="n">
        <v>43.92156863</v>
      </c>
      <c r="I251" s="10" t="str">
        <f aca="false">IF(G251&lt;0,"negative profit",IF(G251&gt;Notes!$B$4,"unusually high - verify",""))</f>
        <v/>
      </c>
      <c r="J251" s="10" t="s">
        <v>464</v>
      </c>
    </row>
    <row r="252" customFormat="false" ht="15" hidden="false" customHeight="true" outlineLevel="0" collapsed="false">
      <c r="A252" s="10" t="s">
        <v>636</v>
      </c>
      <c r="B252" s="10" t="s">
        <v>326</v>
      </c>
      <c r="C252" s="11" t="n">
        <v>78</v>
      </c>
      <c r="D252" s="12" t="n">
        <v>51</v>
      </c>
      <c r="E252" s="13" t="n">
        <v>316</v>
      </c>
      <c r="F252" s="11" t="n">
        <v>38</v>
      </c>
      <c r="G252" s="14" t="n">
        <v>40</v>
      </c>
      <c r="H252" s="15" t="n">
        <v>44.70588235</v>
      </c>
      <c r="I252" s="10" t="str">
        <f aca="false">IF(G252&lt;0,"negative profit",IF(G252&gt;Notes!$B$4,"unusually high - verify",""))</f>
        <v/>
      </c>
      <c r="J252" s="10" t="s">
        <v>464</v>
      </c>
    </row>
    <row r="253" customFormat="false" ht="15" hidden="false" customHeight="true" outlineLevel="0" collapsed="false">
      <c r="A253" s="10" t="s">
        <v>637</v>
      </c>
      <c r="B253" s="10" t="s">
        <v>326</v>
      </c>
      <c r="C253" s="11" t="n">
        <v>82</v>
      </c>
      <c r="D253" s="12" t="n">
        <v>102</v>
      </c>
      <c r="E253" s="13" t="n">
        <v>597</v>
      </c>
      <c r="F253" s="11" t="n">
        <v>71</v>
      </c>
      <c r="G253" s="14" t="n">
        <v>18.82352941</v>
      </c>
      <c r="H253" s="15" t="n">
        <v>41.76470588</v>
      </c>
      <c r="I253" s="10" t="str">
        <f aca="false">IF(G253&lt;0,"negative profit",IF(G253&gt;Notes!$B$4,"unusually high - verify",""))</f>
        <v/>
      </c>
      <c r="J253" s="10" t="s">
        <v>464</v>
      </c>
    </row>
    <row r="254" customFormat="false" ht="15" hidden="false" customHeight="true" outlineLevel="0" collapsed="false">
      <c r="A254" s="10" t="s">
        <v>638</v>
      </c>
      <c r="B254" s="10" t="s">
        <v>326</v>
      </c>
      <c r="C254" s="11" t="n">
        <v>84</v>
      </c>
      <c r="D254" s="12" t="n">
        <v>153</v>
      </c>
      <c r="E254" s="13" t="n">
        <v>554</v>
      </c>
      <c r="F254" s="11" t="n">
        <v>66</v>
      </c>
      <c r="G254" s="14" t="n">
        <v>18.03921569</v>
      </c>
      <c r="H254" s="15" t="n">
        <v>25.88235294</v>
      </c>
      <c r="I254" s="10" t="str">
        <f aca="false">IF(G254&lt;0,"negative profit",IF(G254&gt;Notes!$B$4,"unusually high - verify",""))</f>
        <v/>
      </c>
      <c r="J254" s="10" t="s">
        <v>464</v>
      </c>
    </row>
    <row r="255" customFormat="false" ht="15" hidden="false" customHeight="true" outlineLevel="0" collapsed="false">
      <c r="A255" s="10" t="s">
        <v>639</v>
      </c>
      <c r="B255" s="10" t="s">
        <v>326</v>
      </c>
      <c r="C255" s="11" t="n">
        <v>89</v>
      </c>
      <c r="D255" s="12" t="n">
        <v>51</v>
      </c>
      <c r="E255" s="13" t="n">
        <v>216</v>
      </c>
      <c r="F255" s="11" t="n">
        <v>26</v>
      </c>
      <c r="G255" s="14" t="n">
        <v>37.64705882</v>
      </c>
      <c r="H255" s="15" t="n">
        <v>30.58823529</v>
      </c>
      <c r="I255" s="10" t="str">
        <f aca="false">IF(G255&lt;0,"negative profit",IF(G255&gt;Notes!$B$4,"unusually high - verify",""))</f>
        <v/>
      </c>
      <c r="J255" s="10" t="s">
        <v>464</v>
      </c>
    </row>
    <row r="256" customFormat="false" ht="15" hidden="false" customHeight="true" outlineLevel="0" collapsed="false">
      <c r="A256" s="10" t="s">
        <v>640</v>
      </c>
      <c r="B256" s="10" t="s">
        <v>338</v>
      </c>
      <c r="C256" s="11" t="n">
        <v>61</v>
      </c>
      <c r="D256" s="12" t="n">
        <v>34</v>
      </c>
      <c r="E256" s="13" t="n">
        <v>532</v>
      </c>
      <c r="F256" s="11" t="n">
        <v>63</v>
      </c>
      <c r="G256" s="14" t="n">
        <v>54.70588235</v>
      </c>
      <c r="H256" s="15" t="n">
        <v>111.1764706</v>
      </c>
      <c r="I256" s="10" t="str">
        <f aca="false">IF(G256&lt;0,"negative profit",IF(G256&gt;Notes!$B$4,"unusually high - verify",""))</f>
        <v/>
      </c>
      <c r="J256" s="10" t="s">
        <v>464</v>
      </c>
    </row>
    <row r="257" customFormat="false" ht="15" hidden="false" customHeight="true" outlineLevel="0" collapsed="false">
      <c r="A257" s="10" t="s">
        <v>641</v>
      </c>
      <c r="B257" s="10" t="s">
        <v>338</v>
      </c>
      <c r="C257" s="11" t="n">
        <v>65</v>
      </c>
      <c r="D257" s="12" t="n">
        <v>85</v>
      </c>
      <c r="E257" s="13" t="n">
        <v>648</v>
      </c>
      <c r="F257" s="11" t="n">
        <v>77</v>
      </c>
      <c r="G257" s="14" t="n">
        <v>30.35294118</v>
      </c>
      <c r="H257" s="15" t="n">
        <v>54.35294118</v>
      </c>
      <c r="I257" s="10" t="str">
        <f aca="false">IF(G257&lt;0,"negative profit",IF(G257&gt;Notes!$B$4,"unusually high - verify",""))</f>
        <v/>
      </c>
      <c r="J257" s="10" t="s">
        <v>464</v>
      </c>
    </row>
    <row r="258" customFormat="false" ht="15" hidden="false" customHeight="true" outlineLevel="0" collapsed="false">
      <c r="A258" s="10" t="s">
        <v>642</v>
      </c>
      <c r="B258" s="10" t="s">
        <v>338</v>
      </c>
      <c r="C258" s="11" t="n">
        <v>66</v>
      </c>
      <c r="D258" s="12" t="n">
        <v>68</v>
      </c>
      <c r="E258" s="13" t="n">
        <v>583</v>
      </c>
      <c r="F258" s="11" t="n">
        <v>69</v>
      </c>
      <c r="G258" s="14" t="n">
        <v>37.05882353</v>
      </c>
      <c r="H258" s="15" t="n">
        <v>60.88235294</v>
      </c>
      <c r="I258" s="10" t="str">
        <f aca="false">IF(G258&lt;0,"negative profit",IF(G258&gt;Notes!$B$4,"unusually high - verify",""))</f>
        <v/>
      </c>
      <c r="J258" s="10" t="s">
        <v>464</v>
      </c>
    </row>
    <row r="259" customFormat="false" ht="15" hidden="false" customHeight="true" outlineLevel="0" collapsed="false">
      <c r="A259" s="10" t="s">
        <v>643</v>
      </c>
      <c r="B259" s="10" t="s">
        <v>338</v>
      </c>
      <c r="C259" s="11" t="n">
        <v>69</v>
      </c>
      <c r="D259" s="12" t="n">
        <v>51</v>
      </c>
      <c r="E259" s="13" t="n">
        <v>255</v>
      </c>
      <c r="F259" s="11" t="n">
        <v>31</v>
      </c>
      <c r="G259" s="14" t="n">
        <v>35.29411765</v>
      </c>
      <c r="H259" s="15" t="n">
        <v>36.47058824</v>
      </c>
      <c r="I259" s="10" t="str">
        <f aca="false">IF(G259&lt;0,"negative profit",IF(G259&gt;Notes!$B$4,"unusually high - verify",""))</f>
        <v/>
      </c>
      <c r="J259" s="10" t="s">
        <v>464</v>
      </c>
    </row>
    <row r="260" customFormat="false" ht="15" hidden="false" customHeight="true" outlineLevel="0" collapsed="false">
      <c r="A260" s="10" t="s">
        <v>644</v>
      </c>
      <c r="B260" s="10" t="s">
        <v>338</v>
      </c>
      <c r="C260" s="11" t="n">
        <v>71</v>
      </c>
      <c r="D260" s="12" t="n">
        <v>21</v>
      </c>
      <c r="E260" s="13" t="n">
        <v>673</v>
      </c>
      <c r="F260" s="11" t="n">
        <v>80</v>
      </c>
      <c r="G260" s="14" t="n">
        <v>409.4117647</v>
      </c>
      <c r="H260" s="15" t="n">
        <v>225.8823529</v>
      </c>
      <c r="I260" s="10" t="str">
        <f aca="false">IF(G260&lt;0,"negative profit",IF(G260&gt;Notes!$B$4,"unusually high - verify",""))</f>
        <v>unusually high - verify</v>
      </c>
      <c r="J260" s="10" t="s">
        <v>464</v>
      </c>
    </row>
    <row r="261" customFormat="false" ht="15" hidden="false" customHeight="true" outlineLevel="0" collapsed="false">
      <c r="A261" s="10" t="s">
        <v>645</v>
      </c>
      <c r="B261" s="10" t="s">
        <v>338</v>
      </c>
      <c r="C261" s="11" t="n">
        <v>79</v>
      </c>
      <c r="D261" s="12" t="n">
        <v>29</v>
      </c>
      <c r="E261" s="13" t="n">
        <v>464</v>
      </c>
      <c r="F261" s="11" t="n">
        <v>55</v>
      </c>
      <c r="G261" s="14" t="n">
        <v>54.45378151</v>
      </c>
      <c r="H261" s="15" t="n">
        <v>110.9243697</v>
      </c>
      <c r="I261" s="10" t="str">
        <f aca="false">IF(G261&lt;0,"negative profit",IF(G261&gt;Notes!$B$4,"unusually high - verify",""))</f>
        <v/>
      </c>
      <c r="J261" s="10" t="s">
        <v>464</v>
      </c>
    </row>
    <row r="262" customFormat="false" ht="15" hidden="false" customHeight="true" outlineLevel="0" collapsed="false">
      <c r="A262" s="10" t="s">
        <v>646</v>
      </c>
      <c r="B262" s="10" t="s">
        <v>338</v>
      </c>
      <c r="C262" s="11" t="n">
        <v>84</v>
      </c>
      <c r="D262" s="12" t="n">
        <v>76</v>
      </c>
      <c r="E262" s="13" t="n">
        <v>471</v>
      </c>
      <c r="F262" s="11" t="n">
        <v>50</v>
      </c>
      <c r="G262" s="14" t="n">
        <v>69.01960784</v>
      </c>
      <c r="H262" s="15" t="n">
        <v>39.21568627</v>
      </c>
      <c r="I262" s="10" t="str">
        <f aca="false">IF(G262&lt;0,"negative profit",IF(G262&gt;Notes!$B$4,"unusually high - verify",""))</f>
        <v/>
      </c>
      <c r="J262" s="10" t="s">
        <v>464</v>
      </c>
    </row>
    <row r="263" customFormat="false" ht="15" hidden="false" customHeight="true" outlineLevel="0" collapsed="false">
      <c r="A263" s="10" t="s">
        <v>647</v>
      </c>
      <c r="B263" s="10" t="s">
        <v>338</v>
      </c>
      <c r="C263" s="11" t="n">
        <v>92</v>
      </c>
      <c r="D263" s="12" t="n">
        <v>42</v>
      </c>
      <c r="E263" s="13" t="n">
        <v>302</v>
      </c>
      <c r="F263" s="11" t="n">
        <v>36</v>
      </c>
      <c r="G263" s="14" t="n">
        <v>32.47058824</v>
      </c>
      <c r="H263" s="15" t="n">
        <v>50.82352941</v>
      </c>
      <c r="I263" s="10" t="str">
        <f aca="false">IF(G263&lt;0,"negative profit",IF(G263&gt;Notes!$B$4,"unusually high - verify",""))</f>
        <v/>
      </c>
      <c r="J263" s="10" t="s">
        <v>464</v>
      </c>
    </row>
    <row r="264" customFormat="false" ht="15" hidden="false" customHeight="true" outlineLevel="0" collapsed="false">
      <c r="A264" s="10" t="s">
        <v>648</v>
      </c>
      <c r="B264" s="10" t="s">
        <v>338</v>
      </c>
      <c r="C264" s="11" t="n">
        <v>109</v>
      </c>
      <c r="D264" s="12" t="n">
        <v>25</v>
      </c>
      <c r="E264" s="13" t="n">
        <v>374</v>
      </c>
      <c r="F264" s="11" t="n">
        <v>45</v>
      </c>
      <c r="G264" s="14" t="n">
        <v>54.11764706</v>
      </c>
      <c r="H264" s="15" t="n">
        <v>105.8823529</v>
      </c>
      <c r="I264" s="10" t="str">
        <f aca="false">IF(G264&lt;0,"negative profit",IF(G264&gt;Notes!$B$4,"unusually high - verify",""))</f>
        <v/>
      </c>
      <c r="J264" s="10" t="s">
        <v>464</v>
      </c>
    </row>
    <row r="265" customFormat="false" ht="15" hidden="false" customHeight="true" outlineLevel="0" collapsed="false">
      <c r="A265" s="10" t="s">
        <v>649</v>
      </c>
      <c r="B265" s="10" t="s">
        <v>349</v>
      </c>
      <c r="C265" s="11" t="n">
        <v>54</v>
      </c>
      <c r="D265" s="12" t="n">
        <v>153</v>
      </c>
      <c r="E265" s="13" t="n">
        <v>154</v>
      </c>
      <c r="F265" s="11" t="n">
        <v>19</v>
      </c>
      <c r="G265" s="14" t="n">
        <v>23.92156863</v>
      </c>
      <c r="H265" s="15" t="n">
        <v>7.450980392</v>
      </c>
      <c r="I265" s="10" t="str">
        <f aca="false">IF(G265&lt;0,"negative profit",IF(G265&gt;Notes!$B$4,"unusually high - verify",""))</f>
        <v/>
      </c>
      <c r="J265" s="10" t="s">
        <v>464</v>
      </c>
    </row>
    <row r="266" customFormat="false" ht="15" hidden="false" customHeight="true" outlineLevel="0" collapsed="false">
      <c r="A266" s="10" t="s">
        <v>650</v>
      </c>
      <c r="B266" s="10" t="s">
        <v>349</v>
      </c>
      <c r="C266" s="11" t="n">
        <v>60</v>
      </c>
      <c r="D266" s="12" t="n">
        <v>38</v>
      </c>
      <c r="E266" s="13" t="n">
        <v>277</v>
      </c>
      <c r="F266" s="11" t="n">
        <v>33</v>
      </c>
      <c r="G266" s="14" t="n">
        <v>48.62745098</v>
      </c>
      <c r="H266" s="15" t="n">
        <v>51.76470588</v>
      </c>
      <c r="I266" s="10" t="str">
        <f aca="false">IF(G266&lt;0,"negative profit",IF(G266&gt;Notes!$B$4,"unusually high - verify",""))</f>
        <v/>
      </c>
      <c r="J266" s="10" t="s">
        <v>464</v>
      </c>
    </row>
    <row r="267" customFormat="false" ht="15" hidden="false" customHeight="true" outlineLevel="0" collapsed="false">
      <c r="A267" s="10" t="s">
        <v>352</v>
      </c>
      <c r="B267" s="10" t="s">
        <v>349</v>
      </c>
      <c r="C267" s="11" t="n">
        <v>62</v>
      </c>
      <c r="D267" s="12" t="n">
        <v>12</v>
      </c>
      <c r="E267" s="13" t="n">
        <v>367</v>
      </c>
      <c r="F267" s="11" t="n">
        <v>44</v>
      </c>
      <c r="G267" s="14" t="n">
        <v>84.70588235</v>
      </c>
      <c r="H267" s="15" t="n">
        <v>207.0588235</v>
      </c>
      <c r="I267" s="10" t="str">
        <f aca="false">IF(G267&lt;0,"negative profit",IF(G267&gt;Notes!$B$4,"unusually high - verify",""))</f>
        <v/>
      </c>
      <c r="J267" s="10" t="s">
        <v>464</v>
      </c>
    </row>
    <row r="268" customFormat="false" ht="15" hidden="false" customHeight="true" outlineLevel="0" collapsed="false">
      <c r="A268" s="10" t="s">
        <v>651</v>
      </c>
      <c r="B268" s="10" t="s">
        <v>349</v>
      </c>
      <c r="C268" s="11" t="n">
        <v>66</v>
      </c>
      <c r="D268" s="12" t="n">
        <v>21</v>
      </c>
      <c r="E268" s="13" t="n">
        <v>378</v>
      </c>
      <c r="F268" s="11" t="n">
        <v>45</v>
      </c>
      <c r="G268" s="14" t="n">
        <v>67.76470588</v>
      </c>
      <c r="H268" s="15" t="n">
        <v>127.0588235</v>
      </c>
      <c r="I268" s="10" t="str">
        <f aca="false">IF(G268&lt;0,"negative profit",IF(G268&gt;Notes!$B$4,"unusually high - verify",""))</f>
        <v/>
      </c>
      <c r="J268" s="10" t="s">
        <v>464</v>
      </c>
    </row>
    <row r="269" customFormat="false" ht="15" hidden="false" customHeight="true" outlineLevel="0" collapsed="false">
      <c r="A269" s="10" t="s">
        <v>652</v>
      </c>
      <c r="B269" s="10" t="s">
        <v>349</v>
      </c>
      <c r="C269" s="11" t="n">
        <v>66</v>
      </c>
      <c r="D269" s="12" t="n">
        <v>38</v>
      </c>
      <c r="E269" s="13" t="n">
        <v>468</v>
      </c>
      <c r="F269" s="11" t="n">
        <v>56</v>
      </c>
      <c r="G269" s="14" t="n">
        <v>51.76470588</v>
      </c>
      <c r="H269" s="15" t="n">
        <v>87.84313725</v>
      </c>
      <c r="I269" s="10" t="str">
        <f aca="false">IF(G269&lt;0,"negative profit",IF(G269&gt;Notes!$B$4,"unusually high - verify",""))</f>
        <v/>
      </c>
      <c r="J269" s="10" t="s">
        <v>464</v>
      </c>
    </row>
    <row r="270" customFormat="false" ht="15" hidden="false" customHeight="true" outlineLevel="0" collapsed="false">
      <c r="A270" s="10" t="s">
        <v>653</v>
      </c>
      <c r="B270" s="10" t="s">
        <v>349</v>
      </c>
      <c r="C270" s="11" t="n">
        <v>69</v>
      </c>
      <c r="D270" s="12" t="n">
        <v>25</v>
      </c>
      <c r="E270" s="13" t="n">
        <v>230</v>
      </c>
      <c r="F270" s="11" t="n">
        <v>27</v>
      </c>
      <c r="G270" s="14" t="n">
        <v>44.70588235</v>
      </c>
      <c r="H270" s="15" t="n">
        <v>63.52941176</v>
      </c>
      <c r="I270" s="10" t="str">
        <f aca="false">IF(G270&lt;0,"negative profit",IF(G270&gt;Notes!$B$4,"unusually high - verify",""))</f>
        <v/>
      </c>
      <c r="J270" s="10" t="s">
        <v>464</v>
      </c>
    </row>
    <row r="271" customFormat="false" ht="15" hidden="false" customHeight="true" outlineLevel="0" collapsed="false">
      <c r="A271" s="10" t="s">
        <v>356</v>
      </c>
      <c r="B271" s="10" t="s">
        <v>349</v>
      </c>
      <c r="C271" s="11" t="n">
        <v>77</v>
      </c>
      <c r="D271" s="12" t="n">
        <v>17</v>
      </c>
      <c r="E271" s="13" t="n">
        <v>252</v>
      </c>
      <c r="F271" s="11" t="n">
        <v>30</v>
      </c>
      <c r="G271" s="14" t="n">
        <v>56.47058824</v>
      </c>
      <c r="H271" s="15" t="n">
        <v>105.8823529</v>
      </c>
      <c r="I271" s="10" t="str">
        <f aca="false">IF(G271&lt;0,"negative profit",IF(G271&gt;Notes!$B$4,"unusually high - verify",""))</f>
        <v/>
      </c>
      <c r="J271" s="10" t="s">
        <v>464</v>
      </c>
    </row>
    <row r="272" customFormat="false" ht="15" hidden="false" customHeight="true" outlineLevel="0" collapsed="false">
      <c r="A272" s="10" t="s">
        <v>357</v>
      </c>
      <c r="B272" s="10" t="s">
        <v>349</v>
      </c>
      <c r="C272" s="11" t="n">
        <v>95</v>
      </c>
      <c r="D272" s="12" t="n">
        <v>25</v>
      </c>
      <c r="E272" s="13" t="n">
        <v>277</v>
      </c>
      <c r="F272" s="11" t="n">
        <v>33</v>
      </c>
      <c r="G272" s="14" t="n">
        <v>54.11764706</v>
      </c>
      <c r="H272" s="15" t="n">
        <v>77.64705882</v>
      </c>
      <c r="I272" s="10" t="str">
        <f aca="false">IF(G272&lt;0,"negative profit",IF(G272&gt;Notes!$B$4,"unusually high - verify",""))</f>
        <v/>
      </c>
      <c r="J272" s="10" t="s">
        <v>464</v>
      </c>
    </row>
    <row r="273" customFormat="false" ht="15" hidden="false" customHeight="true" outlineLevel="0" collapsed="false">
      <c r="A273" s="10" t="s">
        <v>654</v>
      </c>
      <c r="B273" s="10" t="s">
        <v>349</v>
      </c>
      <c r="C273" s="11" t="n">
        <v>100</v>
      </c>
      <c r="D273" s="12" t="n">
        <v>25</v>
      </c>
      <c r="E273" s="13" t="n">
        <v>288</v>
      </c>
      <c r="F273" s="11" t="n">
        <v>34</v>
      </c>
      <c r="G273" s="14" t="n">
        <v>61.17647059</v>
      </c>
      <c r="H273" s="15" t="n">
        <v>80</v>
      </c>
      <c r="I273" s="10" t="str">
        <f aca="false">IF(G273&lt;0,"negative profit",IF(G273&gt;Notes!$B$4,"unusually high - verify",""))</f>
        <v/>
      </c>
      <c r="J273" s="10" t="s">
        <v>464</v>
      </c>
    </row>
    <row r="274" customFormat="false" ht="15" hidden="false" customHeight="true" outlineLevel="0" collapsed="false">
      <c r="A274" s="10" t="s">
        <v>655</v>
      </c>
      <c r="B274" s="10" t="s">
        <v>360</v>
      </c>
      <c r="C274" s="11" t="n">
        <v>19</v>
      </c>
      <c r="D274" s="12" t="n">
        <v>38</v>
      </c>
      <c r="E274" s="13" t="n">
        <v>241</v>
      </c>
      <c r="F274" s="11" t="n">
        <v>29</v>
      </c>
      <c r="G274" s="14" t="n">
        <v>39.21568627</v>
      </c>
      <c r="H274" s="15" t="n">
        <v>45.49019608</v>
      </c>
      <c r="I274" s="10" t="str">
        <f aca="false">IF(G274&lt;0,"negative profit",IF(G274&gt;Notes!$B$4,"unusually high - verify",""))</f>
        <v/>
      </c>
      <c r="J274" s="10" t="s">
        <v>464</v>
      </c>
    </row>
    <row r="275" customFormat="false" ht="15" hidden="false" customHeight="true" outlineLevel="0" collapsed="false">
      <c r="A275" s="10" t="s">
        <v>656</v>
      </c>
      <c r="B275" s="10" t="s">
        <v>360</v>
      </c>
      <c r="C275" s="11" t="n">
        <v>21</v>
      </c>
      <c r="D275" s="12" t="n">
        <v>76</v>
      </c>
      <c r="E275" s="13" t="n">
        <v>309</v>
      </c>
      <c r="F275" s="11" t="n">
        <v>37</v>
      </c>
      <c r="G275" s="14" t="n">
        <v>30.58823529</v>
      </c>
      <c r="H275" s="15" t="n">
        <v>29.01960784</v>
      </c>
      <c r="I275" s="10" t="str">
        <f aca="false">IF(G275&lt;0,"negative profit",IF(G275&gt;Notes!$B$4,"unusually high - verify",""))</f>
        <v/>
      </c>
      <c r="J275" s="10" t="s">
        <v>464</v>
      </c>
    </row>
    <row r="276" customFormat="false" ht="15" hidden="false" customHeight="true" outlineLevel="0" collapsed="false">
      <c r="A276" s="10" t="s">
        <v>657</v>
      </c>
      <c r="B276" s="10" t="s">
        <v>360</v>
      </c>
      <c r="C276" s="11" t="n">
        <v>25</v>
      </c>
      <c r="D276" s="12" t="n">
        <v>114</v>
      </c>
      <c r="E276" s="13" t="n">
        <v>327</v>
      </c>
      <c r="F276" s="11" t="n">
        <v>39</v>
      </c>
      <c r="G276" s="14" t="n">
        <v>20.91503268</v>
      </c>
      <c r="H276" s="15" t="n">
        <v>20.39215686</v>
      </c>
      <c r="I276" s="10" t="str">
        <f aca="false">IF(G276&lt;0,"negative profit",IF(G276&gt;Notes!$B$4,"unusually high - verify",""))</f>
        <v/>
      </c>
      <c r="J276" s="10" t="s">
        <v>464</v>
      </c>
    </row>
    <row r="277" customFormat="false" ht="15" hidden="false" customHeight="true" outlineLevel="0" collapsed="false">
      <c r="A277" s="10" t="s">
        <v>364</v>
      </c>
      <c r="B277" s="10" t="s">
        <v>360</v>
      </c>
      <c r="C277" s="11" t="n">
        <v>51</v>
      </c>
      <c r="D277" s="12" t="n">
        <v>153</v>
      </c>
      <c r="E277" s="13" t="n">
        <v>676</v>
      </c>
      <c r="F277" s="11" t="n">
        <v>81</v>
      </c>
      <c r="G277" s="14" t="n">
        <v>15.68627451</v>
      </c>
      <c r="H277" s="15" t="n">
        <v>31.76470588</v>
      </c>
      <c r="I277" s="10" t="str">
        <f aca="false">IF(G277&lt;0,"negative profit",IF(G277&gt;Notes!$B$4,"unusually high - verify",""))</f>
        <v/>
      </c>
      <c r="J277" s="10" t="s">
        <v>464</v>
      </c>
    </row>
    <row r="278" customFormat="false" ht="15" hidden="false" customHeight="true" outlineLevel="0" collapsed="false">
      <c r="A278" s="10" t="s">
        <v>365</v>
      </c>
      <c r="B278" s="10" t="s">
        <v>360</v>
      </c>
      <c r="C278" s="11" t="n">
        <v>59</v>
      </c>
      <c r="D278" s="12" t="n">
        <v>178</v>
      </c>
      <c r="E278" s="13" t="n">
        <v>1098</v>
      </c>
      <c r="F278" s="11" t="n">
        <v>131</v>
      </c>
      <c r="G278" s="14" t="n">
        <v>14.11764706</v>
      </c>
      <c r="H278" s="15" t="n">
        <v>44.03361345</v>
      </c>
      <c r="I278" s="10" t="str">
        <f aca="false">IF(G278&lt;0,"negative profit",IF(G278&gt;Notes!$B$4,"unusually high - verify",""))</f>
        <v/>
      </c>
      <c r="J278" s="10" t="s">
        <v>464</v>
      </c>
    </row>
    <row r="279" customFormat="false" ht="15" hidden="false" customHeight="true" outlineLevel="0" collapsed="false">
      <c r="A279" s="10" t="s">
        <v>658</v>
      </c>
      <c r="B279" s="10" t="s">
        <v>367</v>
      </c>
      <c r="C279" s="11" t="n">
        <v>24</v>
      </c>
      <c r="D279" s="12" t="n">
        <v>408</v>
      </c>
      <c r="E279" s="13" t="n">
        <v>147</v>
      </c>
      <c r="F279" s="11" t="n">
        <v>14</v>
      </c>
      <c r="G279" s="14" t="n">
        <v>13.67647059</v>
      </c>
      <c r="H279" s="15" t="n">
        <v>2.058823529</v>
      </c>
      <c r="I279" s="10" t="str">
        <f aca="false">IF(G279&lt;0,"negative profit",IF(G279&gt;Notes!$B$4,"unusually high - verify",""))</f>
        <v/>
      </c>
      <c r="J279" s="10" t="s">
        <v>464</v>
      </c>
    </row>
    <row r="280" customFormat="false" ht="15" hidden="false" customHeight="true" outlineLevel="0" collapsed="false">
      <c r="A280" s="10" t="s">
        <v>659</v>
      </c>
      <c r="B280" s="10" t="s">
        <v>367</v>
      </c>
      <c r="C280" s="11" t="n">
        <v>25</v>
      </c>
      <c r="D280" s="12" t="n">
        <v>612</v>
      </c>
      <c r="E280" s="13" t="n">
        <v>180</v>
      </c>
      <c r="F280" s="11" t="n">
        <v>18</v>
      </c>
      <c r="G280" s="14" t="n">
        <v>11.47058824</v>
      </c>
      <c r="H280" s="15" t="n">
        <v>1.764705882</v>
      </c>
      <c r="I280" s="10" t="str">
        <f aca="false">IF(G280&lt;0,"negative profit",IF(G280&gt;Notes!$B$4,"unusually high - verify",""))</f>
        <v/>
      </c>
      <c r="J280" s="10" t="s">
        <v>464</v>
      </c>
    </row>
    <row r="281" customFormat="false" ht="15" hidden="false" customHeight="true" outlineLevel="0" collapsed="false">
      <c r="A281" s="10" t="s">
        <v>660</v>
      </c>
      <c r="B281" s="10" t="s">
        <v>367</v>
      </c>
      <c r="C281" s="11" t="n">
        <v>25</v>
      </c>
      <c r="D281" s="12" t="n">
        <v>816</v>
      </c>
      <c r="E281" s="13" t="n">
        <v>205</v>
      </c>
      <c r="F281" s="11" t="n">
        <v>21</v>
      </c>
      <c r="G281" s="14" t="n">
        <v>8.014705882</v>
      </c>
      <c r="H281" s="15" t="n">
        <v>1.544117647</v>
      </c>
      <c r="I281" s="10" t="str">
        <f aca="false">IF(G281&lt;0,"negative profit",IF(G281&gt;Notes!$B$4,"unusually high - verify",""))</f>
        <v/>
      </c>
      <c r="J281" s="10" t="s">
        <v>464</v>
      </c>
    </row>
    <row r="282" customFormat="false" ht="15" hidden="false" customHeight="true" outlineLevel="0" collapsed="false">
      <c r="A282" s="10" t="s">
        <v>661</v>
      </c>
      <c r="B282" s="10" t="s">
        <v>367</v>
      </c>
      <c r="C282" s="11" t="n">
        <v>33</v>
      </c>
      <c r="D282" s="12" t="n">
        <v>306</v>
      </c>
      <c r="E282" s="13" t="n">
        <v>108</v>
      </c>
      <c r="F282" s="11" t="n">
        <v>13</v>
      </c>
      <c r="G282" s="14" t="n">
        <v>15.29411765</v>
      </c>
      <c r="H282" s="15" t="n">
        <v>2.549019608</v>
      </c>
      <c r="I282" s="10" t="str">
        <f aca="false">IF(G282&lt;0,"negative profit",IF(G282&gt;Notes!$B$4,"unusually high - verify",""))</f>
        <v/>
      </c>
      <c r="J282" s="10" t="s">
        <v>464</v>
      </c>
    </row>
    <row r="283" customFormat="false" ht="15" hidden="false" customHeight="true" outlineLevel="0" collapsed="false">
      <c r="A283" s="10" t="s">
        <v>662</v>
      </c>
      <c r="B283" s="10" t="s">
        <v>367</v>
      </c>
      <c r="C283" s="11" t="n">
        <v>34</v>
      </c>
      <c r="D283" s="12" t="n">
        <v>357</v>
      </c>
      <c r="E283" s="13" t="n">
        <v>129</v>
      </c>
      <c r="F283" s="11" t="n">
        <v>15</v>
      </c>
      <c r="G283" s="14" t="n">
        <v>14.62184874</v>
      </c>
      <c r="H283" s="15" t="n">
        <v>2.521008403</v>
      </c>
      <c r="I283" s="10" t="str">
        <f aca="false">IF(G283&lt;0,"negative profit",IF(G283&gt;Notes!$B$4,"unusually high - verify",""))</f>
        <v/>
      </c>
      <c r="J283" s="10" t="s">
        <v>464</v>
      </c>
    </row>
    <row r="284" customFormat="false" ht="15" hidden="false" customHeight="true" outlineLevel="0" collapsed="false">
      <c r="A284" s="10" t="s">
        <v>663</v>
      </c>
      <c r="B284" s="10" t="s">
        <v>374</v>
      </c>
      <c r="C284" s="11" t="n">
        <v>64</v>
      </c>
      <c r="D284" s="12" t="n">
        <v>63</v>
      </c>
      <c r="E284" s="13" t="n">
        <v>547</v>
      </c>
      <c r="F284" s="11" t="n">
        <v>65</v>
      </c>
      <c r="G284" s="14" t="n">
        <v>12.23529412</v>
      </c>
      <c r="H284" s="15" t="n">
        <v>61.17647059</v>
      </c>
      <c r="I284" s="10" t="str">
        <f aca="false">IF(G284&lt;0,"negative profit",IF(G284&gt;Notes!$B$4,"unusually high - verify",""))</f>
        <v/>
      </c>
      <c r="J284" s="10" t="s">
        <v>464</v>
      </c>
    </row>
    <row r="285" customFormat="false" ht="15" hidden="false" customHeight="true" outlineLevel="0" collapsed="false">
      <c r="A285" s="10" t="s">
        <v>664</v>
      </c>
      <c r="B285" s="10" t="s">
        <v>374</v>
      </c>
      <c r="C285" s="11" t="n">
        <v>66</v>
      </c>
      <c r="D285" s="12" t="n">
        <v>38</v>
      </c>
      <c r="E285" s="13" t="n">
        <v>320</v>
      </c>
      <c r="F285" s="11" t="n">
        <v>38</v>
      </c>
      <c r="G285" s="14" t="n">
        <v>43.92156863</v>
      </c>
      <c r="H285" s="15" t="n">
        <v>59.60784314</v>
      </c>
      <c r="I285" s="10" t="str">
        <f aca="false">IF(G285&lt;0,"negative profit",IF(G285&gt;Notes!$B$4,"unusually high - verify",""))</f>
        <v/>
      </c>
      <c r="J285" s="10" t="s">
        <v>464</v>
      </c>
    </row>
    <row r="286" customFormat="false" ht="15" hidden="false" customHeight="true" outlineLevel="0" collapsed="false">
      <c r="A286" s="10" t="s">
        <v>665</v>
      </c>
      <c r="B286" s="10" t="s">
        <v>374</v>
      </c>
      <c r="C286" s="11" t="n">
        <v>70</v>
      </c>
      <c r="D286" s="12" t="n">
        <v>34</v>
      </c>
      <c r="E286" s="13" t="n">
        <v>266</v>
      </c>
      <c r="F286" s="11" t="n">
        <v>32</v>
      </c>
      <c r="G286" s="14" t="n">
        <v>49.41176471</v>
      </c>
      <c r="H286" s="15" t="n">
        <v>56.47058824</v>
      </c>
      <c r="I286" s="10" t="str">
        <f aca="false">IF(G286&lt;0,"negative profit",IF(G286&gt;Notes!$B$4,"unusually high - verify",""))</f>
        <v/>
      </c>
      <c r="J286" s="10" t="s">
        <v>464</v>
      </c>
    </row>
    <row r="287" customFormat="false" ht="15" hidden="false" customHeight="true" outlineLevel="0" collapsed="false">
      <c r="A287" s="10" t="s">
        <v>666</v>
      </c>
      <c r="B287" s="10" t="s">
        <v>374</v>
      </c>
      <c r="C287" s="11" t="n">
        <v>70</v>
      </c>
      <c r="D287" s="12" t="n">
        <v>51</v>
      </c>
      <c r="E287" s="13" t="n">
        <v>349</v>
      </c>
      <c r="F287" s="11" t="n">
        <v>42</v>
      </c>
      <c r="G287" s="14" t="n">
        <v>104.7058824</v>
      </c>
      <c r="H287" s="15" t="n">
        <v>49.41176471</v>
      </c>
      <c r="I287" s="10" t="str">
        <f aca="false">IF(G287&lt;0,"negative profit",IF(G287&gt;Notes!$B$4,"unusually high - verify",""))</f>
        <v/>
      </c>
      <c r="J287" s="10" t="s">
        <v>464</v>
      </c>
    </row>
    <row r="288" customFormat="false" ht="15" hidden="false" customHeight="true" outlineLevel="0" collapsed="false">
      <c r="A288" s="10" t="s">
        <v>667</v>
      </c>
      <c r="B288" s="10" t="s">
        <v>374</v>
      </c>
      <c r="C288" s="11" t="n">
        <v>88</v>
      </c>
      <c r="D288" s="12" t="n">
        <v>25</v>
      </c>
      <c r="E288" s="13" t="n">
        <v>504</v>
      </c>
      <c r="F288" s="11" t="n">
        <v>60</v>
      </c>
      <c r="G288" s="14" t="n">
        <v>40</v>
      </c>
      <c r="H288" s="15" t="n">
        <v>141.1764706</v>
      </c>
      <c r="I288" s="10" t="str">
        <f aca="false">IF(G288&lt;0,"negative profit",IF(G288&gt;Notes!$B$4,"unusually high - verify",""))</f>
        <v/>
      </c>
      <c r="J288" s="10" t="s">
        <v>464</v>
      </c>
    </row>
    <row r="289" customFormat="false" ht="15" hidden="false" customHeight="true" outlineLevel="0" collapsed="false">
      <c r="A289" s="10" t="s">
        <v>668</v>
      </c>
      <c r="B289" s="10" t="s">
        <v>374</v>
      </c>
      <c r="C289" s="11" t="n">
        <v>93</v>
      </c>
      <c r="D289" s="12" t="n">
        <v>38</v>
      </c>
      <c r="E289" s="13" t="n">
        <v>313</v>
      </c>
      <c r="F289" s="11" t="n">
        <v>37</v>
      </c>
      <c r="G289" s="14" t="n">
        <v>42.35294118</v>
      </c>
      <c r="H289" s="15" t="n">
        <v>58.03921569</v>
      </c>
      <c r="I289" s="10" t="str">
        <f aca="false">IF(G289&lt;0,"negative profit",IF(G289&gt;Notes!$B$4,"unusually high - verify",""))</f>
        <v/>
      </c>
      <c r="J289" s="10" t="s">
        <v>464</v>
      </c>
    </row>
    <row r="290" customFormat="false" ht="15" hidden="false" customHeight="true" outlineLevel="0" collapsed="false">
      <c r="A290" s="10" t="s">
        <v>669</v>
      </c>
      <c r="B290" s="10" t="s">
        <v>374</v>
      </c>
      <c r="C290" s="11" t="n">
        <v>100</v>
      </c>
      <c r="D290" s="12" t="n">
        <v>34</v>
      </c>
      <c r="E290" s="13" t="n">
        <v>511</v>
      </c>
      <c r="F290" s="11" t="n">
        <v>61</v>
      </c>
      <c r="G290" s="14" t="n">
        <v>22.94117647</v>
      </c>
      <c r="H290" s="15" t="n">
        <v>107.6470588</v>
      </c>
      <c r="I290" s="10" t="str">
        <f aca="false">IF(G290&lt;0,"negative profit",IF(G290&gt;Notes!$B$4,"unusually high - verify",""))</f>
        <v/>
      </c>
      <c r="J290" s="10" t="s">
        <v>464</v>
      </c>
    </row>
    <row r="291" customFormat="false" ht="15" hidden="false" customHeight="true" outlineLevel="0" collapsed="false">
      <c r="A291" s="10" t="s">
        <v>670</v>
      </c>
      <c r="B291" s="10" t="s">
        <v>374</v>
      </c>
      <c r="C291" s="11" t="n">
        <v>102</v>
      </c>
      <c r="D291" s="12" t="n">
        <v>29</v>
      </c>
      <c r="E291" s="13" t="n">
        <v>522</v>
      </c>
      <c r="F291" s="11" t="n">
        <v>62</v>
      </c>
      <c r="G291" s="14" t="n">
        <v>116.9747899</v>
      </c>
      <c r="H291" s="15" t="n">
        <v>125.0420168</v>
      </c>
      <c r="I291" s="10" t="str">
        <f aca="false">IF(G291&lt;0,"negative profit",IF(G291&gt;Notes!$B$4,"unusually high - verify",""))</f>
        <v/>
      </c>
      <c r="J291" s="10" t="s">
        <v>464</v>
      </c>
    </row>
    <row r="292" customFormat="false" ht="15" hidden="false" customHeight="true" outlineLevel="0" collapsed="false">
      <c r="A292" s="10" t="s">
        <v>383</v>
      </c>
      <c r="B292" s="10" t="s">
        <v>374</v>
      </c>
      <c r="C292" s="11" t="n">
        <v>104</v>
      </c>
      <c r="D292" s="12" t="n">
        <v>40</v>
      </c>
      <c r="E292" s="13" t="n">
        <v>475</v>
      </c>
      <c r="F292" s="11" t="n">
        <v>57</v>
      </c>
      <c r="G292" s="14" t="n">
        <v>40.5</v>
      </c>
      <c r="H292" s="15" t="n">
        <v>85.5</v>
      </c>
      <c r="I292" s="10" t="str">
        <f aca="false">IF(G292&lt;0,"negative profit",IF(G292&gt;Notes!$B$4,"unusually high - verify",""))</f>
        <v/>
      </c>
      <c r="J292" s="10" t="s">
        <v>464</v>
      </c>
    </row>
    <row r="293" customFormat="false" ht="15" hidden="false" customHeight="true" outlineLevel="0" collapsed="false">
      <c r="A293" s="10" t="s">
        <v>671</v>
      </c>
      <c r="B293" s="10" t="s">
        <v>385</v>
      </c>
      <c r="C293" s="11" t="n">
        <v>46</v>
      </c>
      <c r="D293" s="12" t="n">
        <v>127</v>
      </c>
      <c r="E293" s="13" t="n">
        <v>612</v>
      </c>
      <c r="F293" s="11" t="n">
        <v>73</v>
      </c>
      <c r="G293" s="14" t="n">
        <v>21.17647059</v>
      </c>
      <c r="H293" s="15" t="n">
        <v>34.35294118</v>
      </c>
      <c r="I293" s="10" t="str">
        <f aca="false">IF(G293&lt;0,"negative profit",IF(G293&gt;Notes!$B$4,"unusually high - verify",""))</f>
        <v/>
      </c>
      <c r="J293" s="10" t="s">
        <v>464</v>
      </c>
    </row>
    <row r="294" customFormat="false" ht="15" hidden="false" customHeight="true" outlineLevel="0" collapsed="false">
      <c r="A294" s="10" t="s">
        <v>672</v>
      </c>
      <c r="B294" s="10" t="s">
        <v>385</v>
      </c>
      <c r="C294" s="11" t="n">
        <v>47</v>
      </c>
      <c r="D294" s="12" t="n">
        <v>76</v>
      </c>
      <c r="E294" s="13" t="n">
        <v>478</v>
      </c>
      <c r="F294" s="11" t="n">
        <v>57</v>
      </c>
      <c r="G294" s="14" t="n">
        <v>25.09803922</v>
      </c>
      <c r="H294" s="15" t="n">
        <v>44.70588235</v>
      </c>
      <c r="I294" s="10" t="str">
        <f aca="false">IF(G294&lt;0,"negative profit",IF(G294&gt;Notes!$B$4,"unusually high - verify",""))</f>
        <v/>
      </c>
      <c r="J294" s="10" t="s">
        <v>464</v>
      </c>
    </row>
    <row r="295" customFormat="false" ht="15" hidden="false" customHeight="true" outlineLevel="0" collapsed="false">
      <c r="A295" s="10" t="s">
        <v>673</v>
      </c>
      <c r="B295" s="10" t="s">
        <v>385</v>
      </c>
      <c r="C295" s="11" t="n">
        <v>49</v>
      </c>
      <c r="D295" s="12" t="n">
        <v>102</v>
      </c>
      <c r="E295" s="13" t="n">
        <v>392</v>
      </c>
      <c r="F295" s="11" t="n">
        <v>47</v>
      </c>
      <c r="G295" s="14" t="n">
        <v>27.05882353</v>
      </c>
      <c r="H295" s="15" t="n">
        <v>27.64705882</v>
      </c>
      <c r="I295" s="10" t="str">
        <f aca="false">IF(G295&lt;0,"negative profit",IF(G295&gt;Notes!$B$4,"unusually high - verify",""))</f>
        <v/>
      </c>
      <c r="J295" s="10" t="s">
        <v>464</v>
      </c>
    </row>
    <row r="296" customFormat="false" ht="15" hidden="false" customHeight="true" outlineLevel="0" collapsed="false">
      <c r="A296" s="10" t="s">
        <v>674</v>
      </c>
      <c r="B296" s="10" t="s">
        <v>385</v>
      </c>
      <c r="C296" s="11" t="n">
        <v>53</v>
      </c>
      <c r="D296" s="12" t="n">
        <v>153</v>
      </c>
      <c r="E296" s="13" t="n">
        <v>298</v>
      </c>
      <c r="F296" s="11" t="n">
        <v>35</v>
      </c>
      <c r="G296" s="14" t="n">
        <v>16.8627451</v>
      </c>
      <c r="H296" s="15" t="n">
        <v>13.7254902</v>
      </c>
      <c r="I296" s="10" t="str">
        <f aca="false">IF(G296&lt;0,"negative profit",IF(G296&gt;Notes!$B$4,"unusually high - verify",""))</f>
        <v/>
      </c>
      <c r="J296" s="10" t="s">
        <v>464</v>
      </c>
    </row>
    <row r="297" customFormat="false" ht="15" hidden="false" customHeight="true" outlineLevel="0" collapsed="false">
      <c r="A297" s="10" t="s">
        <v>675</v>
      </c>
      <c r="B297" s="10" t="s">
        <v>385</v>
      </c>
      <c r="C297" s="11" t="n">
        <v>65</v>
      </c>
      <c r="D297" s="12" t="n">
        <v>76</v>
      </c>
      <c r="E297" s="13" t="n">
        <v>270</v>
      </c>
      <c r="F297" s="11" t="n">
        <v>32</v>
      </c>
      <c r="G297" s="14" t="n">
        <v>23.52941176</v>
      </c>
      <c r="H297" s="15" t="n">
        <v>25.09803922</v>
      </c>
      <c r="I297" s="10" t="str">
        <f aca="false">IF(G297&lt;0,"negative profit",IF(G297&gt;Notes!$B$4,"unusually high - verify",""))</f>
        <v/>
      </c>
      <c r="J297" s="10" t="s">
        <v>464</v>
      </c>
    </row>
    <row r="298" customFormat="false" ht="15" hidden="false" customHeight="true" outlineLevel="0" collapsed="false">
      <c r="A298" s="10" t="s">
        <v>676</v>
      </c>
      <c r="B298" s="10" t="s">
        <v>385</v>
      </c>
      <c r="C298" s="11" t="n">
        <v>72</v>
      </c>
      <c r="D298" s="12" t="n">
        <v>127</v>
      </c>
      <c r="E298" s="13" t="n">
        <v>327</v>
      </c>
      <c r="F298" s="11" t="n">
        <v>39</v>
      </c>
      <c r="G298" s="14" t="n">
        <v>21.64705882</v>
      </c>
      <c r="H298" s="15" t="n">
        <v>18.35294118</v>
      </c>
      <c r="I298" s="10" t="str">
        <f aca="false">IF(G298&lt;0,"negative profit",IF(G298&gt;Notes!$B$4,"unusually high - verify",""))</f>
        <v/>
      </c>
      <c r="J298" s="10" t="s">
        <v>464</v>
      </c>
    </row>
    <row r="299" customFormat="false" ht="15" hidden="false" customHeight="true" outlineLevel="0" collapsed="false">
      <c r="A299" s="10" t="s">
        <v>677</v>
      </c>
      <c r="B299" s="10" t="s">
        <v>385</v>
      </c>
      <c r="C299" s="11" t="n">
        <v>73</v>
      </c>
      <c r="D299" s="12" t="n">
        <v>102</v>
      </c>
      <c r="E299" s="13" t="n">
        <v>432</v>
      </c>
      <c r="F299" s="11" t="n">
        <v>52</v>
      </c>
      <c r="G299" s="14" t="n">
        <v>27.05882353</v>
      </c>
      <c r="H299" s="15" t="n">
        <v>30.58823529</v>
      </c>
      <c r="I299" s="10" t="str">
        <f aca="false">IF(G299&lt;0,"negative profit",IF(G299&gt;Notes!$B$4,"unusually high - verify",""))</f>
        <v/>
      </c>
      <c r="J299" s="10" t="s">
        <v>464</v>
      </c>
    </row>
    <row r="300" customFormat="false" ht="15" hidden="false" customHeight="true" outlineLevel="0" collapsed="false">
      <c r="A300" s="10" t="s">
        <v>678</v>
      </c>
      <c r="B300" s="10" t="s">
        <v>385</v>
      </c>
      <c r="C300" s="11" t="n">
        <v>78</v>
      </c>
      <c r="D300" s="12" t="n">
        <v>127</v>
      </c>
      <c r="E300" s="13" t="n">
        <v>255</v>
      </c>
      <c r="F300" s="11" t="n">
        <v>31</v>
      </c>
      <c r="G300" s="14" t="n">
        <v>17.41176471</v>
      </c>
      <c r="H300" s="15" t="n">
        <v>14.58823529</v>
      </c>
      <c r="I300" s="10" t="str">
        <f aca="false">IF(G300&lt;0,"negative profit",IF(G300&gt;Notes!$B$4,"unusually high - verify",""))</f>
        <v/>
      </c>
      <c r="J300" s="10" t="s">
        <v>464</v>
      </c>
    </row>
    <row r="301" customFormat="false" ht="15" hidden="false" customHeight="true" outlineLevel="0" collapsed="false">
      <c r="A301" s="10" t="s">
        <v>679</v>
      </c>
      <c r="B301" s="10" t="s">
        <v>385</v>
      </c>
      <c r="C301" s="11" t="n">
        <v>81</v>
      </c>
      <c r="D301" s="12" t="n">
        <v>51</v>
      </c>
      <c r="E301" s="13" t="n">
        <v>439</v>
      </c>
      <c r="F301" s="11" t="n">
        <v>52</v>
      </c>
      <c r="G301" s="14" t="n">
        <v>38.82352941</v>
      </c>
      <c r="H301" s="15" t="n">
        <v>61.17647059</v>
      </c>
      <c r="I301" s="10" t="str">
        <f aca="false">IF(G301&lt;0,"negative profit",IF(G301&gt;Notes!$B$4,"unusually high - verify",""))</f>
        <v/>
      </c>
      <c r="J301" s="10" t="s">
        <v>464</v>
      </c>
    </row>
    <row r="302" customFormat="false" ht="15" hidden="false" customHeight="true" outlineLevel="0" collapsed="false">
      <c r="A302" s="10" t="s">
        <v>680</v>
      </c>
      <c r="B302" s="10" t="s">
        <v>385</v>
      </c>
      <c r="C302" s="11" t="n">
        <v>87</v>
      </c>
      <c r="D302" s="12" t="n">
        <v>63</v>
      </c>
      <c r="E302" s="13" t="n">
        <v>237</v>
      </c>
      <c r="F302" s="11" t="n">
        <v>28</v>
      </c>
      <c r="G302" s="14" t="n">
        <v>25.41176471</v>
      </c>
      <c r="H302" s="15" t="n">
        <v>26.35294118</v>
      </c>
      <c r="I302" s="10" t="str">
        <f aca="false">IF(G302&lt;0,"negative profit",IF(G302&gt;Notes!$B$4,"unusually high - verify",""))</f>
        <v/>
      </c>
      <c r="J302" s="10" t="s">
        <v>464</v>
      </c>
    </row>
    <row r="303" customFormat="false" ht="15" hidden="false" customHeight="true" outlineLevel="0" collapsed="false">
      <c r="A303" s="10" t="s">
        <v>681</v>
      </c>
      <c r="B303" s="10" t="s">
        <v>385</v>
      </c>
      <c r="C303" s="11" t="n">
        <v>104</v>
      </c>
      <c r="D303" s="12" t="n">
        <v>68</v>
      </c>
      <c r="E303" s="13" t="n">
        <v>176</v>
      </c>
      <c r="F303" s="11" t="n">
        <v>21</v>
      </c>
      <c r="G303" s="14" t="n">
        <v>31.76470588</v>
      </c>
      <c r="H303" s="15" t="n">
        <v>18.52941176</v>
      </c>
      <c r="I303" s="10" t="str">
        <f aca="false">IF(G303&lt;0,"negative profit",IF(G303&gt;Notes!$B$4,"unusually high - verify",""))</f>
        <v/>
      </c>
      <c r="J303" s="10" t="s">
        <v>464</v>
      </c>
    </row>
    <row r="304" customFormat="false" ht="15" hidden="false" customHeight="true" outlineLevel="0" collapsed="false">
      <c r="A304" s="10" t="s">
        <v>397</v>
      </c>
      <c r="B304" s="10" t="s">
        <v>398</v>
      </c>
      <c r="C304" s="11" t="n">
        <v>106</v>
      </c>
      <c r="D304" s="12" t="n">
        <v>90</v>
      </c>
      <c r="E304" s="13" t="n">
        <v>284</v>
      </c>
      <c r="F304" s="11" t="n">
        <v>34</v>
      </c>
      <c r="G304" s="14" t="n">
        <v>24</v>
      </c>
      <c r="H304" s="15" t="n">
        <v>22.66666667</v>
      </c>
      <c r="I304" s="10" t="str">
        <f aca="false">IF(G304&lt;0,"negative profit",IF(G304&gt;Notes!$B$4,"unusually high - verify",""))</f>
        <v/>
      </c>
      <c r="J304" s="10" t="s">
        <v>464</v>
      </c>
    </row>
    <row r="305" customFormat="false" ht="15" hidden="false" customHeight="true" outlineLevel="0" collapsed="false">
      <c r="A305" s="10" t="s">
        <v>400</v>
      </c>
      <c r="B305" s="10" t="s">
        <v>398</v>
      </c>
      <c r="C305" s="11" t="n">
        <v>109</v>
      </c>
      <c r="D305" s="12" t="n">
        <v>120</v>
      </c>
      <c r="E305" s="13" t="n">
        <v>370</v>
      </c>
      <c r="F305" s="11" t="n">
        <v>44</v>
      </c>
      <c r="G305" s="14" t="n">
        <v>17</v>
      </c>
      <c r="H305" s="15" t="n">
        <v>22</v>
      </c>
      <c r="I305" s="10" t="str">
        <f aca="false">IF(G305&lt;0,"negative profit",IF(G305&gt;Notes!$B$4,"unusually high - verify",""))</f>
        <v/>
      </c>
      <c r="J305" s="10" t="s">
        <v>464</v>
      </c>
    </row>
    <row r="306" customFormat="false" ht="15" hidden="false" customHeight="true" outlineLevel="0" collapsed="false">
      <c r="A306" s="10" t="s">
        <v>401</v>
      </c>
      <c r="B306" s="10" t="s">
        <v>398</v>
      </c>
      <c r="C306" s="11" t="n">
        <v>112</v>
      </c>
      <c r="D306" s="12" t="n">
        <v>240</v>
      </c>
      <c r="E306" s="13" t="n">
        <v>295</v>
      </c>
      <c r="F306" s="11" t="n">
        <v>35</v>
      </c>
      <c r="G306" s="14" t="n">
        <v>9.75</v>
      </c>
      <c r="H306" s="15" t="n">
        <v>8.75</v>
      </c>
      <c r="I306" s="10" t="str">
        <f aca="false">IF(G306&lt;0,"negative profit",IF(G306&gt;Notes!$B$4,"unusually high - verify",""))</f>
        <v/>
      </c>
      <c r="J306" s="10" t="s">
        <v>464</v>
      </c>
    </row>
    <row r="307" customFormat="false" ht="15" hidden="false" customHeight="true" outlineLevel="0" collapsed="false">
      <c r="A307" s="10" t="s">
        <v>682</v>
      </c>
      <c r="B307" s="10" t="s">
        <v>403</v>
      </c>
      <c r="C307" s="11" t="n">
        <v>7</v>
      </c>
      <c r="D307" s="12" t="n">
        <v>17</v>
      </c>
      <c r="E307" s="13" t="n">
        <v>32</v>
      </c>
      <c r="F307" s="11" t="n">
        <v>4</v>
      </c>
      <c r="G307" s="14" t="n">
        <v>63.52941176</v>
      </c>
      <c r="H307" s="15" t="n">
        <v>14.11764706</v>
      </c>
      <c r="I307" s="10" t="str">
        <f aca="false">IF(G307&lt;0,"negative profit",IF(G307&gt;Notes!$B$4,"unusually high - verify",""))</f>
        <v/>
      </c>
      <c r="J307" s="10" t="s">
        <v>464</v>
      </c>
    </row>
    <row r="308" customFormat="false" ht="15" hidden="false" customHeight="true" outlineLevel="0" collapsed="false">
      <c r="A308" s="10" t="s">
        <v>683</v>
      </c>
      <c r="B308" s="10" t="s">
        <v>403</v>
      </c>
      <c r="C308" s="11" t="n">
        <v>13</v>
      </c>
      <c r="D308" s="12" t="n">
        <v>34</v>
      </c>
      <c r="E308" s="13" t="n">
        <v>50</v>
      </c>
      <c r="F308" s="11" t="n">
        <v>6</v>
      </c>
      <c r="G308" s="14" t="n">
        <v>38.82352941</v>
      </c>
      <c r="H308" s="15" t="n">
        <v>10.58823529</v>
      </c>
      <c r="I308" s="10" t="str">
        <f aca="false">IF(G308&lt;0,"negative profit",IF(G308&gt;Notes!$B$4,"unusually high - verify",""))</f>
        <v/>
      </c>
      <c r="J308" s="10" t="s">
        <v>464</v>
      </c>
    </row>
    <row r="309" customFormat="false" ht="15" hidden="false" customHeight="true" outlineLevel="0" collapsed="false">
      <c r="A309" s="10" t="s">
        <v>406</v>
      </c>
      <c r="B309" s="10" t="s">
        <v>403</v>
      </c>
      <c r="C309" s="11" t="n">
        <v>18</v>
      </c>
      <c r="D309" s="12" t="n">
        <v>76</v>
      </c>
      <c r="E309" s="13" t="n">
        <v>90</v>
      </c>
      <c r="F309" s="11" t="n">
        <v>11</v>
      </c>
      <c r="G309" s="14" t="n">
        <v>26.66666667</v>
      </c>
      <c r="H309" s="15" t="n">
        <v>8.62745098</v>
      </c>
      <c r="I309" s="10" t="str">
        <f aca="false">IF(G309&lt;0,"negative profit",IF(G309&gt;Notes!$B$4,"unusually high - verify",""))</f>
        <v/>
      </c>
      <c r="J309" s="10" t="s">
        <v>464</v>
      </c>
    </row>
    <row r="310" customFormat="false" ht="15" hidden="false" customHeight="true" outlineLevel="0" collapsed="false">
      <c r="A310" s="10" t="s">
        <v>684</v>
      </c>
      <c r="B310" s="10" t="s">
        <v>408</v>
      </c>
      <c r="C310" s="11" t="n">
        <v>56</v>
      </c>
      <c r="D310" s="12" t="n">
        <v>51</v>
      </c>
      <c r="E310" s="13" t="n">
        <v>489</v>
      </c>
      <c r="F310" s="11" t="n">
        <v>58</v>
      </c>
      <c r="G310" s="14" t="n">
        <v>12.94117647</v>
      </c>
      <c r="H310" s="15" t="n">
        <v>68.23529412</v>
      </c>
      <c r="I310" s="10" t="str">
        <f aca="false">IF(G310&lt;0,"negative profit",IF(G310&gt;Notes!$B$4,"unusually high - verify",""))</f>
        <v/>
      </c>
      <c r="J310" s="10" t="s">
        <v>464</v>
      </c>
    </row>
    <row r="311" customFormat="false" ht="15" hidden="false" customHeight="true" outlineLevel="0" collapsed="false">
      <c r="A311" s="10" t="s">
        <v>685</v>
      </c>
      <c r="B311" s="10" t="s">
        <v>408</v>
      </c>
      <c r="C311" s="11" t="n">
        <v>59</v>
      </c>
      <c r="D311" s="12" t="n">
        <v>51</v>
      </c>
      <c r="E311" s="13" t="n">
        <v>637</v>
      </c>
      <c r="F311" s="11" t="n">
        <v>76</v>
      </c>
      <c r="G311" s="14" t="n">
        <v>14.11764706</v>
      </c>
      <c r="H311" s="15" t="n">
        <v>89.41176471</v>
      </c>
      <c r="I311" s="10" t="str">
        <f aca="false">IF(G311&lt;0,"negative profit",IF(G311&gt;Notes!$B$4,"unusually high - verify",""))</f>
        <v/>
      </c>
      <c r="J311" s="10" t="s">
        <v>464</v>
      </c>
    </row>
    <row r="312" customFormat="false" ht="15" hidden="false" customHeight="true" outlineLevel="0" collapsed="false">
      <c r="A312" s="10" t="s">
        <v>686</v>
      </c>
      <c r="B312" s="10" t="s">
        <v>408</v>
      </c>
      <c r="C312" s="11" t="n">
        <v>63</v>
      </c>
      <c r="D312" s="12" t="n">
        <v>102</v>
      </c>
      <c r="E312" s="13" t="n">
        <v>550</v>
      </c>
      <c r="F312" s="11" t="n">
        <v>66</v>
      </c>
      <c r="G312" s="14" t="n">
        <v>12.94117647</v>
      </c>
      <c r="H312" s="15" t="n">
        <v>38.82352941</v>
      </c>
      <c r="I312" s="10" t="str">
        <f aca="false">IF(G312&lt;0,"negative profit",IF(G312&gt;Notes!$B$4,"unusually high - verify",""))</f>
        <v/>
      </c>
      <c r="J312" s="10" t="s">
        <v>464</v>
      </c>
    </row>
    <row r="313" customFormat="false" ht="15" hidden="false" customHeight="true" outlineLevel="0" collapsed="false">
      <c r="A313" s="10" t="s">
        <v>687</v>
      </c>
      <c r="B313" s="10" t="s">
        <v>408</v>
      </c>
      <c r="C313" s="11" t="n">
        <v>76</v>
      </c>
      <c r="D313" s="12" t="n">
        <v>76</v>
      </c>
      <c r="E313" s="13" t="n">
        <v>648</v>
      </c>
      <c r="F313" s="11" t="n">
        <v>77</v>
      </c>
      <c r="G313" s="14" t="n">
        <v>15.68627451</v>
      </c>
      <c r="H313" s="15" t="n">
        <v>60.39215686</v>
      </c>
      <c r="I313" s="10" t="str">
        <f aca="false">IF(G313&lt;0,"negative profit",IF(G313&gt;Notes!$B$4,"unusually high - verify",""))</f>
        <v/>
      </c>
      <c r="J313" s="10" t="s">
        <v>464</v>
      </c>
    </row>
    <row r="314" customFormat="false" ht="15" hidden="false" customHeight="true" outlineLevel="0" collapsed="false">
      <c r="A314" s="10" t="s">
        <v>688</v>
      </c>
      <c r="B314" s="10" t="s">
        <v>408</v>
      </c>
      <c r="C314" s="11" t="n">
        <v>110</v>
      </c>
      <c r="D314" s="12" t="n">
        <v>38</v>
      </c>
      <c r="E314" s="13" t="n">
        <v>464</v>
      </c>
      <c r="F314" s="11" t="n">
        <v>55</v>
      </c>
      <c r="G314" s="14" t="n">
        <v>6.274509804</v>
      </c>
      <c r="H314" s="15" t="n">
        <v>86.2745098</v>
      </c>
      <c r="I314" s="10" t="str">
        <f aca="false">IF(G314&lt;0,"negative profit",IF(G314&gt;Notes!$B$4,"unusually high - verify",""))</f>
        <v/>
      </c>
      <c r="J314" s="10" t="s">
        <v>464</v>
      </c>
    </row>
    <row r="315" customFormat="false" ht="15" hidden="false" customHeight="true" outlineLevel="0" collapsed="false">
      <c r="A315" s="10" t="s">
        <v>414</v>
      </c>
      <c r="B315" s="10" t="s">
        <v>415</v>
      </c>
      <c r="C315" s="11" t="n">
        <v>77</v>
      </c>
      <c r="D315" s="12" t="n">
        <v>38</v>
      </c>
      <c r="E315" s="13" t="n">
        <v>396</v>
      </c>
      <c r="F315" s="11" t="n">
        <v>47</v>
      </c>
      <c r="G315" s="14" t="n">
        <v>34.50980392</v>
      </c>
      <c r="H315" s="15" t="n">
        <v>73.7254902</v>
      </c>
      <c r="I315" s="10" t="str">
        <f aca="false">IF(G315&lt;0,"negative profit",IF(G315&gt;Notes!$B$4,"unusually high - verify",""))</f>
        <v/>
      </c>
      <c r="J315" s="10" t="s">
        <v>464</v>
      </c>
    </row>
    <row r="316" customFormat="false" ht="15" hidden="false" customHeight="true" outlineLevel="0" collapsed="false">
      <c r="A316" s="10" t="s">
        <v>689</v>
      </c>
      <c r="B316" s="10" t="s">
        <v>415</v>
      </c>
      <c r="C316" s="11" t="n">
        <v>79</v>
      </c>
      <c r="D316" s="12" t="n">
        <v>76</v>
      </c>
      <c r="E316" s="13" t="n">
        <v>392</v>
      </c>
      <c r="F316" s="11" t="n">
        <v>47</v>
      </c>
      <c r="G316" s="14" t="n">
        <v>22.74509804</v>
      </c>
      <c r="H316" s="15" t="n">
        <v>36.8627451</v>
      </c>
      <c r="I316" s="10" t="str">
        <f aca="false">IF(G316&lt;0,"negative profit",IF(G316&gt;Notes!$B$4,"unusually high - verify",""))</f>
        <v/>
      </c>
      <c r="J316" s="10" t="s">
        <v>464</v>
      </c>
    </row>
    <row r="317" customFormat="false" ht="15" hidden="false" customHeight="true" outlineLevel="0" collapsed="false">
      <c r="A317" s="10" t="s">
        <v>418</v>
      </c>
      <c r="B317" s="10" t="s">
        <v>415</v>
      </c>
      <c r="C317" s="11" t="n">
        <v>82</v>
      </c>
      <c r="D317" s="12" t="n">
        <v>51</v>
      </c>
      <c r="E317" s="13" t="n">
        <v>241</v>
      </c>
      <c r="F317" s="11" t="n">
        <v>29</v>
      </c>
      <c r="G317" s="14" t="n">
        <v>41.17647059</v>
      </c>
      <c r="H317" s="15" t="n">
        <v>34.11764706</v>
      </c>
      <c r="I317" s="10" t="str">
        <f aca="false">IF(G317&lt;0,"negative profit",IF(G317&gt;Notes!$B$4,"unusually high - verify",""))</f>
        <v/>
      </c>
      <c r="J317" s="10" t="s">
        <v>464</v>
      </c>
    </row>
    <row r="318" customFormat="false" ht="15" hidden="false" customHeight="true" outlineLevel="0" collapsed="false">
      <c r="A318" s="10" t="s">
        <v>419</v>
      </c>
      <c r="B318" s="10" t="s">
        <v>415</v>
      </c>
      <c r="C318" s="11" t="n">
        <v>87</v>
      </c>
      <c r="D318" s="12" t="n">
        <v>63</v>
      </c>
      <c r="E318" s="13" t="n">
        <v>432</v>
      </c>
      <c r="F318" s="11" t="n">
        <v>52</v>
      </c>
      <c r="G318" s="14" t="n">
        <v>28.23529412</v>
      </c>
      <c r="H318" s="15" t="n">
        <v>48.94117647</v>
      </c>
      <c r="I318" s="10" t="str">
        <f aca="false">IF(G318&lt;0,"negative profit",IF(G318&gt;Notes!$B$4,"unusually high - verify",""))</f>
        <v/>
      </c>
      <c r="J318" s="10" t="s">
        <v>464</v>
      </c>
    </row>
    <row r="319" customFormat="false" ht="15" hidden="false" customHeight="true" outlineLevel="0" collapsed="false">
      <c r="A319" s="10" t="s">
        <v>690</v>
      </c>
      <c r="B319" s="10" t="s">
        <v>421</v>
      </c>
      <c r="C319" s="11" t="n">
        <v>80</v>
      </c>
      <c r="D319" s="12" t="n">
        <v>25</v>
      </c>
      <c r="E319" s="13" t="n">
        <v>241</v>
      </c>
      <c r="F319" s="11" t="n">
        <v>29</v>
      </c>
      <c r="G319" s="14" t="n">
        <v>61.17647059</v>
      </c>
      <c r="H319" s="15" t="n">
        <v>68.23529412</v>
      </c>
      <c r="I319" s="10" t="str">
        <f aca="false">IF(G319&lt;0,"negative profit",IF(G319&gt;Notes!$B$4,"unusually high - verify",""))</f>
        <v/>
      </c>
      <c r="J319" s="10" t="s">
        <v>464</v>
      </c>
    </row>
    <row r="320" customFormat="false" ht="15" hidden="false" customHeight="true" outlineLevel="0" collapsed="false">
      <c r="A320" s="10" t="s">
        <v>691</v>
      </c>
      <c r="B320" s="10" t="s">
        <v>421</v>
      </c>
      <c r="C320" s="11" t="n">
        <v>81</v>
      </c>
      <c r="D320" s="12" t="n">
        <v>38</v>
      </c>
      <c r="E320" s="13" t="n">
        <v>190</v>
      </c>
      <c r="F320" s="11" t="n">
        <v>23</v>
      </c>
      <c r="G320" s="14" t="n">
        <v>45.49019608</v>
      </c>
      <c r="H320" s="15" t="n">
        <v>36.07843137</v>
      </c>
      <c r="I320" s="10" t="str">
        <f aca="false">IF(G320&lt;0,"negative profit",IF(G320&gt;Notes!$B$4,"unusually high - verify",""))</f>
        <v/>
      </c>
      <c r="J320" s="10" t="s">
        <v>464</v>
      </c>
    </row>
    <row r="321" customFormat="false" ht="15" hidden="false" customHeight="true" outlineLevel="0" collapsed="false">
      <c r="A321" s="10" t="s">
        <v>692</v>
      </c>
      <c r="B321" s="10" t="s">
        <v>421</v>
      </c>
      <c r="C321" s="11" t="n">
        <v>83</v>
      </c>
      <c r="D321" s="12" t="n">
        <v>34</v>
      </c>
      <c r="E321" s="13" t="n">
        <v>313</v>
      </c>
      <c r="F321" s="11" t="n">
        <v>37</v>
      </c>
      <c r="G321" s="14" t="n">
        <v>52.94117647</v>
      </c>
      <c r="H321" s="15" t="n">
        <v>65.29411765</v>
      </c>
      <c r="I321" s="10" t="str">
        <f aca="false">IF(G321&lt;0,"negative profit",IF(G321&gt;Notes!$B$4,"unusually high - verify",""))</f>
        <v/>
      </c>
      <c r="J321" s="10" t="s">
        <v>464</v>
      </c>
    </row>
    <row r="322" customFormat="false" ht="15" hidden="false" customHeight="true" outlineLevel="0" collapsed="false">
      <c r="A322" s="10" t="s">
        <v>693</v>
      </c>
      <c r="B322" s="10" t="s">
        <v>421</v>
      </c>
      <c r="C322" s="11" t="n">
        <v>86</v>
      </c>
      <c r="D322" s="12" t="n">
        <v>17</v>
      </c>
      <c r="E322" s="13" t="n">
        <v>241</v>
      </c>
      <c r="F322" s="11" t="n">
        <v>29</v>
      </c>
      <c r="G322" s="14" t="n">
        <v>67.05882353</v>
      </c>
      <c r="H322" s="15" t="n">
        <v>102.3529412</v>
      </c>
      <c r="I322" s="10" t="str">
        <f aca="false">IF(G322&lt;0,"negative profit",IF(G322&gt;Notes!$B$4,"unusually high - verify",""))</f>
        <v/>
      </c>
      <c r="J322" s="10" t="s">
        <v>464</v>
      </c>
    </row>
    <row r="323" customFormat="false" ht="15" hidden="false" customHeight="true" outlineLevel="0" collapsed="false">
      <c r="A323" s="10" t="s">
        <v>694</v>
      </c>
      <c r="B323" s="10" t="s">
        <v>421</v>
      </c>
      <c r="C323" s="11" t="n">
        <v>88</v>
      </c>
      <c r="D323" s="12" t="n">
        <v>25</v>
      </c>
      <c r="E323" s="13" t="n">
        <v>169</v>
      </c>
      <c r="F323" s="11" t="n">
        <v>20</v>
      </c>
      <c r="G323" s="14" t="n">
        <v>47.05882353</v>
      </c>
      <c r="H323" s="15" t="n">
        <v>47.05882353</v>
      </c>
      <c r="I323" s="10" t="str">
        <f aca="false">IF(G323&lt;0,"negative profit",IF(G323&gt;Notes!$B$4,"unusually high - verify",""))</f>
        <v/>
      </c>
      <c r="J323" s="10" t="s">
        <v>464</v>
      </c>
    </row>
    <row r="324" customFormat="false" ht="15" hidden="false" customHeight="true" outlineLevel="0" collapsed="false">
      <c r="A324" s="10" t="s">
        <v>695</v>
      </c>
      <c r="B324" s="10" t="s">
        <v>421</v>
      </c>
      <c r="C324" s="11" t="n">
        <v>89</v>
      </c>
      <c r="D324" s="12" t="n">
        <v>34</v>
      </c>
      <c r="E324" s="13" t="n">
        <v>255</v>
      </c>
      <c r="F324" s="11" t="n">
        <v>30</v>
      </c>
      <c r="G324" s="14" t="n">
        <v>51.17647059</v>
      </c>
      <c r="H324" s="15" t="n">
        <v>52.94117647</v>
      </c>
      <c r="I324" s="10" t="str">
        <f aca="false">IF(G324&lt;0,"negative profit",IF(G324&gt;Notes!$B$4,"unusually high - verify",""))</f>
        <v/>
      </c>
      <c r="J324" s="10" t="s">
        <v>464</v>
      </c>
    </row>
    <row r="325" customFormat="false" ht="15" hidden="false" customHeight="true" outlineLevel="0" collapsed="false">
      <c r="A325" s="10" t="s">
        <v>696</v>
      </c>
      <c r="B325" s="10" t="s">
        <v>421</v>
      </c>
      <c r="C325" s="11" t="n">
        <v>92</v>
      </c>
      <c r="D325" s="12" t="n">
        <v>25</v>
      </c>
      <c r="E325" s="13" t="n">
        <v>252</v>
      </c>
      <c r="F325" s="11" t="n">
        <v>30</v>
      </c>
      <c r="G325" s="14" t="n">
        <v>54.11764706</v>
      </c>
      <c r="H325" s="15" t="n">
        <v>70.58823529</v>
      </c>
      <c r="I325" s="10" t="str">
        <f aca="false">IF(G325&lt;0,"negative profit",IF(G325&gt;Notes!$B$4,"unusually high - verify",""))</f>
        <v/>
      </c>
      <c r="J325" s="10" t="s">
        <v>464</v>
      </c>
    </row>
    <row r="326" customFormat="false" ht="15" hidden="false" customHeight="true" outlineLevel="0" collapsed="false">
      <c r="A326" s="10" t="s">
        <v>697</v>
      </c>
      <c r="B326" s="10" t="s">
        <v>421</v>
      </c>
      <c r="C326" s="11" t="n">
        <v>97</v>
      </c>
      <c r="D326" s="12" t="n">
        <v>29</v>
      </c>
      <c r="E326" s="13" t="n">
        <v>255</v>
      </c>
      <c r="F326" s="11" t="n">
        <v>31</v>
      </c>
      <c r="G326" s="14" t="n">
        <v>110.9243697</v>
      </c>
      <c r="H326" s="15" t="n">
        <v>62.5210084</v>
      </c>
      <c r="I326" s="10" t="str">
        <f aca="false">IF(G326&lt;0,"negative profit",IF(G326&gt;Notes!$B$4,"unusually high - verify",""))</f>
        <v/>
      </c>
      <c r="J326" s="10" t="s">
        <v>464</v>
      </c>
    </row>
    <row r="327" customFormat="false" ht="15" hidden="false" customHeight="true" outlineLevel="0" collapsed="false">
      <c r="A327" s="10" t="s">
        <v>430</v>
      </c>
      <c r="B327" s="10" t="s">
        <v>431</v>
      </c>
      <c r="C327" s="11" t="n">
        <v>15</v>
      </c>
      <c r="D327" s="12" t="n">
        <v>960</v>
      </c>
      <c r="E327" s="13" t="n">
        <v>39</v>
      </c>
      <c r="F327" s="11" t="n">
        <v>7</v>
      </c>
      <c r="G327" s="14" t="n">
        <v>22.175</v>
      </c>
      <c r="H327" s="15" t="n">
        <v>0.4375</v>
      </c>
      <c r="I327" s="10" t="str">
        <f aca="false">IF(G327&lt;0,"negative profit",IF(G327&gt;Notes!$B$4,"unusually high - verify",""))</f>
        <v/>
      </c>
      <c r="J327" s="10" t="s">
        <v>464</v>
      </c>
    </row>
    <row r="328" customFormat="false" ht="15" hidden="false" customHeight="true" outlineLevel="0" collapsed="false">
      <c r="A328" s="10" t="s">
        <v>433</v>
      </c>
      <c r="B328" s="10" t="s">
        <v>431</v>
      </c>
      <c r="C328" s="11" t="n">
        <v>19</v>
      </c>
      <c r="D328" s="12" t="n">
        <v>1080</v>
      </c>
      <c r="E328" s="13" t="n">
        <v>46</v>
      </c>
      <c r="F328" s="11" t="n">
        <v>9</v>
      </c>
      <c r="G328" s="14" t="n">
        <v>21.57777778</v>
      </c>
      <c r="H328" s="15" t="n">
        <v>0.5</v>
      </c>
      <c r="I328" s="10" t="str">
        <f aca="false">IF(G328&lt;0,"negative profit",IF(G328&gt;Notes!$B$4,"unusually high - verify",""))</f>
        <v/>
      </c>
      <c r="J328" s="10" t="s">
        <v>464</v>
      </c>
    </row>
    <row r="329" customFormat="false" ht="15" hidden="false" customHeight="true" outlineLevel="0" collapsed="false">
      <c r="A329" s="10" t="s">
        <v>434</v>
      </c>
      <c r="B329" s="10" t="s">
        <v>431</v>
      </c>
      <c r="C329" s="11" t="n">
        <v>22</v>
      </c>
      <c r="D329" s="12" t="n">
        <v>1620</v>
      </c>
      <c r="E329" s="13" t="n">
        <v>68</v>
      </c>
      <c r="F329" s="11" t="n">
        <v>13</v>
      </c>
      <c r="G329" s="14" t="n">
        <v>17.74814815</v>
      </c>
      <c r="H329" s="15" t="n">
        <v>0.4814814815</v>
      </c>
      <c r="I329" s="10" t="str">
        <f aca="false">IF(G329&lt;0,"negative profit",IF(G329&gt;Notes!$B$4,"unusually high - verify",""))</f>
        <v/>
      </c>
      <c r="J329" s="10" t="s">
        <v>464</v>
      </c>
    </row>
    <row r="330" customFormat="false" ht="15" hidden="false" customHeight="true" outlineLevel="0" collapsed="false">
      <c r="A330" s="10" t="s">
        <v>435</v>
      </c>
      <c r="B330" s="10" t="s">
        <v>431</v>
      </c>
      <c r="C330" s="11" t="n">
        <v>26</v>
      </c>
      <c r="D330" s="12" t="n">
        <v>1920</v>
      </c>
      <c r="E330" s="13" t="n">
        <v>82</v>
      </c>
      <c r="F330" s="11" t="n">
        <v>16</v>
      </c>
      <c r="G330" s="14" t="n">
        <v>17.075</v>
      </c>
      <c r="H330" s="15" t="n">
        <v>0.5</v>
      </c>
      <c r="I330" s="10" t="str">
        <f aca="false">IF(G330&lt;0,"negative profit",IF(G330&gt;Notes!$B$4,"unusually high - verify",""))</f>
        <v/>
      </c>
      <c r="J330" s="10" t="s">
        <v>464</v>
      </c>
    </row>
    <row r="331" customFormat="false" ht="15" hidden="false" customHeight="true" outlineLevel="0" collapsed="false">
      <c r="A331" s="10" t="s">
        <v>436</v>
      </c>
      <c r="B331" s="10" t="s">
        <v>431</v>
      </c>
      <c r="C331" s="11" t="n">
        <v>36</v>
      </c>
      <c r="D331" s="12" t="n">
        <v>2040</v>
      </c>
      <c r="E331" s="13" t="n">
        <v>86</v>
      </c>
      <c r="F331" s="11" t="n">
        <v>16</v>
      </c>
      <c r="G331" s="14" t="n">
        <v>16.85882353</v>
      </c>
      <c r="H331" s="15" t="n">
        <v>0.4705882353</v>
      </c>
      <c r="I331" s="10" t="str">
        <f aca="false">IF(G331&lt;0,"negative profit",IF(G331&gt;Notes!$B$4,"unusually high - verify",""))</f>
        <v/>
      </c>
      <c r="J331" s="10" t="s">
        <v>464</v>
      </c>
    </row>
    <row r="332" customFormat="false" ht="15" hidden="false" customHeight="true" outlineLevel="0" collapsed="false">
      <c r="A332" s="10" t="s">
        <v>437</v>
      </c>
      <c r="B332" s="10" t="s">
        <v>431</v>
      </c>
      <c r="C332" s="11" t="n">
        <v>39</v>
      </c>
      <c r="D332" s="12" t="n">
        <v>35</v>
      </c>
      <c r="E332" s="13" t="n">
        <v>68</v>
      </c>
      <c r="F332" s="11" t="n">
        <v>8</v>
      </c>
      <c r="G332" s="14" t="n">
        <v>109.7142857</v>
      </c>
      <c r="H332" s="15" t="n">
        <v>13.71428571</v>
      </c>
      <c r="I332" s="10" t="str">
        <f aca="false">IF(G332&lt;0,"negative profit",IF(G332&gt;Notes!$B$4,"unusually high - verify",""))</f>
        <v/>
      </c>
      <c r="J332" s="10" t="s">
        <v>464</v>
      </c>
    </row>
    <row r="333" customFormat="false" ht="15" hidden="false" customHeight="true" outlineLevel="0" collapsed="false">
      <c r="A333" s="10" t="s">
        <v>438</v>
      </c>
      <c r="B333" s="10" t="s">
        <v>431</v>
      </c>
      <c r="C333" s="11" t="n">
        <v>42</v>
      </c>
      <c r="D333" s="12" t="n">
        <v>1500</v>
      </c>
      <c r="E333" s="13" t="n">
        <v>64</v>
      </c>
      <c r="F333" s="11" t="n">
        <v>12</v>
      </c>
      <c r="G333" s="14" t="n">
        <v>18.696</v>
      </c>
      <c r="H333" s="15" t="n">
        <v>0.48</v>
      </c>
      <c r="I333" s="10" t="str">
        <f aca="false">IF(G333&lt;0,"negative profit",IF(G333&gt;Notes!$B$4,"unusually high - verify",""))</f>
        <v/>
      </c>
      <c r="J333" s="10" t="s">
        <v>464</v>
      </c>
    </row>
    <row r="334" customFormat="false" ht="15" hidden="false" customHeight="true" outlineLevel="0" collapsed="false">
      <c r="A334" s="10" t="s">
        <v>439</v>
      </c>
      <c r="B334" s="10" t="s">
        <v>431</v>
      </c>
      <c r="C334" s="11" t="n">
        <v>57</v>
      </c>
      <c r="D334" s="12" t="n">
        <v>1440</v>
      </c>
      <c r="E334" s="13" t="n">
        <v>82</v>
      </c>
      <c r="F334" s="11" t="n">
        <v>17</v>
      </c>
      <c r="G334" s="14" t="n">
        <v>19.01666667</v>
      </c>
      <c r="H334" s="15" t="n">
        <v>0.7083333333</v>
      </c>
      <c r="I334" s="10" t="str">
        <f aca="false">IF(G334&lt;0,"negative profit",IF(G334&gt;Notes!$B$4,"unusually high - verify",""))</f>
        <v/>
      </c>
      <c r="J334" s="10" t="s">
        <v>464</v>
      </c>
    </row>
    <row r="335" customFormat="false" ht="15" hidden="false" customHeight="true" outlineLevel="0" collapsed="false">
      <c r="A335" s="10" t="s">
        <v>440</v>
      </c>
      <c r="B335" s="10" t="s">
        <v>431</v>
      </c>
      <c r="C335" s="11" t="n">
        <v>66</v>
      </c>
      <c r="D335" s="12" t="n">
        <v>1740</v>
      </c>
      <c r="E335" s="13" t="n">
        <v>93</v>
      </c>
      <c r="F335" s="11" t="n">
        <v>18</v>
      </c>
      <c r="G335" s="14" t="n">
        <v>18.85517241</v>
      </c>
      <c r="H335" s="15" t="n">
        <v>0.6206896552</v>
      </c>
      <c r="I335" s="10" t="str">
        <f aca="false">IF(G335&lt;0,"negative profit",IF(G335&gt;Notes!$B$4,"unusually high - verify",""))</f>
        <v/>
      </c>
      <c r="J335" s="10" t="s">
        <v>464</v>
      </c>
    </row>
    <row r="336" customFormat="false" ht="15" hidden="false" customHeight="true" outlineLevel="0" collapsed="false">
      <c r="A336" s="10" t="s">
        <v>441</v>
      </c>
      <c r="B336" s="10" t="s">
        <v>431</v>
      </c>
      <c r="C336" s="11" t="n">
        <v>71</v>
      </c>
      <c r="D336" s="12" t="n">
        <v>1860</v>
      </c>
      <c r="E336" s="13" t="n">
        <v>97</v>
      </c>
      <c r="F336" s="11" t="n">
        <v>19</v>
      </c>
      <c r="G336" s="14" t="n">
        <v>17.53548387</v>
      </c>
      <c r="H336" s="15" t="n">
        <v>0.6129032258</v>
      </c>
      <c r="I336" s="10" t="str">
        <f aca="false">IF(G336&lt;0,"negative profit",IF(G336&gt;Notes!$B$4,"unusually high - verify",""))</f>
        <v/>
      </c>
      <c r="J336" s="10" t="s">
        <v>464</v>
      </c>
    </row>
    <row r="337" customFormat="false" ht="15" hidden="false" customHeight="true" outlineLevel="0" collapsed="false">
      <c r="A337" s="10" t="s">
        <v>442</v>
      </c>
      <c r="B337" s="10" t="s">
        <v>431</v>
      </c>
      <c r="C337" s="11" t="n">
        <v>76</v>
      </c>
      <c r="D337" s="12" t="n">
        <v>1800</v>
      </c>
      <c r="E337" s="13" t="n">
        <v>100</v>
      </c>
      <c r="F337" s="11" t="n">
        <v>20</v>
      </c>
      <c r="G337" s="14" t="n">
        <v>18.68</v>
      </c>
      <c r="H337" s="15" t="n">
        <v>0.6666666667</v>
      </c>
      <c r="I337" s="10" t="str">
        <f aca="false">IF(G337&lt;0,"negative profit",IF(G337&gt;Notes!$B$4,"unusually high - verify",""))</f>
        <v/>
      </c>
      <c r="J337" s="10" t="s">
        <v>464</v>
      </c>
    </row>
    <row r="338" customFormat="false" ht="15" hidden="false" customHeight="true" outlineLevel="0" collapsed="false">
      <c r="A338" s="10" t="s">
        <v>443</v>
      </c>
      <c r="B338" s="10" t="s">
        <v>431</v>
      </c>
      <c r="C338" s="11" t="n">
        <v>88</v>
      </c>
      <c r="D338" s="12" t="n">
        <v>1620</v>
      </c>
      <c r="E338" s="13" t="n">
        <v>104</v>
      </c>
      <c r="F338" s="11" t="n">
        <v>20</v>
      </c>
      <c r="G338" s="14" t="n">
        <v>20.63703704</v>
      </c>
      <c r="H338" s="15" t="n">
        <v>0.7407407407</v>
      </c>
      <c r="I338" s="10" t="str">
        <f aca="false">IF(G338&lt;0,"negative profit",IF(G338&gt;Notes!$B$4,"unusually high - verify",""))</f>
        <v/>
      </c>
      <c r="J338" s="10" t="s">
        <v>464</v>
      </c>
    </row>
    <row r="339" customFormat="false" ht="15" hidden="false" customHeight="true" outlineLevel="0" collapsed="false">
      <c r="A339" s="10" t="s">
        <v>444</v>
      </c>
      <c r="B339" s="10" t="s">
        <v>431</v>
      </c>
      <c r="C339" s="11" t="n">
        <v>94</v>
      </c>
      <c r="D339" s="12" t="n">
        <v>1620</v>
      </c>
      <c r="E339" s="13" t="n">
        <v>82</v>
      </c>
      <c r="F339" s="11" t="n">
        <v>16</v>
      </c>
      <c r="G339" s="14" t="n">
        <v>17.64444444</v>
      </c>
      <c r="H339" s="15" t="n">
        <v>0.5925925926</v>
      </c>
      <c r="I339" s="10" t="str">
        <f aca="false">IF(G339&lt;0,"negative profit",IF(G339&gt;Notes!$B$4,"unusually high - verify",""))</f>
        <v/>
      </c>
      <c r="J339" s="10" t="s">
        <v>464</v>
      </c>
    </row>
    <row r="340" customFormat="false" ht="15" hidden="false" customHeight="true" outlineLevel="0" collapsed="false">
      <c r="A340" s="10" t="s">
        <v>445</v>
      </c>
      <c r="B340" s="10" t="s">
        <v>431</v>
      </c>
      <c r="C340" s="11" t="n">
        <v>97</v>
      </c>
      <c r="D340" s="12" t="n">
        <v>1920</v>
      </c>
      <c r="E340" s="13" t="n">
        <v>100</v>
      </c>
      <c r="F340" s="11" t="n">
        <v>20</v>
      </c>
      <c r="G340" s="14" t="n">
        <v>16.8875</v>
      </c>
      <c r="H340" s="15" t="n">
        <v>0.625</v>
      </c>
      <c r="I340" s="10" t="str">
        <f aca="false">IF(G340&lt;0,"negative profit",IF(G340&gt;Notes!$B$4,"unusually high - verify",""))</f>
        <v/>
      </c>
      <c r="J340" s="10" t="s">
        <v>464</v>
      </c>
    </row>
    <row r="341" customFormat="false" ht="15" hidden="false" customHeight="true" outlineLevel="0" collapsed="false">
      <c r="A341" s="10" t="s">
        <v>446</v>
      </c>
      <c r="B341" s="10" t="s">
        <v>431</v>
      </c>
      <c r="C341" s="11" t="n">
        <v>101</v>
      </c>
      <c r="D341" s="12" t="n">
        <v>2160</v>
      </c>
      <c r="E341" s="13" t="n">
        <v>108</v>
      </c>
      <c r="F341" s="11" t="n">
        <v>21</v>
      </c>
      <c r="G341" s="14" t="n">
        <v>16.5</v>
      </c>
      <c r="H341" s="15" t="n">
        <v>0.5833333333</v>
      </c>
      <c r="I341" s="10" t="str">
        <f aca="false">IF(G341&lt;0,"negative profit",IF(G341&gt;Notes!$B$4,"unusually high - verify",""))</f>
        <v/>
      </c>
      <c r="J341" s="10" t="s">
        <v>464</v>
      </c>
    </row>
    <row r="342" customFormat="false" ht="15" hidden="false" customHeight="true" outlineLevel="0" collapsed="false">
      <c r="A342" s="10" t="s">
        <v>447</v>
      </c>
      <c r="B342" s="10" t="s">
        <v>431</v>
      </c>
      <c r="C342" s="11" t="n">
        <v>104</v>
      </c>
      <c r="D342" s="12" t="n">
        <v>2040</v>
      </c>
      <c r="E342" s="13" t="n">
        <v>111</v>
      </c>
      <c r="F342" s="11" t="n">
        <v>22</v>
      </c>
      <c r="G342" s="14" t="n">
        <v>17.37647059</v>
      </c>
      <c r="H342" s="15" t="n">
        <v>0.6470588235</v>
      </c>
      <c r="I342" s="10" t="str">
        <f aca="false">IF(G342&lt;0,"negative profit",IF(G342&gt;Notes!$B$4,"unusually high - verify",""))</f>
        <v/>
      </c>
      <c r="J342" s="10" t="s">
        <v>464</v>
      </c>
    </row>
    <row r="343" customFormat="false" ht="15" hidden="false" customHeight="true" outlineLevel="0" collapsed="false">
      <c r="A343" s="10" t="s">
        <v>698</v>
      </c>
      <c r="B343" s="10" t="s">
        <v>452</v>
      </c>
      <c r="C343" s="11" t="n">
        <v>69</v>
      </c>
      <c r="D343" s="12" t="n">
        <v>51</v>
      </c>
      <c r="E343" s="13" t="n">
        <v>205</v>
      </c>
      <c r="F343" s="11" t="n">
        <v>24</v>
      </c>
      <c r="G343" s="14" t="n">
        <v>29.41176471</v>
      </c>
      <c r="H343" s="15" t="n">
        <v>28.23529412</v>
      </c>
      <c r="I343" s="10" t="str">
        <f aca="false">IF(G343&lt;0,"negative profit",IF(G343&gt;Notes!$B$4,"unusually high - verify",""))</f>
        <v/>
      </c>
      <c r="J343" s="10" t="s">
        <v>464</v>
      </c>
    </row>
    <row r="344" customFormat="false" ht="15" hidden="false" customHeight="true" outlineLevel="0" collapsed="false">
      <c r="A344" s="10" t="s">
        <v>699</v>
      </c>
      <c r="B344" s="10" t="s">
        <v>452</v>
      </c>
      <c r="C344" s="11" t="n">
        <v>79</v>
      </c>
      <c r="D344" s="12" t="n">
        <v>76</v>
      </c>
      <c r="E344" s="13" t="n">
        <v>543</v>
      </c>
      <c r="F344" s="11" t="n">
        <v>65</v>
      </c>
      <c r="G344" s="14" t="n">
        <v>26.66666667</v>
      </c>
      <c r="H344" s="15" t="n">
        <v>50.98039216</v>
      </c>
      <c r="I344" s="10" t="str">
        <f aca="false">IF(G344&lt;0,"negative profit",IF(G344&gt;Notes!$B$4,"unusually high - verify",""))</f>
        <v/>
      </c>
      <c r="J344" s="10" t="s">
        <v>464</v>
      </c>
    </row>
    <row r="345" customFormat="false" ht="15" hidden="false" customHeight="true" outlineLevel="0" collapsed="false">
      <c r="A345" s="10" t="s">
        <v>700</v>
      </c>
      <c r="B345" s="10" t="s">
        <v>452</v>
      </c>
      <c r="C345" s="11" t="n">
        <v>86</v>
      </c>
      <c r="D345" s="12" t="n">
        <v>38</v>
      </c>
      <c r="E345" s="13" t="n">
        <v>669</v>
      </c>
      <c r="F345" s="11" t="n">
        <v>80</v>
      </c>
      <c r="G345" s="14" t="n">
        <v>240</v>
      </c>
      <c r="H345" s="15" t="n">
        <v>125.4901961</v>
      </c>
      <c r="I345" s="10" t="str">
        <f aca="false">IF(G345&lt;0,"negative profit",IF(G345&gt;Notes!$B$4,"unusually high - verify",""))</f>
        <v>unusually high - verify</v>
      </c>
      <c r="J345" s="10" t="s">
        <v>464</v>
      </c>
    </row>
    <row r="346" customFormat="false" ht="15" hidden="false" customHeight="true" outlineLevel="0" collapsed="false">
      <c r="A346" s="10" t="s">
        <v>701</v>
      </c>
      <c r="B346" s="10" t="s">
        <v>452</v>
      </c>
      <c r="C346" s="11" t="n">
        <v>89</v>
      </c>
      <c r="D346" s="12" t="n">
        <v>63</v>
      </c>
      <c r="E346" s="13" t="n">
        <v>306</v>
      </c>
      <c r="F346" s="11" t="n">
        <v>37</v>
      </c>
      <c r="G346" s="14" t="n">
        <v>39.52941176</v>
      </c>
      <c r="H346" s="15" t="n">
        <v>34.82352941</v>
      </c>
      <c r="I346" s="10" t="str">
        <f aca="false">IF(G346&lt;0,"negative profit",IF(G346&gt;Notes!$B$4,"unusually high - verify",""))</f>
        <v/>
      </c>
      <c r="J346" s="10" t="s">
        <v>464</v>
      </c>
    </row>
    <row r="347" customFormat="false" ht="15" hidden="false" customHeight="true" outlineLevel="0" collapsed="false">
      <c r="A347" s="10" t="s">
        <v>457</v>
      </c>
      <c r="B347" s="10" t="s">
        <v>458</v>
      </c>
      <c r="C347" s="11" t="n">
        <v>103</v>
      </c>
      <c r="D347" s="12" t="n">
        <v>102</v>
      </c>
      <c r="E347" s="13" t="n">
        <v>234</v>
      </c>
      <c r="F347" s="11" t="n">
        <v>28</v>
      </c>
      <c r="G347" s="14" t="n">
        <v>22.35294118</v>
      </c>
      <c r="H347" s="15" t="n">
        <v>16.47058824</v>
      </c>
      <c r="I347" s="10" t="str">
        <f aca="false">IF(G347&lt;0,"negative profit",IF(G347&gt;Notes!$B$4,"unusually high - verify",""))</f>
        <v/>
      </c>
      <c r="J347" s="10" t="s">
        <v>464</v>
      </c>
    </row>
    <row r="348" customFormat="false" ht="15" hidden="false" customHeight="true" outlineLevel="0" collapsed="false">
      <c r="A348" s="10" t="s">
        <v>460</v>
      </c>
      <c r="B348" s="10" t="s">
        <v>458</v>
      </c>
      <c r="C348" s="11" t="n">
        <v>105</v>
      </c>
      <c r="D348" s="12" t="n">
        <v>34</v>
      </c>
      <c r="E348" s="13" t="n">
        <v>529</v>
      </c>
      <c r="F348" s="11" t="n">
        <v>63</v>
      </c>
      <c r="G348" s="14" t="n">
        <v>44.11764706</v>
      </c>
      <c r="H348" s="15" t="n">
        <v>111.1764706</v>
      </c>
      <c r="I348" s="10" t="str">
        <f aca="false">IF(G348&lt;0,"negative profit",IF(G348&gt;Notes!$B$4,"unusually high - verify",""))</f>
        <v/>
      </c>
      <c r="J348" s="10" t="s">
        <v>464</v>
      </c>
    </row>
    <row r="349" customFormat="false" ht="15" hidden="false" customHeight="true" outlineLevel="0" collapsed="false">
      <c r="A349" s="10" t="s">
        <v>461</v>
      </c>
      <c r="B349" s="10" t="s">
        <v>458</v>
      </c>
      <c r="C349" s="11" t="n">
        <v>109</v>
      </c>
      <c r="D349" s="12" t="n">
        <v>51</v>
      </c>
      <c r="E349" s="13" t="n">
        <v>457</v>
      </c>
      <c r="F349" s="11" t="n">
        <v>54</v>
      </c>
      <c r="G349" s="14" t="n">
        <v>-210.5882353</v>
      </c>
      <c r="H349" s="15" t="n">
        <v>63.52941176</v>
      </c>
      <c r="I349" s="10" t="str">
        <f aca="false">IF(G349&lt;0,"negative profit",IF(G349&gt;Notes!$B$4,"unusually high - verify",""))</f>
        <v>negative profit</v>
      </c>
      <c r="J349" s="10" t="s">
        <v>464</v>
      </c>
    </row>
  </sheetData>
  <autoFilter ref="A1:J3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9" width="32"/>
    <col collapsed="false" customWidth="true" hidden="false" outlineLevel="0" max="2" min="2" style="9" width="22"/>
    <col collapsed="false" customWidth="true" hidden="false" outlineLevel="0" max="3" min="3" style="9" width="8"/>
    <col collapsed="false" customWidth="true" hidden="false" outlineLevel="0" max="4" min="4" style="9" width="12"/>
    <col collapsed="false" customWidth="true" hidden="false" outlineLevel="0" max="5" min="5" style="9" width="13"/>
    <col collapsed="false" customWidth="true" hidden="false" outlineLevel="0" max="6" min="6" style="9" width="10"/>
    <col collapsed="false" customWidth="true" hidden="false" outlineLevel="0" max="7" min="7" style="9" width="7"/>
    <col collapsed="false" customWidth="true" hidden="false" outlineLevel="0" max="8" min="8" style="9" width="46"/>
    <col collapsed="false" customWidth="true" hidden="false" outlineLevel="0" max="9" min="9" style="9" width="66"/>
    <col collapsed="false" customWidth="true" hidden="false" outlineLevel="0" max="10" min="10" style="9" width="12"/>
    <col collapsed="false" customWidth="true" hidden="false" outlineLevel="0" max="11" min="11" style="9" width="18"/>
    <col collapsed="false" customWidth="true" hidden="false" outlineLevel="0" max="12" min="12" style="9" width="12"/>
    <col collapsed="false" customWidth="true" hidden="false" outlineLevel="0" max="13" min="13" style="9" width="18"/>
    <col collapsed="false" customWidth="true" hidden="false" outlineLevel="0" max="14" min="14" style="9" width="12"/>
    <col collapsed="false" customWidth="true" hidden="false" outlineLevel="0" max="16" min="15" style="9" width="18"/>
  </cols>
  <sheetData>
    <row r="1" customFormat="false" ht="42" hidden="false" customHeight="true" outlineLevel="0" collapsed="false">
      <c r="A1" s="1" t="s">
        <v>0</v>
      </c>
      <c r="B1" s="1" t="s">
        <v>1</v>
      </c>
      <c r="C1" s="1" t="s">
        <v>2</v>
      </c>
      <c r="D1" s="1" t="s">
        <v>3</v>
      </c>
      <c r="E1" s="1" t="s">
        <v>4</v>
      </c>
      <c r="F1" s="1" t="s">
        <v>7</v>
      </c>
      <c r="G1" s="1" t="s">
        <v>9</v>
      </c>
      <c r="H1" s="1" t="s">
        <v>702</v>
      </c>
      <c r="I1" s="1" t="s">
        <v>17</v>
      </c>
      <c r="J1" s="16" t="s">
        <v>703</v>
      </c>
      <c r="K1" s="16" t="s">
        <v>704</v>
      </c>
      <c r="L1" s="16" t="s">
        <v>705</v>
      </c>
      <c r="M1" s="16" t="s">
        <v>706</v>
      </c>
      <c r="N1" s="16" t="s">
        <v>707</v>
      </c>
      <c r="O1" s="16" t="s">
        <v>708</v>
      </c>
      <c r="P1" s="16" t="s">
        <v>709</v>
      </c>
    </row>
    <row r="2" customFormat="false" ht="15" hidden="false" customHeight="true" outlineLevel="0" collapsed="false">
      <c r="A2" s="10" t="s">
        <v>27</v>
      </c>
      <c r="B2" s="10" t="s">
        <v>28</v>
      </c>
      <c r="C2" s="11" t="n">
        <v>2</v>
      </c>
      <c r="D2" s="11" t="n">
        <v>5</v>
      </c>
      <c r="E2" s="11" t="n">
        <v>4</v>
      </c>
      <c r="F2" s="13" t="n">
        <v>21</v>
      </c>
      <c r="G2" s="11" t="n">
        <v>3</v>
      </c>
      <c r="H2" s="10"/>
      <c r="I2" s="10" t="s">
        <v>710</v>
      </c>
      <c r="J2" s="17" t="n">
        <f aca="false">IFERROR(INDEX(hayday_info!$D$2:$D$349,MATCH($A2,hayday_info!$A$2:$A$349,0)),"not found")</f>
        <v>4</v>
      </c>
      <c r="K2" s="10" t="str">
        <f aca="false">IF(J2="not found","not in hayday.info",IF(J2=E2,"matches mastered",IF(J2=D2,"matches normal","differs")))</f>
        <v>matches mastered</v>
      </c>
      <c r="L2" s="18" t="n">
        <f aca="false">IFERROR(INDEX(hayday_info!$E$2:$E$349,MATCH($A2,hayday_info!$A$2:$A$349,0)),"not found")</f>
        <v>21</v>
      </c>
      <c r="M2" s="10" t="str">
        <f aca="false">IF(L2="not found","not in hayday.info",IF(F2="","no Fandom value",IF(L2=F2,"match","differs")))</f>
        <v>match</v>
      </c>
      <c r="N2" s="10" t="n">
        <f aca="false">IFERROR(INDEX(hayday_info!$F$2:$F$349,MATCH($A2,hayday_info!$A$2:$A$349,0)),"not found")</f>
        <v>3</v>
      </c>
      <c r="O2" s="10" t="str">
        <f aca="false">IF(N2="not found","not in hayday.info",IF(G2="","no Fandom value",IF(N2=G2,"match","differs")))</f>
        <v>match</v>
      </c>
      <c r="P2" s="10" t="str">
        <f aca="false">IF(J2="not found","not in hayday.info",IF(C2="","no Fandom value",IF(IFERROR(INDEX(hayday_info!$C$2:$C$349,MATCH($A2,hayday_info!$A$2:$A$349,0)),"not found")=C2,"match","differs")))</f>
        <v>match</v>
      </c>
    </row>
    <row r="3" customFormat="false" ht="15" hidden="false" customHeight="true" outlineLevel="0" collapsed="false">
      <c r="A3" s="10" t="s">
        <v>32</v>
      </c>
      <c r="B3" s="10" t="s">
        <v>28</v>
      </c>
      <c r="C3" s="11" t="n">
        <v>7</v>
      </c>
      <c r="D3" s="11" t="n">
        <v>30</v>
      </c>
      <c r="E3" s="11" t="n">
        <v>25</v>
      </c>
      <c r="F3" s="13" t="n">
        <v>72</v>
      </c>
      <c r="G3" s="11" t="n">
        <v>8</v>
      </c>
      <c r="H3" s="10"/>
      <c r="I3" s="10" t="s">
        <v>710</v>
      </c>
      <c r="J3" s="17" t="n">
        <f aca="false">IFERROR(INDEX(hayday_info!$D$2:$D$349,MATCH($A3,hayday_info!$A$2:$A$349,0)),"not found")</f>
        <v>25</v>
      </c>
      <c r="K3" s="10" t="str">
        <f aca="false">IF(J3="not found","not in hayday.info",IF(J3=E3,"matches mastered",IF(J3=D3,"matches normal","differs")))</f>
        <v>matches mastered</v>
      </c>
      <c r="L3" s="18" t="n">
        <f aca="false">IFERROR(INDEX(hayday_info!$E$2:$E$349,MATCH($A3,hayday_info!$A$2:$A$349,0)),"not found")</f>
        <v>72</v>
      </c>
      <c r="M3" s="10" t="str">
        <f aca="false">IF(L3="not found","not in hayday.info",IF(F3="","no Fandom value",IF(L3=F3,"match","differs")))</f>
        <v>match</v>
      </c>
      <c r="N3" s="10" t="n">
        <f aca="false">IFERROR(INDEX(hayday_info!$F$2:$F$349,MATCH($A3,hayday_info!$A$2:$A$349,0)),"not found")</f>
        <v>8</v>
      </c>
      <c r="O3" s="10" t="str">
        <f aca="false">IF(N3="not found","not in hayday.info",IF(G3="","no Fandom value",IF(N3=G3,"match","differs")))</f>
        <v>match</v>
      </c>
      <c r="P3" s="10" t="str">
        <f aca="false">IF(J3="not found","not in hayday.info",IF(C3="","no Fandom value",IF(IFERROR(INDEX(hayday_info!$C$2:$C$349,MATCH($A3,hayday_info!$A$2:$A$349,0)),"not found")=C3,"match","differs")))</f>
        <v>match</v>
      </c>
    </row>
    <row r="4" customFormat="false" ht="15" hidden="false" customHeight="true" outlineLevel="0" collapsed="false">
      <c r="A4" s="10" t="s">
        <v>33</v>
      </c>
      <c r="B4" s="10" t="s">
        <v>28</v>
      </c>
      <c r="C4" s="11" t="n">
        <v>10</v>
      </c>
      <c r="D4" s="11" t="n">
        <v>60</v>
      </c>
      <c r="E4" s="11" t="n">
        <v>51</v>
      </c>
      <c r="F4" s="13" t="n">
        <v>104</v>
      </c>
      <c r="G4" s="11" t="n">
        <v>13</v>
      </c>
      <c r="H4" s="10"/>
      <c r="I4" s="10" t="s">
        <v>710</v>
      </c>
      <c r="J4" s="17" t="n">
        <f aca="false">IFERROR(INDEX(hayday_info!$D$2:$D$349,MATCH($A4,hayday_info!$A$2:$A$349,0)),"not found")</f>
        <v>51</v>
      </c>
      <c r="K4" s="10" t="str">
        <f aca="false">IF(J4="not found","not in hayday.info",IF(J4=E4,"matches mastered",IF(J4=D4,"matches normal","differs")))</f>
        <v>matches mastered</v>
      </c>
      <c r="L4" s="18" t="n">
        <f aca="false">IFERROR(INDEX(hayday_info!$E$2:$E$349,MATCH($A4,hayday_info!$A$2:$A$349,0)),"not found")</f>
        <v>104</v>
      </c>
      <c r="M4" s="10" t="str">
        <f aca="false">IF(L4="not found","not in hayday.info",IF(F4="","no Fandom value",IF(L4=F4,"match","differs")))</f>
        <v>match</v>
      </c>
      <c r="N4" s="10" t="n">
        <f aca="false">IFERROR(INDEX(hayday_info!$F$2:$F$349,MATCH($A4,hayday_info!$A$2:$A$349,0)),"not found")</f>
        <v>13</v>
      </c>
      <c r="O4" s="10" t="str">
        <f aca="false">IF(N4="not found","not in hayday.info",IF(G4="","no Fandom value",IF(N4=G4,"match","differs")))</f>
        <v>match</v>
      </c>
      <c r="P4" s="10" t="str">
        <f aca="false">IF(J4="not found","not in hayday.info",IF(C4="","no Fandom value",IF(IFERROR(INDEX(hayday_info!$C$2:$C$349,MATCH($A4,hayday_info!$A$2:$A$349,0)),"not found")=C4,"match","differs")))</f>
        <v>match</v>
      </c>
    </row>
    <row r="5" customFormat="false" ht="15" hidden="false" customHeight="true" outlineLevel="0" collapsed="false">
      <c r="A5" s="10" t="s">
        <v>34</v>
      </c>
      <c r="B5" s="10" t="s">
        <v>28</v>
      </c>
      <c r="C5" s="11" t="n">
        <v>19</v>
      </c>
      <c r="D5" s="11" t="n">
        <v>45</v>
      </c>
      <c r="E5" s="11" t="n">
        <v>38</v>
      </c>
      <c r="F5" s="13" t="n">
        <v>140</v>
      </c>
      <c r="G5" s="11" t="n">
        <v>17</v>
      </c>
      <c r="H5" s="10"/>
      <c r="I5" s="10" t="s">
        <v>710</v>
      </c>
      <c r="J5" s="17" t="n">
        <f aca="false">IFERROR(INDEX(hayday_info!$D$2:$D$349,MATCH($A5,hayday_info!$A$2:$A$349,0)),"not found")</f>
        <v>38</v>
      </c>
      <c r="K5" s="10" t="str">
        <f aca="false">IF(J5="not found","not in hayday.info",IF(J5=E5,"matches mastered",IF(J5=D5,"matches normal","differs")))</f>
        <v>matches mastered</v>
      </c>
      <c r="L5" s="18" t="n">
        <f aca="false">IFERROR(INDEX(hayday_info!$E$2:$E$349,MATCH($A5,hayday_info!$A$2:$A$349,0)),"not found")</f>
        <v>140</v>
      </c>
      <c r="M5" s="10" t="str">
        <f aca="false">IF(L5="not found","not in hayday.info",IF(F5="","no Fandom value",IF(L5=F5,"match","differs")))</f>
        <v>match</v>
      </c>
      <c r="N5" s="10" t="n">
        <f aca="false">IFERROR(INDEX(hayday_info!$F$2:$F$349,MATCH($A5,hayday_info!$A$2:$A$349,0)),"not found")</f>
        <v>17</v>
      </c>
      <c r="O5" s="10" t="str">
        <f aca="false">IF(N5="not found","not in hayday.info",IF(G5="","no Fandom value",IF(N5=G5,"match","differs")))</f>
        <v>match</v>
      </c>
      <c r="P5" s="10" t="str">
        <f aca="false">IF(J5="not found","not in hayday.info",IF(C5="","no Fandom value",IF(IFERROR(INDEX(hayday_info!$C$2:$C$349,MATCH($A5,hayday_info!$A$2:$A$349,0)),"not found")=C5,"match","differs")))</f>
        <v>match</v>
      </c>
    </row>
    <row r="6" customFormat="false" ht="15" hidden="false" customHeight="true" outlineLevel="0" collapsed="false">
      <c r="A6" s="10" t="s">
        <v>35</v>
      </c>
      <c r="B6" s="10" t="s">
        <v>28</v>
      </c>
      <c r="C6" s="11" t="n">
        <v>26</v>
      </c>
      <c r="D6" s="11" t="n">
        <v>45</v>
      </c>
      <c r="E6" s="11" t="n">
        <v>38</v>
      </c>
      <c r="F6" s="13" t="n">
        <v>226</v>
      </c>
      <c r="G6" s="11" t="n">
        <v>27</v>
      </c>
      <c r="H6" s="10"/>
      <c r="I6" s="10" t="s">
        <v>710</v>
      </c>
      <c r="J6" s="17" t="n">
        <f aca="false">IFERROR(INDEX(hayday_info!$D$2:$D$349,MATCH($A6,hayday_info!$A$2:$A$349,0)),"not found")</f>
        <v>38</v>
      </c>
      <c r="K6" s="10" t="str">
        <f aca="false">IF(J6="not found","not in hayday.info",IF(J6=E6,"matches mastered",IF(J6=D6,"matches normal","differs")))</f>
        <v>matches mastered</v>
      </c>
      <c r="L6" s="18" t="n">
        <f aca="false">IFERROR(INDEX(hayday_info!$E$2:$E$349,MATCH($A6,hayday_info!$A$2:$A$349,0)),"not found")</f>
        <v>226</v>
      </c>
      <c r="M6" s="10" t="str">
        <f aca="false">IF(L6="not found","not in hayday.info",IF(F6="","no Fandom value",IF(L6=F6,"match","differs")))</f>
        <v>match</v>
      </c>
      <c r="N6" s="10" t="n">
        <f aca="false">IFERROR(INDEX(hayday_info!$F$2:$F$349,MATCH($A6,hayday_info!$A$2:$A$349,0)),"not found")</f>
        <v>27</v>
      </c>
      <c r="O6" s="10" t="str">
        <f aca="false">IF(N6="not found","not in hayday.info",IF(G6="","no Fandom value",IF(N6=G6,"match","differs")))</f>
        <v>match</v>
      </c>
      <c r="P6" s="10" t="str">
        <f aca="false">IF(J6="not found","not in hayday.info",IF(C6="","no Fandom value",IF(IFERROR(INDEX(hayday_info!$C$2:$C$349,MATCH($A6,hayday_info!$A$2:$A$349,0)),"not found")=C6,"match","differs")))</f>
        <v>match</v>
      </c>
    </row>
    <row r="7" customFormat="false" ht="15" hidden="false" customHeight="true" outlineLevel="0" collapsed="false">
      <c r="A7" s="10" t="s">
        <v>36</v>
      </c>
      <c r="B7" s="10" t="s">
        <v>28</v>
      </c>
      <c r="C7" s="11" t="n">
        <v>33</v>
      </c>
      <c r="D7" s="11" t="n">
        <v>15</v>
      </c>
      <c r="E7" s="11" t="n">
        <v>12</v>
      </c>
      <c r="F7" s="13" t="n">
        <v>190</v>
      </c>
      <c r="G7" s="11" t="n">
        <v>23</v>
      </c>
      <c r="H7" s="10"/>
      <c r="I7" s="10" t="s">
        <v>710</v>
      </c>
      <c r="J7" s="17" t="n">
        <f aca="false">IFERROR(INDEX(hayday_info!$D$2:$D$349,MATCH($A7,hayday_info!$A$2:$A$349,0)),"not found")</f>
        <v>12</v>
      </c>
      <c r="K7" s="10" t="str">
        <f aca="false">IF(J7="not found","not in hayday.info",IF(J7=E7,"matches mastered",IF(J7=D7,"matches normal","differs")))</f>
        <v>matches mastered</v>
      </c>
      <c r="L7" s="18" t="n">
        <f aca="false">IFERROR(INDEX(hayday_info!$E$2:$E$349,MATCH($A7,hayday_info!$A$2:$A$349,0)),"not found")</f>
        <v>190</v>
      </c>
      <c r="M7" s="10" t="str">
        <f aca="false">IF(L7="not found","not in hayday.info",IF(F7="","no Fandom value",IF(L7=F7,"match","differs")))</f>
        <v>match</v>
      </c>
      <c r="N7" s="10" t="n">
        <f aca="false">IFERROR(INDEX(hayday_info!$F$2:$F$349,MATCH($A7,hayday_info!$A$2:$A$349,0)),"not found")</f>
        <v>23</v>
      </c>
      <c r="O7" s="10" t="str">
        <f aca="false">IF(N7="not found","not in hayday.info",IF(G7="","no Fandom value",IF(N7=G7,"match","differs")))</f>
        <v>match</v>
      </c>
      <c r="P7" s="10" t="str">
        <f aca="false">IF(J7="not found","not in hayday.info",IF(C7="","no Fandom value",IF(IFERROR(INDEX(hayday_info!$C$2:$C$349,MATCH($A7,hayday_info!$A$2:$A$349,0)),"not found")=C7,"match","differs")))</f>
        <v>match</v>
      </c>
    </row>
    <row r="8" customFormat="false" ht="15" hidden="false" customHeight="true" outlineLevel="0" collapsed="false">
      <c r="A8" s="10" t="s">
        <v>37</v>
      </c>
      <c r="B8" s="10" t="s">
        <v>28</v>
      </c>
      <c r="C8" s="11" t="n">
        <v>37</v>
      </c>
      <c r="D8" s="11" t="n">
        <v>15</v>
      </c>
      <c r="E8" s="11" t="n">
        <v>12</v>
      </c>
      <c r="F8" s="13" t="n">
        <v>226</v>
      </c>
      <c r="G8" s="11" t="n">
        <v>27</v>
      </c>
      <c r="H8" s="10"/>
      <c r="I8" s="10" t="s">
        <v>710</v>
      </c>
      <c r="J8" s="17" t="n">
        <f aca="false">IFERROR(INDEX(hayday_info!$D$2:$D$349,MATCH($A8,hayday_info!$A$2:$A$349,0)),"not found")</f>
        <v>12</v>
      </c>
      <c r="K8" s="10" t="str">
        <f aca="false">IF(J8="not found","not in hayday.info",IF(J8=E8,"matches mastered",IF(J8=D8,"matches normal","differs")))</f>
        <v>matches mastered</v>
      </c>
      <c r="L8" s="18" t="n">
        <f aca="false">IFERROR(INDEX(hayday_info!$E$2:$E$349,MATCH($A8,hayday_info!$A$2:$A$349,0)),"not found")</f>
        <v>226</v>
      </c>
      <c r="M8" s="10" t="str">
        <f aca="false">IF(L8="not found","not in hayday.info",IF(F8="","no Fandom value",IF(L8=F8,"match","differs")))</f>
        <v>match</v>
      </c>
      <c r="N8" s="10" t="n">
        <f aca="false">IFERROR(INDEX(hayday_info!$F$2:$F$349,MATCH($A8,hayday_info!$A$2:$A$349,0)),"not found")</f>
        <v>27</v>
      </c>
      <c r="O8" s="10" t="str">
        <f aca="false">IF(N8="not found","not in hayday.info",IF(G8="","no Fandom value",IF(N8=G8,"match","differs")))</f>
        <v>match</v>
      </c>
      <c r="P8" s="10" t="str">
        <f aca="false">IF(J8="not found","not in hayday.info",IF(C8="","no Fandom value",IF(IFERROR(INDEX(hayday_info!$C$2:$C$349,MATCH($A8,hayday_info!$A$2:$A$349,0)),"not found")=C8,"match","differs")))</f>
        <v>match</v>
      </c>
    </row>
    <row r="9" customFormat="false" ht="15" hidden="false" customHeight="true" outlineLevel="0" collapsed="false">
      <c r="A9" s="10" t="s">
        <v>38</v>
      </c>
      <c r="B9" s="10" t="s">
        <v>28</v>
      </c>
      <c r="C9" s="11" t="n">
        <v>39</v>
      </c>
      <c r="D9" s="11" t="n">
        <v>45</v>
      </c>
      <c r="E9" s="11" t="n">
        <v>38</v>
      </c>
      <c r="F9" s="13" t="n">
        <v>284</v>
      </c>
      <c r="G9" s="11" t="n">
        <v>34</v>
      </c>
      <c r="H9" s="10"/>
      <c r="I9" s="10" t="s">
        <v>710</v>
      </c>
      <c r="J9" s="17" t="n">
        <f aca="false">IFERROR(INDEX(hayday_info!$D$2:$D$349,MATCH($A9,hayday_info!$A$2:$A$349,0)),"not found")</f>
        <v>38</v>
      </c>
      <c r="K9" s="10" t="str">
        <f aca="false">IF(J9="not found","not in hayday.info",IF(J9=E9,"matches mastered",IF(J9=D9,"matches normal","differs")))</f>
        <v>matches mastered</v>
      </c>
      <c r="L9" s="18" t="n">
        <f aca="false">IFERROR(INDEX(hayday_info!$E$2:$E$349,MATCH($A9,hayday_info!$A$2:$A$349,0)),"not found")</f>
        <v>284</v>
      </c>
      <c r="M9" s="10" t="str">
        <f aca="false">IF(L9="not found","not in hayday.info",IF(F9="","no Fandom value",IF(L9=F9,"match","differs")))</f>
        <v>match</v>
      </c>
      <c r="N9" s="10" t="n">
        <f aca="false">IFERROR(INDEX(hayday_info!$F$2:$F$349,MATCH($A9,hayday_info!$A$2:$A$349,0)),"not found")</f>
        <v>34</v>
      </c>
      <c r="O9" s="10" t="str">
        <f aca="false">IF(N9="not found","not in hayday.info",IF(G9="","no Fandom value",IF(N9=G9,"match","differs")))</f>
        <v>match</v>
      </c>
      <c r="P9" s="10" t="str">
        <f aca="false">IF(J9="not found","not in hayday.info",IF(C9="","no Fandom value",IF(IFERROR(INDEX(hayday_info!$C$2:$C$349,MATCH($A9,hayday_info!$A$2:$A$349,0)),"not found")=C9,"match","differs")))</f>
        <v>match</v>
      </c>
    </row>
    <row r="10" customFormat="false" ht="15" hidden="false" customHeight="true" outlineLevel="0" collapsed="false">
      <c r="A10" s="10" t="s">
        <v>147</v>
      </c>
      <c r="B10" s="10" t="s">
        <v>148</v>
      </c>
      <c r="C10" s="11" t="n">
        <v>6</v>
      </c>
      <c r="D10" s="11" t="n">
        <v>20</v>
      </c>
      <c r="E10" s="11" t="n">
        <v>17</v>
      </c>
      <c r="F10" s="13" t="n">
        <v>50</v>
      </c>
      <c r="G10" s="11" t="n">
        <v>6</v>
      </c>
      <c r="H10" s="10"/>
      <c r="I10" s="10" t="s">
        <v>711</v>
      </c>
      <c r="J10" s="17" t="n">
        <f aca="false">IFERROR(INDEX(hayday_info!$D$2:$D$349,MATCH($A10,hayday_info!$A$2:$A$349,0)),"not found")</f>
        <v>17</v>
      </c>
      <c r="K10" s="10" t="str">
        <f aca="false">IF(J10="not found","not in hayday.info",IF(J10=E10,"matches mastered",IF(J10=D10,"matches normal","differs")))</f>
        <v>matches mastered</v>
      </c>
      <c r="L10" s="18" t="n">
        <f aca="false">IFERROR(INDEX(hayday_info!$E$2:$E$349,MATCH($A10,hayday_info!$A$2:$A$349,0)),"not found")</f>
        <v>50</v>
      </c>
      <c r="M10" s="10" t="str">
        <f aca="false">IF(L10="not found","not in hayday.info",IF(F10="","no Fandom value",IF(L10=F10,"match","differs")))</f>
        <v>match</v>
      </c>
      <c r="N10" s="10" t="n">
        <f aca="false">IFERROR(INDEX(hayday_info!$F$2:$F$349,MATCH($A10,hayday_info!$A$2:$A$349,0)),"not found")</f>
        <v>6</v>
      </c>
      <c r="O10" s="10" t="str">
        <f aca="false">IF(N10="not found","not in hayday.info",IF(G10="","no Fandom value",IF(N10=G10,"match","differs")))</f>
        <v>match</v>
      </c>
      <c r="P10" s="10" t="str">
        <f aca="false">IF(J10="not found","not in hayday.info",IF(C10="","no Fandom value",IF(IFERROR(INDEX(hayday_info!$C$2:$C$349,MATCH($A10,hayday_info!$A$2:$A$349,0)),"not found")=C10,"match","differs")))</f>
        <v>match</v>
      </c>
    </row>
    <row r="11" customFormat="false" ht="15" hidden="false" customHeight="true" outlineLevel="0" collapsed="false">
      <c r="A11" s="10" t="s">
        <v>150</v>
      </c>
      <c r="B11" s="10" t="s">
        <v>148</v>
      </c>
      <c r="C11" s="11" t="n">
        <v>9</v>
      </c>
      <c r="D11" s="11" t="n">
        <v>30</v>
      </c>
      <c r="E11" s="11" t="n">
        <v>25</v>
      </c>
      <c r="F11" s="13" t="n">
        <v>82</v>
      </c>
      <c r="G11" s="11" t="n">
        <v>10</v>
      </c>
      <c r="H11" s="10"/>
      <c r="I11" s="10" t="s">
        <v>711</v>
      </c>
      <c r="J11" s="17" t="n">
        <f aca="false">IFERROR(INDEX(hayday_info!$D$2:$D$349,MATCH($A11,hayday_info!$A$2:$A$349,0)),"not found")</f>
        <v>25</v>
      </c>
      <c r="K11" s="10" t="str">
        <f aca="false">IF(J11="not found","not in hayday.info",IF(J11=E11,"matches mastered",IF(J11=D11,"matches normal","differs")))</f>
        <v>matches mastered</v>
      </c>
      <c r="L11" s="18" t="n">
        <f aca="false">IFERROR(INDEX(hayday_info!$E$2:$E$349,MATCH($A11,hayday_info!$A$2:$A$349,0)),"not found")</f>
        <v>82</v>
      </c>
      <c r="M11" s="10" t="str">
        <f aca="false">IF(L11="not found","not in hayday.info",IF(F11="","no Fandom value",IF(L11=F11,"match","differs")))</f>
        <v>match</v>
      </c>
      <c r="N11" s="10" t="n">
        <f aca="false">IFERROR(INDEX(hayday_info!$F$2:$F$349,MATCH($A11,hayday_info!$A$2:$A$349,0)),"not found")</f>
        <v>10</v>
      </c>
      <c r="O11" s="10" t="str">
        <f aca="false">IF(N11="not found","not in hayday.info",IF(G11="","no Fandom value",IF(N11=G11,"match","differs")))</f>
        <v>match</v>
      </c>
      <c r="P11" s="10" t="str">
        <f aca="false">IF(J11="not found","not in hayday.info",IF(C11="","no Fandom value",IF(IFERROR(INDEX(hayday_info!$C$2:$C$349,MATCH($A11,hayday_info!$A$2:$A$349,0)),"not found")=C11,"match","differs")))</f>
        <v>match</v>
      </c>
    </row>
    <row r="12" customFormat="false" ht="15" hidden="false" customHeight="true" outlineLevel="0" collapsed="false">
      <c r="A12" s="10" t="s">
        <v>151</v>
      </c>
      <c r="B12" s="10" t="s">
        <v>148</v>
      </c>
      <c r="C12" s="11" t="n">
        <v>12</v>
      </c>
      <c r="D12" s="11" t="n">
        <v>60</v>
      </c>
      <c r="E12" s="11" t="n">
        <v>51</v>
      </c>
      <c r="F12" s="13" t="n">
        <v>122</v>
      </c>
      <c r="G12" s="11" t="n">
        <v>15</v>
      </c>
      <c r="H12" s="10"/>
      <c r="I12" s="10" t="s">
        <v>711</v>
      </c>
      <c r="J12" s="17" t="n">
        <f aca="false">IFERROR(INDEX(hayday_info!$D$2:$D$349,MATCH($A12,hayday_info!$A$2:$A$349,0)),"not found")</f>
        <v>51</v>
      </c>
      <c r="K12" s="10" t="str">
        <f aca="false">IF(J12="not found","not in hayday.info",IF(J12=E12,"matches mastered",IF(J12=D12,"matches normal","differs")))</f>
        <v>matches mastered</v>
      </c>
      <c r="L12" s="18" t="n">
        <f aca="false">IFERROR(INDEX(hayday_info!$E$2:$E$349,MATCH($A12,hayday_info!$A$2:$A$349,0)),"not found")</f>
        <v>122</v>
      </c>
      <c r="M12" s="10" t="str">
        <f aca="false">IF(L12="not found","not in hayday.info",IF(F12="","no Fandom value",IF(L12=F12,"match","differs")))</f>
        <v>match</v>
      </c>
      <c r="N12" s="10" t="n">
        <f aca="false">IFERROR(INDEX(hayday_info!$F$2:$F$349,MATCH($A12,hayday_info!$A$2:$A$349,0)),"not found")</f>
        <v>15</v>
      </c>
      <c r="O12" s="10" t="str">
        <f aca="false">IF(N12="not found","not in hayday.info",IF(G12="","no Fandom value",IF(N12=G12,"match","differs")))</f>
        <v>match</v>
      </c>
      <c r="P12" s="10" t="str">
        <f aca="false">IF(J12="not found","not in hayday.info",IF(C12="","no Fandom value",IF(IFERROR(INDEX(hayday_info!$C$2:$C$349,MATCH($A12,hayday_info!$A$2:$A$349,0)),"not found")=C12,"match","differs")))</f>
        <v>match</v>
      </c>
    </row>
    <row r="13" customFormat="false" ht="15" hidden="false" customHeight="true" outlineLevel="0" collapsed="false">
      <c r="A13" s="10" t="s">
        <v>152</v>
      </c>
      <c r="B13" s="10" t="s">
        <v>148</v>
      </c>
      <c r="C13" s="11" t="n">
        <v>33</v>
      </c>
      <c r="D13" s="11" t="n">
        <v>90</v>
      </c>
      <c r="E13" s="11" t="n">
        <v>76</v>
      </c>
      <c r="F13" s="13" t="n">
        <v>162</v>
      </c>
      <c r="G13" s="11" t="n">
        <v>19</v>
      </c>
      <c r="H13" s="10"/>
      <c r="I13" s="10" t="s">
        <v>711</v>
      </c>
      <c r="J13" s="17" t="n">
        <f aca="false">IFERROR(INDEX(hayday_info!$D$2:$D$349,MATCH($A13,hayday_info!$A$2:$A$349,0)),"not found")</f>
        <v>76</v>
      </c>
      <c r="K13" s="10" t="str">
        <f aca="false">IF(J13="not found","not in hayday.info",IF(J13=E13,"matches mastered",IF(J13=D13,"matches normal","differs")))</f>
        <v>matches mastered</v>
      </c>
      <c r="L13" s="18" t="n">
        <f aca="false">IFERROR(INDEX(hayday_info!$E$2:$E$349,MATCH($A13,hayday_info!$A$2:$A$349,0)),"not found")</f>
        <v>162</v>
      </c>
      <c r="M13" s="10" t="str">
        <f aca="false">IF(L13="not found","not in hayday.info",IF(F13="","no Fandom value",IF(L13=F13,"match","differs")))</f>
        <v>match</v>
      </c>
      <c r="N13" s="10" t="n">
        <f aca="false">IFERROR(INDEX(hayday_info!$F$2:$F$349,MATCH($A13,hayday_info!$A$2:$A$349,0)),"not found")</f>
        <v>19</v>
      </c>
      <c r="O13" s="10" t="str">
        <f aca="false">IF(N13="not found","not in hayday.info",IF(G13="","no Fandom value",IF(N13=G13,"match","differs")))</f>
        <v>match</v>
      </c>
      <c r="P13" s="10" t="str">
        <f aca="false">IF(J13="not found","not in hayday.info",IF(C13="","no Fandom value",IF(IFERROR(INDEX(hayday_info!$C$2:$C$349,MATCH($A13,hayday_info!$A$2:$A$349,0)),"not found")=C13,"match","differs")))</f>
        <v>match</v>
      </c>
    </row>
    <row r="14" customFormat="false" ht="15" hidden="false" customHeight="true" outlineLevel="0" collapsed="false">
      <c r="A14" s="10" t="s">
        <v>606</v>
      </c>
      <c r="B14" s="10" t="s">
        <v>290</v>
      </c>
      <c r="C14" s="11" t="n">
        <v>14</v>
      </c>
      <c r="D14" s="11" t="n">
        <v>60</v>
      </c>
      <c r="E14" s="11" t="n">
        <v>51</v>
      </c>
      <c r="F14" s="13" t="n">
        <v>82</v>
      </c>
      <c r="G14" s="11" t="n">
        <v>10</v>
      </c>
      <c r="H14" s="10"/>
      <c r="I14" s="10" t="s">
        <v>712</v>
      </c>
      <c r="J14" s="17" t="n">
        <f aca="false">IFERROR(INDEX(hayday_info!$D$2:$D$349,MATCH($A14,hayday_info!$A$2:$A$349,0)),"not found")</f>
        <v>51</v>
      </c>
      <c r="K14" s="10" t="str">
        <f aca="false">IF(J14="not found","not in hayday.info",IF(J14=E14,"matches mastered",IF(J14=D14,"matches normal","differs")))</f>
        <v>matches mastered</v>
      </c>
      <c r="L14" s="18" t="n">
        <f aca="false">IFERROR(INDEX(hayday_info!$E$2:$E$349,MATCH($A14,hayday_info!$A$2:$A$349,0)),"not found")</f>
        <v>82</v>
      </c>
      <c r="M14" s="10" t="str">
        <f aca="false">IF(L14="not found","not in hayday.info",IF(F14="","no Fandom value",IF(L14=F14,"match","differs")))</f>
        <v>match</v>
      </c>
      <c r="N14" s="10" t="n">
        <f aca="false">IFERROR(INDEX(hayday_info!$F$2:$F$349,MATCH($A14,hayday_info!$A$2:$A$349,0)),"not found")</f>
        <v>10</v>
      </c>
      <c r="O14" s="10" t="str">
        <f aca="false">IF(N14="not found","not in hayday.info",IF(G14="","no Fandom value",IF(N14=G14,"match","differs")))</f>
        <v>match</v>
      </c>
      <c r="P14" s="10" t="str">
        <f aca="false">IF(J14="not found","not in hayday.info",IF(C14="","no Fandom value",IF(IFERROR(INDEX(hayday_info!$C$2:$C$349,MATCH($A14,hayday_info!$A$2:$A$349,0)),"not found")=C14,"match","differs")))</f>
        <v>match</v>
      </c>
    </row>
    <row r="15" customFormat="false" ht="15" hidden="false" customHeight="true" outlineLevel="0" collapsed="false">
      <c r="A15" s="10" t="s">
        <v>607</v>
      </c>
      <c r="B15" s="10" t="s">
        <v>290</v>
      </c>
      <c r="C15" s="11" t="n">
        <v>15</v>
      </c>
      <c r="D15" s="11" t="n">
        <v>120</v>
      </c>
      <c r="E15" s="11" t="n">
        <v>102</v>
      </c>
      <c r="F15" s="13" t="n">
        <v>158</v>
      </c>
      <c r="G15" s="11" t="n">
        <v>19</v>
      </c>
      <c r="H15" s="10"/>
      <c r="I15" s="10" t="s">
        <v>712</v>
      </c>
      <c r="J15" s="17" t="n">
        <f aca="false">IFERROR(INDEX(hayday_info!$D$2:$D$349,MATCH($A15,hayday_info!$A$2:$A$349,0)),"not found")</f>
        <v>102</v>
      </c>
      <c r="K15" s="10" t="str">
        <f aca="false">IF(J15="not found","not in hayday.info",IF(J15=E15,"matches mastered",IF(J15=D15,"matches normal","differs")))</f>
        <v>matches mastered</v>
      </c>
      <c r="L15" s="18" t="n">
        <f aca="false">IFERROR(INDEX(hayday_info!$E$2:$E$349,MATCH($A15,hayday_info!$A$2:$A$349,0)),"not found")</f>
        <v>158</v>
      </c>
      <c r="M15" s="10" t="str">
        <f aca="false">IF(L15="not found","not in hayday.info",IF(F15="","no Fandom value",IF(L15=F15,"match","differs")))</f>
        <v>match</v>
      </c>
      <c r="N15" s="10" t="n">
        <f aca="false">IFERROR(INDEX(hayday_info!$F$2:$F$349,MATCH($A15,hayday_info!$A$2:$A$349,0)),"not found")</f>
        <v>19</v>
      </c>
      <c r="O15" s="10" t="str">
        <f aca="false">IF(N15="not found","not in hayday.info",IF(G15="","no Fandom value",IF(N15=G15,"match","differs")))</f>
        <v>match</v>
      </c>
      <c r="P15" s="10" t="str">
        <f aca="false">IF(J15="not found","not in hayday.info",IF(C15="","no Fandom value",IF(IFERROR(INDEX(hayday_info!$C$2:$C$349,MATCH($A15,hayday_info!$A$2:$A$349,0)),"not found")=C15,"match","differs")))</f>
        <v>match</v>
      </c>
    </row>
    <row r="16" customFormat="false" ht="15" hidden="false" customHeight="true" outlineLevel="0" collapsed="false">
      <c r="A16" s="10" t="s">
        <v>608</v>
      </c>
      <c r="B16" s="10" t="s">
        <v>290</v>
      </c>
      <c r="C16" s="11" t="n">
        <v>18</v>
      </c>
      <c r="D16" s="11" t="n">
        <v>180</v>
      </c>
      <c r="E16" s="11" t="n">
        <v>153</v>
      </c>
      <c r="F16" s="13" t="n">
        <v>219</v>
      </c>
      <c r="G16" s="11" t="n">
        <v>26</v>
      </c>
      <c r="H16" s="10"/>
      <c r="I16" s="10" t="s">
        <v>712</v>
      </c>
      <c r="J16" s="17" t="n">
        <f aca="false">IFERROR(INDEX(hayday_info!$D$2:$D$349,MATCH($A16,hayday_info!$A$2:$A$349,0)),"not found")</f>
        <v>153</v>
      </c>
      <c r="K16" s="10" t="str">
        <f aca="false">IF(J16="not found","not in hayday.info",IF(J16=E16,"matches mastered",IF(J16=D16,"matches normal","differs")))</f>
        <v>matches mastered</v>
      </c>
      <c r="L16" s="18" t="n">
        <f aca="false">IFERROR(INDEX(hayday_info!$E$2:$E$349,MATCH($A16,hayday_info!$A$2:$A$349,0)),"not found")</f>
        <v>219</v>
      </c>
      <c r="M16" s="10" t="str">
        <f aca="false">IF(L16="not found","not in hayday.info",IF(F16="","no Fandom value",IF(L16=F16,"match","differs")))</f>
        <v>match</v>
      </c>
      <c r="N16" s="10" t="n">
        <f aca="false">IFERROR(INDEX(hayday_info!$F$2:$F$349,MATCH($A16,hayday_info!$A$2:$A$349,0)),"not found")</f>
        <v>26</v>
      </c>
      <c r="O16" s="10" t="str">
        <f aca="false">IF(N16="not found","not in hayday.info",IF(G16="","no Fandom value",IF(N16=G16,"match","differs")))</f>
        <v>match</v>
      </c>
      <c r="P16" s="10" t="str">
        <f aca="false">IF(J16="not found","not in hayday.info",IF(C16="","no Fandom value",IF(IFERROR(INDEX(hayday_info!$C$2:$C$349,MATCH($A16,hayday_info!$A$2:$A$349,0)),"not found")=C16,"match","differs")))</f>
        <v>match</v>
      </c>
    </row>
    <row r="17" customFormat="false" ht="15" hidden="false" customHeight="true" outlineLevel="0" collapsed="false">
      <c r="A17" s="10" t="s">
        <v>609</v>
      </c>
      <c r="B17" s="10" t="s">
        <v>290</v>
      </c>
      <c r="C17" s="11" t="n">
        <v>28</v>
      </c>
      <c r="D17" s="11" t="n">
        <v>150</v>
      </c>
      <c r="E17" s="11" t="n">
        <v>127</v>
      </c>
      <c r="F17" s="13" t="n">
        <v>270</v>
      </c>
      <c r="G17" s="11" t="n">
        <v>32</v>
      </c>
      <c r="H17" s="10"/>
      <c r="I17" s="10" t="s">
        <v>712</v>
      </c>
      <c r="J17" s="17" t="n">
        <f aca="false">IFERROR(INDEX(hayday_info!$D$2:$D$349,MATCH($A17,hayday_info!$A$2:$A$349,0)),"not found")</f>
        <v>127</v>
      </c>
      <c r="K17" s="10" t="str">
        <f aca="false">IF(J17="not found","not in hayday.info",IF(J17=E17,"matches mastered",IF(J17=D17,"matches normal","differs")))</f>
        <v>matches mastered</v>
      </c>
      <c r="L17" s="18" t="n">
        <f aca="false">IFERROR(INDEX(hayday_info!$E$2:$E$349,MATCH($A17,hayday_info!$A$2:$A$349,0)),"not found")</f>
        <v>270</v>
      </c>
      <c r="M17" s="10" t="str">
        <f aca="false">IF(L17="not found","not in hayday.info",IF(F17="","no Fandom value",IF(L17=F17,"match","differs")))</f>
        <v>match</v>
      </c>
      <c r="N17" s="10" t="n">
        <f aca="false">IFERROR(INDEX(hayday_info!$F$2:$F$349,MATCH($A17,hayday_info!$A$2:$A$349,0)),"not found")</f>
        <v>32</v>
      </c>
      <c r="O17" s="10" t="str">
        <f aca="false">IF(N17="not found","not in hayday.info",IF(G17="","no Fandom value",IF(N17=G17,"match","differs")))</f>
        <v>match</v>
      </c>
      <c r="P17" s="10" t="str">
        <f aca="false">IF(J17="not found","not in hayday.info",IF(C17="","no Fandom value",IF(IFERROR(INDEX(hayday_info!$C$2:$C$349,MATCH($A17,hayday_info!$A$2:$A$349,0)),"not found")=C17,"match","differs")))</f>
        <v>match</v>
      </c>
    </row>
    <row r="18" customFormat="false" ht="15" hidden="false" customHeight="true" outlineLevel="0" collapsed="false">
      <c r="A18" s="10" t="s">
        <v>610</v>
      </c>
      <c r="B18" s="10" t="s">
        <v>290</v>
      </c>
      <c r="C18" s="11" t="n">
        <v>28</v>
      </c>
      <c r="D18" s="11" t="n">
        <v>120</v>
      </c>
      <c r="E18" s="11" t="n">
        <v>102</v>
      </c>
      <c r="F18" s="13" t="n">
        <v>226</v>
      </c>
      <c r="G18" s="11" t="n">
        <v>27</v>
      </c>
      <c r="H18" s="10"/>
      <c r="I18" s="10" t="s">
        <v>712</v>
      </c>
      <c r="J18" s="17" t="n">
        <f aca="false">IFERROR(INDEX(hayday_info!$D$2:$D$349,MATCH($A18,hayday_info!$A$2:$A$349,0)),"not found")</f>
        <v>102</v>
      </c>
      <c r="K18" s="10" t="str">
        <f aca="false">IF(J18="not found","not in hayday.info",IF(J18=E18,"matches mastered",IF(J18=D18,"matches normal","differs")))</f>
        <v>matches mastered</v>
      </c>
      <c r="L18" s="18" t="n">
        <f aca="false">IFERROR(INDEX(hayday_info!$E$2:$E$349,MATCH($A18,hayday_info!$A$2:$A$349,0)),"not found")</f>
        <v>226</v>
      </c>
      <c r="M18" s="10" t="str">
        <f aca="false">IF(L18="not found","not in hayday.info",IF(F18="","no Fandom value",IF(L18=F18,"match","differs")))</f>
        <v>match</v>
      </c>
      <c r="N18" s="10" t="n">
        <f aca="false">IFERROR(INDEX(hayday_info!$F$2:$F$349,MATCH($A18,hayday_info!$A$2:$A$349,0)),"not found")</f>
        <v>27</v>
      </c>
      <c r="O18" s="10" t="str">
        <f aca="false">IF(N18="not found","not in hayday.info",IF(G18="","no Fandom value",IF(N18=G18,"match","differs")))</f>
        <v>match</v>
      </c>
      <c r="P18" s="10" t="str">
        <f aca="false">IF(J18="not found","not in hayday.info",IF(C18="","no Fandom value",IF(IFERROR(INDEX(hayday_info!$C$2:$C$349,MATCH($A18,hayday_info!$A$2:$A$349,0)),"not found")=C18,"match","differs")))</f>
        <v>match</v>
      </c>
    </row>
    <row r="19" customFormat="false" ht="15" hidden="false" customHeight="true" outlineLevel="0" collapsed="false">
      <c r="A19" s="10" t="s">
        <v>611</v>
      </c>
      <c r="B19" s="10" t="s">
        <v>290</v>
      </c>
      <c r="C19" s="11" t="n">
        <v>34</v>
      </c>
      <c r="D19" s="11" t="n">
        <v>90</v>
      </c>
      <c r="E19" s="11" t="n">
        <v>76</v>
      </c>
      <c r="F19" s="13" t="n">
        <v>223</v>
      </c>
      <c r="G19" s="11" t="n">
        <v>26</v>
      </c>
      <c r="H19" s="10"/>
      <c r="I19" s="10" t="s">
        <v>712</v>
      </c>
      <c r="J19" s="17" t="n">
        <f aca="false">IFERROR(INDEX(hayday_info!$D$2:$D$349,MATCH($A19,hayday_info!$A$2:$A$349,0)),"not found")</f>
        <v>76</v>
      </c>
      <c r="K19" s="10" t="str">
        <f aca="false">IF(J19="not found","not in hayday.info",IF(J19=E19,"matches mastered",IF(J19=D19,"matches normal","differs")))</f>
        <v>matches mastered</v>
      </c>
      <c r="L19" s="18" t="n">
        <f aca="false">IFERROR(INDEX(hayday_info!$E$2:$E$349,MATCH($A19,hayday_info!$A$2:$A$349,0)),"not found")</f>
        <v>223</v>
      </c>
      <c r="M19" s="10" t="str">
        <f aca="false">IF(L19="not found","not in hayday.info",IF(F19="","no Fandom value",IF(L19=F19,"match","differs")))</f>
        <v>match</v>
      </c>
      <c r="N19" s="10" t="n">
        <f aca="false">IFERROR(INDEX(hayday_info!$F$2:$F$349,MATCH($A19,hayday_info!$A$2:$A$349,0)),"not found")</f>
        <v>26</v>
      </c>
      <c r="O19" s="10" t="str">
        <f aca="false">IF(N19="not found","not in hayday.info",IF(G19="","no Fandom value",IF(N19=G19,"match","differs")))</f>
        <v>match</v>
      </c>
      <c r="P19" s="10" t="str">
        <f aca="false">IF(J19="not found","not in hayday.info",IF(C19="","no Fandom value",IF(IFERROR(INDEX(hayday_info!$C$2:$C$349,MATCH($A19,hayday_info!$A$2:$A$349,0)),"not found")=C19,"match","differs")))</f>
        <v>match</v>
      </c>
    </row>
    <row r="20" customFormat="false" ht="15" hidden="false" customHeight="true" outlineLevel="0" collapsed="false">
      <c r="A20" s="10" t="s">
        <v>297</v>
      </c>
      <c r="B20" s="10" t="s">
        <v>290</v>
      </c>
      <c r="C20" s="11" t="n">
        <v>36</v>
      </c>
      <c r="D20" s="11" t="n">
        <v>120</v>
      </c>
      <c r="E20" s="11" t="n">
        <v>102</v>
      </c>
      <c r="F20" s="13" t="n">
        <v>367</v>
      </c>
      <c r="G20" s="11" t="n">
        <v>44</v>
      </c>
      <c r="H20" s="10"/>
      <c r="I20" s="10" t="s">
        <v>712</v>
      </c>
      <c r="J20" s="17" t="n">
        <f aca="false">IFERROR(INDEX(hayday_info!$D$2:$D$349,MATCH($A20,hayday_info!$A$2:$A$349,0)),"not found")</f>
        <v>102</v>
      </c>
      <c r="K20" s="10" t="str">
        <f aca="false">IF(J20="not found","not in hayday.info",IF(J20=E20,"matches mastered",IF(J20=D20,"matches normal","differs")))</f>
        <v>matches mastered</v>
      </c>
      <c r="L20" s="18" t="n">
        <f aca="false">IFERROR(INDEX(hayday_info!$E$2:$E$349,MATCH($A20,hayday_info!$A$2:$A$349,0)),"not found")</f>
        <v>367</v>
      </c>
      <c r="M20" s="10" t="str">
        <f aca="false">IF(L20="not found","not in hayday.info",IF(F20="","no Fandom value",IF(L20=F20,"match","differs")))</f>
        <v>match</v>
      </c>
      <c r="N20" s="10" t="n">
        <f aca="false">IFERROR(INDEX(hayday_info!$F$2:$F$349,MATCH($A20,hayday_info!$A$2:$A$349,0)),"not found")</f>
        <v>44</v>
      </c>
      <c r="O20" s="10" t="str">
        <f aca="false">IF(N20="not found","not in hayday.info",IF(G20="","no Fandom value",IF(N20=G20,"match","differs")))</f>
        <v>match</v>
      </c>
      <c r="P20" s="10" t="str">
        <f aca="false">IF(J20="not found","not in hayday.info",IF(C20="","no Fandom value",IF(IFERROR(INDEX(hayday_info!$C$2:$C$349,MATCH($A20,hayday_info!$A$2:$A$349,0)),"not found")=C20,"match","differs")))</f>
        <v>match</v>
      </c>
    </row>
    <row r="21" customFormat="false" ht="15" hidden="false" customHeight="true" outlineLevel="0" collapsed="false">
      <c r="A21" s="10" t="s">
        <v>612</v>
      </c>
      <c r="B21" s="10" t="s">
        <v>290</v>
      </c>
      <c r="C21" s="11" t="n">
        <v>39</v>
      </c>
      <c r="D21" s="11" t="n">
        <v>100</v>
      </c>
      <c r="E21" s="11" t="n">
        <v>85</v>
      </c>
      <c r="F21" s="13" t="n">
        <v>280</v>
      </c>
      <c r="G21" s="11" t="n">
        <v>34</v>
      </c>
      <c r="H21" s="10"/>
      <c r="I21" s="10" t="s">
        <v>712</v>
      </c>
      <c r="J21" s="17" t="n">
        <f aca="false">IFERROR(INDEX(hayday_info!$D$2:$D$349,MATCH($A21,hayday_info!$A$2:$A$349,0)),"not found")</f>
        <v>85</v>
      </c>
      <c r="K21" s="10" t="str">
        <f aca="false">IF(J21="not found","not in hayday.info",IF(J21=E21,"matches mastered",IF(J21=D21,"matches normal","differs")))</f>
        <v>matches mastered</v>
      </c>
      <c r="L21" s="18" t="n">
        <f aca="false">IFERROR(INDEX(hayday_info!$E$2:$E$349,MATCH($A21,hayday_info!$A$2:$A$349,0)),"not found")</f>
        <v>280</v>
      </c>
      <c r="M21" s="10" t="str">
        <f aca="false">IF(L21="not found","not in hayday.info",IF(F21="","no Fandom value",IF(L21=F21,"match","differs")))</f>
        <v>match</v>
      </c>
      <c r="N21" s="10" t="n">
        <f aca="false">IFERROR(INDEX(hayday_info!$F$2:$F$349,MATCH($A21,hayday_info!$A$2:$A$349,0)),"not found")</f>
        <v>34</v>
      </c>
      <c r="O21" s="10" t="str">
        <f aca="false">IF(N21="not found","not in hayday.info",IF(G21="","no Fandom value",IF(N21=G21,"match","differs")))</f>
        <v>match</v>
      </c>
      <c r="P21" s="10" t="str">
        <f aca="false">IF(J21="not found","not in hayday.info",IF(C21="","no Fandom value",IF(IFERROR(INDEX(hayday_info!$C$2:$C$349,MATCH($A21,hayday_info!$A$2:$A$349,0)),"not found")=C21,"match","differs")))</f>
        <v>match</v>
      </c>
    </row>
    <row r="22" customFormat="false" ht="15" hidden="false" customHeight="true" outlineLevel="0" collapsed="false">
      <c r="A22" s="10" t="s">
        <v>614</v>
      </c>
      <c r="B22" s="10" t="s">
        <v>290</v>
      </c>
      <c r="C22" s="11" t="n">
        <v>67</v>
      </c>
      <c r="D22" s="11" t="n">
        <v>135</v>
      </c>
      <c r="E22" s="11" t="n">
        <v>114</v>
      </c>
      <c r="F22" s="13" t="n">
        <v>446</v>
      </c>
      <c r="G22" s="11" t="n">
        <v>53</v>
      </c>
      <c r="H22" s="10"/>
      <c r="I22" s="10" t="s">
        <v>712</v>
      </c>
      <c r="J22" s="17" t="n">
        <f aca="false">IFERROR(INDEX(hayday_info!$D$2:$D$349,MATCH($A22,hayday_info!$A$2:$A$349,0)),"not found")</f>
        <v>114</v>
      </c>
      <c r="K22" s="10" t="str">
        <f aca="false">IF(J22="not found","not in hayday.info",IF(J22=E22,"matches mastered",IF(J22=D22,"matches normal","differs")))</f>
        <v>matches mastered</v>
      </c>
      <c r="L22" s="18" t="n">
        <f aca="false">IFERROR(INDEX(hayday_info!$E$2:$E$349,MATCH($A22,hayday_info!$A$2:$A$349,0)),"not found")</f>
        <v>446</v>
      </c>
      <c r="M22" s="10" t="str">
        <f aca="false">IF(L22="not found","not in hayday.info",IF(F22="","no Fandom value",IF(L22=F22,"match","differs")))</f>
        <v>match</v>
      </c>
      <c r="N22" s="10" t="n">
        <f aca="false">IFERROR(INDEX(hayday_info!$F$2:$F$349,MATCH($A22,hayday_info!$A$2:$A$349,0)),"not found")</f>
        <v>53</v>
      </c>
      <c r="O22" s="10" t="str">
        <f aca="false">IF(N22="not found","not in hayday.info",IF(G22="","no Fandom value",IF(N22=G22,"match","differs")))</f>
        <v>match</v>
      </c>
      <c r="P22" s="10" t="str">
        <f aca="false">IF(J22="not found","not in hayday.info",IF(C22="","no Fandom value",IF(IFERROR(INDEX(hayday_info!$C$2:$C$349,MATCH($A22,hayday_info!$A$2:$A$349,0)),"not found")=C22,"match","differs")))</f>
        <v>match</v>
      </c>
    </row>
    <row r="23" customFormat="false" ht="15" hidden="false" customHeight="true" outlineLevel="0" collapsed="false">
      <c r="A23" s="10" t="s">
        <v>615</v>
      </c>
      <c r="B23" s="10" t="s">
        <v>290</v>
      </c>
      <c r="C23" s="11" t="n">
        <v>76</v>
      </c>
      <c r="D23" s="11" t="n">
        <v>150</v>
      </c>
      <c r="E23" s="11" t="n">
        <v>127</v>
      </c>
      <c r="F23" s="13" t="n">
        <v>435</v>
      </c>
      <c r="G23" s="11" t="n">
        <v>52</v>
      </c>
      <c r="H23" s="10"/>
      <c r="I23" s="10" t="s">
        <v>712</v>
      </c>
      <c r="J23" s="17" t="n">
        <f aca="false">IFERROR(INDEX(hayday_info!$D$2:$D$349,MATCH($A23,hayday_info!$A$2:$A$349,0)),"not found")</f>
        <v>127</v>
      </c>
      <c r="K23" s="10" t="str">
        <f aca="false">IF(J23="not found","not in hayday.info",IF(J23=E23,"matches mastered",IF(J23=D23,"matches normal","differs")))</f>
        <v>matches mastered</v>
      </c>
      <c r="L23" s="18" t="n">
        <f aca="false">IFERROR(INDEX(hayday_info!$E$2:$E$349,MATCH($A23,hayday_info!$A$2:$A$349,0)),"not found")</f>
        <v>435</v>
      </c>
      <c r="M23" s="10" t="str">
        <f aca="false">IF(L23="not found","not in hayday.info",IF(F23="","no Fandom value",IF(L23=F23,"match","differs")))</f>
        <v>match</v>
      </c>
      <c r="N23" s="10" t="n">
        <f aca="false">IFERROR(INDEX(hayday_info!$F$2:$F$349,MATCH($A23,hayday_info!$A$2:$A$349,0)),"not found")</f>
        <v>52</v>
      </c>
      <c r="O23" s="10" t="str">
        <f aca="false">IF(N23="not found","not in hayday.info",IF(G23="","no Fandom value",IF(N23=G23,"match","differs")))</f>
        <v>match</v>
      </c>
      <c r="P23" s="10" t="str">
        <f aca="false">IF(J23="not found","not in hayday.info",IF(C23="","no Fandom value",IF(IFERROR(INDEX(hayday_info!$C$2:$C$349,MATCH($A23,hayday_info!$A$2:$A$349,0)),"not found")=C23,"match","differs")))</f>
        <v>match</v>
      </c>
    </row>
    <row r="24" customFormat="false" ht="15" hidden="false" customHeight="true" outlineLevel="0" collapsed="false">
      <c r="A24" s="10" t="s">
        <v>618</v>
      </c>
      <c r="B24" s="10" t="s">
        <v>290</v>
      </c>
      <c r="C24" s="11" t="n">
        <v>99</v>
      </c>
      <c r="D24" s="11" t="n">
        <v>45</v>
      </c>
      <c r="E24" s="11" t="n">
        <v>38</v>
      </c>
      <c r="F24" s="13" t="n">
        <v>442</v>
      </c>
      <c r="G24" s="11" t="n">
        <v>53</v>
      </c>
      <c r="H24" s="10"/>
      <c r="I24" s="10" t="s">
        <v>712</v>
      </c>
      <c r="J24" s="17" t="n">
        <f aca="false">IFERROR(INDEX(hayday_info!$D$2:$D$349,MATCH($A24,hayday_info!$A$2:$A$349,0)),"not found")</f>
        <v>38</v>
      </c>
      <c r="K24" s="10" t="str">
        <f aca="false">IF(J24="not found","not in hayday.info",IF(J24=E24,"matches mastered",IF(J24=D24,"matches normal","differs")))</f>
        <v>matches mastered</v>
      </c>
      <c r="L24" s="18" t="n">
        <f aca="false">IFERROR(INDEX(hayday_info!$E$2:$E$349,MATCH($A24,hayday_info!$A$2:$A$349,0)),"not found")</f>
        <v>442</v>
      </c>
      <c r="M24" s="10" t="str">
        <f aca="false">IF(L24="not found","not in hayday.info",IF(F24="","no Fandom value",IF(L24=F24,"match","differs")))</f>
        <v>match</v>
      </c>
      <c r="N24" s="10" t="n">
        <f aca="false">IFERROR(INDEX(hayday_info!$F$2:$F$349,MATCH($A24,hayday_info!$A$2:$A$349,0)),"not found")</f>
        <v>53</v>
      </c>
      <c r="O24" s="10" t="str">
        <f aca="false">IF(N24="not found","not in hayday.info",IF(G24="","no Fandom value",IF(N24=G24,"match","differs")))</f>
        <v>match</v>
      </c>
      <c r="P24" s="10" t="str">
        <f aca="false">IF(J24="not found","not in hayday.info",IF(C24="","no Fandom value",IF(IFERROR(INDEX(hayday_info!$C$2:$C$349,MATCH($A24,hayday_info!$A$2:$A$349,0)),"not found")=C24,"match","differs")))</f>
        <v>match</v>
      </c>
    </row>
    <row r="25" customFormat="false" ht="15" hidden="false" customHeight="true" outlineLevel="0" collapsed="false">
      <c r="A25" s="10" t="s">
        <v>491</v>
      </c>
      <c r="B25" s="10" t="s">
        <v>65</v>
      </c>
      <c r="C25" s="11" t="n">
        <v>21</v>
      </c>
      <c r="D25" s="11" t="n">
        <v>90</v>
      </c>
      <c r="E25" s="11" t="n">
        <v>76</v>
      </c>
      <c r="F25" s="13" t="n">
        <v>165</v>
      </c>
      <c r="G25" s="11" t="n">
        <v>20</v>
      </c>
      <c r="H25" s="10"/>
      <c r="I25" s="10" t="s">
        <v>713</v>
      </c>
      <c r="J25" s="17" t="n">
        <f aca="false">IFERROR(INDEX(hayday_info!$D$2:$D$349,MATCH($A25,hayday_info!$A$2:$A$349,0)),"not found")</f>
        <v>76</v>
      </c>
      <c r="K25" s="10" t="str">
        <f aca="false">IF(J25="not found","not in hayday.info",IF(J25=E25,"matches mastered",IF(J25=D25,"matches normal","differs")))</f>
        <v>matches mastered</v>
      </c>
      <c r="L25" s="18" t="n">
        <f aca="false">IFERROR(INDEX(hayday_info!$E$2:$E$349,MATCH($A25,hayday_info!$A$2:$A$349,0)),"not found")</f>
        <v>165</v>
      </c>
      <c r="M25" s="10" t="str">
        <f aca="false">IF(L25="not found","not in hayday.info",IF(F25="","no Fandom value",IF(L25=F25,"match","differs")))</f>
        <v>match</v>
      </c>
      <c r="N25" s="10" t="n">
        <f aca="false">IFERROR(INDEX(hayday_info!$F$2:$F$349,MATCH($A25,hayday_info!$A$2:$A$349,0)),"not found")</f>
        <v>20</v>
      </c>
      <c r="O25" s="10" t="str">
        <f aca="false">IF(N25="not found","not in hayday.info",IF(G25="","no Fandom value",IF(N25=G25,"match","differs")))</f>
        <v>match</v>
      </c>
      <c r="P25" s="10" t="str">
        <f aca="false">IF(J25="not found","not in hayday.info",IF(C25="","no Fandom value",IF(IFERROR(INDEX(hayday_info!$C$2:$C$349,MATCH($A25,hayday_info!$A$2:$A$349,0)),"not found")=C25,"match","differs")))</f>
        <v>match</v>
      </c>
    </row>
    <row r="26" customFormat="false" ht="15" hidden="false" customHeight="true" outlineLevel="0" collapsed="false">
      <c r="A26" s="10" t="s">
        <v>492</v>
      </c>
      <c r="B26" s="10" t="s">
        <v>65</v>
      </c>
      <c r="C26" s="11" t="n">
        <v>23</v>
      </c>
      <c r="D26" s="11" t="n">
        <v>180</v>
      </c>
      <c r="E26" s="11" t="n">
        <v>153</v>
      </c>
      <c r="F26" s="13" t="n">
        <v>219</v>
      </c>
      <c r="G26" s="11" t="n">
        <v>26</v>
      </c>
      <c r="H26" s="10"/>
      <c r="I26" s="10" t="s">
        <v>713</v>
      </c>
      <c r="J26" s="17" t="n">
        <f aca="false">IFERROR(INDEX(hayday_info!$D$2:$D$349,MATCH($A26,hayday_info!$A$2:$A$349,0)),"not found")</f>
        <v>153</v>
      </c>
      <c r="K26" s="10" t="str">
        <f aca="false">IF(J26="not found","not in hayday.info",IF(J26=E26,"matches mastered",IF(J26=D26,"matches normal","differs")))</f>
        <v>matches mastered</v>
      </c>
      <c r="L26" s="18" t="n">
        <f aca="false">IFERROR(INDEX(hayday_info!$E$2:$E$349,MATCH($A26,hayday_info!$A$2:$A$349,0)),"not found")</f>
        <v>219</v>
      </c>
      <c r="M26" s="10" t="str">
        <f aca="false">IF(L26="not found","not in hayday.info",IF(F26="","no Fandom value",IF(L26=F26,"match","differs")))</f>
        <v>match</v>
      </c>
      <c r="N26" s="10" t="n">
        <f aca="false">IFERROR(INDEX(hayday_info!$F$2:$F$349,MATCH($A26,hayday_info!$A$2:$A$349,0)),"not found")</f>
        <v>26</v>
      </c>
      <c r="O26" s="10" t="str">
        <f aca="false">IF(N26="not found","not in hayday.info",IF(G26="","no Fandom value",IF(N26=G26,"match","differs")))</f>
        <v>match</v>
      </c>
      <c r="P26" s="10" t="str">
        <f aca="false">IF(J26="not found","not in hayday.info",IF(C26="","no Fandom value",IF(IFERROR(INDEX(hayday_info!$C$2:$C$349,MATCH($A26,hayday_info!$A$2:$A$349,0)),"not found")=C26,"match","differs")))</f>
        <v>match</v>
      </c>
    </row>
    <row r="27" customFormat="false" ht="15" hidden="false" customHeight="true" outlineLevel="0" collapsed="false">
      <c r="A27" s="10" t="s">
        <v>493</v>
      </c>
      <c r="B27" s="10" t="s">
        <v>65</v>
      </c>
      <c r="C27" s="11" t="n">
        <v>23</v>
      </c>
      <c r="D27" s="11" t="n">
        <v>60</v>
      </c>
      <c r="E27" s="11" t="n">
        <v>51</v>
      </c>
      <c r="F27" s="13" t="n">
        <v>255</v>
      </c>
      <c r="G27" s="11" t="n">
        <v>31</v>
      </c>
      <c r="H27" s="10"/>
      <c r="I27" s="10" t="s">
        <v>713</v>
      </c>
      <c r="J27" s="17" t="n">
        <f aca="false">IFERROR(INDEX(hayday_info!$D$2:$D$349,MATCH($A27,hayday_info!$A$2:$A$349,0)),"not found")</f>
        <v>51</v>
      </c>
      <c r="K27" s="10" t="str">
        <f aca="false">IF(J27="not found","not in hayday.info",IF(J27=E27,"matches mastered",IF(J27=D27,"matches normal","differs")))</f>
        <v>matches mastered</v>
      </c>
      <c r="L27" s="18" t="n">
        <f aca="false">IFERROR(INDEX(hayday_info!$E$2:$E$349,MATCH($A27,hayday_info!$A$2:$A$349,0)),"not found")</f>
        <v>255</v>
      </c>
      <c r="M27" s="10" t="str">
        <f aca="false">IF(L27="not found","not in hayday.info",IF(F27="","no Fandom value",IF(L27=F27,"match","differs")))</f>
        <v>match</v>
      </c>
      <c r="N27" s="10" t="n">
        <f aca="false">IFERROR(INDEX(hayday_info!$F$2:$F$349,MATCH($A27,hayday_info!$A$2:$A$349,0)),"not found")</f>
        <v>31</v>
      </c>
      <c r="O27" s="10" t="str">
        <f aca="false">IF(N27="not found","not in hayday.info",IF(G27="","no Fandom value",IF(N27=G27,"match","differs")))</f>
        <v>match</v>
      </c>
      <c r="P27" s="10" t="str">
        <f aca="false">IF(J27="not found","not in hayday.info",IF(C27="","no Fandom value",IF(IFERROR(INDEX(hayday_info!$C$2:$C$349,MATCH($A27,hayday_info!$A$2:$A$349,0)),"not found")=C27,"match","differs")))</f>
        <v>match</v>
      </c>
    </row>
    <row r="28" customFormat="false" ht="15" hidden="false" customHeight="true" outlineLevel="0" collapsed="false">
      <c r="A28" s="10" t="s">
        <v>69</v>
      </c>
      <c r="B28" s="10" t="s">
        <v>65</v>
      </c>
      <c r="C28" s="11" t="n">
        <v>24</v>
      </c>
      <c r="D28" s="11" t="n">
        <v>240</v>
      </c>
      <c r="E28" s="11" t="n">
        <v>204</v>
      </c>
      <c r="F28" s="13" t="n">
        <v>284</v>
      </c>
      <c r="G28" s="11" t="n">
        <v>34</v>
      </c>
      <c r="H28" s="10"/>
      <c r="I28" s="10" t="s">
        <v>713</v>
      </c>
      <c r="J28" s="17" t="n">
        <f aca="false">IFERROR(INDEX(hayday_info!$D$2:$D$349,MATCH($A28,hayday_info!$A$2:$A$349,0)),"not found")</f>
        <v>204</v>
      </c>
      <c r="K28" s="10" t="str">
        <f aca="false">IF(J28="not found","not in hayday.info",IF(J28=E28,"matches mastered",IF(J28=D28,"matches normal","differs")))</f>
        <v>matches mastered</v>
      </c>
      <c r="L28" s="18" t="n">
        <f aca="false">IFERROR(INDEX(hayday_info!$E$2:$E$349,MATCH($A28,hayday_info!$A$2:$A$349,0)),"not found")</f>
        <v>284</v>
      </c>
      <c r="M28" s="10" t="str">
        <f aca="false">IF(L28="not found","not in hayday.info",IF(F28="","no Fandom value",IF(L28=F28,"match","differs")))</f>
        <v>match</v>
      </c>
      <c r="N28" s="10" t="n">
        <f aca="false">IFERROR(INDEX(hayday_info!$F$2:$F$349,MATCH($A28,hayday_info!$A$2:$A$349,0)),"not found")</f>
        <v>34</v>
      </c>
      <c r="O28" s="10" t="str">
        <f aca="false">IF(N28="not found","not in hayday.info",IF(G28="","no Fandom value",IF(N28=G28,"match","differs")))</f>
        <v>match</v>
      </c>
      <c r="P28" s="10" t="str">
        <f aca="false">IF(J28="not found","not in hayday.info",IF(C28="","no Fandom value",IF(IFERROR(INDEX(hayday_info!$C$2:$C$349,MATCH($A28,hayday_info!$A$2:$A$349,0)),"not found")=C28,"match","differs")))</f>
        <v>match</v>
      </c>
    </row>
    <row r="29" customFormat="false" ht="15" hidden="false" customHeight="true" outlineLevel="0" collapsed="false">
      <c r="A29" s="10" t="s">
        <v>494</v>
      </c>
      <c r="B29" s="10" t="s">
        <v>65</v>
      </c>
      <c r="C29" s="11" t="n">
        <v>35</v>
      </c>
      <c r="D29" s="11" t="n">
        <v>180</v>
      </c>
      <c r="E29" s="11" t="n">
        <v>153</v>
      </c>
      <c r="F29" s="13" t="n">
        <v>316</v>
      </c>
      <c r="G29" s="11" t="n">
        <v>38</v>
      </c>
      <c r="H29" s="10"/>
      <c r="I29" s="10" t="s">
        <v>713</v>
      </c>
      <c r="J29" s="17" t="n">
        <f aca="false">IFERROR(INDEX(hayday_info!$D$2:$D$349,MATCH($A29,hayday_info!$A$2:$A$349,0)),"not found")</f>
        <v>153</v>
      </c>
      <c r="K29" s="10" t="str">
        <f aca="false">IF(J29="not found","not in hayday.info",IF(J29=E29,"matches mastered",IF(J29=D29,"matches normal","differs")))</f>
        <v>matches mastered</v>
      </c>
      <c r="L29" s="18" t="n">
        <f aca="false">IFERROR(INDEX(hayday_info!$E$2:$E$349,MATCH($A29,hayday_info!$A$2:$A$349,0)),"not found")</f>
        <v>316</v>
      </c>
      <c r="M29" s="10" t="str">
        <f aca="false">IF(L29="not found","not in hayday.info",IF(F29="","no Fandom value",IF(L29=F29,"match","differs")))</f>
        <v>match</v>
      </c>
      <c r="N29" s="10" t="n">
        <f aca="false">IFERROR(INDEX(hayday_info!$F$2:$F$349,MATCH($A29,hayday_info!$A$2:$A$349,0)),"not found")</f>
        <v>38</v>
      </c>
      <c r="O29" s="10" t="str">
        <f aca="false">IF(N29="not found","not in hayday.info",IF(G29="","no Fandom value",IF(N29=G29,"match","differs")))</f>
        <v>match</v>
      </c>
      <c r="P29" s="10" t="str">
        <f aca="false">IF(J29="not found","not in hayday.info",IF(C29="","no Fandom value",IF(IFERROR(INDEX(hayday_info!$C$2:$C$349,MATCH($A29,hayday_info!$A$2:$A$349,0)),"not found")=C29,"match","differs")))</f>
        <v>match</v>
      </c>
    </row>
    <row r="30" customFormat="false" ht="15" hidden="false" customHeight="true" outlineLevel="0" collapsed="false">
      <c r="A30" s="10" t="s">
        <v>495</v>
      </c>
      <c r="B30" s="10" t="s">
        <v>65</v>
      </c>
      <c r="C30" s="11" t="n">
        <v>36</v>
      </c>
      <c r="D30" s="11" t="n">
        <v>120</v>
      </c>
      <c r="E30" s="11" t="n">
        <v>102</v>
      </c>
      <c r="F30" s="13" t="n">
        <v>320</v>
      </c>
      <c r="G30" s="11" t="n">
        <v>38</v>
      </c>
      <c r="H30" s="10"/>
      <c r="I30" s="10" t="s">
        <v>713</v>
      </c>
      <c r="J30" s="17" t="n">
        <f aca="false">IFERROR(INDEX(hayday_info!$D$2:$D$349,MATCH($A30,hayday_info!$A$2:$A$349,0)),"not found")</f>
        <v>102</v>
      </c>
      <c r="K30" s="10" t="str">
        <f aca="false">IF(J30="not found","not in hayday.info",IF(J30=E30,"matches mastered",IF(J30=D30,"matches normal","differs")))</f>
        <v>matches mastered</v>
      </c>
      <c r="L30" s="18" t="n">
        <f aca="false">IFERROR(INDEX(hayday_info!$E$2:$E$349,MATCH($A30,hayday_info!$A$2:$A$349,0)),"not found")</f>
        <v>320</v>
      </c>
      <c r="M30" s="10" t="str">
        <f aca="false">IF(L30="not found","not in hayday.info",IF(F30="","no Fandom value",IF(L30=F30,"match","differs")))</f>
        <v>match</v>
      </c>
      <c r="N30" s="10" t="n">
        <f aca="false">IFERROR(INDEX(hayday_info!$F$2:$F$349,MATCH($A30,hayday_info!$A$2:$A$349,0)),"not found")</f>
        <v>38</v>
      </c>
      <c r="O30" s="10" t="str">
        <f aca="false">IF(N30="not found","not in hayday.info",IF(G30="","no Fandom value",IF(N30=G30,"match","differs")))</f>
        <v>match</v>
      </c>
      <c r="P30" s="10" t="str">
        <f aca="false">IF(J30="not found","not in hayday.info",IF(C30="","no Fandom value",IF(IFERROR(INDEX(hayday_info!$C$2:$C$349,MATCH($A30,hayday_info!$A$2:$A$349,0)),"not found")=C30,"match","differs")))</f>
        <v>match</v>
      </c>
    </row>
    <row r="31" customFormat="false" ht="15" hidden="false" customHeight="true" outlineLevel="0" collapsed="false">
      <c r="A31" s="10" t="s">
        <v>496</v>
      </c>
      <c r="B31" s="10" t="s">
        <v>65</v>
      </c>
      <c r="C31" s="11" t="n">
        <v>38</v>
      </c>
      <c r="D31" s="11" t="n">
        <v>120</v>
      </c>
      <c r="E31" s="11" t="n">
        <v>102</v>
      </c>
      <c r="F31" s="13" t="n">
        <v>309</v>
      </c>
      <c r="G31" s="11" t="n">
        <v>37</v>
      </c>
      <c r="H31" s="10"/>
      <c r="I31" s="10" t="s">
        <v>713</v>
      </c>
      <c r="J31" s="17" t="n">
        <f aca="false">IFERROR(INDEX(hayday_info!$D$2:$D$349,MATCH($A31,hayday_info!$A$2:$A$349,0)),"not found")</f>
        <v>102</v>
      </c>
      <c r="K31" s="10" t="str">
        <f aca="false">IF(J31="not found","not in hayday.info",IF(J31=E31,"matches mastered",IF(J31=D31,"matches normal","differs")))</f>
        <v>matches mastered</v>
      </c>
      <c r="L31" s="18" t="n">
        <f aca="false">IFERROR(INDEX(hayday_info!$E$2:$E$349,MATCH($A31,hayday_info!$A$2:$A$349,0)),"not found")</f>
        <v>309</v>
      </c>
      <c r="M31" s="10" t="str">
        <f aca="false">IF(L31="not found","not in hayday.info",IF(F31="","no Fandom value",IF(L31=F31,"match","differs")))</f>
        <v>match</v>
      </c>
      <c r="N31" s="10" t="n">
        <f aca="false">IFERROR(INDEX(hayday_info!$F$2:$F$349,MATCH($A31,hayday_info!$A$2:$A$349,0)),"not found")</f>
        <v>37</v>
      </c>
      <c r="O31" s="10" t="str">
        <f aca="false">IF(N31="not found","not in hayday.info",IF(G31="","no Fandom value",IF(N31=G31,"match","differs")))</f>
        <v>match</v>
      </c>
      <c r="P31" s="10" t="str">
        <f aca="false">IF(J31="not found","not in hayday.info",IF(C31="","no Fandom value",IF(IFERROR(INDEX(hayday_info!$C$2:$C$349,MATCH($A31,hayday_info!$A$2:$A$349,0)),"not found")=C31,"match","differs")))</f>
        <v>match</v>
      </c>
    </row>
    <row r="32" customFormat="false" ht="15" hidden="false" customHeight="true" outlineLevel="0" collapsed="false">
      <c r="A32" s="10" t="s">
        <v>497</v>
      </c>
      <c r="B32" s="10" t="s">
        <v>65</v>
      </c>
      <c r="C32" s="11" t="n">
        <v>42</v>
      </c>
      <c r="D32" s="11" t="n">
        <v>200</v>
      </c>
      <c r="E32" s="11" t="n">
        <v>170</v>
      </c>
      <c r="F32" s="13" t="n">
        <v>482</v>
      </c>
      <c r="G32" s="11" t="n">
        <v>57</v>
      </c>
      <c r="H32" s="10"/>
      <c r="I32" s="10" t="s">
        <v>713</v>
      </c>
      <c r="J32" s="17" t="n">
        <f aca="false">IFERROR(INDEX(hayday_info!$D$2:$D$349,MATCH($A32,hayday_info!$A$2:$A$349,0)),"not found")</f>
        <v>170</v>
      </c>
      <c r="K32" s="10" t="str">
        <f aca="false">IF(J32="not found","not in hayday.info",IF(J32=E32,"matches mastered",IF(J32=D32,"matches normal","differs")))</f>
        <v>matches mastered</v>
      </c>
      <c r="L32" s="18" t="n">
        <f aca="false">IFERROR(INDEX(hayday_info!$E$2:$E$349,MATCH($A32,hayday_info!$A$2:$A$349,0)),"not found")</f>
        <v>482</v>
      </c>
      <c r="M32" s="10" t="str">
        <f aca="false">IF(L32="not found","not in hayday.info",IF(F32="","no Fandom value",IF(L32=F32,"match","differs")))</f>
        <v>match</v>
      </c>
      <c r="N32" s="10" t="n">
        <f aca="false">IFERROR(INDEX(hayday_info!$F$2:$F$349,MATCH($A32,hayday_info!$A$2:$A$349,0)),"not found")</f>
        <v>57</v>
      </c>
      <c r="O32" s="10" t="str">
        <f aca="false">IF(N32="not found","not in hayday.info",IF(G32="","no Fandom value",IF(N32=G32,"match","differs")))</f>
        <v>match</v>
      </c>
      <c r="P32" s="10" t="str">
        <f aca="false">IF(J32="not found","not in hayday.info",IF(C32="","no Fandom value",IF(IFERROR(INDEX(hayday_info!$C$2:$C$349,MATCH($A32,hayday_info!$A$2:$A$349,0)),"not found")=C32,"match","differs")))</f>
        <v>match</v>
      </c>
    </row>
    <row r="33" customFormat="false" ht="15" hidden="false" customHeight="true" outlineLevel="0" collapsed="false">
      <c r="A33" s="10" t="s">
        <v>498</v>
      </c>
      <c r="B33" s="10" t="s">
        <v>65</v>
      </c>
      <c r="C33" s="11" t="n">
        <v>54</v>
      </c>
      <c r="D33" s="11" t="n">
        <v>15</v>
      </c>
      <c r="E33" s="11" t="n">
        <v>12</v>
      </c>
      <c r="F33" s="13" t="n">
        <v>450</v>
      </c>
      <c r="G33" s="11" t="n">
        <v>49</v>
      </c>
      <c r="H33" s="10"/>
      <c r="I33" s="10" t="s">
        <v>713</v>
      </c>
      <c r="J33" s="17" t="n">
        <f aca="false">IFERROR(INDEX(hayday_info!$D$2:$D$349,MATCH($A33,hayday_info!$A$2:$A$349,0)),"not found")</f>
        <v>12</v>
      </c>
      <c r="K33" s="10" t="str">
        <f aca="false">IF(J33="not found","not in hayday.info",IF(J33=E33,"matches mastered",IF(J33=D33,"matches normal","differs")))</f>
        <v>matches mastered</v>
      </c>
      <c r="L33" s="18" t="n">
        <f aca="false">IFERROR(INDEX(hayday_info!$E$2:$E$349,MATCH($A33,hayday_info!$A$2:$A$349,0)),"not found")</f>
        <v>450</v>
      </c>
      <c r="M33" s="10" t="str">
        <f aca="false">IF(L33="not found","not in hayday.info",IF(F33="","no Fandom value",IF(L33=F33,"match","differs")))</f>
        <v>match</v>
      </c>
      <c r="N33" s="10" t="n">
        <f aca="false">IFERROR(INDEX(hayday_info!$F$2:$F$349,MATCH($A33,hayday_info!$A$2:$A$349,0)),"not found")</f>
        <v>49</v>
      </c>
      <c r="O33" s="10" t="str">
        <f aca="false">IF(N33="not found","not in hayday.info",IF(G33="","no Fandom value",IF(N33=G33,"match","differs")))</f>
        <v>match</v>
      </c>
      <c r="P33" s="10" t="str">
        <f aca="false">IF(J33="not found","not in hayday.info",IF(C33="","no Fandom value",IF(IFERROR(INDEX(hayday_info!$C$2:$C$349,MATCH($A33,hayday_info!$A$2:$A$349,0)),"not found")=C33,"match","differs")))</f>
        <v>match</v>
      </c>
    </row>
    <row r="34" customFormat="false" ht="15" hidden="false" customHeight="true" outlineLevel="0" collapsed="false">
      <c r="A34" s="10" t="s">
        <v>499</v>
      </c>
      <c r="B34" s="10" t="s">
        <v>65</v>
      </c>
      <c r="C34" s="11" t="n">
        <v>65</v>
      </c>
      <c r="D34" s="11" t="n">
        <v>75</v>
      </c>
      <c r="E34" s="11" t="n">
        <v>63</v>
      </c>
      <c r="F34" s="13" t="n">
        <v>259</v>
      </c>
      <c r="G34" s="11" t="n">
        <v>31</v>
      </c>
      <c r="H34" s="10"/>
      <c r="I34" s="10" t="s">
        <v>713</v>
      </c>
      <c r="J34" s="17" t="n">
        <f aca="false">IFERROR(INDEX(hayday_info!$D$2:$D$349,MATCH($A34,hayday_info!$A$2:$A$349,0)),"not found")</f>
        <v>63</v>
      </c>
      <c r="K34" s="10" t="str">
        <f aca="false">IF(J34="not found","not in hayday.info",IF(J34=E34,"matches mastered",IF(J34=D34,"matches normal","differs")))</f>
        <v>matches mastered</v>
      </c>
      <c r="L34" s="18" t="n">
        <f aca="false">IFERROR(INDEX(hayday_info!$E$2:$E$349,MATCH($A34,hayday_info!$A$2:$A$349,0)),"not found")</f>
        <v>259</v>
      </c>
      <c r="M34" s="10" t="str">
        <f aca="false">IF(L34="not found","not in hayday.info",IF(F34="","no Fandom value",IF(L34=F34,"match","differs")))</f>
        <v>match</v>
      </c>
      <c r="N34" s="10" t="n">
        <f aca="false">IFERROR(INDEX(hayday_info!$F$2:$F$349,MATCH($A34,hayday_info!$A$2:$A$349,0)),"not found")</f>
        <v>31</v>
      </c>
      <c r="O34" s="10" t="str">
        <f aca="false">IF(N34="not found","not in hayday.info",IF(G34="","no Fandom value",IF(N34=G34,"match","differs")))</f>
        <v>match</v>
      </c>
      <c r="P34" s="10" t="str">
        <f aca="false">IF(J34="not found","not in hayday.info",IF(C34="","no Fandom value",IF(IFERROR(INDEX(hayday_info!$C$2:$C$349,MATCH($A34,hayday_info!$A$2:$A$349,0)),"not found")=C34,"match","differs")))</f>
        <v>match</v>
      </c>
    </row>
    <row r="35" customFormat="false" ht="15" hidden="false" customHeight="true" outlineLevel="0" collapsed="false">
      <c r="A35" s="10" t="s">
        <v>500</v>
      </c>
      <c r="B35" s="10" t="s">
        <v>65</v>
      </c>
      <c r="C35" s="11" t="n">
        <v>68</v>
      </c>
      <c r="D35" s="11" t="n">
        <v>150</v>
      </c>
      <c r="E35" s="11" t="n">
        <v>127</v>
      </c>
      <c r="F35" s="13" t="n">
        <v>896</v>
      </c>
      <c r="G35" s="11" t="n">
        <v>107</v>
      </c>
      <c r="H35" s="10"/>
      <c r="I35" s="10" t="s">
        <v>713</v>
      </c>
      <c r="J35" s="17" t="n">
        <f aca="false">IFERROR(INDEX(hayday_info!$D$2:$D$349,MATCH($A35,hayday_info!$A$2:$A$349,0)),"not found")</f>
        <v>127</v>
      </c>
      <c r="K35" s="10" t="str">
        <f aca="false">IF(J35="not found","not in hayday.info",IF(J35=E35,"matches mastered",IF(J35=D35,"matches normal","differs")))</f>
        <v>matches mastered</v>
      </c>
      <c r="L35" s="18" t="n">
        <f aca="false">IFERROR(INDEX(hayday_info!$E$2:$E$349,MATCH($A35,hayday_info!$A$2:$A$349,0)),"not found")</f>
        <v>896</v>
      </c>
      <c r="M35" s="10" t="str">
        <f aca="false">IF(L35="not found","not in hayday.info",IF(F35="","no Fandom value",IF(L35=F35,"match","differs")))</f>
        <v>match</v>
      </c>
      <c r="N35" s="10" t="n">
        <f aca="false">IFERROR(INDEX(hayday_info!$F$2:$F$349,MATCH($A35,hayday_info!$A$2:$A$349,0)),"not found")</f>
        <v>107</v>
      </c>
      <c r="O35" s="10" t="str">
        <f aca="false">IF(N35="not found","not in hayday.info",IF(G35="","no Fandom value",IF(N35=G35,"match","differs")))</f>
        <v>match</v>
      </c>
      <c r="P35" s="10" t="str">
        <f aca="false">IF(J35="not found","not in hayday.info",IF(C35="","no Fandom value",IF(IFERROR(INDEX(hayday_info!$C$2:$C$349,MATCH($A35,hayday_info!$A$2:$A$349,0)),"not found")=C35,"match","differs")))</f>
        <v>match</v>
      </c>
    </row>
    <row r="36" customFormat="false" ht="15" hidden="false" customHeight="true" outlineLevel="0" collapsed="false">
      <c r="A36" s="10" t="s">
        <v>501</v>
      </c>
      <c r="B36" s="10" t="s">
        <v>65</v>
      </c>
      <c r="C36" s="11" t="n">
        <v>89</v>
      </c>
      <c r="D36" s="11" t="n">
        <v>180</v>
      </c>
      <c r="E36" s="11" t="n">
        <v>153</v>
      </c>
      <c r="F36" s="13" t="n">
        <v>450</v>
      </c>
      <c r="G36" s="11" t="n">
        <v>54</v>
      </c>
      <c r="H36" s="10"/>
      <c r="I36" s="10" t="s">
        <v>713</v>
      </c>
      <c r="J36" s="17" t="n">
        <f aca="false">IFERROR(INDEX(hayday_info!$D$2:$D$349,MATCH($A36,hayday_info!$A$2:$A$349,0)),"not found")</f>
        <v>153</v>
      </c>
      <c r="K36" s="10" t="str">
        <f aca="false">IF(J36="not found","not in hayday.info",IF(J36=E36,"matches mastered",IF(J36=D36,"matches normal","differs")))</f>
        <v>matches mastered</v>
      </c>
      <c r="L36" s="18" t="n">
        <f aca="false">IFERROR(INDEX(hayday_info!$E$2:$E$349,MATCH($A36,hayday_info!$A$2:$A$349,0)),"not found")</f>
        <v>450</v>
      </c>
      <c r="M36" s="10" t="str">
        <f aca="false">IF(L36="not found","not in hayday.info",IF(F36="","no Fandom value",IF(L36=F36,"match","differs")))</f>
        <v>match</v>
      </c>
      <c r="N36" s="10" t="n">
        <f aca="false">IFERROR(INDEX(hayday_info!$F$2:$F$349,MATCH($A36,hayday_info!$A$2:$A$349,0)),"not found")</f>
        <v>54</v>
      </c>
      <c r="O36" s="10" t="str">
        <f aca="false">IF(N36="not found","not in hayday.info",IF(G36="","no Fandom value",IF(N36=G36,"match","differs")))</f>
        <v>match</v>
      </c>
      <c r="P36" s="10" t="str">
        <f aca="false">IF(J36="not found","not in hayday.info",IF(C36="","no Fandom value",IF(IFERROR(INDEX(hayday_info!$C$2:$C$349,MATCH($A36,hayday_info!$A$2:$A$349,0)),"not found")=C36,"match","differs")))</f>
        <v>match</v>
      </c>
    </row>
    <row r="37" customFormat="false" ht="15" hidden="false" customHeight="true" outlineLevel="0" collapsed="false">
      <c r="A37" s="10" t="s">
        <v>402</v>
      </c>
      <c r="B37" s="10" t="s">
        <v>403</v>
      </c>
      <c r="C37" s="11" t="n">
        <v>7</v>
      </c>
      <c r="D37" s="11" t="n">
        <v>20</v>
      </c>
      <c r="E37" s="11" t="n">
        <v>17</v>
      </c>
      <c r="F37" s="13" t="n">
        <v>32</v>
      </c>
      <c r="G37" s="11" t="n">
        <v>4</v>
      </c>
      <c r="H37" s="10"/>
      <c r="I37" s="10" t="s">
        <v>714</v>
      </c>
      <c r="J37" s="17" t="n">
        <f aca="false">IFERROR(INDEX(hayday_info!$D$2:$D$349,MATCH($A37,hayday_info!$A$2:$A$349,0)),"not found")</f>
        <v>17</v>
      </c>
      <c r="K37" s="10" t="str">
        <f aca="false">IF(J37="not found","not in hayday.info",IF(J37=E37,"matches mastered",IF(J37=D37,"matches normal","differs")))</f>
        <v>matches mastered</v>
      </c>
      <c r="L37" s="18" t="n">
        <f aca="false">IFERROR(INDEX(hayday_info!$E$2:$E$349,MATCH($A37,hayday_info!$A$2:$A$349,0)),"not found")</f>
        <v>32</v>
      </c>
      <c r="M37" s="10" t="str">
        <f aca="false">IF(L37="not found","not in hayday.info",IF(F37="","no Fandom value",IF(L37=F37,"match","differs")))</f>
        <v>match</v>
      </c>
      <c r="N37" s="10" t="n">
        <f aca="false">IFERROR(INDEX(hayday_info!$F$2:$F$349,MATCH($A37,hayday_info!$A$2:$A$349,0)),"not found")</f>
        <v>4</v>
      </c>
      <c r="O37" s="10" t="str">
        <f aca="false">IF(N37="not found","not in hayday.info",IF(G37="","no Fandom value",IF(N37=G37,"match","differs")))</f>
        <v>match</v>
      </c>
      <c r="P37" s="10" t="str">
        <f aca="false">IF(J37="not found","not in hayday.info",IF(C37="","no Fandom value",IF(IFERROR(INDEX(hayday_info!$C$2:$C$349,MATCH($A37,hayday_info!$A$2:$A$349,0)),"not found")=C37,"match","differs")))</f>
        <v>match</v>
      </c>
    </row>
    <row r="38" customFormat="false" ht="15" hidden="false" customHeight="true" outlineLevel="0" collapsed="false">
      <c r="A38" s="10" t="s">
        <v>405</v>
      </c>
      <c r="B38" s="10" t="s">
        <v>403</v>
      </c>
      <c r="C38" s="11" t="n">
        <v>13</v>
      </c>
      <c r="D38" s="11" t="n">
        <v>40</v>
      </c>
      <c r="E38" s="11" t="n">
        <v>34</v>
      </c>
      <c r="F38" s="13" t="n">
        <v>50</v>
      </c>
      <c r="G38" s="11" t="n">
        <v>6</v>
      </c>
      <c r="H38" s="10"/>
      <c r="I38" s="10" t="s">
        <v>714</v>
      </c>
      <c r="J38" s="17" t="n">
        <f aca="false">IFERROR(INDEX(hayday_info!$D$2:$D$349,MATCH($A38,hayday_info!$A$2:$A$349,0)),"not found")</f>
        <v>34</v>
      </c>
      <c r="K38" s="10" t="str">
        <f aca="false">IF(J38="not found","not in hayday.info",IF(J38=E38,"matches mastered",IF(J38=D38,"matches normal","differs")))</f>
        <v>matches mastered</v>
      </c>
      <c r="L38" s="18" t="n">
        <f aca="false">IFERROR(INDEX(hayday_info!$E$2:$E$349,MATCH($A38,hayday_info!$A$2:$A$349,0)),"not found")</f>
        <v>50</v>
      </c>
      <c r="M38" s="10" t="str">
        <f aca="false">IF(L38="not found","not in hayday.info",IF(F38="","no Fandom value",IF(L38=F38,"match","differs")))</f>
        <v>match</v>
      </c>
      <c r="N38" s="10" t="n">
        <f aca="false">IFERROR(INDEX(hayday_info!$F$2:$F$349,MATCH($A38,hayday_info!$A$2:$A$349,0)),"not found")</f>
        <v>6</v>
      </c>
      <c r="O38" s="10" t="str">
        <f aca="false">IF(N38="not found","not in hayday.info",IF(G38="","no Fandom value",IF(N38=G38,"match","differs")))</f>
        <v>match</v>
      </c>
      <c r="P38" s="10" t="str">
        <f aca="false">IF(J38="not found","not in hayday.info",IF(C38="","no Fandom value",IF(IFERROR(INDEX(hayday_info!$C$2:$C$349,MATCH($A38,hayday_info!$A$2:$A$349,0)),"not found")=C38,"match","differs")))</f>
        <v>match</v>
      </c>
    </row>
    <row r="39" customFormat="false" ht="15" hidden="false" customHeight="true" outlineLevel="0" collapsed="false">
      <c r="A39" s="10" t="s">
        <v>406</v>
      </c>
      <c r="B39" s="10" t="s">
        <v>403</v>
      </c>
      <c r="C39" s="11" t="n">
        <v>18</v>
      </c>
      <c r="D39" s="11" t="n">
        <v>90</v>
      </c>
      <c r="E39" s="11" t="n">
        <v>76</v>
      </c>
      <c r="F39" s="13" t="n">
        <v>90</v>
      </c>
      <c r="G39" s="11" t="n">
        <v>11</v>
      </c>
      <c r="H39" s="10"/>
      <c r="I39" s="10" t="s">
        <v>714</v>
      </c>
      <c r="J39" s="17" t="n">
        <f aca="false">IFERROR(INDEX(hayday_info!$D$2:$D$349,MATCH($A39,hayday_info!$A$2:$A$349,0)),"not found")</f>
        <v>76</v>
      </c>
      <c r="K39" s="10" t="str">
        <f aca="false">IF(J39="not found","not in hayday.info",IF(J39=E39,"matches mastered",IF(J39=D39,"matches normal","differs")))</f>
        <v>matches mastered</v>
      </c>
      <c r="L39" s="18" t="n">
        <f aca="false">IFERROR(INDEX(hayday_info!$E$2:$E$349,MATCH($A39,hayday_info!$A$2:$A$349,0)),"not found")</f>
        <v>90</v>
      </c>
      <c r="M39" s="10" t="str">
        <f aca="false">IF(L39="not found","not in hayday.info",IF(F39="","no Fandom value",IF(L39=F39,"match","differs")))</f>
        <v>match</v>
      </c>
      <c r="N39" s="10" t="n">
        <f aca="false">IFERROR(INDEX(hayday_info!$F$2:$F$349,MATCH($A39,hayday_info!$A$2:$A$349,0)),"not found")</f>
        <v>11</v>
      </c>
      <c r="O39" s="10" t="str">
        <f aca="false">IF(N39="not found","not in hayday.info",IF(G39="","no Fandom value",IF(N39=G39,"match","differs")))</f>
        <v>match</v>
      </c>
      <c r="P39" s="10" t="str">
        <f aca="false">IF(J39="not found","not in hayday.info",IF(C39="","no Fandom value",IF(IFERROR(INDEX(hayday_info!$C$2:$C$349,MATCH($A39,hayday_info!$A$2:$A$349,0)),"not found")=C39,"match","differs")))</f>
        <v>match</v>
      </c>
    </row>
    <row r="40" customFormat="false" ht="15" hidden="false" customHeight="true" outlineLevel="0" collapsed="false">
      <c r="A40" s="10" t="s">
        <v>305</v>
      </c>
      <c r="B40" s="10" t="s">
        <v>306</v>
      </c>
      <c r="C40" s="11" t="n">
        <v>8</v>
      </c>
      <c r="D40" s="11" t="n">
        <v>30</v>
      </c>
      <c r="E40" s="11" t="n">
        <v>25</v>
      </c>
      <c r="F40" s="13" t="n">
        <v>32</v>
      </c>
      <c r="G40" s="11" t="n">
        <v>4</v>
      </c>
      <c r="H40" s="10"/>
      <c r="I40" s="10" t="s">
        <v>715</v>
      </c>
      <c r="J40" s="17" t="n">
        <f aca="false">IFERROR(INDEX(hayday_info!$D$2:$D$349,MATCH($A40,hayday_info!$A$2:$A$349,0)),"not found")</f>
        <v>25</v>
      </c>
      <c r="K40" s="10" t="str">
        <f aca="false">IF(J40="not found","not in hayday.info",IF(J40=E40,"matches mastered",IF(J40=D40,"matches normal","differs")))</f>
        <v>matches mastered</v>
      </c>
      <c r="L40" s="18" t="n">
        <f aca="false">IFERROR(INDEX(hayday_info!$E$2:$E$349,MATCH($A40,hayday_info!$A$2:$A$349,0)),"not found")</f>
        <v>32</v>
      </c>
      <c r="M40" s="10" t="str">
        <f aca="false">IF(L40="not found","not in hayday.info",IF(F40="","no Fandom value",IF(L40=F40,"match","differs")))</f>
        <v>match</v>
      </c>
      <c r="N40" s="10" t="n">
        <f aca="false">IFERROR(INDEX(hayday_info!$F$2:$F$349,MATCH($A40,hayday_info!$A$2:$A$349,0)),"not found")</f>
        <v>4</v>
      </c>
      <c r="O40" s="10" t="str">
        <f aca="false">IF(N40="not found","not in hayday.info",IF(G40="","no Fandom value",IF(N40=G40,"match","differs")))</f>
        <v>match</v>
      </c>
      <c r="P40" s="10" t="str">
        <f aca="false">IF(J40="not found","not in hayday.info",IF(C40="","no Fandom value",IF(IFERROR(INDEX(hayday_info!$C$2:$C$349,MATCH($A40,hayday_info!$A$2:$A$349,0)),"not found")=C40,"match","differs")))</f>
        <v>match</v>
      </c>
    </row>
    <row r="41" customFormat="false" ht="15" hidden="false" customHeight="true" outlineLevel="0" collapsed="false">
      <c r="A41" s="10" t="s">
        <v>619</v>
      </c>
      <c r="B41" s="10" t="s">
        <v>306</v>
      </c>
      <c r="C41" s="11" t="n">
        <v>16</v>
      </c>
      <c r="D41" s="11" t="n">
        <v>60</v>
      </c>
      <c r="E41" s="11" t="n">
        <v>51</v>
      </c>
      <c r="F41" s="13" t="n">
        <v>126</v>
      </c>
      <c r="G41" s="11" t="n">
        <v>15</v>
      </c>
      <c r="H41" s="10"/>
      <c r="I41" s="10" t="s">
        <v>715</v>
      </c>
      <c r="J41" s="17" t="n">
        <f aca="false">IFERROR(INDEX(hayday_info!$D$2:$D$349,MATCH($A41,hayday_info!$A$2:$A$349,0)),"not found")</f>
        <v>51</v>
      </c>
      <c r="K41" s="10" t="str">
        <f aca="false">IF(J41="not found","not in hayday.info",IF(J41=E41,"matches mastered",IF(J41=D41,"matches normal","differs")))</f>
        <v>matches mastered</v>
      </c>
      <c r="L41" s="18" t="n">
        <f aca="false">IFERROR(INDEX(hayday_info!$E$2:$E$349,MATCH($A41,hayday_info!$A$2:$A$349,0)),"not found")</f>
        <v>126</v>
      </c>
      <c r="M41" s="10" t="str">
        <f aca="false">IF(L41="not found","not in hayday.info",IF(F41="","no Fandom value",IF(L41=F41,"match","differs")))</f>
        <v>match</v>
      </c>
      <c r="N41" s="10" t="n">
        <f aca="false">IFERROR(INDEX(hayday_info!$F$2:$F$349,MATCH($A41,hayday_info!$A$2:$A$349,0)),"not found")</f>
        <v>15</v>
      </c>
      <c r="O41" s="10" t="str">
        <f aca="false">IF(N41="not found","not in hayday.info",IF(G41="","no Fandom value",IF(N41=G41,"match","differs")))</f>
        <v>match</v>
      </c>
      <c r="P41" s="10" t="str">
        <f aca="false">IF(J41="not found","not in hayday.info",IF(C41="","no Fandom value",IF(IFERROR(INDEX(hayday_info!$C$2:$C$349,MATCH($A41,hayday_info!$A$2:$A$349,0)),"not found")=C41,"match","differs")))</f>
        <v>match</v>
      </c>
    </row>
    <row r="42" customFormat="false" ht="15" hidden="false" customHeight="true" outlineLevel="0" collapsed="false">
      <c r="A42" s="10" t="s">
        <v>620</v>
      </c>
      <c r="B42" s="10" t="s">
        <v>306</v>
      </c>
      <c r="C42" s="11" t="n">
        <v>25</v>
      </c>
      <c r="D42" s="11" t="n">
        <v>120</v>
      </c>
      <c r="E42" s="11" t="n">
        <v>102</v>
      </c>
      <c r="F42" s="13" t="n">
        <v>122</v>
      </c>
      <c r="G42" s="11" t="n">
        <v>15</v>
      </c>
      <c r="H42" s="10"/>
      <c r="I42" s="10" t="s">
        <v>715</v>
      </c>
      <c r="J42" s="17" t="n">
        <f aca="false">IFERROR(INDEX(hayday_info!$D$2:$D$349,MATCH($A42,hayday_info!$A$2:$A$349,0)),"not found")</f>
        <v>102</v>
      </c>
      <c r="K42" s="10" t="str">
        <f aca="false">IF(J42="not found","not in hayday.info",IF(J42=E42,"matches mastered",IF(J42=D42,"matches normal","differs")))</f>
        <v>matches mastered</v>
      </c>
      <c r="L42" s="18" t="n">
        <f aca="false">IFERROR(INDEX(hayday_info!$E$2:$E$349,MATCH($A42,hayday_info!$A$2:$A$349,0)),"not found")</f>
        <v>122</v>
      </c>
      <c r="M42" s="10" t="str">
        <f aca="false">IF(L42="not found","not in hayday.info",IF(F42="","no Fandom value",IF(L42=F42,"match","differs")))</f>
        <v>match</v>
      </c>
      <c r="N42" s="10" t="n">
        <f aca="false">IFERROR(INDEX(hayday_info!$F$2:$F$349,MATCH($A42,hayday_info!$A$2:$A$349,0)),"not found")</f>
        <v>15</v>
      </c>
      <c r="O42" s="10" t="str">
        <f aca="false">IF(N42="not found","not in hayday.info",IF(G42="","no Fandom value",IF(N42=G42,"match","differs")))</f>
        <v>match</v>
      </c>
      <c r="P42" s="10" t="str">
        <f aca="false">IF(J42="not found","not in hayday.info",IF(C42="","no Fandom value",IF(IFERROR(INDEX(hayday_info!$C$2:$C$349,MATCH($A42,hayday_info!$A$2:$A$349,0)),"not found")=C42,"match","differs")))</f>
        <v>match</v>
      </c>
    </row>
    <row r="43" customFormat="false" ht="15" hidden="false" customHeight="true" outlineLevel="0" collapsed="false">
      <c r="A43" s="10" t="s">
        <v>621</v>
      </c>
      <c r="B43" s="10" t="s">
        <v>306</v>
      </c>
      <c r="C43" s="11" t="n">
        <v>40</v>
      </c>
      <c r="D43" s="11" t="n">
        <v>90</v>
      </c>
      <c r="E43" s="11" t="n">
        <v>76</v>
      </c>
      <c r="F43" s="13" t="n">
        <v>360</v>
      </c>
      <c r="G43" s="11" t="n">
        <v>43</v>
      </c>
      <c r="H43" s="10"/>
      <c r="I43" s="10" t="s">
        <v>715</v>
      </c>
      <c r="J43" s="17" t="n">
        <f aca="false">IFERROR(INDEX(hayday_info!$D$2:$D$349,MATCH($A43,hayday_info!$A$2:$A$349,0)),"not found")</f>
        <v>76</v>
      </c>
      <c r="K43" s="10" t="str">
        <f aca="false">IF(J43="not found","not in hayday.info",IF(J43=E43,"matches mastered",IF(J43=D43,"matches normal","differs")))</f>
        <v>matches mastered</v>
      </c>
      <c r="L43" s="18" t="n">
        <f aca="false">IFERROR(INDEX(hayday_info!$E$2:$E$349,MATCH($A43,hayday_info!$A$2:$A$349,0)),"not found")</f>
        <v>360</v>
      </c>
      <c r="M43" s="10" t="str">
        <f aca="false">IF(L43="not found","not in hayday.info",IF(F43="","no Fandom value",IF(L43=F43,"match","differs")))</f>
        <v>match</v>
      </c>
      <c r="N43" s="10" t="n">
        <f aca="false">IFERROR(INDEX(hayday_info!$F$2:$F$349,MATCH($A43,hayday_info!$A$2:$A$349,0)),"not found")</f>
        <v>43</v>
      </c>
      <c r="O43" s="10" t="str">
        <f aca="false">IF(N43="not found","not in hayday.info",IF(G43="","no Fandom value",IF(N43=G43,"match","differs")))</f>
        <v>match</v>
      </c>
      <c r="P43" s="10" t="str">
        <f aca="false">IF(J43="not found","not in hayday.info",IF(C43="","no Fandom value",IF(IFERROR(INDEX(hayday_info!$C$2:$C$349,MATCH($A43,hayday_info!$A$2:$A$349,0)),"not found")=C43,"match","differs")))</f>
        <v>match</v>
      </c>
    </row>
    <row r="44" customFormat="false" ht="15" hidden="false" customHeight="true" outlineLevel="0" collapsed="false">
      <c r="A44" s="10" t="s">
        <v>622</v>
      </c>
      <c r="B44" s="10" t="s">
        <v>306</v>
      </c>
      <c r="C44" s="11" t="n">
        <v>44</v>
      </c>
      <c r="D44" s="11" t="n">
        <v>150</v>
      </c>
      <c r="E44" s="11" t="n">
        <v>127</v>
      </c>
      <c r="F44" s="13" t="n">
        <v>248</v>
      </c>
      <c r="G44" s="11" t="n">
        <v>29</v>
      </c>
      <c r="H44" s="10"/>
      <c r="I44" s="10" t="s">
        <v>715</v>
      </c>
      <c r="J44" s="17" t="n">
        <f aca="false">IFERROR(INDEX(hayday_info!$D$2:$D$349,MATCH($A44,hayday_info!$A$2:$A$349,0)),"not found")</f>
        <v>127</v>
      </c>
      <c r="K44" s="10" t="str">
        <f aca="false">IF(J44="not found","not in hayday.info",IF(J44=E44,"matches mastered",IF(J44=D44,"matches normal","differs")))</f>
        <v>matches mastered</v>
      </c>
      <c r="L44" s="18" t="n">
        <f aca="false">IFERROR(INDEX(hayday_info!$E$2:$E$349,MATCH($A44,hayday_info!$A$2:$A$349,0)),"not found")</f>
        <v>248</v>
      </c>
      <c r="M44" s="10" t="str">
        <f aca="false">IF(L44="not found","not in hayday.info",IF(F44="","no Fandom value",IF(L44=F44,"match","differs")))</f>
        <v>match</v>
      </c>
      <c r="N44" s="10" t="n">
        <f aca="false">IFERROR(INDEX(hayday_info!$F$2:$F$349,MATCH($A44,hayday_info!$A$2:$A$349,0)),"not found")</f>
        <v>29</v>
      </c>
      <c r="O44" s="10" t="str">
        <f aca="false">IF(N44="not found","not in hayday.info",IF(G44="","no Fandom value",IF(N44=G44,"match","differs")))</f>
        <v>match</v>
      </c>
      <c r="P44" s="10" t="str">
        <f aca="false">IF(J44="not found","not in hayday.info",IF(C44="","no Fandom value",IF(IFERROR(INDEX(hayday_info!$C$2:$C$349,MATCH($A44,hayday_info!$A$2:$A$349,0)),"not found")=C44,"match","differs")))</f>
        <v>match</v>
      </c>
    </row>
    <row r="45" customFormat="false" ht="15" hidden="false" customHeight="true" outlineLevel="0" collapsed="false">
      <c r="A45" s="10" t="s">
        <v>528</v>
      </c>
      <c r="B45" s="10" t="s">
        <v>172</v>
      </c>
      <c r="C45" s="11" t="n">
        <v>3</v>
      </c>
      <c r="D45" s="11" t="n">
        <v>5</v>
      </c>
      <c r="E45" s="11" t="n">
        <v>4</v>
      </c>
      <c r="F45" s="13" t="n">
        <v>7</v>
      </c>
      <c r="G45" s="11" t="n">
        <v>1</v>
      </c>
      <c r="H45" s="10"/>
      <c r="I45" s="10" t="s">
        <v>716</v>
      </c>
      <c r="J45" s="17" t="n">
        <f aca="false">IFERROR(INDEX(hayday_info!$D$2:$D$349,MATCH($A45,hayday_info!$A$2:$A$349,0)),"not found")</f>
        <v>4</v>
      </c>
      <c r="K45" s="10" t="str">
        <f aca="false">IF(J45="not found","not in hayday.info",IF(J45=E45,"matches mastered",IF(J45=D45,"matches normal","differs")))</f>
        <v>matches mastered</v>
      </c>
      <c r="L45" s="18" t="n">
        <f aca="false">IFERROR(INDEX(hayday_info!$E$2:$E$349,MATCH($A45,hayday_info!$A$2:$A$349,0)),"not found")</f>
        <v>7</v>
      </c>
      <c r="M45" s="10" t="str">
        <f aca="false">IF(L45="not found","not in hayday.info",IF(F45="","no Fandom value",IF(L45=F45,"match","differs")))</f>
        <v>match</v>
      </c>
      <c r="N45" s="10" t="n">
        <f aca="false">IFERROR(INDEX(hayday_info!$F$2:$F$349,MATCH($A45,hayday_info!$A$2:$A$349,0)),"not found")</f>
        <v>1</v>
      </c>
      <c r="O45" s="10" t="str">
        <f aca="false">IF(N45="not found","not in hayday.info",IF(G45="","no Fandom value",IF(N45=G45,"match","differs")))</f>
        <v>match</v>
      </c>
      <c r="P45" s="10" t="str">
        <f aca="false">IF(J45="not found","not in hayday.info",IF(C45="","no Fandom value",IF(IFERROR(INDEX(hayday_info!$C$2:$C$349,MATCH($A45,hayday_info!$A$2:$A$349,0)),"not found")=C45,"match","differs")))</f>
        <v>match</v>
      </c>
    </row>
    <row r="46" customFormat="false" ht="15" hidden="false" customHeight="true" outlineLevel="0" collapsed="false">
      <c r="A46" s="10" t="s">
        <v>529</v>
      </c>
      <c r="B46" s="10" t="s">
        <v>172</v>
      </c>
      <c r="C46" s="11" t="n">
        <v>6</v>
      </c>
      <c r="D46" s="11" t="n">
        <v>10</v>
      </c>
      <c r="E46" s="11" t="n">
        <v>8</v>
      </c>
      <c r="F46" s="13" t="n">
        <v>14</v>
      </c>
      <c r="G46" s="11" t="n">
        <v>2</v>
      </c>
      <c r="H46" s="10"/>
      <c r="I46" s="10" t="s">
        <v>716</v>
      </c>
      <c r="J46" s="17" t="n">
        <f aca="false">IFERROR(INDEX(hayday_info!$D$2:$D$349,MATCH($A46,hayday_info!$A$2:$A$349,0)),"not found")</f>
        <v>8</v>
      </c>
      <c r="K46" s="10" t="str">
        <f aca="false">IF(J46="not found","not in hayday.info",IF(J46=E46,"matches mastered",IF(J46=D46,"matches normal","differs")))</f>
        <v>matches mastered</v>
      </c>
      <c r="L46" s="18" t="n">
        <f aca="false">IFERROR(INDEX(hayday_info!$E$2:$E$349,MATCH($A46,hayday_info!$A$2:$A$349,0)),"not found")</f>
        <v>14</v>
      </c>
      <c r="M46" s="10" t="str">
        <f aca="false">IF(L46="not found","not in hayday.info",IF(F46="","no Fandom value",IF(L46=F46,"match","differs")))</f>
        <v>match</v>
      </c>
      <c r="N46" s="10" t="n">
        <f aca="false">IFERROR(INDEX(hayday_info!$F$2:$F$349,MATCH($A46,hayday_info!$A$2:$A$349,0)),"not found")</f>
        <v>2</v>
      </c>
      <c r="O46" s="10" t="str">
        <f aca="false">IF(N46="not found","not in hayday.info",IF(G46="","no Fandom value",IF(N46=G46,"match","differs")))</f>
        <v>match</v>
      </c>
      <c r="P46" s="10" t="str">
        <f aca="false">IF(J46="not found","not in hayday.info",IF(C46="","no Fandom value",IF(IFERROR(INDEX(hayday_info!$C$2:$C$349,MATCH($A46,hayday_info!$A$2:$A$349,0)),"not found")=C46,"match","differs")))</f>
        <v>match</v>
      </c>
    </row>
    <row r="47" customFormat="false" ht="15" hidden="false" customHeight="true" outlineLevel="0" collapsed="false">
      <c r="A47" s="10" t="s">
        <v>530</v>
      </c>
      <c r="B47" s="10" t="s">
        <v>172</v>
      </c>
      <c r="C47" s="11" t="n">
        <v>10</v>
      </c>
      <c r="D47" s="11" t="n">
        <v>20</v>
      </c>
      <c r="E47" s="11" t="n">
        <v>17</v>
      </c>
      <c r="F47" s="13" t="n">
        <v>14</v>
      </c>
      <c r="G47" s="11" t="n">
        <v>2</v>
      </c>
      <c r="H47" s="10"/>
      <c r="I47" s="10" t="s">
        <v>716</v>
      </c>
      <c r="J47" s="17" t="n">
        <f aca="false">IFERROR(INDEX(hayday_info!$D$2:$D$349,MATCH($A47,hayday_info!$A$2:$A$349,0)),"not found")</f>
        <v>17</v>
      </c>
      <c r="K47" s="10" t="str">
        <f aca="false">IF(J47="not found","not in hayday.info",IF(J47=E47,"matches mastered",IF(J47=D47,"matches normal","differs")))</f>
        <v>matches mastered</v>
      </c>
      <c r="L47" s="18" t="n">
        <f aca="false">IFERROR(INDEX(hayday_info!$E$2:$E$349,MATCH($A47,hayday_info!$A$2:$A$349,0)),"not found")</f>
        <v>14</v>
      </c>
      <c r="M47" s="10" t="str">
        <f aca="false">IF(L47="not found","not in hayday.info",IF(F47="","no Fandom value",IF(L47=F47,"match","differs")))</f>
        <v>match</v>
      </c>
      <c r="N47" s="10" t="n">
        <f aca="false">IFERROR(INDEX(hayday_info!$F$2:$F$349,MATCH($A47,hayday_info!$A$2:$A$349,0)),"not found")</f>
        <v>2</v>
      </c>
      <c r="O47" s="10" t="str">
        <f aca="false">IF(N47="not found","not in hayday.info",IF(G47="","no Fandom value",IF(N47=G47,"match","differs")))</f>
        <v>match</v>
      </c>
      <c r="P47" s="10" t="str">
        <f aca="false">IF(J47="not found","not in hayday.info",IF(C47="","no Fandom value",IF(IFERROR(INDEX(hayday_info!$C$2:$C$349,MATCH($A47,hayday_info!$A$2:$A$349,0)),"not found")=C47,"match","differs")))</f>
        <v>match</v>
      </c>
    </row>
    <row r="48" customFormat="false" ht="15" hidden="false" customHeight="true" outlineLevel="0" collapsed="false">
      <c r="A48" s="10" t="s">
        <v>531</v>
      </c>
      <c r="B48" s="10" t="s">
        <v>172</v>
      </c>
      <c r="C48" s="11" t="n">
        <v>16</v>
      </c>
      <c r="D48" s="11" t="n">
        <v>30</v>
      </c>
      <c r="E48" s="11" t="n">
        <v>25</v>
      </c>
      <c r="F48" s="13" t="n">
        <v>14</v>
      </c>
      <c r="G48" s="11" t="n">
        <v>3</v>
      </c>
      <c r="H48" s="10"/>
      <c r="I48" s="10" t="s">
        <v>716</v>
      </c>
      <c r="J48" s="17" t="n">
        <f aca="false">IFERROR(INDEX(hayday_info!$D$2:$D$349,MATCH($A48,hayday_info!$A$2:$A$349,0)),"not found")</f>
        <v>25</v>
      </c>
      <c r="K48" s="10" t="str">
        <f aca="false">IF(J48="not found","not in hayday.info",IF(J48=E48,"matches mastered",IF(J48=D48,"matches normal","differs")))</f>
        <v>matches mastered</v>
      </c>
      <c r="L48" s="18" t="n">
        <f aca="false">IFERROR(INDEX(hayday_info!$E$2:$E$349,MATCH($A48,hayday_info!$A$2:$A$349,0)),"not found")</f>
        <v>14</v>
      </c>
      <c r="M48" s="10" t="str">
        <f aca="false">IF(L48="not found","not in hayday.info",IF(F48="","no Fandom value",IF(L48=F48,"match","differs")))</f>
        <v>match</v>
      </c>
      <c r="N48" s="10" t="n">
        <f aca="false">IFERROR(INDEX(hayday_info!$F$2:$F$349,MATCH($A48,hayday_info!$A$2:$A$349,0)),"not found")</f>
        <v>3</v>
      </c>
      <c r="O48" s="10" t="str">
        <f aca="false">IF(N48="not found","not in hayday.info",IF(G48="","no Fandom value",IF(N48=G48,"match","differs")))</f>
        <v>match</v>
      </c>
      <c r="P48" s="10" t="str">
        <f aca="false">IF(J48="not found","not in hayday.info",IF(C48="","no Fandom value",IF(IFERROR(INDEX(hayday_info!$C$2:$C$349,MATCH($A48,hayday_info!$A$2:$A$349,0)),"not found")=C48,"match","differs")))</f>
        <v>match</v>
      </c>
    </row>
    <row r="49" customFormat="false" ht="15" hidden="false" customHeight="true" outlineLevel="0" collapsed="false">
      <c r="A49" s="10" t="s">
        <v>532</v>
      </c>
      <c r="B49" s="10" t="s">
        <v>172</v>
      </c>
      <c r="C49" s="11" t="n">
        <v>32</v>
      </c>
      <c r="D49" s="11" t="n">
        <v>40</v>
      </c>
      <c r="E49" s="11" t="n">
        <v>34</v>
      </c>
      <c r="F49" s="13" t="n">
        <v>14</v>
      </c>
      <c r="G49" s="11" t="n">
        <v>3</v>
      </c>
      <c r="H49" s="10"/>
      <c r="I49" s="10" t="s">
        <v>716</v>
      </c>
      <c r="J49" s="17" t="n">
        <f aca="false">IFERROR(INDEX(hayday_info!$D$2:$D$349,MATCH($A49,hayday_info!$A$2:$A$349,0)),"not found")</f>
        <v>34</v>
      </c>
      <c r="K49" s="10" t="str">
        <f aca="false">IF(J49="not found","not in hayday.info",IF(J49=E49,"matches mastered",IF(J49=D49,"matches normal","differs")))</f>
        <v>matches mastered</v>
      </c>
      <c r="L49" s="18" t="n">
        <f aca="false">IFERROR(INDEX(hayday_info!$E$2:$E$349,MATCH($A49,hayday_info!$A$2:$A$349,0)),"not found")</f>
        <v>14</v>
      </c>
      <c r="M49" s="10" t="str">
        <f aca="false">IF(L49="not found","not in hayday.info",IF(F49="","no Fandom value",IF(L49=F49,"match","differs")))</f>
        <v>match</v>
      </c>
      <c r="N49" s="10" t="n">
        <f aca="false">IFERROR(INDEX(hayday_info!$F$2:$F$349,MATCH($A49,hayday_info!$A$2:$A$349,0)),"not found")</f>
        <v>3</v>
      </c>
      <c r="O49" s="10" t="str">
        <f aca="false">IF(N49="not found","not in hayday.info",IF(G49="","no Fandom value",IF(N49=G49,"match","differs")))</f>
        <v>match</v>
      </c>
      <c r="P49" s="10" t="str">
        <f aca="false">IF(J49="not found","not in hayday.info",IF(C49="","no Fandom value",IF(IFERROR(INDEX(hayday_info!$C$2:$C$349,MATCH($A49,hayday_info!$A$2:$A$349,0)),"not found")=C49,"match","differs")))</f>
        <v>match</v>
      </c>
    </row>
    <row r="50" customFormat="false" ht="15" hidden="false" customHeight="true" outlineLevel="0" collapsed="false">
      <c r="A50" s="10" t="s">
        <v>179</v>
      </c>
      <c r="B50" s="10" t="s">
        <v>172</v>
      </c>
      <c r="C50" s="11"/>
      <c r="D50" s="11" t="n">
        <v>85</v>
      </c>
      <c r="E50" s="11" t="n">
        <v>76</v>
      </c>
      <c r="F50" s="13" t="n">
        <v>50</v>
      </c>
      <c r="G50" s="11" t="n">
        <v>10</v>
      </c>
      <c r="H50" s="10" t="s">
        <v>717</v>
      </c>
      <c r="I50" s="10" t="s">
        <v>716</v>
      </c>
      <c r="J50" s="17" t="n">
        <f aca="false">IFERROR(INDEX(hayday_info!$D$2:$D$349,MATCH($A50,hayday_info!$A$2:$A$349,0)),"not found")</f>
        <v>76</v>
      </c>
      <c r="K50" s="10" t="str">
        <f aca="false">IF(J50="not found","not in hayday.info",IF(J50=E50,"matches mastered",IF(J50=D50,"matches normal","differs")))</f>
        <v>matches mastered</v>
      </c>
      <c r="L50" s="18" t="n">
        <f aca="false">IFERROR(INDEX(hayday_info!$E$2:$E$349,MATCH($A50,hayday_info!$A$2:$A$349,0)),"not found")</f>
        <v>50</v>
      </c>
      <c r="M50" s="10" t="str">
        <f aca="false">IF(L50="not found","not in hayday.info",IF(F50="","no Fandom value",IF(L50=F50,"match","differs")))</f>
        <v>match</v>
      </c>
      <c r="N50" s="10" t="n">
        <f aca="false">IFERROR(INDEX(hayday_info!$F$2:$F$349,MATCH($A50,hayday_info!$A$2:$A$349,0)),"not found")</f>
        <v>10</v>
      </c>
      <c r="O50" s="10" t="str">
        <f aca="false">IF(N50="not found","not in hayday.info",IF(G50="","no Fandom value",IF(N50=G50,"match","differs")))</f>
        <v>match</v>
      </c>
      <c r="P50" s="10" t="str">
        <f aca="false">IF(J50="not found","not in hayday.info",IF(C50="","no Fandom value",IF(IFERROR(INDEX(hayday_info!$C$2:$C$349,MATCH($A50,hayday_info!$A$2:$A$349,0)),"not found")=C50,"match","differs")))</f>
        <v>no Fandom value</v>
      </c>
    </row>
    <row r="51" customFormat="false" ht="15" hidden="false" customHeight="true" outlineLevel="0" collapsed="false">
      <c r="A51" s="10" t="s">
        <v>268</v>
      </c>
      <c r="B51" s="10" t="s">
        <v>269</v>
      </c>
      <c r="C51" s="11" t="n">
        <v>17</v>
      </c>
      <c r="D51" s="11" t="n">
        <v>120</v>
      </c>
      <c r="E51" s="11" t="n">
        <v>102</v>
      </c>
      <c r="F51" s="13" t="n">
        <v>151</v>
      </c>
      <c r="G51" s="11" t="n">
        <v>18</v>
      </c>
      <c r="H51" s="10"/>
      <c r="I51" s="10" t="s">
        <v>718</v>
      </c>
      <c r="J51" s="17" t="n">
        <f aca="false">IFERROR(INDEX(hayday_info!$D$2:$D$349,MATCH($A51,hayday_info!$A$2:$A$349,0)),"not found")</f>
        <v>102</v>
      </c>
      <c r="K51" s="10" t="str">
        <f aca="false">IF(J51="not found","not in hayday.info",IF(J51=E51,"matches mastered",IF(J51=D51,"matches normal","differs")))</f>
        <v>matches mastered</v>
      </c>
      <c r="L51" s="18" t="n">
        <f aca="false">IFERROR(INDEX(hayday_info!$E$2:$E$349,MATCH($A51,hayday_info!$A$2:$A$349,0)),"not found")</f>
        <v>151</v>
      </c>
      <c r="M51" s="10" t="str">
        <f aca="false">IF(L51="not found","not in hayday.info",IF(F51="","no Fandom value",IF(L51=F51,"match","differs")))</f>
        <v>match</v>
      </c>
      <c r="N51" s="10" t="n">
        <f aca="false">IFERROR(INDEX(hayday_info!$F$2:$F$349,MATCH($A51,hayday_info!$A$2:$A$349,0)),"not found")</f>
        <v>18</v>
      </c>
      <c r="O51" s="10" t="str">
        <f aca="false">IF(N51="not found","not in hayday.info",IF(G51="","no Fandom value",IF(N51=G51,"match","differs")))</f>
        <v>match</v>
      </c>
      <c r="P51" s="10" t="str">
        <f aca="false">IF(J51="not found","not in hayday.info",IF(C51="","no Fandom value",IF(IFERROR(INDEX(hayday_info!$C$2:$C$349,MATCH($A51,hayday_info!$A$2:$A$349,0)),"not found")=C51,"match","differs")))</f>
        <v>match</v>
      </c>
    </row>
    <row r="52" customFormat="false" ht="15" hidden="false" customHeight="true" outlineLevel="0" collapsed="false">
      <c r="A52" s="10" t="s">
        <v>593</v>
      </c>
      <c r="B52" s="10" t="s">
        <v>269</v>
      </c>
      <c r="C52" s="11" t="n">
        <v>18</v>
      </c>
      <c r="D52" s="11" t="n">
        <v>30</v>
      </c>
      <c r="E52" s="11" t="n">
        <v>25</v>
      </c>
      <c r="F52" s="13" t="n">
        <v>108</v>
      </c>
      <c r="G52" s="11" t="n">
        <v>13</v>
      </c>
      <c r="H52" s="10"/>
      <c r="I52" s="10" t="s">
        <v>718</v>
      </c>
      <c r="J52" s="17" t="n">
        <f aca="false">IFERROR(INDEX(hayday_info!$D$2:$D$349,MATCH($A52,hayday_info!$A$2:$A$349,0)),"not found")</f>
        <v>25</v>
      </c>
      <c r="K52" s="10" t="str">
        <f aca="false">IF(J52="not found","not in hayday.info",IF(J52=E52,"matches mastered",IF(J52=D52,"matches normal","differs")))</f>
        <v>matches mastered</v>
      </c>
      <c r="L52" s="18" t="n">
        <f aca="false">IFERROR(INDEX(hayday_info!$E$2:$E$349,MATCH($A52,hayday_info!$A$2:$A$349,0)),"not found")</f>
        <v>108</v>
      </c>
      <c r="M52" s="10" t="str">
        <f aca="false">IF(L52="not found","not in hayday.info",IF(F52="","no Fandom value",IF(L52=F52,"match","differs")))</f>
        <v>match</v>
      </c>
      <c r="N52" s="10" t="n">
        <f aca="false">IFERROR(INDEX(hayday_info!$F$2:$F$349,MATCH($A52,hayday_info!$A$2:$A$349,0)),"not found")</f>
        <v>13</v>
      </c>
      <c r="O52" s="10" t="str">
        <f aca="false">IF(N52="not found","not in hayday.info",IF(G52="","no Fandom value",IF(N52=G52,"match","differs")))</f>
        <v>match</v>
      </c>
      <c r="P52" s="10" t="str">
        <f aca="false">IF(J52="not found","not in hayday.info",IF(C52="","no Fandom value",IF(IFERROR(INDEX(hayday_info!$C$2:$C$349,MATCH($A52,hayday_info!$A$2:$A$349,0)),"not found")=C52,"match","differs")))</f>
        <v>match</v>
      </c>
    </row>
    <row r="53" customFormat="false" ht="15" hidden="false" customHeight="true" outlineLevel="0" collapsed="false">
      <c r="A53" s="10" t="s">
        <v>594</v>
      </c>
      <c r="B53" s="10" t="s">
        <v>269</v>
      </c>
      <c r="C53" s="11" t="n">
        <v>19</v>
      </c>
      <c r="D53" s="11" t="n">
        <v>60</v>
      </c>
      <c r="E53" s="11" t="n">
        <v>51</v>
      </c>
      <c r="F53" s="13" t="n">
        <v>111</v>
      </c>
      <c r="G53" s="11" t="n">
        <v>13</v>
      </c>
      <c r="H53" s="10"/>
      <c r="I53" s="10" t="s">
        <v>718</v>
      </c>
      <c r="J53" s="17" t="n">
        <f aca="false">IFERROR(INDEX(hayday_info!$D$2:$D$349,MATCH($A53,hayday_info!$A$2:$A$349,0)),"not found")</f>
        <v>51</v>
      </c>
      <c r="K53" s="10" t="str">
        <f aca="false">IF(J53="not found","not in hayday.info",IF(J53=E53,"matches mastered",IF(J53=D53,"matches normal","differs")))</f>
        <v>matches mastered</v>
      </c>
      <c r="L53" s="18" t="n">
        <f aca="false">IFERROR(INDEX(hayday_info!$E$2:$E$349,MATCH($A53,hayday_info!$A$2:$A$349,0)),"not found")</f>
        <v>111</v>
      </c>
      <c r="M53" s="10" t="str">
        <f aca="false">IF(L53="not found","not in hayday.info",IF(F53="","no Fandom value",IF(L53=F53,"match","differs")))</f>
        <v>match</v>
      </c>
      <c r="N53" s="10" t="n">
        <f aca="false">IFERROR(INDEX(hayday_info!$F$2:$F$349,MATCH($A53,hayday_info!$A$2:$A$349,0)),"not found")</f>
        <v>13</v>
      </c>
      <c r="O53" s="10" t="str">
        <f aca="false">IF(N53="not found","not in hayday.info",IF(G53="","no Fandom value",IF(N53=G53,"match","differs")))</f>
        <v>match</v>
      </c>
      <c r="P53" s="10" t="str">
        <f aca="false">IF(J53="not found","not in hayday.info",IF(C53="","no Fandom value",IF(IFERROR(INDEX(hayday_info!$C$2:$C$349,MATCH($A53,hayday_info!$A$2:$A$349,0)),"not found")=C53,"match","differs")))</f>
        <v>match</v>
      </c>
    </row>
    <row r="54" customFormat="false" ht="15" hidden="false" customHeight="true" outlineLevel="0" collapsed="false">
      <c r="A54" s="10" t="s">
        <v>595</v>
      </c>
      <c r="B54" s="10" t="s">
        <v>269</v>
      </c>
      <c r="C54" s="11" t="n">
        <v>20</v>
      </c>
      <c r="D54" s="11" t="n">
        <v>180</v>
      </c>
      <c r="E54" s="11" t="n">
        <v>153</v>
      </c>
      <c r="F54" s="13" t="n">
        <v>208</v>
      </c>
      <c r="G54" s="11" t="n">
        <v>25</v>
      </c>
      <c r="H54" s="10"/>
      <c r="I54" s="10" t="s">
        <v>718</v>
      </c>
      <c r="J54" s="17" t="n">
        <f aca="false">IFERROR(INDEX(hayday_info!$D$2:$D$349,MATCH($A54,hayday_info!$A$2:$A$349,0)),"not found")</f>
        <v>153</v>
      </c>
      <c r="K54" s="10" t="str">
        <f aca="false">IF(J54="not found","not in hayday.info",IF(J54=E54,"matches mastered",IF(J54=D54,"matches normal","differs")))</f>
        <v>matches mastered</v>
      </c>
      <c r="L54" s="18" t="n">
        <f aca="false">IFERROR(INDEX(hayday_info!$E$2:$E$349,MATCH($A54,hayday_info!$A$2:$A$349,0)),"not found")</f>
        <v>208</v>
      </c>
      <c r="M54" s="10" t="str">
        <f aca="false">IF(L54="not found","not in hayday.info",IF(F54="","no Fandom value",IF(L54=F54,"match","differs")))</f>
        <v>match</v>
      </c>
      <c r="N54" s="10" t="n">
        <f aca="false">IFERROR(INDEX(hayday_info!$F$2:$F$349,MATCH($A54,hayday_info!$A$2:$A$349,0)),"not found")</f>
        <v>25</v>
      </c>
      <c r="O54" s="10" t="str">
        <f aca="false">IF(N54="not found","not in hayday.info",IF(G54="","no Fandom value",IF(N54=G54,"match","differs")))</f>
        <v>match</v>
      </c>
      <c r="P54" s="10" t="str">
        <f aca="false">IF(J54="not found","not in hayday.info",IF(C54="","no Fandom value",IF(IFERROR(INDEX(hayday_info!$C$2:$C$349,MATCH($A54,hayday_info!$A$2:$A$349,0)),"not found")=C54,"match","differs")))</f>
        <v>match</v>
      </c>
    </row>
    <row r="55" customFormat="false" ht="15" hidden="false" customHeight="true" outlineLevel="0" collapsed="false">
      <c r="A55" s="10" t="s">
        <v>596</v>
      </c>
      <c r="B55" s="10" t="s">
        <v>269</v>
      </c>
      <c r="C55" s="11" t="n">
        <v>48</v>
      </c>
      <c r="D55" s="11" t="n">
        <v>150</v>
      </c>
      <c r="E55" s="11" t="n">
        <v>127</v>
      </c>
      <c r="F55" s="13" t="n">
        <v>288</v>
      </c>
      <c r="G55" s="11" t="n">
        <v>34</v>
      </c>
      <c r="H55" s="10"/>
      <c r="I55" s="10" t="s">
        <v>718</v>
      </c>
      <c r="J55" s="17" t="n">
        <f aca="false">IFERROR(INDEX(hayday_info!$D$2:$D$349,MATCH($A55,hayday_info!$A$2:$A$349,0)),"not found")</f>
        <v>127</v>
      </c>
      <c r="K55" s="10" t="str">
        <f aca="false">IF(J55="not found","not in hayday.info",IF(J55=E55,"matches mastered",IF(J55=D55,"matches normal","differs")))</f>
        <v>matches mastered</v>
      </c>
      <c r="L55" s="18" t="n">
        <f aca="false">IFERROR(INDEX(hayday_info!$E$2:$E$349,MATCH($A55,hayday_info!$A$2:$A$349,0)),"not found")</f>
        <v>288</v>
      </c>
      <c r="M55" s="10" t="str">
        <f aca="false">IF(L55="not found","not in hayday.info",IF(F55="","no Fandom value",IF(L55=F55,"match","differs")))</f>
        <v>match</v>
      </c>
      <c r="N55" s="10" t="n">
        <f aca="false">IFERROR(INDEX(hayday_info!$F$2:$F$349,MATCH($A55,hayday_info!$A$2:$A$349,0)),"not found")</f>
        <v>34</v>
      </c>
      <c r="O55" s="10" t="str">
        <f aca="false">IF(N55="not found","not in hayday.info",IF(G55="","no Fandom value",IF(N55=G55,"match","differs")))</f>
        <v>match</v>
      </c>
      <c r="P55" s="10" t="str">
        <f aca="false">IF(J55="not found","not in hayday.info",IF(C55="","no Fandom value",IF(IFERROR(INDEX(hayday_info!$C$2:$C$349,MATCH($A55,hayday_info!$A$2:$A$349,0)),"not found")=C55,"match","differs")))</f>
        <v>match</v>
      </c>
    </row>
    <row r="56" customFormat="false" ht="15" hidden="false" customHeight="true" outlineLevel="0" collapsed="false">
      <c r="A56" s="10" t="s">
        <v>597</v>
      </c>
      <c r="B56" s="10" t="s">
        <v>269</v>
      </c>
      <c r="C56" s="11" t="n">
        <v>71</v>
      </c>
      <c r="D56" s="11" t="n">
        <v>90</v>
      </c>
      <c r="E56" s="11" t="n">
        <v>76</v>
      </c>
      <c r="F56" s="13" t="n">
        <v>295</v>
      </c>
      <c r="G56" s="11" t="n">
        <v>35</v>
      </c>
      <c r="H56" s="10"/>
      <c r="I56" s="10" t="s">
        <v>718</v>
      </c>
      <c r="J56" s="17" t="n">
        <f aca="false">IFERROR(INDEX(hayday_info!$D$2:$D$349,MATCH($A56,hayday_info!$A$2:$A$349,0)),"not found")</f>
        <v>76</v>
      </c>
      <c r="K56" s="10" t="str">
        <f aca="false">IF(J56="not found","not in hayday.info",IF(J56=E56,"matches mastered",IF(J56=D56,"matches normal","differs")))</f>
        <v>matches mastered</v>
      </c>
      <c r="L56" s="18" t="n">
        <f aca="false">IFERROR(INDEX(hayday_info!$E$2:$E$349,MATCH($A56,hayday_info!$A$2:$A$349,0)),"not found")</f>
        <v>295</v>
      </c>
      <c r="M56" s="10" t="str">
        <f aca="false">IF(L56="not found","not in hayday.info",IF(F56="","no Fandom value",IF(L56=F56,"match","differs")))</f>
        <v>match</v>
      </c>
      <c r="N56" s="10" t="n">
        <f aca="false">IFERROR(INDEX(hayday_info!$F$2:$F$349,MATCH($A56,hayday_info!$A$2:$A$349,0)),"not found")</f>
        <v>35</v>
      </c>
      <c r="O56" s="10" t="str">
        <f aca="false">IF(N56="not found","not in hayday.info",IF(G56="","no Fandom value",IF(N56=G56,"match","differs")))</f>
        <v>match</v>
      </c>
      <c r="P56" s="10" t="str">
        <f aca="false">IF(J56="not found","not in hayday.info",IF(C56="","no Fandom value",IF(IFERROR(INDEX(hayday_info!$C$2:$C$349,MATCH($A56,hayday_info!$A$2:$A$349,0)),"not found")=C56,"match","differs")))</f>
        <v>match</v>
      </c>
    </row>
    <row r="57" customFormat="false" ht="15" hidden="false" customHeight="true" outlineLevel="0" collapsed="false">
      <c r="A57" s="10" t="s">
        <v>359</v>
      </c>
      <c r="B57" s="10" t="s">
        <v>360</v>
      </c>
      <c r="C57" s="11" t="n">
        <v>19</v>
      </c>
      <c r="D57" s="11" t="n">
        <v>45</v>
      </c>
      <c r="E57" s="11" t="n">
        <v>38</v>
      </c>
      <c r="F57" s="13" t="n">
        <v>241</v>
      </c>
      <c r="G57" s="11" t="n">
        <v>29</v>
      </c>
      <c r="H57" s="10"/>
      <c r="I57" s="10" t="s">
        <v>719</v>
      </c>
      <c r="J57" s="17" t="n">
        <f aca="false">IFERROR(INDEX(hayday_info!$D$2:$D$349,MATCH($A57,hayday_info!$A$2:$A$349,0)),"not found")</f>
        <v>38</v>
      </c>
      <c r="K57" s="10" t="str">
        <f aca="false">IF(J57="not found","not in hayday.info",IF(J57=E57,"matches mastered",IF(J57=D57,"matches normal","differs")))</f>
        <v>matches mastered</v>
      </c>
      <c r="L57" s="18" t="n">
        <f aca="false">IFERROR(INDEX(hayday_info!$E$2:$E$349,MATCH($A57,hayday_info!$A$2:$A$349,0)),"not found")</f>
        <v>241</v>
      </c>
      <c r="M57" s="10" t="str">
        <f aca="false">IF(L57="not found","not in hayday.info",IF(F57="","no Fandom value",IF(L57=F57,"match","differs")))</f>
        <v>match</v>
      </c>
      <c r="N57" s="10" t="n">
        <f aca="false">IFERROR(INDEX(hayday_info!$F$2:$F$349,MATCH($A57,hayday_info!$A$2:$A$349,0)),"not found")</f>
        <v>29</v>
      </c>
      <c r="O57" s="10" t="str">
        <f aca="false">IF(N57="not found","not in hayday.info",IF(G57="","no Fandom value",IF(N57=G57,"match","differs")))</f>
        <v>match</v>
      </c>
      <c r="P57" s="10" t="str">
        <f aca="false">IF(J57="not found","not in hayday.info",IF(C57="","no Fandom value",IF(IFERROR(INDEX(hayday_info!$C$2:$C$349,MATCH($A57,hayday_info!$A$2:$A$349,0)),"not found")=C57,"match","differs")))</f>
        <v>match</v>
      </c>
    </row>
    <row r="58" customFormat="false" ht="15" hidden="false" customHeight="true" outlineLevel="0" collapsed="false">
      <c r="A58" s="10" t="s">
        <v>362</v>
      </c>
      <c r="B58" s="10" t="s">
        <v>360</v>
      </c>
      <c r="C58" s="11" t="n">
        <v>21</v>
      </c>
      <c r="D58" s="11" t="n">
        <v>90</v>
      </c>
      <c r="E58" s="11" t="n">
        <v>76</v>
      </c>
      <c r="F58" s="13" t="n">
        <v>309</v>
      </c>
      <c r="G58" s="11" t="n">
        <v>37</v>
      </c>
      <c r="H58" s="10"/>
      <c r="I58" s="10" t="s">
        <v>719</v>
      </c>
      <c r="J58" s="17" t="n">
        <f aca="false">IFERROR(INDEX(hayday_info!$D$2:$D$349,MATCH($A58,hayday_info!$A$2:$A$349,0)),"not found")</f>
        <v>76</v>
      </c>
      <c r="K58" s="10" t="str">
        <f aca="false">IF(J58="not found","not in hayday.info",IF(J58=E58,"matches mastered",IF(J58=D58,"matches normal","differs")))</f>
        <v>matches mastered</v>
      </c>
      <c r="L58" s="18" t="n">
        <f aca="false">IFERROR(INDEX(hayday_info!$E$2:$E$349,MATCH($A58,hayday_info!$A$2:$A$349,0)),"not found")</f>
        <v>309</v>
      </c>
      <c r="M58" s="10" t="str">
        <f aca="false">IF(L58="not found","not in hayday.info",IF(F58="","no Fandom value",IF(L58=F58,"match","differs")))</f>
        <v>match</v>
      </c>
      <c r="N58" s="10" t="n">
        <f aca="false">IFERROR(INDEX(hayday_info!$F$2:$F$349,MATCH($A58,hayday_info!$A$2:$A$349,0)),"not found")</f>
        <v>37</v>
      </c>
      <c r="O58" s="10" t="str">
        <f aca="false">IF(N58="not found","not in hayday.info",IF(G58="","no Fandom value",IF(N58=G58,"match","differs")))</f>
        <v>match</v>
      </c>
      <c r="P58" s="10" t="str">
        <f aca="false">IF(J58="not found","not in hayday.info",IF(C58="","no Fandom value",IF(IFERROR(INDEX(hayday_info!$C$2:$C$349,MATCH($A58,hayday_info!$A$2:$A$349,0)),"not found")=C58,"match","differs")))</f>
        <v>match</v>
      </c>
    </row>
    <row r="59" customFormat="false" ht="15" hidden="false" customHeight="true" outlineLevel="0" collapsed="false">
      <c r="A59" s="10" t="s">
        <v>363</v>
      </c>
      <c r="B59" s="10" t="s">
        <v>360</v>
      </c>
      <c r="C59" s="11" t="n">
        <v>25</v>
      </c>
      <c r="D59" s="11" t="n">
        <v>135</v>
      </c>
      <c r="E59" s="11" t="n">
        <v>114</v>
      </c>
      <c r="F59" s="13" t="n">
        <v>327</v>
      </c>
      <c r="G59" s="11" t="n">
        <v>39</v>
      </c>
      <c r="H59" s="10"/>
      <c r="I59" s="10" t="s">
        <v>719</v>
      </c>
      <c r="J59" s="17" t="n">
        <f aca="false">IFERROR(INDEX(hayday_info!$D$2:$D$349,MATCH($A59,hayday_info!$A$2:$A$349,0)),"not found")</f>
        <v>114</v>
      </c>
      <c r="K59" s="10" t="str">
        <f aca="false">IF(J59="not found","not in hayday.info",IF(J59=E59,"matches mastered",IF(J59=D59,"matches normal","differs")))</f>
        <v>matches mastered</v>
      </c>
      <c r="L59" s="18" t="n">
        <f aca="false">IFERROR(INDEX(hayday_info!$E$2:$E$349,MATCH($A59,hayday_info!$A$2:$A$349,0)),"not found")</f>
        <v>327</v>
      </c>
      <c r="M59" s="10" t="str">
        <f aca="false">IF(L59="not found","not in hayday.info",IF(F59="","no Fandom value",IF(L59=F59,"match","differs")))</f>
        <v>match</v>
      </c>
      <c r="N59" s="10" t="n">
        <f aca="false">IFERROR(INDEX(hayday_info!$F$2:$F$349,MATCH($A59,hayday_info!$A$2:$A$349,0)),"not found")</f>
        <v>39</v>
      </c>
      <c r="O59" s="10" t="str">
        <f aca="false">IF(N59="not found","not in hayday.info",IF(G59="","no Fandom value",IF(N59=G59,"match","differs")))</f>
        <v>match</v>
      </c>
      <c r="P59" s="10" t="str">
        <f aca="false">IF(J59="not found","not in hayday.info",IF(C59="","no Fandom value",IF(IFERROR(INDEX(hayday_info!$C$2:$C$349,MATCH($A59,hayday_info!$A$2:$A$349,0)),"not found")=C59,"match","differs")))</f>
        <v>match</v>
      </c>
    </row>
    <row r="60" customFormat="false" ht="15" hidden="false" customHeight="true" outlineLevel="0" collapsed="false">
      <c r="A60" s="10" t="s">
        <v>364</v>
      </c>
      <c r="B60" s="10" t="s">
        <v>360</v>
      </c>
      <c r="C60" s="11" t="n">
        <v>51</v>
      </c>
      <c r="D60" s="11" t="n">
        <v>180</v>
      </c>
      <c r="E60" s="11" t="n">
        <v>153</v>
      </c>
      <c r="F60" s="13" t="n">
        <v>676</v>
      </c>
      <c r="G60" s="11" t="n">
        <v>81</v>
      </c>
      <c r="H60" s="10"/>
      <c r="I60" s="10" t="s">
        <v>719</v>
      </c>
      <c r="J60" s="17" t="n">
        <f aca="false">IFERROR(INDEX(hayday_info!$D$2:$D$349,MATCH($A60,hayday_info!$A$2:$A$349,0)),"not found")</f>
        <v>153</v>
      </c>
      <c r="K60" s="10" t="str">
        <f aca="false">IF(J60="not found","not in hayday.info",IF(J60=E60,"matches mastered",IF(J60=D60,"matches normal","differs")))</f>
        <v>matches mastered</v>
      </c>
      <c r="L60" s="18" t="n">
        <f aca="false">IFERROR(INDEX(hayday_info!$E$2:$E$349,MATCH($A60,hayday_info!$A$2:$A$349,0)),"not found")</f>
        <v>676</v>
      </c>
      <c r="M60" s="10" t="str">
        <f aca="false">IF(L60="not found","not in hayday.info",IF(F60="","no Fandom value",IF(L60=F60,"match","differs")))</f>
        <v>match</v>
      </c>
      <c r="N60" s="10" t="n">
        <f aca="false">IFERROR(INDEX(hayday_info!$F$2:$F$349,MATCH($A60,hayday_info!$A$2:$A$349,0)),"not found")</f>
        <v>81</v>
      </c>
      <c r="O60" s="10" t="str">
        <f aca="false">IF(N60="not found","not in hayday.info",IF(G60="","no Fandom value",IF(N60=G60,"match","differs")))</f>
        <v>match</v>
      </c>
      <c r="P60" s="10" t="str">
        <f aca="false">IF(J60="not found","not in hayday.info",IF(C60="","no Fandom value",IF(IFERROR(INDEX(hayday_info!$C$2:$C$349,MATCH($A60,hayday_info!$A$2:$A$349,0)),"not found")=C60,"match","differs")))</f>
        <v>match</v>
      </c>
    </row>
    <row r="61" customFormat="false" ht="15" hidden="false" customHeight="true" outlineLevel="0" collapsed="false">
      <c r="A61" s="10" t="s">
        <v>365</v>
      </c>
      <c r="B61" s="10" t="s">
        <v>360</v>
      </c>
      <c r="C61" s="11" t="n">
        <v>59</v>
      </c>
      <c r="D61" s="11" t="n">
        <v>210</v>
      </c>
      <c r="E61" s="11" t="n">
        <v>178</v>
      </c>
      <c r="F61" s="13" t="n">
        <v>1098</v>
      </c>
      <c r="G61" s="11" t="n">
        <v>131</v>
      </c>
      <c r="H61" s="10"/>
      <c r="I61" s="10" t="s">
        <v>719</v>
      </c>
      <c r="J61" s="17" t="n">
        <f aca="false">IFERROR(INDEX(hayday_info!$D$2:$D$349,MATCH($A61,hayday_info!$A$2:$A$349,0)),"not found")</f>
        <v>178</v>
      </c>
      <c r="K61" s="10" t="str">
        <f aca="false">IF(J61="not found","not in hayday.info",IF(J61=E61,"matches mastered",IF(J61=D61,"matches normal","differs")))</f>
        <v>matches mastered</v>
      </c>
      <c r="L61" s="18" t="n">
        <f aca="false">IFERROR(INDEX(hayday_info!$E$2:$E$349,MATCH($A61,hayday_info!$A$2:$A$349,0)),"not found")</f>
        <v>1098</v>
      </c>
      <c r="M61" s="10" t="str">
        <f aca="false">IF(L61="not found","not in hayday.info",IF(F61="","no Fandom value",IF(L61=F61,"match","differs")))</f>
        <v>match</v>
      </c>
      <c r="N61" s="10" t="n">
        <f aca="false">IFERROR(INDEX(hayday_info!$F$2:$F$349,MATCH($A61,hayday_info!$A$2:$A$349,0)),"not found")</f>
        <v>131</v>
      </c>
      <c r="O61" s="10" t="str">
        <f aca="false">IF(N61="not found","not in hayday.info",IF(G61="","no Fandom value",IF(N61=G61,"match","differs")))</f>
        <v>match</v>
      </c>
      <c r="P61" s="10" t="str">
        <f aca="false">IF(J61="not found","not in hayday.info",IF(C61="","no Fandom value",IF(IFERROR(INDEX(hayday_info!$C$2:$C$349,MATCH($A61,hayday_info!$A$2:$A$349,0)),"not found")=C61,"match","differs")))</f>
        <v>match</v>
      </c>
    </row>
    <row r="62" customFormat="false" ht="15" hidden="false" customHeight="true" outlineLevel="0" collapsed="false">
      <c r="A62" s="10" t="s">
        <v>581</v>
      </c>
      <c r="B62" s="10" t="s">
        <v>252</v>
      </c>
      <c r="C62" s="11" t="n">
        <v>26</v>
      </c>
      <c r="D62" s="11" t="n">
        <v>30</v>
      </c>
      <c r="E62" s="11" t="n">
        <v>25</v>
      </c>
      <c r="F62" s="13" t="n">
        <v>46</v>
      </c>
      <c r="G62" s="11" t="n">
        <v>6</v>
      </c>
      <c r="H62" s="10"/>
      <c r="I62" s="10" t="s">
        <v>720</v>
      </c>
      <c r="J62" s="17" t="n">
        <f aca="false">IFERROR(INDEX(hayday_info!$D$2:$D$349,MATCH($A62,hayday_info!$A$2:$A$349,0)),"not found")</f>
        <v>25</v>
      </c>
      <c r="K62" s="10" t="str">
        <f aca="false">IF(J62="not found","not in hayday.info",IF(J62=E62,"matches mastered",IF(J62=D62,"matches normal","differs")))</f>
        <v>matches mastered</v>
      </c>
      <c r="L62" s="18" t="n">
        <f aca="false">IFERROR(INDEX(hayday_info!$E$2:$E$349,MATCH($A62,hayday_info!$A$2:$A$349,0)),"not found")</f>
        <v>46</v>
      </c>
      <c r="M62" s="10" t="str">
        <f aca="false">IF(L62="not found","not in hayday.info",IF(F62="","no Fandom value",IF(L62=F62,"match","differs")))</f>
        <v>match</v>
      </c>
      <c r="N62" s="10" t="n">
        <f aca="false">IFERROR(INDEX(hayday_info!$F$2:$F$349,MATCH($A62,hayday_info!$A$2:$A$349,0)),"not found")</f>
        <v>6</v>
      </c>
      <c r="O62" s="10" t="str">
        <f aca="false">IF(N62="not found","not in hayday.info",IF(G62="","no Fandom value",IF(N62=G62,"match","differs")))</f>
        <v>match</v>
      </c>
      <c r="P62" s="10" t="str">
        <f aca="false">IF(J62="not found","not in hayday.info",IF(C62="","no Fandom value",IF(IFERROR(INDEX(hayday_info!$C$2:$C$349,MATCH($A62,hayday_info!$A$2:$A$349,0)),"not found")=C62,"match","differs")))</f>
        <v>match</v>
      </c>
    </row>
    <row r="63" customFormat="false" ht="15" hidden="false" customHeight="true" outlineLevel="0" collapsed="false">
      <c r="A63" s="10" t="s">
        <v>582</v>
      </c>
      <c r="B63" s="10" t="s">
        <v>252</v>
      </c>
      <c r="C63" s="11" t="n">
        <v>28</v>
      </c>
      <c r="D63" s="11" t="n">
        <v>120</v>
      </c>
      <c r="E63" s="11" t="n">
        <v>102</v>
      </c>
      <c r="F63" s="13" t="n">
        <v>129</v>
      </c>
      <c r="G63" s="11" t="n">
        <v>15</v>
      </c>
      <c r="H63" s="10"/>
      <c r="I63" s="10" t="s">
        <v>720</v>
      </c>
      <c r="J63" s="17" t="n">
        <f aca="false">IFERROR(INDEX(hayday_info!$D$2:$D$349,MATCH($A63,hayday_info!$A$2:$A$349,0)),"not found")</f>
        <v>102</v>
      </c>
      <c r="K63" s="10" t="str">
        <f aca="false">IF(J63="not found","not in hayday.info",IF(J63=E63,"matches mastered",IF(J63=D63,"matches normal","differs")))</f>
        <v>matches mastered</v>
      </c>
      <c r="L63" s="18" t="n">
        <f aca="false">IFERROR(INDEX(hayday_info!$E$2:$E$349,MATCH($A63,hayday_info!$A$2:$A$349,0)),"not found")</f>
        <v>129</v>
      </c>
      <c r="M63" s="10" t="str">
        <f aca="false">IF(L63="not found","not in hayday.info",IF(F63="","no Fandom value",IF(L63=F63,"match","differs")))</f>
        <v>match</v>
      </c>
      <c r="N63" s="10" t="n">
        <f aca="false">IFERROR(INDEX(hayday_info!$F$2:$F$349,MATCH($A63,hayday_info!$A$2:$A$349,0)),"not found")</f>
        <v>15</v>
      </c>
      <c r="O63" s="10" t="str">
        <f aca="false">IF(N63="not found","not in hayday.info",IF(G63="","no Fandom value",IF(N63=G63,"match","differs")))</f>
        <v>match</v>
      </c>
      <c r="P63" s="10" t="str">
        <f aca="false">IF(J63="not found","not in hayday.info",IF(C63="","no Fandom value",IF(IFERROR(INDEX(hayday_info!$C$2:$C$349,MATCH($A63,hayday_info!$A$2:$A$349,0)),"not found")=C63,"match","differs")))</f>
        <v>match</v>
      </c>
    </row>
    <row r="64" customFormat="false" ht="15" hidden="false" customHeight="true" outlineLevel="0" collapsed="false">
      <c r="A64" s="10" t="s">
        <v>583</v>
      </c>
      <c r="B64" s="10" t="s">
        <v>252</v>
      </c>
      <c r="C64" s="11" t="n">
        <v>30</v>
      </c>
      <c r="D64" s="11" t="n">
        <v>150</v>
      </c>
      <c r="E64" s="11" t="n">
        <v>127</v>
      </c>
      <c r="F64" s="13" t="n">
        <v>216</v>
      </c>
      <c r="G64" s="11" t="n">
        <v>26</v>
      </c>
      <c r="H64" s="10"/>
      <c r="I64" s="10" t="s">
        <v>720</v>
      </c>
      <c r="J64" s="17" t="n">
        <f aca="false">IFERROR(INDEX(hayday_info!$D$2:$D$349,MATCH($A64,hayday_info!$A$2:$A$349,0)),"not found")</f>
        <v>127</v>
      </c>
      <c r="K64" s="10" t="str">
        <f aca="false">IF(J64="not found","not in hayday.info",IF(J64=E64,"matches mastered",IF(J64=D64,"matches normal","differs")))</f>
        <v>matches mastered</v>
      </c>
      <c r="L64" s="18" t="n">
        <f aca="false">IFERROR(INDEX(hayday_info!$E$2:$E$349,MATCH($A64,hayday_info!$A$2:$A$349,0)),"not found")</f>
        <v>216</v>
      </c>
      <c r="M64" s="10" t="str">
        <f aca="false">IF(L64="not found","not in hayday.info",IF(F64="","no Fandom value",IF(L64=F64,"match","differs")))</f>
        <v>match</v>
      </c>
      <c r="N64" s="10" t="n">
        <f aca="false">IFERROR(INDEX(hayday_info!$F$2:$F$349,MATCH($A64,hayday_info!$A$2:$A$349,0)),"not found")</f>
        <v>26</v>
      </c>
      <c r="O64" s="10" t="str">
        <f aca="false">IF(N64="not found","not in hayday.info",IF(G64="","no Fandom value",IF(N64=G64,"match","differs")))</f>
        <v>match</v>
      </c>
      <c r="P64" s="10" t="str">
        <f aca="false">IF(J64="not found","not in hayday.info",IF(C64="","no Fandom value",IF(IFERROR(INDEX(hayday_info!$C$2:$C$349,MATCH($A64,hayday_info!$A$2:$A$349,0)),"not found")=C64,"match","differs")))</f>
        <v>match</v>
      </c>
    </row>
    <row r="65" customFormat="false" ht="15" hidden="false" customHeight="true" outlineLevel="0" collapsed="false">
      <c r="A65" s="10" t="s">
        <v>585</v>
      </c>
      <c r="B65" s="10" t="s">
        <v>252</v>
      </c>
      <c r="C65" s="11" t="n">
        <v>31</v>
      </c>
      <c r="D65" s="11" t="n">
        <v>90</v>
      </c>
      <c r="E65" s="11" t="n">
        <v>76</v>
      </c>
      <c r="F65" s="13" t="n">
        <v>162</v>
      </c>
      <c r="G65" s="11" t="n">
        <v>19</v>
      </c>
      <c r="H65" s="10"/>
      <c r="I65" s="10" t="s">
        <v>720</v>
      </c>
      <c r="J65" s="17" t="n">
        <f aca="false">IFERROR(INDEX(hayday_info!$D$2:$D$349,MATCH($A65,hayday_info!$A$2:$A$349,0)),"not found")</f>
        <v>76</v>
      </c>
      <c r="K65" s="10" t="str">
        <f aca="false">IF(J65="not found","not in hayday.info",IF(J65=E65,"matches mastered",IF(J65=D65,"matches normal","differs")))</f>
        <v>matches mastered</v>
      </c>
      <c r="L65" s="18" t="n">
        <f aca="false">IFERROR(INDEX(hayday_info!$E$2:$E$349,MATCH($A65,hayday_info!$A$2:$A$349,0)),"not found")</f>
        <v>162</v>
      </c>
      <c r="M65" s="10" t="str">
        <f aca="false">IF(L65="not found","not in hayday.info",IF(F65="","no Fandom value",IF(L65=F65,"match","differs")))</f>
        <v>match</v>
      </c>
      <c r="N65" s="10" t="n">
        <f aca="false">IFERROR(INDEX(hayday_info!$F$2:$F$349,MATCH($A65,hayday_info!$A$2:$A$349,0)),"not found")</f>
        <v>19</v>
      </c>
      <c r="O65" s="10" t="str">
        <f aca="false">IF(N65="not found","not in hayday.info",IF(G65="","no Fandom value",IF(N65=G65,"match","differs")))</f>
        <v>match</v>
      </c>
      <c r="P65" s="10" t="str">
        <f aca="false">IF(J65="not found","not in hayday.info",IF(C65="","no Fandom value",IF(IFERROR(INDEX(hayday_info!$C$2:$C$349,MATCH($A65,hayday_info!$A$2:$A$349,0)),"not found")=C65,"match","differs")))</f>
        <v>match</v>
      </c>
    </row>
    <row r="66" customFormat="false" ht="15" hidden="false" customHeight="true" outlineLevel="0" collapsed="false">
      <c r="A66" s="10" t="s">
        <v>584</v>
      </c>
      <c r="B66" s="10" t="s">
        <v>252</v>
      </c>
      <c r="C66" s="11" t="n">
        <v>31</v>
      </c>
      <c r="D66" s="11" t="n">
        <v>180</v>
      </c>
      <c r="E66" s="11" t="n">
        <v>153</v>
      </c>
      <c r="F66" s="13" t="n">
        <v>205</v>
      </c>
      <c r="G66" s="11" t="n">
        <v>24</v>
      </c>
      <c r="H66" s="10"/>
      <c r="I66" s="10" t="s">
        <v>720</v>
      </c>
      <c r="J66" s="17" t="n">
        <f aca="false">IFERROR(INDEX(hayday_info!$D$2:$D$349,MATCH($A66,hayday_info!$A$2:$A$349,0)),"not found")</f>
        <v>153</v>
      </c>
      <c r="K66" s="10" t="str">
        <f aca="false">IF(J66="not found","not in hayday.info",IF(J66=E66,"matches mastered",IF(J66=D66,"matches normal","differs")))</f>
        <v>matches mastered</v>
      </c>
      <c r="L66" s="18" t="n">
        <f aca="false">IFERROR(INDEX(hayday_info!$E$2:$E$349,MATCH($A66,hayday_info!$A$2:$A$349,0)),"not found")</f>
        <v>205</v>
      </c>
      <c r="M66" s="10" t="str">
        <f aca="false">IF(L66="not found","not in hayday.info",IF(F66="","no Fandom value",IF(L66=F66,"match","differs")))</f>
        <v>match</v>
      </c>
      <c r="N66" s="10" t="n">
        <f aca="false">IFERROR(INDEX(hayday_info!$F$2:$F$349,MATCH($A66,hayday_info!$A$2:$A$349,0)),"not found")</f>
        <v>24</v>
      </c>
      <c r="O66" s="10" t="str">
        <f aca="false">IF(N66="not found","not in hayday.info",IF(G66="","no Fandom value",IF(N66=G66,"match","differs")))</f>
        <v>match</v>
      </c>
      <c r="P66" s="10" t="str">
        <f aca="false">IF(J66="not found","not in hayday.info",IF(C66="","no Fandom value",IF(IFERROR(INDEX(hayday_info!$C$2:$C$349,MATCH($A66,hayday_info!$A$2:$A$349,0)),"not found")=C66,"match","differs")))</f>
        <v>match</v>
      </c>
    </row>
    <row r="67" customFormat="false" ht="15" hidden="false" customHeight="true" outlineLevel="0" collapsed="false">
      <c r="A67" s="10" t="s">
        <v>586</v>
      </c>
      <c r="B67" s="10" t="s">
        <v>252</v>
      </c>
      <c r="C67" s="11" t="n">
        <v>52</v>
      </c>
      <c r="D67" s="11" t="n">
        <v>45</v>
      </c>
      <c r="E67" s="11" t="n">
        <v>38</v>
      </c>
      <c r="F67" s="13" t="n">
        <v>68</v>
      </c>
      <c r="G67" s="11" t="n">
        <v>8</v>
      </c>
      <c r="H67" s="10"/>
      <c r="I67" s="10" t="s">
        <v>720</v>
      </c>
      <c r="J67" s="17" t="n">
        <f aca="false">IFERROR(INDEX(hayday_info!$D$2:$D$349,MATCH($A67,hayday_info!$A$2:$A$349,0)),"not found")</f>
        <v>38</v>
      </c>
      <c r="K67" s="10" t="str">
        <f aca="false">IF(J67="not found","not in hayday.info",IF(J67=E67,"matches mastered",IF(J67=D67,"matches normal","differs")))</f>
        <v>matches mastered</v>
      </c>
      <c r="L67" s="18" t="n">
        <f aca="false">IFERROR(INDEX(hayday_info!$E$2:$E$349,MATCH($A67,hayday_info!$A$2:$A$349,0)),"not found")</f>
        <v>68</v>
      </c>
      <c r="M67" s="10" t="str">
        <f aca="false">IF(L67="not found","not in hayday.info",IF(F67="","no Fandom value",IF(L67=F67,"match","differs")))</f>
        <v>match</v>
      </c>
      <c r="N67" s="10" t="n">
        <f aca="false">IFERROR(INDEX(hayday_info!$F$2:$F$349,MATCH($A67,hayday_info!$A$2:$A$349,0)),"not found")</f>
        <v>8</v>
      </c>
      <c r="O67" s="10" t="str">
        <f aca="false">IF(N67="not found","not in hayday.info",IF(G67="","no Fandom value",IF(N67=G67,"match","differs")))</f>
        <v>match</v>
      </c>
      <c r="P67" s="10" t="str">
        <f aca="false">IF(J67="not found","not in hayday.info",IF(C67="","no Fandom value",IF(IFERROR(INDEX(hayday_info!$C$2:$C$349,MATCH($A67,hayday_info!$A$2:$A$349,0)),"not found")=C67,"match","differs")))</f>
        <v>match</v>
      </c>
    </row>
    <row r="68" customFormat="false" ht="15" hidden="false" customHeight="true" outlineLevel="0" collapsed="false">
      <c r="A68" s="10" t="s">
        <v>587</v>
      </c>
      <c r="B68" s="10" t="s">
        <v>252</v>
      </c>
      <c r="C68" s="11" t="n">
        <v>71</v>
      </c>
      <c r="D68" s="11" t="n">
        <v>120</v>
      </c>
      <c r="E68" s="11" t="n">
        <v>102</v>
      </c>
      <c r="F68" s="13" t="n">
        <v>234</v>
      </c>
      <c r="G68" s="11" t="n">
        <v>28</v>
      </c>
      <c r="H68" s="10"/>
      <c r="I68" s="10" t="s">
        <v>720</v>
      </c>
      <c r="J68" s="17" t="n">
        <f aca="false">IFERROR(INDEX(hayday_info!$D$2:$D$349,MATCH($A68,hayday_info!$A$2:$A$349,0)),"not found")</f>
        <v>102</v>
      </c>
      <c r="K68" s="10" t="str">
        <f aca="false">IF(J68="not found","not in hayday.info",IF(J68=E68,"matches mastered",IF(J68=D68,"matches normal","differs")))</f>
        <v>matches mastered</v>
      </c>
      <c r="L68" s="18" t="n">
        <f aca="false">IFERROR(INDEX(hayday_info!$E$2:$E$349,MATCH($A68,hayday_info!$A$2:$A$349,0)),"not found")</f>
        <v>234</v>
      </c>
      <c r="M68" s="10" t="str">
        <f aca="false">IF(L68="not found","not in hayday.info",IF(F68="","no Fandom value",IF(L68=F68,"match","differs")))</f>
        <v>match</v>
      </c>
      <c r="N68" s="10" t="n">
        <f aca="false">IFERROR(INDEX(hayday_info!$F$2:$F$349,MATCH($A68,hayday_info!$A$2:$A$349,0)),"not found")</f>
        <v>28</v>
      </c>
      <c r="O68" s="10" t="str">
        <f aca="false">IF(N68="not found","not in hayday.info",IF(G68="","no Fandom value",IF(N68=G68,"match","differs")))</f>
        <v>match</v>
      </c>
      <c r="P68" s="10" t="str">
        <f aca="false">IF(J68="not found","not in hayday.info",IF(C68="","no Fandom value",IF(IFERROR(INDEX(hayday_info!$C$2:$C$349,MATCH($A68,hayday_info!$A$2:$A$349,0)),"not found")=C68,"match","differs")))</f>
        <v>match</v>
      </c>
    </row>
    <row r="69" customFormat="false" ht="15" hidden="false" customHeight="true" outlineLevel="0" collapsed="false">
      <c r="A69" s="10" t="s">
        <v>588</v>
      </c>
      <c r="B69" s="10" t="s">
        <v>252</v>
      </c>
      <c r="C69" s="11" t="n">
        <v>84</v>
      </c>
      <c r="D69" s="11" t="n">
        <v>150</v>
      </c>
      <c r="E69" s="11" t="n">
        <v>127</v>
      </c>
      <c r="F69" s="13" t="n">
        <v>104</v>
      </c>
      <c r="G69" s="11" t="n">
        <v>13</v>
      </c>
      <c r="H69" s="10"/>
      <c r="I69" s="10" t="s">
        <v>720</v>
      </c>
      <c r="J69" s="17" t="n">
        <f aca="false">IFERROR(INDEX(hayday_info!$D$2:$D$349,MATCH($A69,hayday_info!$A$2:$A$349,0)),"not found")</f>
        <v>127</v>
      </c>
      <c r="K69" s="10" t="str">
        <f aca="false">IF(J69="not found","not in hayday.info",IF(J69=E69,"matches mastered",IF(J69=D69,"matches normal","differs")))</f>
        <v>matches mastered</v>
      </c>
      <c r="L69" s="18" t="n">
        <f aca="false">IFERROR(INDEX(hayday_info!$E$2:$E$349,MATCH($A69,hayday_info!$A$2:$A$349,0)),"not found")</f>
        <v>104</v>
      </c>
      <c r="M69" s="10" t="str">
        <f aca="false">IF(L69="not found","not in hayday.info",IF(F69="","no Fandom value",IF(L69=F69,"match","differs")))</f>
        <v>match</v>
      </c>
      <c r="N69" s="10" t="n">
        <f aca="false">IFERROR(INDEX(hayday_info!$F$2:$F$349,MATCH($A69,hayday_info!$A$2:$A$349,0)),"not found")</f>
        <v>13</v>
      </c>
      <c r="O69" s="10" t="str">
        <f aca="false">IF(N69="not found","not in hayday.info",IF(G69="","no Fandom value",IF(N69=G69,"match","differs")))</f>
        <v>match</v>
      </c>
      <c r="P69" s="10" t="str">
        <f aca="false">IF(J69="not found","not in hayday.info",IF(C69="","no Fandom value",IF(IFERROR(INDEX(hayday_info!$C$2:$C$349,MATCH($A69,hayday_info!$A$2:$A$349,0)),"not found")=C69,"match","differs")))</f>
        <v>match</v>
      </c>
    </row>
    <row r="70" customFormat="false" ht="15" hidden="false" customHeight="true" outlineLevel="0" collapsed="false">
      <c r="A70" s="10" t="s">
        <v>590</v>
      </c>
      <c r="B70" s="10" t="s">
        <v>252</v>
      </c>
      <c r="C70" s="11" t="n">
        <v>92</v>
      </c>
      <c r="D70" s="11" t="n">
        <v>60</v>
      </c>
      <c r="E70" s="11" t="n">
        <v>51</v>
      </c>
      <c r="F70" s="13" t="n">
        <v>108</v>
      </c>
      <c r="G70" s="11" t="n">
        <v>13</v>
      </c>
      <c r="H70" s="10"/>
      <c r="I70" s="10" t="s">
        <v>720</v>
      </c>
      <c r="J70" s="17" t="n">
        <f aca="false">IFERROR(INDEX(hayday_info!$D$2:$D$349,MATCH($A70,hayday_info!$A$2:$A$349,0)),"not found")</f>
        <v>51</v>
      </c>
      <c r="K70" s="10" t="str">
        <f aca="false">IF(J70="not found","not in hayday.info",IF(J70=E70,"matches mastered",IF(J70=D70,"matches normal","differs")))</f>
        <v>matches mastered</v>
      </c>
      <c r="L70" s="18" t="n">
        <f aca="false">IFERROR(INDEX(hayday_info!$E$2:$E$349,MATCH($A70,hayday_info!$A$2:$A$349,0)),"not found")</f>
        <v>108</v>
      </c>
      <c r="M70" s="10" t="str">
        <f aca="false">IF(L70="not found","not in hayday.info",IF(F70="","no Fandom value",IF(L70=F70,"match","differs")))</f>
        <v>match</v>
      </c>
      <c r="N70" s="10" t="n">
        <f aca="false">IFERROR(INDEX(hayday_info!$F$2:$F$349,MATCH($A70,hayday_info!$A$2:$A$349,0)),"not found")</f>
        <v>13</v>
      </c>
      <c r="O70" s="10" t="str">
        <f aca="false">IF(N70="not found","not in hayday.info",IF(G70="","no Fandom value",IF(N70=G70,"match","differs")))</f>
        <v>match</v>
      </c>
      <c r="P70" s="10" t="str">
        <f aca="false">IF(J70="not found","not in hayday.info",IF(C70="","no Fandom value",IF(IFERROR(INDEX(hayday_info!$C$2:$C$349,MATCH($A70,hayday_info!$A$2:$A$349,0)),"not found")=C70,"match","differs")))</f>
        <v>match</v>
      </c>
    </row>
    <row r="71" customFormat="false" ht="15" hidden="false" customHeight="true" outlineLevel="0" collapsed="false">
      <c r="A71" s="10" t="s">
        <v>217</v>
      </c>
      <c r="B71" s="10" t="s">
        <v>218</v>
      </c>
      <c r="C71" s="11" t="n">
        <v>29</v>
      </c>
      <c r="D71" s="11" t="n">
        <v>120</v>
      </c>
      <c r="E71" s="11" t="n">
        <v>102</v>
      </c>
      <c r="F71" s="13" t="n">
        <v>172</v>
      </c>
      <c r="G71" s="11" t="n">
        <v>20</v>
      </c>
      <c r="H71" s="10"/>
      <c r="I71" s="10" t="s">
        <v>721</v>
      </c>
      <c r="J71" s="17" t="n">
        <f aca="false">IFERROR(INDEX(hayday_info!$D$2:$D$349,MATCH($A71,hayday_info!$A$2:$A$349,0)),"not found")</f>
        <v>102</v>
      </c>
      <c r="K71" s="10" t="str">
        <f aca="false">IF(J71="not found","not in hayday.info",IF(J71=E71,"matches mastered",IF(J71=D71,"matches normal","differs")))</f>
        <v>matches mastered</v>
      </c>
      <c r="L71" s="18" t="n">
        <f aca="false">IFERROR(INDEX(hayday_info!$E$2:$E$349,MATCH($A71,hayday_info!$A$2:$A$349,0)),"not found")</f>
        <v>172</v>
      </c>
      <c r="M71" s="10" t="str">
        <f aca="false">IF(L71="not found","not in hayday.info",IF(F71="","no Fandom value",IF(L71=F71,"match","differs")))</f>
        <v>match</v>
      </c>
      <c r="N71" s="10" t="n">
        <f aca="false">IFERROR(INDEX(hayday_info!$F$2:$F$349,MATCH($A71,hayday_info!$A$2:$A$349,0)),"not found")</f>
        <v>20</v>
      </c>
      <c r="O71" s="10" t="str">
        <f aca="false">IF(N71="not found","not in hayday.info",IF(G71="","no Fandom value",IF(N71=G71,"match","differs")))</f>
        <v>match</v>
      </c>
      <c r="P71" s="10" t="str">
        <f aca="false">IF(J71="not found","not in hayday.info",IF(C71="","no Fandom value",IF(IFERROR(INDEX(hayday_info!$C$2:$C$349,MATCH($A71,hayday_info!$A$2:$A$349,0)),"not found")=C71,"match","differs")))</f>
        <v>match</v>
      </c>
    </row>
    <row r="72" customFormat="false" ht="15" hidden="false" customHeight="true" outlineLevel="0" collapsed="false">
      <c r="A72" s="10" t="s">
        <v>220</v>
      </c>
      <c r="B72" s="10" t="s">
        <v>218</v>
      </c>
      <c r="C72" s="11" t="n">
        <v>33</v>
      </c>
      <c r="D72" s="11" t="n">
        <v>180</v>
      </c>
      <c r="E72" s="11" t="n">
        <v>153</v>
      </c>
      <c r="F72" s="13" t="n">
        <v>352</v>
      </c>
      <c r="G72" s="11" t="n">
        <v>42</v>
      </c>
      <c r="H72" s="10"/>
      <c r="I72" s="10" t="s">
        <v>721</v>
      </c>
      <c r="J72" s="17" t="n">
        <f aca="false">IFERROR(INDEX(hayday_info!$D$2:$D$349,MATCH($A72,hayday_info!$A$2:$A$349,0)),"not found")</f>
        <v>153</v>
      </c>
      <c r="K72" s="10" t="str">
        <f aca="false">IF(J72="not found","not in hayday.info",IF(J72=E72,"matches mastered",IF(J72=D72,"matches normal","differs")))</f>
        <v>matches mastered</v>
      </c>
      <c r="L72" s="18" t="n">
        <f aca="false">IFERROR(INDEX(hayday_info!$E$2:$E$349,MATCH($A72,hayday_info!$A$2:$A$349,0)),"not found")</f>
        <v>352</v>
      </c>
      <c r="M72" s="10" t="str">
        <f aca="false">IF(L72="not found","not in hayday.info",IF(F72="","no Fandom value",IF(L72=F72,"match","differs")))</f>
        <v>match</v>
      </c>
      <c r="N72" s="10" t="n">
        <f aca="false">IFERROR(INDEX(hayday_info!$F$2:$F$349,MATCH($A72,hayday_info!$A$2:$A$349,0)),"not found")</f>
        <v>42</v>
      </c>
      <c r="O72" s="10" t="str">
        <f aca="false">IF(N72="not found","not in hayday.info",IF(G72="","no Fandom value",IF(N72=G72,"match","differs")))</f>
        <v>match</v>
      </c>
      <c r="P72" s="10" t="str">
        <f aca="false">IF(J72="not found","not in hayday.info",IF(C72="","no Fandom value",IF(IFERROR(INDEX(hayday_info!$C$2:$C$349,MATCH($A72,hayday_info!$A$2:$A$349,0)),"not found")=C72,"match","differs")))</f>
        <v>match</v>
      </c>
    </row>
    <row r="73" customFormat="false" ht="15" hidden="false" customHeight="true" outlineLevel="0" collapsed="false">
      <c r="A73" s="10" t="s">
        <v>221</v>
      </c>
      <c r="B73" s="10" t="s">
        <v>218</v>
      </c>
      <c r="C73" s="11" t="n">
        <v>34</v>
      </c>
      <c r="D73" s="11" t="n">
        <v>240</v>
      </c>
      <c r="E73" s="11" t="n">
        <v>204</v>
      </c>
      <c r="F73" s="13" t="n">
        <v>331</v>
      </c>
      <c r="G73" s="11" t="n">
        <v>40</v>
      </c>
      <c r="H73" s="10"/>
      <c r="I73" s="10" t="s">
        <v>721</v>
      </c>
      <c r="J73" s="17" t="n">
        <f aca="false">IFERROR(INDEX(hayday_info!$D$2:$D$349,MATCH($A73,hayday_info!$A$2:$A$349,0)),"not found")</f>
        <v>204</v>
      </c>
      <c r="K73" s="10" t="str">
        <f aca="false">IF(J73="not found","not in hayday.info",IF(J73=E73,"matches mastered",IF(J73=D73,"matches normal","differs")))</f>
        <v>matches mastered</v>
      </c>
      <c r="L73" s="18" t="n">
        <f aca="false">IFERROR(INDEX(hayday_info!$E$2:$E$349,MATCH($A73,hayday_info!$A$2:$A$349,0)),"not found")</f>
        <v>331</v>
      </c>
      <c r="M73" s="10" t="str">
        <f aca="false">IF(L73="not found","not in hayday.info",IF(F73="","no Fandom value",IF(L73=F73,"match","differs")))</f>
        <v>match</v>
      </c>
      <c r="N73" s="10" t="n">
        <f aca="false">IFERROR(INDEX(hayday_info!$F$2:$F$349,MATCH($A73,hayday_info!$A$2:$A$349,0)),"not found")</f>
        <v>40</v>
      </c>
      <c r="O73" s="10" t="str">
        <f aca="false">IF(N73="not found","not in hayday.info",IF(G73="","no Fandom value",IF(N73=G73,"match","differs")))</f>
        <v>match</v>
      </c>
      <c r="P73" s="10" t="str">
        <f aca="false">IF(J73="not found","not in hayday.info",IF(C73="","no Fandom value",IF(IFERROR(INDEX(hayday_info!$C$2:$C$349,MATCH($A73,hayday_info!$A$2:$A$349,0)),"not found")=C73,"match","differs")))</f>
        <v>match</v>
      </c>
    </row>
    <row r="74" customFormat="false" ht="15" hidden="false" customHeight="true" outlineLevel="0" collapsed="false">
      <c r="A74" s="10" t="s">
        <v>222</v>
      </c>
      <c r="B74" s="10" t="s">
        <v>218</v>
      </c>
      <c r="C74" s="11" t="n">
        <v>39</v>
      </c>
      <c r="D74" s="11" t="n">
        <v>150</v>
      </c>
      <c r="E74" s="11" t="n">
        <v>127</v>
      </c>
      <c r="F74" s="13" t="n">
        <v>342</v>
      </c>
      <c r="G74" s="11" t="n">
        <v>41</v>
      </c>
      <c r="H74" s="10"/>
      <c r="I74" s="10" t="s">
        <v>721</v>
      </c>
      <c r="J74" s="17" t="n">
        <f aca="false">IFERROR(INDEX(hayday_info!$D$2:$D$349,MATCH($A74,hayday_info!$A$2:$A$349,0)),"not found")</f>
        <v>127</v>
      </c>
      <c r="K74" s="10" t="str">
        <f aca="false">IF(J74="not found","not in hayday.info",IF(J74=E74,"matches mastered",IF(J74=D74,"matches normal","differs")))</f>
        <v>matches mastered</v>
      </c>
      <c r="L74" s="18" t="n">
        <f aca="false">IFERROR(INDEX(hayday_info!$E$2:$E$349,MATCH($A74,hayday_info!$A$2:$A$349,0)),"not found")</f>
        <v>342</v>
      </c>
      <c r="M74" s="10" t="str">
        <f aca="false">IF(L74="not found","not in hayday.info",IF(F74="","no Fandom value",IF(L74=F74,"match","differs")))</f>
        <v>match</v>
      </c>
      <c r="N74" s="10" t="n">
        <f aca="false">IFERROR(INDEX(hayday_info!$F$2:$F$349,MATCH($A74,hayday_info!$A$2:$A$349,0)),"not found")</f>
        <v>41</v>
      </c>
      <c r="O74" s="10" t="str">
        <f aca="false">IF(N74="not found","not in hayday.info",IF(G74="","no Fandom value",IF(N74=G74,"match","differs")))</f>
        <v>match</v>
      </c>
      <c r="P74" s="10" t="str">
        <f aca="false">IF(J74="not found","not in hayday.info",IF(C74="","no Fandom value",IF(IFERROR(INDEX(hayday_info!$C$2:$C$349,MATCH($A74,hayday_info!$A$2:$A$349,0)),"not found")=C74,"match","differs")))</f>
        <v>match</v>
      </c>
    </row>
    <row r="75" customFormat="false" ht="15" hidden="false" customHeight="true" outlineLevel="0" collapsed="false">
      <c r="A75" s="10" t="s">
        <v>223</v>
      </c>
      <c r="B75" s="10" t="s">
        <v>218</v>
      </c>
      <c r="C75" s="11" t="n">
        <v>50</v>
      </c>
      <c r="D75" s="11" t="n">
        <v>120</v>
      </c>
      <c r="E75" s="11" t="n">
        <v>102</v>
      </c>
      <c r="F75" s="13" t="n">
        <v>176</v>
      </c>
      <c r="G75" s="11" t="n">
        <v>21</v>
      </c>
      <c r="H75" s="10"/>
      <c r="I75" s="10" t="s">
        <v>721</v>
      </c>
      <c r="J75" s="17" t="n">
        <f aca="false">IFERROR(INDEX(hayday_info!$D$2:$D$349,MATCH($A75,hayday_info!$A$2:$A$349,0)),"not found")</f>
        <v>102</v>
      </c>
      <c r="K75" s="10" t="str">
        <f aca="false">IF(J75="not found","not in hayday.info",IF(J75=E75,"matches mastered",IF(J75=D75,"matches normal","differs")))</f>
        <v>matches mastered</v>
      </c>
      <c r="L75" s="18" t="n">
        <f aca="false">IFERROR(INDEX(hayday_info!$E$2:$E$349,MATCH($A75,hayday_info!$A$2:$A$349,0)),"not found")</f>
        <v>176</v>
      </c>
      <c r="M75" s="10" t="str">
        <f aca="false">IF(L75="not found","not in hayday.info",IF(F75="","no Fandom value",IF(L75=F75,"match","differs")))</f>
        <v>match</v>
      </c>
      <c r="N75" s="10" t="n">
        <f aca="false">IFERROR(INDEX(hayday_info!$F$2:$F$349,MATCH($A75,hayday_info!$A$2:$A$349,0)),"not found")</f>
        <v>21</v>
      </c>
      <c r="O75" s="10" t="str">
        <f aca="false">IF(N75="not found","not in hayday.info",IF(G75="","no Fandom value",IF(N75=G75,"match","differs")))</f>
        <v>match</v>
      </c>
      <c r="P75" s="10" t="str">
        <f aca="false">IF(J75="not found","not in hayday.info",IF(C75="","no Fandom value",IF(IFERROR(INDEX(hayday_info!$C$2:$C$349,MATCH($A75,hayday_info!$A$2:$A$349,0)),"not found")=C75,"match","differs")))</f>
        <v>match</v>
      </c>
    </row>
    <row r="76" customFormat="false" ht="15" hidden="false" customHeight="true" outlineLevel="0" collapsed="false">
      <c r="A76" s="10" t="s">
        <v>224</v>
      </c>
      <c r="B76" s="10" t="s">
        <v>218</v>
      </c>
      <c r="C76" s="11" t="n">
        <v>68</v>
      </c>
      <c r="D76" s="11" t="n">
        <v>100</v>
      </c>
      <c r="E76" s="11" t="n">
        <v>85</v>
      </c>
      <c r="F76" s="13" t="n">
        <v>619</v>
      </c>
      <c r="G76" s="11" t="n">
        <v>86</v>
      </c>
      <c r="H76" s="10"/>
      <c r="I76" s="10" t="s">
        <v>721</v>
      </c>
      <c r="J76" s="17" t="n">
        <f aca="false">IFERROR(INDEX(hayday_info!$D$2:$D$349,MATCH($A76,hayday_info!$A$2:$A$349,0)),"not found")</f>
        <v>85</v>
      </c>
      <c r="K76" s="10" t="str">
        <f aca="false">IF(J76="not found","not in hayday.info",IF(J76=E76,"matches mastered",IF(J76=D76,"matches normal","differs")))</f>
        <v>matches mastered</v>
      </c>
      <c r="L76" s="18" t="n">
        <f aca="false">IFERROR(INDEX(hayday_info!$E$2:$E$349,MATCH($A76,hayday_info!$A$2:$A$349,0)),"not found")</f>
        <v>619</v>
      </c>
      <c r="M76" s="10" t="str">
        <f aca="false">IF(L76="not found","not in hayday.info",IF(F76="","no Fandom value",IF(L76=F76,"match","differs")))</f>
        <v>match</v>
      </c>
      <c r="N76" s="10" t="n">
        <f aca="false">IFERROR(INDEX(hayday_info!$F$2:$F$349,MATCH($A76,hayday_info!$A$2:$A$349,0)),"not found")</f>
        <v>86</v>
      </c>
      <c r="O76" s="10" t="str">
        <f aca="false">IF(N76="not found","not in hayday.info",IF(G76="","no Fandom value",IF(N76=G76,"match","differs")))</f>
        <v>match</v>
      </c>
      <c r="P76" s="10" t="str">
        <f aca="false">IF(J76="not found","not in hayday.info",IF(C76="","no Fandom value",IF(IFERROR(INDEX(hayday_info!$C$2:$C$349,MATCH($A76,hayday_info!$A$2:$A$349,0)),"not found")=C76,"match","differs")))</f>
        <v>match</v>
      </c>
    </row>
    <row r="77" customFormat="false" ht="15" hidden="false" customHeight="true" outlineLevel="0" collapsed="false">
      <c r="A77" s="10" t="s">
        <v>226</v>
      </c>
      <c r="B77" s="10" t="s">
        <v>218</v>
      </c>
      <c r="C77" s="11" t="n">
        <v>78</v>
      </c>
      <c r="D77" s="11" t="n">
        <v>210</v>
      </c>
      <c r="E77" s="11" t="n">
        <v>178</v>
      </c>
      <c r="F77" s="13" t="n">
        <v>399</v>
      </c>
      <c r="G77" s="11" t="n">
        <v>48</v>
      </c>
      <c r="H77" s="10"/>
      <c r="I77" s="10" t="s">
        <v>721</v>
      </c>
      <c r="J77" s="17" t="n">
        <f aca="false">IFERROR(INDEX(hayday_info!$D$2:$D$349,MATCH($A77,hayday_info!$A$2:$A$349,0)),"not found")</f>
        <v>178</v>
      </c>
      <c r="K77" s="10" t="str">
        <f aca="false">IF(J77="not found","not in hayday.info",IF(J77=E77,"matches mastered",IF(J77=D77,"matches normal","differs")))</f>
        <v>matches mastered</v>
      </c>
      <c r="L77" s="18" t="n">
        <f aca="false">IFERROR(INDEX(hayday_info!$E$2:$E$349,MATCH($A77,hayday_info!$A$2:$A$349,0)),"not found")</f>
        <v>399</v>
      </c>
      <c r="M77" s="10" t="str">
        <f aca="false">IF(L77="not found","not in hayday.info",IF(F77="","no Fandom value",IF(L77=F77,"match","differs")))</f>
        <v>match</v>
      </c>
      <c r="N77" s="10" t="n">
        <f aca="false">IFERROR(INDEX(hayday_info!$F$2:$F$349,MATCH($A77,hayday_info!$A$2:$A$349,0)),"not found")</f>
        <v>48</v>
      </c>
      <c r="O77" s="10" t="str">
        <f aca="false">IF(N77="not found","not in hayday.info",IF(G77="","no Fandom value",IF(N77=G77,"match","differs")))</f>
        <v>match</v>
      </c>
      <c r="P77" s="10" t="str">
        <f aca="false">IF(J77="not found","not in hayday.info",IF(C77="","no Fandom value",IF(IFERROR(INDEX(hayday_info!$C$2:$C$349,MATCH($A77,hayday_info!$A$2:$A$349,0)),"not found")=C77,"match","differs")))</f>
        <v>match</v>
      </c>
    </row>
    <row r="78" customFormat="false" ht="15" hidden="false" customHeight="true" outlineLevel="0" collapsed="false">
      <c r="A78" s="10" t="s">
        <v>225</v>
      </c>
      <c r="B78" s="10" t="s">
        <v>218</v>
      </c>
      <c r="C78" s="11" t="n">
        <v>78</v>
      </c>
      <c r="D78" s="11" t="n">
        <v>20</v>
      </c>
      <c r="E78" s="11" t="n">
        <v>17</v>
      </c>
      <c r="F78" s="13" t="n">
        <v>435</v>
      </c>
      <c r="G78" s="11" t="n">
        <v>52</v>
      </c>
      <c r="H78" s="10"/>
      <c r="I78" s="10" t="s">
        <v>721</v>
      </c>
      <c r="J78" s="17" t="n">
        <f aca="false">IFERROR(INDEX(hayday_info!$D$2:$D$349,MATCH($A78,hayday_info!$A$2:$A$349,0)),"not found")</f>
        <v>17</v>
      </c>
      <c r="K78" s="10" t="str">
        <f aca="false">IF(J78="not found","not in hayday.info",IF(J78=E78,"matches mastered",IF(J78=D78,"matches normal","differs")))</f>
        <v>matches mastered</v>
      </c>
      <c r="L78" s="18" t="n">
        <f aca="false">IFERROR(INDEX(hayday_info!$E$2:$E$349,MATCH($A78,hayday_info!$A$2:$A$349,0)),"not found")</f>
        <v>435</v>
      </c>
      <c r="M78" s="10" t="str">
        <f aca="false">IF(L78="not found","not in hayday.info",IF(F78="","no Fandom value",IF(L78=F78,"match","differs")))</f>
        <v>match</v>
      </c>
      <c r="N78" s="10" t="n">
        <f aca="false">IFERROR(INDEX(hayday_info!$F$2:$F$349,MATCH($A78,hayday_info!$A$2:$A$349,0)),"not found")</f>
        <v>56</v>
      </c>
      <c r="O78" s="10" t="str">
        <f aca="false">IF(N78="not found","not in hayday.info",IF(G78="","no Fandom value",IF(N78=G78,"match","differs")))</f>
        <v>differs</v>
      </c>
      <c r="P78" s="10" t="str">
        <f aca="false">IF(J78="not found","not in hayday.info",IF(C78="","no Fandom value",IF(IFERROR(INDEX(hayday_info!$C$2:$C$349,MATCH($A78,hayday_info!$A$2:$A$349,0)),"not found")=C78,"match","differs")))</f>
        <v>match</v>
      </c>
    </row>
    <row r="79" customFormat="false" ht="15" hidden="false" customHeight="true" outlineLevel="0" collapsed="false">
      <c r="A79" s="10" t="s">
        <v>227</v>
      </c>
      <c r="B79" s="10" t="s">
        <v>218</v>
      </c>
      <c r="C79" s="11" t="n">
        <v>83</v>
      </c>
      <c r="D79" s="11" t="n">
        <v>180</v>
      </c>
      <c r="E79" s="11" t="n">
        <v>153</v>
      </c>
      <c r="F79" s="13" t="n">
        <v>450</v>
      </c>
      <c r="G79" s="11" t="n">
        <v>54</v>
      </c>
      <c r="H79" s="10"/>
      <c r="I79" s="10" t="s">
        <v>721</v>
      </c>
      <c r="J79" s="17" t="n">
        <f aca="false">IFERROR(INDEX(hayday_info!$D$2:$D$349,MATCH($A79,hayday_info!$A$2:$A$349,0)),"not found")</f>
        <v>153</v>
      </c>
      <c r="K79" s="10" t="str">
        <f aca="false">IF(J79="not found","not in hayday.info",IF(J79=E79,"matches mastered",IF(J79=D79,"matches normal","differs")))</f>
        <v>matches mastered</v>
      </c>
      <c r="L79" s="18" t="n">
        <f aca="false">IFERROR(INDEX(hayday_info!$E$2:$E$349,MATCH($A79,hayday_info!$A$2:$A$349,0)),"not found")</f>
        <v>450</v>
      </c>
      <c r="M79" s="10" t="str">
        <f aca="false">IF(L79="not found","not in hayday.info",IF(F79="","no Fandom value",IF(L79=F79,"match","differs")))</f>
        <v>match</v>
      </c>
      <c r="N79" s="10" t="n">
        <f aca="false">IFERROR(INDEX(hayday_info!$F$2:$F$349,MATCH($A79,hayday_info!$A$2:$A$349,0)),"not found")</f>
        <v>54</v>
      </c>
      <c r="O79" s="10" t="str">
        <f aca="false">IF(N79="not found","not in hayday.info",IF(G79="","no Fandom value",IF(N79=G79,"match","differs")))</f>
        <v>match</v>
      </c>
      <c r="P79" s="10" t="str">
        <f aca="false">IF(J79="not found","not in hayday.info",IF(C79="","no Fandom value",IF(IFERROR(INDEX(hayday_info!$C$2:$C$349,MATCH($A79,hayday_info!$A$2:$A$349,0)),"not found")=C79,"match","differs")))</f>
        <v>match</v>
      </c>
    </row>
    <row r="80" customFormat="false" ht="15" hidden="false" customHeight="true" outlineLevel="0" collapsed="false">
      <c r="A80" s="10" t="s">
        <v>228</v>
      </c>
      <c r="B80" s="10" t="s">
        <v>218</v>
      </c>
      <c r="C80" s="11" t="n">
        <v>85</v>
      </c>
      <c r="D80" s="11" t="n">
        <v>135</v>
      </c>
      <c r="E80" s="11" t="n">
        <v>114</v>
      </c>
      <c r="F80" s="13" t="n">
        <v>288</v>
      </c>
      <c r="G80" s="11" t="n">
        <v>34</v>
      </c>
      <c r="H80" s="10"/>
      <c r="I80" s="10" t="s">
        <v>721</v>
      </c>
      <c r="J80" s="17" t="n">
        <f aca="false">IFERROR(INDEX(hayday_info!$D$2:$D$349,MATCH($A80,hayday_info!$A$2:$A$349,0)),"not found")</f>
        <v>114</v>
      </c>
      <c r="K80" s="10" t="str">
        <f aca="false">IF(J80="not found","not in hayday.info",IF(J80=E80,"matches mastered",IF(J80=D80,"matches normal","differs")))</f>
        <v>matches mastered</v>
      </c>
      <c r="L80" s="18" t="n">
        <f aca="false">IFERROR(INDEX(hayday_info!$E$2:$E$349,MATCH($A80,hayday_info!$A$2:$A$349,0)),"not found")</f>
        <v>288</v>
      </c>
      <c r="M80" s="10" t="str">
        <f aca="false">IF(L80="not found","not in hayday.info",IF(F80="","no Fandom value",IF(L80=F80,"match","differs")))</f>
        <v>match</v>
      </c>
      <c r="N80" s="10" t="n">
        <f aca="false">IFERROR(INDEX(hayday_info!$F$2:$F$349,MATCH($A80,hayday_info!$A$2:$A$349,0)),"not found")</f>
        <v>34</v>
      </c>
      <c r="O80" s="10" t="str">
        <f aca="false">IF(N80="not found","not in hayday.info",IF(G80="","no Fandom value",IF(N80=G80,"match","differs")))</f>
        <v>match</v>
      </c>
      <c r="P80" s="10" t="str">
        <f aca="false">IF(J80="not found","not in hayday.info",IF(C80="","no Fandom value",IF(IFERROR(INDEX(hayday_info!$C$2:$C$349,MATCH($A80,hayday_info!$A$2:$A$349,0)),"not found")=C80,"match","differs")))</f>
        <v>match</v>
      </c>
    </row>
    <row r="81" customFormat="false" ht="15" hidden="false" customHeight="true" outlineLevel="0" collapsed="false">
      <c r="A81" s="10" t="s">
        <v>229</v>
      </c>
      <c r="B81" s="10" t="s">
        <v>218</v>
      </c>
      <c r="C81" s="11" t="n">
        <v>96</v>
      </c>
      <c r="D81" s="11" t="n">
        <v>210</v>
      </c>
      <c r="E81" s="11" t="n">
        <v>178</v>
      </c>
      <c r="F81" s="13" t="n">
        <v>403</v>
      </c>
      <c r="G81" s="11" t="n">
        <v>48</v>
      </c>
      <c r="H81" s="10"/>
      <c r="I81" s="10" t="s">
        <v>721</v>
      </c>
      <c r="J81" s="17" t="n">
        <f aca="false">IFERROR(INDEX(hayday_info!$D$2:$D$349,MATCH($A81,hayday_info!$A$2:$A$349,0)),"not found")</f>
        <v>178</v>
      </c>
      <c r="K81" s="10" t="str">
        <f aca="false">IF(J81="not found","not in hayday.info",IF(J81=E81,"matches mastered",IF(J81=D81,"matches normal","differs")))</f>
        <v>matches mastered</v>
      </c>
      <c r="L81" s="18" t="n">
        <f aca="false">IFERROR(INDEX(hayday_info!$E$2:$E$349,MATCH($A81,hayday_info!$A$2:$A$349,0)),"not found")</f>
        <v>403</v>
      </c>
      <c r="M81" s="10" t="str">
        <f aca="false">IF(L81="not found","not in hayday.info",IF(F81="","no Fandom value",IF(L81=F81,"match","differs")))</f>
        <v>match</v>
      </c>
      <c r="N81" s="10" t="n">
        <f aca="false">IFERROR(INDEX(hayday_info!$F$2:$F$349,MATCH($A81,hayday_info!$A$2:$A$349,0)),"not found")</f>
        <v>48</v>
      </c>
      <c r="O81" s="10" t="str">
        <f aca="false">IF(N81="not found","not in hayday.info",IF(G81="","no Fandom value",IF(N81=G81,"match","differs")))</f>
        <v>match</v>
      </c>
      <c r="P81" s="10" t="str">
        <f aca="false">IF(J81="not found","not in hayday.info",IF(C81="","no Fandom value",IF(IFERROR(INDEX(hayday_info!$C$2:$C$349,MATCH($A81,hayday_info!$A$2:$A$349,0)),"not found")=C81,"match","differs")))</f>
        <v>match</v>
      </c>
    </row>
    <row r="82" customFormat="false" ht="15" hidden="false" customHeight="true" outlineLevel="0" collapsed="false">
      <c r="A82" s="10" t="s">
        <v>568</v>
      </c>
      <c r="B82" s="10" t="s">
        <v>233</v>
      </c>
      <c r="C82" s="11" t="n">
        <v>35</v>
      </c>
      <c r="D82" s="11" t="n">
        <v>360</v>
      </c>
      <c r="E82" s="11" t="n">
        <v>306</v>
      </c>
      <c r="F82" s="13" t="n">
        <v>219</v>
      </c>
      <c r="G82" s="11" t="n">
        <v>26</v>
      </c>
      <c r="H82" s="10"/>
      <c r="I82" s="10" t="s">
        <v>722</v>
      </c>
      <c r="J82" s="17" t="n">
        <f aca="false">IFERROR(INDEX(hayday_info!$D$2:$D$349,MATCH($A82,hayday_info!$A$2:$A$349,0)),"not found")</f>
        <v>306</v>
      </c>
      <c r="K82" s="10" t="str">
        <f aca="false">IF(J82="not found","not in hayday.info",IF(J82=E82,"matches mastered",IF(J82=D82,"matches normal","differs")))</f>
        <v>matches mastered</v>
      </c>
      <c r="L82" s="18" t="n">
        <f aca="false">IFERROR(INDEX(hayday_info!$E$2:$E$349,MATCH($A82,hayday_info!$A$2:$A$349,0)),"not found")</f>
        <v>219</v>
      </c>
      <c r="M82" s="10" t="str">
        <f aca="false">IF(L82="not found","not in hayday.info",IF(F82="","no Fandom value",IF(L82=F82,"match","differs")))</f>
        <v>match</v>
      </c>
      <c r="N82" s="10" t="n">
        <f aca="false">IFERROR(INDEX(hayday_info!$F$2:$F$349,MATCH($A82,hayday_info!$A$2:$A$349,0)),"not found")</f>
        <v>26</v>
      </c>
      <c r="O82" s="10" t="str">
        <f aca="false">IF(N82="not found","not in hayday.info",IF(G82="","no Fandom value",IF(N82=G82,"match","differs")))</f>
        <v>match</v>
      </c>
      <c r="P82" s="10" t="str">
        <f aca="false">IF(J82="not found","not in hayday.info",IF(C82="","no Fandom value",IF(IFERROR(INDEX(hayday_info!$C$2:$C$349,MATCH($A82,hayday_info!$A$2:$A$349,0)),"not found")=C82,"match","differs")))</f>
        <v>match</v>
      </c>
    </row>
    <row r="83" customFormat="false" ht="15" hidden="false" customHeight="true" outlineLevel="0" collapsed="false">
      <c r="A83" s="10" t="s">
        <v>569</v>
      </c>
      <c r="B83" s="10" t="s">
        <v>233</v>
      </c>
      <c r="C83" s="11" t="n">
        <v>36</v>
      </c>
      <c r="D83" s="11" t="n">
        <v>420</v>
      </c>
      <c r="E83" s="11" t="n">
        <v>357</v>
      </c>
      <c r="F83" s="13" t="n">
        <v>252</v>
      </c>
      <c r="G83" s="11" t="n">
        <v>29</v>
      </c>
      <c r="H83" s="10"/>
      <c r="I83" s="10" t="s">
        <v>722</v>
      </c>
      <c r="J83" s="17" t="n">
        <f aca="false">IFERROR(INDEX(hayday_info!$D$2:$D$349,MATCH($A83,hayday_info!$A$2:$A$349,0)),"not found")</f>
        <v>357</v>
      </c>
      <c r="K83" s="10" t="str">
        <f aca="false">IF(J83="not found","not in hayday.info",IF(J83=E83,"matches mastered",IF(J83=D83,"matches normal","differs")))</f>
        <v>matches mastered</v>
      </c>
      <c r="L83" s="18" t="n">
        <f aca="false">IFERROR(INDEX(hayday_info!$E$2:$E$349,MATCH($A83,hayday_info!$A$2:$A$349,0)),"not found")</f>
        <v>252</v>
      </c>
      <c r="M83" s="10" t="str">
        <f aca="false">IF(L83="not found","not in hayday.info",IF(F83="","no Fandom value",IF(L83=F83,"match","differs")))</f>
        <v>match</v>
      </c>
      <c r="N83" s="10" t="n">
        <f aca="false">IFERROR(INDEX(hayday_info!$F$2:$F$349,MATCH($A83,hayday_info!$A$2:$A$349,0)),"not found")</f>
        <v>30</v>
      </c>
      <c r="O83" s="10" t="str">
        <f aca="false">IF(N83="not found","not in hayday.info",IF(G83="","no Fandom value",IF(N83=G83,"match","differs")))</f>
        <v>differs</v>
      </c>
      <c r="P83" s="10" t="str">
        <f aca="false">IF(J83="not found","not in hayday.info",IF(C83="","no Fandom value",IF(IFERROR(INDEX(hayday_info!$C$2:$C$349,MATCH($A83,hayday_info!$A$2:$A$349,0)),"not found")=C83,"match","differs")))</f>
        <v>match</v>
      </c>
    </row>
    <row r="84" customFormat="false" ht="15" hidden="false" customHeight="true" outlineLevel="0" collapsed="false">
      <c r="A84" s="10" t="s">
        <v>570</v>
      </c>
      <c r="B84" s="10" t="s">
        <v>233</v>
      </c>
      <c r="C84" s="11" t="n">
        <v>37</v>
      </c>
      <c r="D84" s="11" t="n">
        <v>480</v>
      </c>
      <c r="E84" s="11" t="n">
        <v>408</v>
      </c>
      <c r="F84" s="13" t="n">
        <v>388</v>
      </c>
      <c r="G84" s="11" t="n">
        <v>46</v>
      </c>
      <c r="H84" s="10"/>
      <c r="I84" s="10" t="s">
        <v>722</v>
      </c>
      <c r="J84" s="17" t="n">
        <f aca="false">IFERROR(INDEX(hayday_info!$D$2:$D$349,MATCH($A84,hayday_info!$A$2:$A$349,0)),"not found")</f>
        <v>408</v>
      </c>
      <c r="K84" s="10" t="str">
        <f aca="false">IF(J84="not found","not in hayday.info",IF(J84=E84,"matches mastered",IF(J84=D84,"matches normal","differs")))</f>
        <v>matches mastered</v>
      </c>
      <c r="L84" s="18" t="n">
        <f aca="false">IFERROR(INDEX(hayday_info!$E$2:$E$349,MATCH($A84,hayday_info!$A$2:$A$349,0)),"not found")</f>
        <v>388</v>
      </c>
      <c r="M84" s="10" t="str">
        <f aca="false">IF(L84="not found","not in hayday.info",IF(F84="","no Fandom value",IF(L84=F84,"match","differs")))</f>
        <v>match</v>
      </c>
      <c r="N84" s="10" t="n">
        <f aca="false">IFERROR(INDEX(hayday_info!$F$2:$F$349,MATCH($A84,hayday_info!$A$2:$A$349,0)),"not found")</f>
        <v>46</v>
      </c>
      <c r="O84" s="10" t="str">
        <f aca="false">IF(N84="not found","not in hayday.info",IF(G84="","no Fandom value",IF(N84=G84,"match","differs")))</f>
        <v>match</v>
      </c>
      <c r="P84" s="10" t="str">
        <f aca="false">IF(J84="not found","not in hayday.info",IF(C84="","no Fandom value",IF(IFERROR(INDEX(hayday_info!$C$2:$C$349,MATCH($A84,hayday_info!$A$2:$A$349,0)),"not found")=C84,"match","differs")))</f>
        <v>match</v>
      </c>
    </row>
    <row r="85" customFormat="false" ht="15" hidden="false" customHeight="true" outlineLevel="0" collapsed="false">
      <c r="A85" s="10" t="s">
        <v>571</v>
      </c>
      <c r="B85" s="10" t="s">
        <v>233</v>
      </c>
      <c r="C85" s="11" t="n">
        <v>38</v>
      </c>
      <c r="D85" s="11" t="n">
        <v>420</v>
      </c>
      <c r="E85" s="11" t="n">
        <v>357</v>
      </c>
      <c r="F85" s="13" t="n">
        <v>334</v>
      </c>
      <c r="G85" s="11" t="n">
        <v>40</v>
      </c>
      <c r="H85" s="10"/>
      <c r="I85" s="10" t="s">
        <v>722</v>
      </c>
      <c r="J85" s="17" t="n">
        <f aca="false">IFERROR(INDEX(hayday_info!$D$2:$D$349,MATCH($A85,hayday_info!$A$2:$A$349,0)),"not found")</f>
        <v>357</v>
      </c>
      <c r="K85" s="10" t="str">
        <f aca="false">IF(J85="not found","not in hayday.info",IF(J85=E85,"matches mastered",IF(J85=D85,"matches normal","differs")))</f>
        <v>matches mastered</v>
      </c>
      <c r="L85" s="18" t="n">
        <f aca="false">IFERROR(INDEX(hayday_info!$E$2:$E$349,MATCH($A85,hayday_info!$A$2:$A$349,0)),"not found")</f>
        <v>334</v>
      </c>
      <c r="M85" s="10" t="str">
        <f aca="false">IF(L85="not found","not in hayday.info",IF(F85="","no Fandom value",IF(L85=F85,"match","differs")))</f>
        <v>match</v>
      </c>
      <c r="N85" s="10" t="n">
        <f aca="false">IFERROR(INDEX(hayday_info!$F$2:$F$349,MATCH($A85,hayday_info!$A$2:$A$349,0)),"not found")</f>
        <v>40</v>
      </c>
      <c r="O85" s="10" t="str">
        <f aca="false">IF(N85="not found","not in hayday.info",IF(G85="","no Fandom value",IF(N85=G85,"match","differs")))</f>
        <v>match</v>
      </c>
      <c r="P85" s="10" t="str">
        <f aca="false">IF(J85="not found","not in hayday.info",IF(C85="","no Fandom value",IF(IFERROR(INDEX(hayday_info!$C$2:$C$349,MATCH($A85,hayday_info!$A$2:$A$349,0)),"not found")=C85,"match","differs")))</f>
        <v>match</v>
      </c>
    </row>
    <row r="86" customFormat="false" ht="15" hidden="false" customHeight="true" outlineLevel="0" collapsed="false">
      <c r="A86" s="10" t="s">
        <v>572</v>
      </c>
      <c r="B86" s="10" t="s">
        <v>233</v>
      </c>
      <c r="C86" s="11" t="n">
        <v>50</v>
      </c>
      <c r="D86" s="11" t="n">
        <v>450</v>
      </c>
      <c r="E86" s="11" t="n">
        <v>382</v>
      </c>
      <c r="F86" s="13" t="n">
        <v>270</v>
      </c>
      <c r="G86" s="11" t="n">
        <v>32</v>
      </c>
      <c r="H86" s="10"/>
      <c r="I86" s="10" t="s">
        <v>722</v>
      </c>
      <c r="J86" s="17" t="n">
        <f aca="false">IFERROR(INDEX(hayday_info!$D$2:$D$349,MATCH($A86,hayday_info!$A$2:$A$349,0)),"not found")</f>
        <v>382</v>
      </c>
      <c r="K86" s="10" t="str">
        <f aca="false">IF(J86="not found","not in hayday.info",IF(J86=E86,"matches mastered",IF(J86=D86,"matches normal","differs")))</f>
        <v>matches mastered</v>
      </c>
      <c r="L86" s="18" t="n">
        <f aca="false">IFERROR(INDEX(hayday_info!$E$2:$E$349,MATCH($A86,hayday_info!$A$2:$A$349,0)),"not found")</f>
        <v>270</v>
      </c>
      <c r="M86" s="10" t="str">
        <f aca="false">IF(L86="not found","not in hayday.info",IF(F86="","no Fandom value",IF(L86=F86,"match","differs")))</f>
        <v>match</v>
      </c>
      <c r="N86" s="10" t="n">
        <f aca="false">IFERROR(INDEX(hayday_info!$F$2:$F$349,MATCH($A86,hayday_info!$A$2:$A$349,0)),"not found")</f>
        <v>32</v>
      </c>
      <c r="O86" s="10" t="str">
        <f aca="false">IF(N86="not found","not in hayday.info",IF(G86="","no Fandom value",IF(N86=G86,"match","differs")))</f>
        <v>match</v>
      </c>
      <c r="P86" s="10" t="str">
        <f aca="false">IF(J86="not found","not in hayday.info",IF(C86="","no Fandom value",IF(IFERROR(INDEX(hayday_info!$C$2:$C$349,MATCH($A86,hayday_info!$A$2:$A$349,0)),"not found")=C86,"match","differs")))</f>
        <v>match</v>
      </c>
    </row>
    <row r="87" customFormat="false" ht="15" hidden="false" customHeight="true" outlineLevel="0" collapsed="false">
      <c r="A87" s="10" t="s">
        <v>239</v>
      </c>
      <c r="B87" s="10" t="s">
        <v>233</v>
      </c>
      <c r="C87" s="11" t="n">
        <v>74</v>
      </c>
      <c r="D87" s="11" t="n">
        <v>510</v>
      </c>
      <c r="E87" s="11" t="n">
        <v>433</v>
      </c>
      <c r="F87" s="13" t="n">
        <v>457</v>
      </c>
      <c r="G87" s="11" t="n">
        <v>54</v>
      </c>
      <c r="H87" s="10"/>
      <c r="I87" s="10" t="s">
        <v>722</v>
      </c>
      <c r="J87" s="17" t="n">
        <f aca="false">IFERROR(INDEX(hayday_info!$D$2:$D$349,MATCH($A87,hayday_info!$A$2:$A$349,0)),"not found")</f>
        <v>433</v>
      </c>
      <c r="K87" s="10" t="str">
        <f aca="false">IF(J87="not found","not in hayday.info",IF(J87=E87,"matches mastered",IF(J87=D87,"matches normal","differs")))</f>
        <v>matches mastered</v>
      </c>
      <c r="L87" s="18" t="n">
        <f aca="false">IFERROR(INDEX(hayday_info!$E$2:$E$349,MATCH($A87,hayday_info!$A$2:$A$349,0)),"not found")</f>
        <v>457</v>
      </c>
      <c r="M87" s="10" t="str">
        <f aca="false">IF(L87="not found","not in hayday.info",IF(F87="","no Fandom value",IF(L87=F87,"match","differs")))</f>
        <v>match</v>
      </c>
      <c r="N87" s="10" t="n">
        <f aca="false">IFERROR(INDEX(hayday_info!$F$2:$F$349,MATCH($A87,hayday_info!$A$2:$A$349,0)),"not found")</f>
        <v>54</v>
      </c>
      <c r="O87" s="10" t="str">
        <f aca="false">IF(N87="not found","not in hayday.info",IF(G87="","no Fandom value",IF(N87=G87,"match","differs")))</f>
        <v>match</v>
      </c>
      <c r="P87" s="10" t="str">
        <f aca="false">IF(J87="not found","not in hayday.info",IF(C87="","no Fandom value",IF(IFERROR(INDEX(hayday_info!$C$2:$C$349,MATCH($A87,hayday_info!$A$2:$A$349,0)),"not found")=C87,"match","differs")))</f>
        <v>match</v>
      </c>
    </row>
    <row r="88" customFormat="false" ht="15" hidden="false" customHeight="true" outlineLevel="0" collapsed="false">
      <c r="A88" s="10" t="s">
        <v>573</v>
      </c>
      <c r="B88" s="10" t="s">
        <v>233</v>
      </c>
      <c r="C88" s="11" t="n">
        <v>79</v>
      </c>
      <c r="D88" s="11" t="n">
        <v>480</v>
      </c>
      <c r="E88" s="11" t="n">
        <v>408</v>
      </c>
      <c r="F88" s="13" t="n">
        <v>464</v>
      </c>
      <c r="G88" s="11" t="n">
        <v>55</v>
      </c>
      <c r="H88" s="10"/>
      <c r="I88" s="10" t="s">
        <v>722</v>
      </c>
      <c r="J88" s="17" t="n">
        <f aca="false">IFERROR(INDEX(hayday_info!$D$2:$D$349,MATCH($A88,hayday_info!$A$2:$A$349,0)),"not found")</f>
        <v>408</v>
      </c>
      <c r="K88" s="10" t="str">
        <f aca="false">IF(J88="not found","not in hayday.info",IF(J88=E88,"matches mastered",IF(J88=D88,"matches normal","differs")))</f>
        <v>matches mastered</v>
      </c>
      <c r="L88" s="18" t="n">
        <f aca="false">IFERROR(INDEX(hayday_info!$E$2:$E$349,MATCH($A88,hayday_info!$A$2:$A$349,0)),"not found")</f>
        <v>464</v>
      </c>
      <c r="M88" s="10" t="str">
        <f aca="false">IF(L88="not found","not in hayday.info",IF(F88="","no Fandom value",IF(L88=F88,"match","differs")))</f>
        <v>match</v>
      </c>
      <c r="N88" s="10" t="n">
        <f aca="false">IFERROR(INDEX(hayday_info!$F$2:$F$349,MATCH($A88,hayday_info!$A$2:$A$349,0)),"not found")</f>
        <v>55</v>
      </c>
      <c r="O88" s="10" t="str">
        <f aca="false">IF(N88="not found","not in hayday.info",IF(G88="","no Fandom value",IF(N88=G88,"match","differs")))</f>
        <v>match</v>
      </c>
      <c r="P88" s="10" t="str">
        <f aca="false">IF(J88="not found","not in hayday.info",IF(C88="","no Fandom value",IF(IFERROR(INDEX(hayday_info!$C$2:$C$349,MATCH($A88,hayday_info!$A$2:$A$349,0)),"not found")=C88,"match","differs")))</f>
        <v>match</v>
      </c>
    </row>
    <row r="89" customFormat="false" ht="15" hidden="false" customHeight="true" outlineLevel="0" collapsed="false">
      <c r="A89" s="10" t="s">
        <v>574</v>
      </c>
      <c r="B89" s="10" t="s">
        <v>233</v>
      </c>
      <c r="C89" s="11" t="n">
        <v>85</v>
      </c>
      <c r="D89" s="11" t="n">
        <v>390</v>
      </c>
      <c r="E89" s="11" t="n">
        <v>330</v>
      </c>
      <c r="F89" s="13" t="n">
        <v>162</v>
      </c>
      <c r="G89" s="11" t="n">
        <v>19</v>
      </c>
      <c r="H89" s="10"/>
      <c r="I89" s="10" t="s">
        <v>722</v>
      </c>
      <c r="J89" s="17" t="n">
        <f aca="false">IFERROR(INDEX(hayday_info!$D$2:$D$349,MATCH($A89,hayday_info!$A$2:$A$349,0)),"not found")</f>
        <v>331</v>
      </c>
      <c r="K89" s="10" t="str">
        <f aca="false">IF(J89="not found","not in hayday.info",IF(J89=E89,"matches mastered",IF(J89=D89,"matches normal","differs")))</f>
        <v>differs</v>
      </c>
      <c r="L89" s="18" t="n">
        <f aca="false">IFERROR(INDEX(hayday_info!$E$2:$E$349,MATCH($A89,hayday_info!$A$2:$A$349,0)),"not found")</f>
        <v>162</v>
      </c>
      <c r="M89" s="10" t="str">
        <f aca="false">IF(L89="not found","not in hayday.info",IF(F89="","no Fandom value",IF(L89=F89,"match","differs")))</f>
        <v>match</v>
      </c>
      <c r="N89" s="10" t="n">
        <f aca="false">IFERROR(INDEX(hayday_info!$F$2:$F$349,MATCH($A89,hayday_info!$A$2:$A$349,0)),"not found")</f>
        <v>19</v>
      </c>
      <c r="O89" s="10" t="str">
        <f aca="false">IF(N89="not found","not in hayday.info",IF(G89="","no Fandom value",IF(N89=G89,"match","differs")))</f>
        <v>match</v>
      </c>
      <c r="P89" s="10" t="str">
        <f aca="false">IF(J89="not found","not in hayday.info",IF(C89="","no Fandom value",IF(IFERROR(INDEX(hayday_info!$C$2:$C$349,MATCH($A89,hayday_info!$A$2:$A$349,0)),"not found")=C89,"match","differs")))</f>
        <v>match</v>
      </c>
    </row>
    <row r="90" customFormat="false" ht="15" hidden="false" customHeight="true" outlineLevel="0" collapsed="false">
      <c r="A90" s="10" t="s">
        <v>575</v>
      </c>
      <c r="B90" s="10" t="s">
        <v>233</v>
      </c>
      <c r="C90" s="11" t="n">
        <v>94</v>
      </c>
      <c r="D90" s="11" t="n">
        <v>300</v>
      </c>
      <c r="E90" s="11" t="n">
        <v>255</v>
      </c>
      <c r="F90" s="13"/>
      <c r="G90" s="11"/>
      <c r="H90" s="10" t="s">
        <v>723</v>
      </c>
      <c r="I90" s="10" t="s">
        <v>722</v>
      </c>
      <c r="J90" s="17" t="n">
        <f aca="false">IFERROR(INDEX(hayday_info!$D$2:$D$349,MATCH($A90,hayday_info!$A$2:$A$349,0)),"not found")</f>
        <v>255</v>
      </c>
      <c r="K90" s="10" t="str">
        <f aca="false">IF(J90="not found","not in hayday.info",IF(J90=E90,"matches mastered",IF(J90=D90,"matches normal","differs")))</f>
        <v>matches mastered</v>
      </c>
      <c r="L90" s="18" t="n">
        <f aca="false">IFERROR(INDEX(hayday_info!$E$2:$E$349,MATCH($A90,hayday_info!$A$2:$A$349,0)),"not found")</f>
        <v>385</v>
      </c>
      <c r="M90" s="10" t="str">
        <f aca="false">IF(L90="not found","not in hayday.info",IF(F90="","no Fandom value",IF(L90=F90,"match","differs")))</f>
        <v>no Fandom value</v>
      </c>
      <c r="N90" s="10" t="n">
        <f aca="false">IFERROR(INDEX(hayday_info!$F$2:$F$349,MATCH($A90,hayday_info!$A$2:$A$349,0)),"not found")</f>
        <v>46</v>
      </c>
      <c r="O90" s="10" t="str">
        <f aca="false">IF(N90="not found","not in hayday.info",IF(G90="","no Fandom value",IF(N90=G90,"match","differs")))</f>
        <v>no Fandom value</v>
      </c>
      <c r="P90" s="10" t="str">
        <f aca="false">IF(J90="not found","not in hayday.info",IF(C90="","no Fandom value",IF(IFERROR(INDEX(hayday_info!$C$2:$C$349,MATCH($A90,hayday_info!$A$2:$A$349,0)),"not found")=C90,"match","differs")))</f>
        <v>match</v>
      </c>
    </row>
    <row r="91" customFormat="false" ht="15" hidden="false" customHeight="true" outlineLevel="0" collapsed="false">
      <c r="A91" s="10" t="s">
        <v>244</v>
      </c>
      <c r="B91" s="10" t="s">
        <v>245</v>
      </c>
      <c r="C91" s="11" t="n">
        <v>38</v>
      </c>
      <c r="D91" s="11" t="n">
        <v>120</v>
      </c>
      <c r="E91" s="11" t="n">
        <v>102</v>
      </c>
      <c r="F91" s="13" t="n">
        <v>514</v>
      </c>
      <c r="G91" s="11" t="n">
        <v>61</v>
      </c>
      <c r="H91" s="10"/>
      <c r="I91" s="10" t="s">
        <v>724</v>
      </c>
      <c r="J91" s="17" t="n">
        <f aca="false">IFERROR(INDEX(hayday_info!$D$2:$D$349,MATCH($A91,hayday_info!$A$2:$A$349,0)),"not found")</f>
        <v>102</v>
      </c>
      <c r="K91" s="10" t="str">
        <f aca="false">IF(J91="not found","not in hayday.info",IF(J91=E91,"matches mastered",IF(J91=D91,"matches normal","differs")))</f>
        <v>matches mastered</v>
      </c>
      <c r="L91" s="18" t="n">
        <f aca="false">IFERROR(INDEX(hayday_info!$E$2:$E$349,MATCH($A91,hayday_info!$A$2:$A$349,0)),"not found")</f>
        <v>514</v>
      </c>
      <c r="M91" s="10" t="str">
        <f aca="false">IF(L91="not found","not in hayday.info",IF(F91="","no Fandom value",IF(L91=F91,"match","differs")))</f>
        <v>match</v>
      </c>
      <c r="N91" s="10" t="n">
        <f aca="false">IFERROR(INDEX(hayday_info!$F$2:$F$349,MATCH($A91,hayday_info!$A$2:$A$349,0)),"not found")</f>
        <v>61</v>
      </c>
      <c r="O91" s="10" t="str">
        <f aca="false">IF(N91="not found","not in hayday.info",IF(G91="","no Fandom value",IF(N91=G91,"match","differs")))</f>
        <v>match</v>
      </c>
      <c r="P91" s="10" t="str">
        <f aca="false">IF(J91="not found","not in hayday.info",IF(C91="","no Fandom value",IF(IFERROR(INDEX(hayday_info!$C$2:$C$349,MATCH($A91,hayday_info!$A$2:$A$349,0)),"not found")=C91,"match","differs")))</f>
        <v>match</v>
      </c>
    </row>
    <row r="92" customFormat="false" ht="15" hidden="false" customHeight="true" outlineLevel="0" collapsed="false">
      <c r="A92" s="10" t="s">
        <v>247</v>
      </c>
      <c r="B92" s="10" t="s">
        <v>245</v>
      </c>
      <c r="C92" s="11" t="n">
        <v>39</v>
      </c>
      <c r="D92" s="11" t="n">
        <v>180</v>
      </c>
      <c r="E92" s="11" t="n">
        <v>153</v>
      </c>
      <c r="F92" s="13" t="n">
        <v>727</v>
      </c>
      <c r="G92" s="11" t="n">
        <v>87</v>
      </c>
      <c r="H92" s="10"/>
      <c r="I92" s="10" t="s">
        <v>724</v>
      </c>
      <c r="J92" s="17" t="n">
        <f aca="false">IFERROR(INDEX(hayday_info!$D$2:$D$349,MATCH($A92,hayday_info!$A$2:$A$349,0)),"not found")</f>
        <v>153</v>
      </c>
      <c r="K92" s="10" t="str">
        <f aca="false">IF(J92="not found","not in hayday.info",IF(J92=E92,"matches mastered",IF(J92=D92,"matches normal","differs")))</f>
        <v>matches mastered</v>
      </c>
      <c r="L92" s="18" t="n">
        <f aca="false">IFERROR(INDEX(hayday_info!$E$2:$E$349,MATCH($A92,hayday_info!$A$2:$A$349,0)),"not found")</f>
        <v>727</v>
      </c>
      <c r="M92" s="10" t="str">
        <f aca="false">IF(L92="not found","not in hayday.info",IF(F92="","no Fandom value",IF(L92=F92,"match","differs")))</f>
        <v>match</v>
      </c>
      <c r="N92" s="10" t="n">
        <f aca="false">IFERROR(INDEX(hayday_info!$F$2:$F$349,MATCH($A92,hayday_info!$A$2:$A$349,0)),"not found")</f>
        <v>87</v>
      </c>
      <c r="O92" s="10" t="str">
        <f aca="false">IF(N92="not found","not in hayday.info",IF(G92="","no Fandom value",IF(N92=G92,"match","differs")))</f>
        <v>match</v>
      </c>
      <c r="P92" s="10" t="str">
        <f aca="false">IF(J92="not found","not in hayday.info",IF(C92="","no Fandom value",IF(IFERROR(INDEX(hayday_info!$C$2:$C$349,MATCH($A92,hayday_info!$A$2:$A$349,0)),"not found")=C92,"match","differs")))</f>
        <v>match</v>
      </c>
    </row>
    <row r="93" customFormat="false" ht="15" hidden="false" customHeight="true" outlineLevel="0" collapsed="false">
      <c r="A93" s="10" t="s">
        <v>248</v>
      </c>
      <c r="B93" s="10" t="s">
        <v>245</v>
      </c>
      <c r="C93" s="11" t="n">
        <v>40</v>
      </c>
      <c r="D93" s="11" t="n">
        <v>240</v>
      </c>
      <c r="E93" s="11" t="n">
        <v>204</v>
      </c>
      <c r="F93" s="13" t="n">
        <v>824</v>
      </c>
      <c r="G93" s="11" t="n">
        <v>98</v>
      </c>
      <c r="H93" s="10"/>
      <c r="I93" s="10" t="s">
        <v>724</v>
      </c>
      <c r="J93" s="17" t="n">
        <f aca="false">IFERROR(INDEX(hayday_info!$D$2:$D$349,MATCH($A93,hayday_info!$A$2:$A$349,0)),"not found")</f>
        <v>204</v>
      </c>
      <c r="K93" s="10" t="str">
        <f aca="false">IF(J93="not found","not in hayday.info",IF(J93=E93,"matches mastered",IF(J93=D93,"matches normal","differs")))</f>
        <v>matches mastered</v>
      </c>
      <c r="L93" s="18" t="n">
        <f aca="false">IFERROR(INDEX(hayday_info!$E$2:$E$349,MATCH($A93,hayday_info!$A$2:$A$349,0)),"not found")</f>
        <v>824</v>
      </c>
      <c r="M93" s="10" t="str">
        <f aca="false">IF(L93="not found","not in hayday.info",IF(F93="","no Fandom value",IF(L93=F93,"match","differs")))</f>
        <v>match</v>
      </c>
      <c r="N93" s="10" t="n">
        <f aca="false">IFERROR(INDEX(hayday_info!$F$2:$F$349,MATCH($A93,hayday_info!$A$2:$A$349,0)),"not found")</f>
        <v>98</v>
      </c>
      <c r="O93" s="10" t="str">
        <f aca="false">IF(N93="not found","not in hayday.info",IF(G93="","no Fandom value",IF(N93=G93,"match","differs")))</f>
        <v>match</v>
      </c>
      <c r="P93" s="10" t="str">
        <f aca="false">IF(J93="not found","not in hayday.info",IF(C93="","no Fandom value",IF(IFERROR(INDEX(hayday_info!$C$2:$C$349,MATCH($A93,hayday_info!$A$2:$A$349,0)),"not found")=C93,"match","differs")))</f>
        <v>match</v>
      </c>
    </row>
    <row r="94" customFormat="false" ht="15" hidden="false" customHeight="true" outlineLevel="0" collapsed="false">
      <c r="A94" s="10" t="s">
        <v>249</v>
      </c>
      <c r="B94" s="10" t="s">
        <v>245</v>
      </c>
      <c r="C94" s="11" t="n">
        <v>41</v>
      </c>
      <c r="D94" s="11" t="n">
        <v>90</v>
      </c>
      <c r="E94" s="11" t="n">
        <v>76</v>
      </c>
      <c r="F94" s="13" t="n">
        <v>658</v>
      </c>
      <c r="G94" s="11" t="n">
        <v>78</v>
      </c>
      <c r="H94" s="10"/>
      <c r="I94" s="10" t="s">
        <v>724</v>
      </c>
      <c r="J94" s="17" t="n">
        <f aca="false">IFERROR(INDEX(hayday_info!$D$2:$D$349,MATCH($A94,hayday_info!$A$2:$A$349,0)),"not found")</f>
        <v>76</v>
      </c>
      <c r="K94" s="10" t="str">
        <f aca="false">IF(J94="not found","not in hayday.info",IF(J94=E94,"matches mastered",IF(J94=D94,"matches normal","differs")))</f>
        <v>matches mastered</v>
      </c>
      <c r="L94" s="18" t="n">
        <f aca="false">IFERROR(INDEX(hayday_info!$E$2:$E$349,MATCH($A94,hayday_info!$A$2:$A$349,0)),"not found")</f>
        <v>658</v>
      </c>
      <c r="M94" s="10" t="str">
        <f aca="false">IF(L94="not found","not in hayday.info",IF(F94="","no Fandom value",IF(L94=F94,"match","differs")))</f>
        <v>match</v>
      </c>
      <c r="N94" s="10" t="n">
        <f aca="false">IFERROR(INDEX(hayday_info!$F$2:$F$349,MATCH($A94,hayday_info!$A$2:$A$349,0)),"not found")</f>
        <v>79</v>
      </c>
      <c r="O94" s="10" t="str">
        <f aca="false">IF(N94="not found","not in hayday.info",IF(G94="","no Fandom value",IF(N94=G94,"match","differs")))</f>
        <v>differs</v>
      </c>
      <c r="P94" s="10" t="str">
        <f aca="false">IF(J94="not found","not in hayday.info",IF(C94="","no Fandom value",IF(IFERROR(INDEX(hayday_info!$C$2:$C$349,MATCH($A94,hayday_info!$A$2:$A$349,0)),"not found")=C94,"match","differs")))</f>
        <v>match</v>
      </c>
    </row>
    <row r="95" customFormat="false" ht="15" hidden="false" customHeight="true" outlineLevel="0" collapsed="false">
      <c r="A95" s="10" t="s">
        <v>250</v>
      </c>
      <c r="B95" s="10" t="s">
        <v>245</v>
      </c>
      <c r="C95" s="11" t="n">
        <v>98</v>
      </c>
      <c r="D95" s="11" t="n">
        <v>60</v>
      </c>
      <c r="E95" s="11" t="n">
        <v>51</v>
      </c>
      <c r="F95" s="13" t="n">
        <v>698</v>
      </c>
      <c r="G95" s="11" t="n">
        <v>83</v>
      </c>
      <c r="H95" s="10"/>
      <c r="I95" s="10" t="s">
        <v>724</v>
      </c>
      <c r="J95" s="17" t="n">
        <f aca="false">IFERROR(INDEX(hayday_info!$D$2:$D$349,MATCH($A95,hayday_info!$A$2:$A$349,0)),"not found")</f>
        <v>51</v>
      </c>
      <c r="K95" s="10" t="str">
        <f aca="false">IF(J95="not found","not in hayday.info",IF(J95=E95,"matches mastered",IF(J95=D95,"matches normal","differs")))</f>
        <v>matches mastered</v>
      </c>
      <c r="L95" s="18" t="n">
        <f aca="false">IFERROR(INDEX(hayday_info!$E$2:$E$349,MATCH($A95,hayday_info!$A$2:$A$349,0)),"not found")</f>
        <v>698</v>
      </c>
      <c r="M95" s="10" t="str">
        <f aca="false">IF(L95="not found","not in hayday.info",IF(F95="","no Fandom value",IF(L95=F95,"match","differs")))</f>
        <v>match</v>
      </c>
      <c r="N95" s="10" t="n">
        <f aca="false">IFERROR(INDEX(hayday_info!$F$2:$F$349,MATCH($A95,hayday_info!$A$2:$A$349,0)),"not found")</f>
        <v>83</v>
      </c>
      <c r="O95" s="10" t="str">
        <f aca="false">IF(N95="not found","not in hayday.info",IF(G95="","no Fandom value",IF(N95=G95,"match","differs")))</f>
        <v>match</v>
      </c>
      <c r="P95" s="10" t="str">
        <f aca="false">IF(J95="not found","not in hayday.info",IF(C95="","no Fandom value",IF(IFERROR(INDEX(hayday_info!$C$2:$C$349,MATCH($A95,hayday_info!$A$2:$A$349,0)),"not found")=C95,"match","differs")))</f>
        <v>match</v>
      </c>
    </row>
    <row r="96" customFormat="false" ht="15" hidden="false" customHeight="true" outlineLevel="0" collapsed="false">
      <c r="A96" s="10" t="s">
        <v>658</v>
      </c>
      <c r="B96" s="10" t="s">
        <v>367</v>
      </c>
      <c r="C96" s="11" t="n">
        <v>24</v>
      </c>
      <c r="D96" s="11" t="n">
        <v>480</v>
      </c>
      <c r="E96" s="11" t="n">
        <v>408</v>
      </c>
      <c r="F96" s="13" t="n">
        <v>147</v>
      </c>
      <c r="G96" s="11" t="n">
        <v>18</v>
      </c>
      <c r="H96" s="10"/>
      <c r="I96" s="10" t="s">
        <v>725</v>
      </c>
      <c r="J96" s="17" t="n">
        <f aca="false">IFERROR(INDEX(hayday_info!$D$2:$D$349,MATCH($A96,hayday_info!$A$2:$A$349,0)),"not found")</f>
        <v>408</v>
      </c>
      <c r="K96" s="10" t="str">
        <f aca="false">IF(J96="not found","not in hayday.info",IF(J96=E96,"matches mastered",IF(J96=D96,"matches normal","differs")))</f>
        <v>matches mastered</v>
      </c>
      <c r="L96" s="18" t="n">
        <f aca="false">IFERROR(INDEX(hayday_info!$E$2:$E$349,MATCH($A96,hayday_info!$A$2:$A$349,0)),"not found")</f>
        <v>147</v>
      </c>
      <c r="M96" s="10" t="str">
        <f aca="false">IF(L96="not found","not in hayday.info",IF(F96="","no Fandom value",IF(L96=F96,"match","differs")))</f>
        <v>match</v>
      </c>
      <c r="N96" s="10" t="n">
        <f aca="false">IFERROR(INDEX(hayday_info!$F$2:$F$349,MATCH($A96,hayday_info!$A$2:$A$349,0)),"not found")</f>
        <v>14</v>
      </c>
      <c r="O96" s="10" t="str">
        <f aca="false">IF(N96="not found","not in hayday.info",IF(G96="","no Fandom value",IF(N96=G96,"match","differs")))</f>
        <v>differs</v>
      </c>
      <c r="P96" s="10" t="str">
        <f aca="false">IF(J96="not found","not in hayday.info",IF(C96="","no Fandom value",IF(IFERROR(INDEX(hayday_info!$C$2:$C$349,MATCH($A96,hayday_info!$A$2:$A$349,0)),"not found")=C96,"match","differs")))</f>
        <v>match</v>
      </c>
    </row>
    <row r="97" customFormat="false" ht="15" hidden="false" customHeight="true" outlineLevel="0" collapsed="false">
      <c r="A97" s="10" t="s">
        <v>659</v>
      </c>
      <c r="B97" s="10" t="s">
        <v>367</v>
      </c>
      <c r="C97" s="11" t="n">
        <v>25</v>
      </c>
      <c r="D97" s="11" t="n">
        <v>720</v>
      </c>
      <c r="E97" s="11" t="n">
        <v>612</v>
      </c>
      <c r="F97" s="13" t="n">
        <v>180</v>
      </c>
      <c r="G97" s="11" t="n">
        <v>21</v>
      </c>
      <c r="H97" s="10"/>
      <c r="I97" s="10" t="s">
        <v>725</v>
      </c>
      <c r="J97" s="17" t="n">
        <f aca="false">IFERROR(INDEX(hayday_info!$D$2:$D$349,MATCH($A97,hayday_info!$A$2:$A$349,0)),"not found")</f>
        <v>612</v>
      </c>
      <c r="K97" s="10" t="str">
        <f aca="false">IF(J97="not found","not in hayday.info",IF(J97=E97,"matches mastered",IF(J97=D97,"matches normal","differs")))</f>
        <v>matches mastered</v>
      </c>
      <c r="L97" s="18" t="n">
        <f aca="false">IFERROR(INDEX(hayday_info!$E$2:$E$349,MATCH($A97,hayday_info!$A$2:$A$349,0)),"not found")</f>
        <v>180</v>
      </c>
      <c r="M97" s="10" t="str">
        <f aca="false">IF(L97="not found","not in hayday.info",IF(F97="","no Fandom value",IF(L97=F97,"match","differs")))</f>
        <v>match</v>
      </c>
      <c r="N97" s="10" t="n">
        <f aca="false">IFERROR(INDEX(hayday_info!$F$2:$F$349,MATCH($A97,hayday_info!$A$2:$A$349,0)),"not found")</f>
        <v>18</v>
      </c>
      <c r="O97" s="10" t="str">
        <f aca="false">IF(N97="not found","not in hayday.info",IF(G97="","no Fandom value",IF(N97=G97,"match","differs")))</f>
        <v>differs</v>
      </c>
      <c r="P97" s="10" t="str">
        <f aca="false">IF(J97="not found","not in hayday.info",IF(C97="","no Fandom value",IF(IFERROR(INDEX(hayday_info!$C$2:$C$349,MATCH($A97,hayday_info!$A$2:$A$349,0)),"not found")=C97,"match","differs")))</f>
        <v>match</v>
      </c>
    </row>
    <row r="98" customFormat="false" ht="15" hidden="false" customHeight="true" outlineLevel="0" collapsed="false">
      <c r="A98" s="10" t="s">
        <v>660</v>
      </c>
      <c r="B98" s="10" t="s">
        <v>367</v>
      </c>
      <c r="C98" s="11" t="n">
        <v>25</v>
      </c>
      <c r="D98" s="11" t="n">
        <v>960</v>
      </c>
      <c r="E98" s="11" t="n">
        <v>816</v>
      </c>
      <c r="F98" s="13" t="n">
        <v>205</v>
      </c>
      <c r="G98" s="11" t="n">
        <v>24</v>
      </c>
      <c r="H98" s="10"/>
      <c r="I98" s="10" t="s">
        <v>725</v>
      </c>
      <c r="J98" s="17" t="n">
        <f aca="false">IFERROR(INDEX(hayday_info!$D$2:$D$349,MATCH($A98,hayday_info!$A$2:$A$349,0)),"not found")</f>
        <v>816</v>
      </c>
      <c r="K98" s="10" t="str">
        <f aca="false">IF(J98="not found","not in hayday.info",IF(J98=E98,"matches mastered",IF(J98=D98,"matches normal","differs")))</f>
        <v>matches mastered</v>
      </c>
      <c r="L98" s="18" t="n">
        <f aca="false">IFERROR(INDEX(hayday_info!$E$2:$E$349,MATCH($A98,hayday_info!$A$2:$A$349,0)),"not found")</f>
        <v>205</v>
      </c>
      <c r="M98" s="10" t="str">
        <f aca="false">IF(L98="not found","not in hayday.info",IF(F98="","no Fandom value",IF(L98=F98,"match","differs")))</f>
        <v>match</v>
      </c>
      <c r="N98" s="10" t="n">
        <f aca="false">IFERROR(INDEX(hayday_info!$F$2:$F$349,MATCH($A98,hayday_info!$A$2:$A$349,0)),"not found")</f>
        <v>21</v>
      </c>
      <c r="O98" s="10" t="str">
        <f aca="false">IF(N98="not found","not in hayday.info",IF(G98="","no Fandom value",IF(N98=G98,"match","differs")))</f>
        <v>differs</v>
      </c>
      <c r="P98" s="10" t="str">
        <f aca="false">IF(J98="not found","not in hayday.info",IF(C98="","no Fandom value",IF(IFERROR(INDEX(hayday_info!$C$2:$C$349,MATCH($A98,hayday_info!$A$2:$A$349,0)),"not found")=C98,"match","differs")))</f>
        <v>match</v>
      </c>
    </row>
    <row r="99" customFormat="false" ht="15" hidden="false" customHeight="true" outlineLevel="0" collapsed="false">
      <c r="A99" s="10" t="s">
        <v>661</v>
      </c>
      <c r="B99" s="10" t="s">
        <v>367</v>
      </c>
      <c r="C99" s="11" t="n">
        <v>33</v>
      </c>
      <c r="D99" s="11" t="n">
        <v>360</v>
      </c>
      <c r="E99" s="11" t="n">
        <v>306</v>
      </c>
      <c r="F99" s="13" t="n">
        <v>108</v>
      </c>
      <c r="G99" s="11" t="n">
        <v>13</v>
      </c>
      <c r="H99" s="10"/>
      <c r="I99" s="10" t="s">
        <v>725</v>
      </c>
      <c r="J99" s="17" t="n">
        <f aca="false">IFERROR(INDEX(hayday_info!$D$2:$D$349,MATCH($A99,hayday_info!$A$2:$A$349,0)),"not found")</f>
        <v>306</v>
      </c>
      <c r="K99" s="10" t="str">
        <f aca="false">IF(J99="not found","not in hayday.info",IF(J99=E99,"matches mastered",IF(J99=D99,"matches normal","differs")))</f>
        <v>matches mastered</v>
      </c>
      <c r="L99" s="18" t="n">
        <f aca="false">IFERROR(INDEX(hayday_info!$E$2:$E$349,MATCH($A99,hayday_info!$A$2:$A$349,0)),"not found")</f>
        <v>108</v>
      </c>
      <c r="M99" s="10" t="str">
        <f aca="false">IF(L99="not found","not in hayday.info",IF(F99="","no Fandom value",IF(L99=F99,"match","differs")))</f>
        <v>match</v>
      </c>
      <c r="N99" s="10" t="n">
        <f aca="false">IFERROR(INDEX(hayday_info!$F$2:$F$349,MATCH($A99,hayday_info!$A$2:$A$349,0)),"not found")</f>
        <v>13</v>
      </c>
      <c r="O99" s="10" t="str">
        <f aca="false">IF(N99="not found","not in hayday.info",IF(G99="","no Fandom value",IF(N99=G99,"match","differs")))</f>
        <v>match</v>
      </c>
      <c r="P99" s="10" t="str">
        <f aca="false">IF(J99="not found","not in hayday.info",IF(C99="","no Fandom value",IF(IFERROR(INDEX(hayday_info!$C$2:$C$349,MATCH($A99,hayday_info!$A$2:$A$349,0)),"not found")=C99,"match","differs")))</f>
        <v>match</v>
      </c>
    </row>
    <row r="100" customFormat="false" ht="15" hidden="false" customHeight="true" outlineLevel="0" collapsed="false">
      <c r="A100" s="10" t="s">
        <v>662</v>
      </c>
      <c r="B100" s="10" t="s">
        <v>367</v>
      </c>
      <c r="C100" s="11" t="n">
        <v>34</v>
      </c>
      <c r="D100" s="11" t="n">
        <v>420</v>
      </c>
      <c r="E100" s="11" t="n">
        <v>357</v>
      </c>
      <c r="F100" s="13" t="n">
        <v>129</v>
      </c>
      <c r="G100" s="11" t="n">
        <v>15</v>
      </c>
      <c r="H100" s="10"/>
      <c r="I100" s="10" t="s">
        <v>725</v>
      </c>
      <c r="J100" s="17" t="n">
        <f aca="false">IFERROR(INDEX(hayday_info!$D$2:$D$349,MATCH($A100,hayday_info!$A$2:$A$349,0)),"not found")</f>
        <v>357</v>
      </c>
      <c r="K100" s="10" t="str">
        <f aca="false">IF(J100="not found","not in hayday.info",IF(J100=E100,"matches mastered",IF(J100=D100,"matches normal","differs")))</f>
        <v>matches mastered</v>
      </c>
      <c r="L100" s="18" t="n">
        <f aca="false">IFERROR(INDEX(hayday_info!$E$2:$E$349,MATCH($A100,hayday_info!$A$2:$A$349,0)),"not found")</f>
        <v>129</v>
      </c>
      <c r="M100" s="10" t="str">
        <f aca="false">IF(L100="not found","not in hayday.info",IF(F100="","no Fandom value",IF(L100=F100,"match","differs")))</f>
        <v>match</v>
      </c>
      <c r="N100" s="10" t="n">
        <f aca="false">IFERROR(INDEX(hayday_info!$F$2:$F$349,MATCH($A100,hayday_info!$A$2:$A$349,0)),"not found")</f>
        <v>15</v>
      </c>
      <c r="O100" s="10" t="str">
        <f aca="false">IF(N100="not found","not in hayday.info",IF(G100="","no Fandom value",IF(N100=G100,"match","differs")))</f>
        <v>match</v>
      </c>
      <c r="P100" s="10" t="str">
        <f aca="false">IF(J100="not found","not in hayday.info",IF(C100="","no Fandom value",IF(IFERROR(INDEX(hayday_info!$C$2:$C$349,MATCH($A100,hayday_info!$A$2:$A$349,0)),"not found")=C100,"match","differs")))</f>
        <v>match</v>
      </c>
    </row>
    <row r="101" customFormat="false" ht="15" hidden="false" customHeight="true" outlineLevel="0" collapsed="false">
      <c r="A101" s="10" t="s">
        <v>507</v>
      </c>
      <c r="B101" s="10" t="s">
        <v>87</v>
      </c>
      <c r="C101" s="11" t="n">
        <v>51</v>
      </c>
      <c r="D101" s="11" t="n">
        <v>120</v>
      </c>
      <c r="E101" s="11" t="n">
        <v>102</v>
      </c>
      <c r="F101" s="13" t="n">
        <v>255</v>
      </c>
      <c r="G101" s="11" t="n">
        <v>31</v>
      </c>
      <c r="H101" s="10"/>
      <c r="I101" s="10" t="s">
        <v>726</v>
      </c>
      <c r="J101" s="17" t="n">
        <f aca="false">IFERROR(INDEX(hayday_info!$D$2:$D$349,MATCH($A101,hayday_info!$A$2:$A$349,0)),"not found")</f>
        <v>102</v>
      </c>
      <c r="K101" s="10" t="str">
        <f aca="false">IF(J101="not found","not in hayday.info",IF(J101=E101,"matches mastered",IF(J101=D101,"matches normal","differs")))</f>
        <v>matches mastered</v>
      </c>
      <c r="L101" s="18" t="n">
        <f aca="false">IFERROR(INDEX(hayday_info!$E$2:$E$349,MATCH($A101,hayday_info!$A$2:$A$349,0)),"not found")</f>
        <v>255</v>
      </c>
      <c r="M101" s="10" t="str">
        <f aca="false">IF(L101="not found","not in hayday.info",IF(F101="","no Fandom value",IF(L101=F101,"match","differs")))</f>
        <v>match</v>
      </c>
      <c r="N101" s="10" t="n">
        <f aca="false">IFERROR(INDEX(hayday_info!$F$2:$F$349,MATCH($A101,hayday_info!$A$2:$A$349,0)),"not found")</f>
        <v>31</v>
      </c>
      <c r="O101" s="10" t="str">
        <f aca="false">IF(N101="not found","not in hayday.info",IF(G101="","no Fandom value",IF(N101=G101,"match","differs")))</f>
        <v>match</v>
      </c>
      <c r="P101" s="10" t="str">
        <f aca="false">IF(J101="not found","not in hayday.info",IF(C101="","no Fandom value",IF(IFERROR(INDEX(hayday_info!$C$2:$C$349,MATCH($A101,hayday_info!$A$2:$A$349,0)),"not found")=C101,"match","differs")))</f>
        <v>match</v>
      </c>
    </row>
    <row r="102" customFormat="false" ht="15" hidden="false" customHeight="true" outlineLevel="0" collapsed="false">
      <c r="A102" s="10" t="s">
        <v>89</v>
      </c>
      <c r="B102" s="10" t="s">
        <v>87</v>
      </c>
      <c r="C102" s="11" t="n">
        <v>52</v>
      </c>
      <c r="D102" s="11" t="n">
        <v>90</v>
      </c>
      <c r="E102" s="11" t="n">
        <v>76</v>
      </c>
      <c r="F102" s="13" t="n">
        <v>176</v>
      </c>
      <c r="G102" s="11" t="n">
        <v>21</v>
      </c>
      <c r="H102" s="10"/>
      <c r="I102" s="10" t="s">
        <v>726</v>
      </c>
      <c r="J102" s="17" t="n">
        <f aca="false">IFERROR(INDEX(hayday_info!$D$2:$D$349,MATCH($A102,hayday_info!$A$2:$A$349,0)),"not found")</f>
        <v>76</v>
      </c>
      <c r="K102" s="10" t="str">
        <f aca="false">IF(J102="not found","not in hayday.info",IF(J102=E102,"matches mastered",IF(J102=D102,"matches normal","differs")))</f>
        <v>matches mastered</v>
      </c>
      <c r="L102" s="18" t="n">
        <f aca="false">IFERROR(INDEX(hayday_info!$E$2:$E$349,MATCH($A102,hayday_info!$A$2:$A$349,0)),"not found")</f>
        <v>176</v>
      </c>
      <c r="M102" s="10" t="str">
        <f aca="false">IF(L102="not found","not in hayday.info",IF(F102="","no Fandom value",IF(L102=F102,"match","differs")))</f>
        <v>match</v>
      </c>
      <c r="N102" s="10" t="n">
        <f aca="false">IFERROR(INDEX(hayday_info!$F$2:$F$349,MATCH($A102,hayday_info!$A$2:$A$349,0)),"not found")</f>
        <v>21</v>
      </c>
      <c r="O102" s="10" t="str">
        <f aca="false">IF(N102="not found","not in hayday.info",IF(G102="","no Fandom value",IF(N102=G102,"match","differs")))</f>
        <v>match</v>
      </c>
      <c r="P102" s="10" t="str">
        <f aca="false">IF(J102="not found","not in hayday.info",IF(C102="","no Fandom value",IF(IFERROR(INDEX(hayday_info!$C$2:$C$349,MATCH($A102,hayday_info!$A$2:$A$349,0)),"not found")=C102,"match","differs")))</f>
        <v>match</v>
      </c>
    </row>
    <row r="103" customFormat="false" ht="15" hidden="false" customHeight="true" outlineLevel="0" collapsed="false">
      <c r="A103" s="10" t="s">
        <v>90</v>
      </c>
      <c r="B103" s="10" t="s">
        <v>87</v>
      </c>
      <c r="C103" s="11" t="n">
        <v>54</v>
      </c>
      <c r="D103" s="11" t="n">
        <v>1200</v>
      </c>
      <c r="E103" s="11" t="n">
        <v>1020</v>
      </c>
      <c r="F103" s="13" t="n">
        <v>460</v>
      </c>
      <c r="G103" s="11" t="n">
        <v>55</v>
      </c>
      <c r="H103" s="10"/>
      <c r="I103" s="10" t="s">
        <v>726</v>
      </c>
      <c r="J103" s="17" t="n">
        <f aca="false">IFERROR(INDEX(hayday_info!$D$2:$D$349,MATCH($A103,hayday_info!$A$2:$A$349,0)),"not found")</f>
        <v>1020</v>
      </c>
      <c r="K103" s="10" t="str">
        <f aca="false">IF(J103="not found","not in hayday.info",IF(J103=E103,"matches mastered",IF(J103=D103,"matches normal","differs")))</f>
        <v>matches mastered</v>
      </c>
      <c r="L103" s="18" t="n">
        <f aca="false">IFERROR(INDEX(hayday_info!$E$2:$E$349,MATCH($A103,hayday_info!$A$2:$A$349,0)),"not found")</f>
        <v>460</v>
      </c>
      <c r="M103" s="10" t="str">
        <f aca="false">IF(L103="not found","not in hayday.info",IF(F103="","no Fandom value",IF(L103=F103,"match","differs")))</f>
        <v>match</v>
      </c>
      <c r="N103" s="10" t="n">
        <f aca="false">IFERROR(INDEX(hayday_info!$F$2:$F$349,MATCH($A103,hayday_info!$A$2:$A$349,0)),"not found")</f>
        <v>55</v>
      </c>
      <c r="O103" s="10" t="str">
        <f aca="false">IF(N103="not found","not in hayday.info",IF(G103="","no Fandom value",IF(N103=G103,"match","differs")))</f>
        <v>match</v>
      </c>
      <c r="P103" s="10" t="str">
        <f aca="false">IF(J103="not found","not in hayday.info",IF(C103="","no Fandom value",IF(IFERROR(INDEX(hayday_info!$C$2:$C$349,MATCH($A103,hayday_info!$A$2:$A$349,0)),"not found")=C103,"match","differs")))</f>
        <v>match</v>
      </c>
    </row>
    <row r="104" customFormat="false" ht="15" hidden="false" customHeight="true" outlineLevel="0" collapsed="false">
      <c r="A104" s="10" t="s">
        <v>91</v>
      </c>
      <c r="B104" s="10" t="s">
        <v>87</v>
      </c>
      <c r="C104" s="11" t="n">
        <v>57</v>
      </c>
      <c r="D104" s="11" t="n">
        <v>720</v>
      </c>
      <c r="E104" s="11" t="n">
        <v>612</v>
      </c>
      <c r="F104" s="13" t="n">
        <v>342</v>
      </c>
      <c r="G104" s="11" t="n">
        <v>41</v>
      </c>
      <c r="H104" s="10"/>
      <c r="I104" s="10" t="s">
        <v>726</v>
      </c>
      <c r="J104" s="17" t="n">
        <f aca="false">IFERROR(INDEX(hayday_info!$D$2:$D$349,MATCH($A104,hayday_info!$A$2:$A$349,0)),"not found")</f>
        <v>612</v>
      </c>
      <c r="K104" s="10" t="str">
        <f aca="false">IF(J104="not found","not in hayday.info",IF(J104=E104,"matches mastered",IF(J104=D104,"matches normal","differs")))</f>
        <v>matches mastered</v>
      </c>
      <c r="L104" s="18" t="n">
        <f aca="false">IFERROR(INDEX(hayday_info!$E$2:$E$349,MATCH($A104,hayday_info!$A$2:$A$349,0)),"not found")</f>
        <v>342</v>
      </c>
      <c r="M104" s="10" t="str">
        <f aca="false">IF(L104="not found","not in hayday.info",IF(F104="","no Fandom value",IF(L104=F104,"match","differs")))</f>
        <v>match</v>
      </c>
      <c r="N104" s="10" t="n">
        <f aca="false">IFERROR(INDEX(hayday_info!$F$2:$F$349,MATCH($A104,hayday_info!$A$2:$A$349,0)),"not found")</f>
        <v>41</v>
      </c>
      <c r="O104" s="10" t="str">
        <f aca="false">IF(N104="not found","not in hayday.info",IF(G104="","no Fandom value",IF(N104=G104,"match","differs")))</f>
        <v>match</v>
      </c>
      <c r="P104" s="10" t="str">
        <f aca="false">IF(J104="not found","not in hayday.info",IF(C104="","no Fandom value",IF(IFERROR(INDEX(hayday_info!$C$2:$C$349,MATCH($A104,hayday_info!$A$2:$A$349,0)),"not found")=C104,"match","differs")))</f>
        <v>match</v>
      </c>
    </row>
    <row r="105" customFormat="false" ht="15" hidden="false" customHeight="true" outlineLevel="0" collapsed="false">
      <c r="A105" s="10" t="s">
        <v>508</v>
      </c>
      <c r="B105" s="10" t="s">
        <v>87</v>
      </c>
      <c r="C105" s="11" t="n">
        <v>60</v>
      </c>
      <c r="D105" s="11" t="n">
        <v>1440</v>
      </c>
      <c r="E105" s="11" t="n">
        <v>1224</v>
      </c>
      <c r="F105" s="13" t="n">
        <v>684</v>
      </c>
      <c r="G105" s="11" t="n">
        <v>81</v>
      </c>
      <c r="H105" s="10"/>
      <c r="I105" s="10" t="s">
        <v>726</v>
      </c>
      <c r="J105" s="17" t="n">
        <f aca="false">IFERROR(INDEX(hayday_info!$D$2:$D$349,MATCH($A105,hayday_info!$A$2:$A$349,0)),"not found")</f>
        <v>1224</v>
      </c>
      <c r="K105" s="10" t="str">
        <f aca="false">IF(J105="not found","not in hayday.info",IF(J105=E105,"matches mastered",IF(J105=D105,"matches normal","differs")))</f>
        <v>matches mastered</v>
      </c>
      <c r="L105" s="18" t="n">
        <f aca="false">IFERROR(INDEX(hayday_info!$E$2:$E$349,MATCH($A105,hayday_info!$A$2:$A$349,0)),"not found")</f>
        <v>684</v>
      </c>
      <c r="M105" s="10" t="str">
        <f aca="false">IF(L105="not found","not in hayday.info",IF(F105="","no Fandom value",IF(L105=F105,"match","differs")))</f>
        <v>match</v>
      </c>
      <c r="N105" s="10" t="n">
        <f aca="false">IFERROR(INDEX(hayday_info!$F$2:$F$349,MATCH($A105,hayday_info!$A$2:$A$349,0)),"not found")</f>
        <v>81</v>
      </c>
      <c r="O105" s="10" t="str">
        <f aca="false">IF(N105="not found","not in hayday.info",IF(G105="","no Fandom value",IF(N105=G105,"match","differs")))</f>
        <v>match</v>
      </c>
      <c r="P105" s="10" t="str">
        <f aca="false">IF(J105="not found","not in hayday.info",IF(C105="","no Fandom value",IF(IFERROR(INDEX(hayday_info!$C$2:$C$349,MATCH($A105,hayday_info!$A$2:$A$349,0)),"not found")=C105,"match","differs")))</f>
        <v>match</v>
      </c>
    </row>
    <row r="106" customFormat="false" ht="15" hidden="false" customHeight="true" outlineLevel="0" collapsed="false">
      <c r="A106" s="10" t="s">
        <v>509</v>
      </c>
      <c r="B106" s="10" t="s">
        <v>87</v>
      </c>
      <c r="C106" s="11" t="n">
        <v>63</v>
      </c>
      <c r="D106" s="11" t="n">
        <v>40</v>
      </c>
      <c r="E106" s="11" t="n">
        <v>34</v>
      </c>
      <c r="F106" s="13" t="n">
        <v>540</v>
      </c>
      <c r="G106" s="11" t="n">
        <v>64</v>
      </c>
      <c r="H106" s="10"/>
      <c r="I106" s="10" t="s">
        <v>726</v>
      </c>
      <c r="J106" s="17" t="n">
        <f aca="false">IFERROR(INDEX(hayday_info!$D$2:$D$349,MATCH($A106,hayday_info!$A$2:$A$349,0)),"not found")</f>
        <v>34</v>
      </c>
      <c r="K106" s="10" t="str">
        <f aca="false">IF(J106="not found","not in hayday.info",IF(J106=E106,"matches mastered",IF(J106=D106,"matches normal","differs")))</f>
        <v>matches mastered</v>
      </c>
      <c r="L106" s="18" t="n">
        <f aca="false">IFERROR(INDEX(hayday_info!$E$2:$E$349,MATCH($A106,hayday_info!$A$2:$A$349,0)),"not found")</f>
        <v>540</v>
      </c>
      <c r="M106" s="10" t="str">
        <f aca="false">IF(L106="not found","not in hayday.info",IF(F106="","no Fandom value",IF(L106=F106,"match","differs")))</f>
        <v>match</v>
      </c>
      <c r="N106" s="10" t="n">
        <f aca="false">IFERROR(INDEX(hayday_info!$F$2:$F$349,MATCH($A106,hayday_info!$A$2:$A$349,0)),"not found")</f>
        <v>64</v>
      </c>
      <c r="O106" s="10" t="str">
        <f aca="false">IF(N106="not found","not in hayday.info",IF(G106="","no Fandom value",IF(N106=G106,"match","differs")))</f>
        <v>match</v>
      </c>
      <c r="P106" s="10" t="str">
        <f aca="false">IF(J106="not found","not in hayday.info",IF(C106="","no Fandom value",IF(IFERROR(INDEX(hayday_info!$C$2:$C$349,MATCH($A106,hayday_info!$A$2:$A$349,0)),"not found")=C106,"match","differs")))</f>
        <v>match</v>
      </c>
    </row>
    <row r="107" customFormat="false" ht="15" hidden="false" customHeight="true" outlineLevel="0" collapsed="false">
      <c r="A107" s="10" t="s">
        <v>510</v>
      </c>
      <c r="B107" s="10" t="s">
        <v>87</v>
      </c>
      <c r="C107" s="11" t="n">
        <v>78</v>
      </c>
      <c r="D107" s="11" t="n">
        <v>60</v>
      </c>
      <c r="E107" s="11" t="n">
        <v>51</v>
      </c>
      <c r="F107" s="13"/>
      <c r="G107" s="11"/>
      <c r="H107" s="10" t="s">
        <v>723</v>
      </c>
      <c r="I107" s="10" t="s">
        <v>726</v>
      </c>
      <c r="J107" s="17" t="n">
        <f aca="false">IFERROR(INDEX(hayday_info!$D$2:$D$349,MATCH($A107,hayday_info!$A$2:$A$349,0)),"not found")</f>
        <v>51</v>
      </c>
      <c r="K107" s="10" t="str">
        <f aca="false">IF(J107="not found","not in hayday.info",IF(J107=E107,"matches mastered",IF(J107=D107,"matches normal","differs")))</f>
        <v>matches mastered</v>
      </c>
      <c r="L107" s="18" t="n">
        <f aca="false">IFERROR(INDEX(hayday_info!$E$2:$E$349,MATCH($A107,hayday_info!$A$2:$A$349,0)),"not found")</f>
        <v>270</v>
      </c>
      <c r="M107" s="10" t="str">
        <f aca="false">IF(L107="not found","not in hayday.info",IF(F107="","no Fandom value",IF(L107=F107,"match","differs")))</f>
        <v>no Fandom value</v>
      </c>
      <c r="N107" s="10" t="n">
        <f aca="false">IFERROR(INDEX(hayday_info!$F$2:$F$349,MATCH($A107,hayday_info!$A$2:$A$349,0)),"not found")</f>
        <v>32</v>
      </c>
      <c r="O107" s="10" t="str">
        <f aca="false">IF(N107="not found","not in hayday.info",IF(G107="","no Fandom value",IF(N107=G107,"match","differs")))</f>
        <v>no Fandom value</v>
      </c>
      <c r="P107" s="10" t="str">
        <f aca="false">IF(J107="not found","not in hayday.info",IF(C107="","no Fandom value",IF(IFERROR(INDEX(hayday_info!$C$2:$C$349,MATCH($A107,hayday_info!$A$2:$A$349,0)),"not found")=C107,"match","differs")))</f>
        <v>match</v>
      </c>
    </row>
    <row r="108" customFormat="false" ht="15" hidden="false" customHeight="true" outlineLevel="0" collapsed="false">
      <c r="A108" s="10" t="s">
        <v>79</v>
      </c>
      <c r="B108" s="10" t="s">
        <v>80</v>
      </c>
      <c r="C108" s="11" t="n">
        <v>48</v>
      </c>
      <c r="D108" s="11" t="n">
        <v>120</v>
      </c>
      <c r="E108" s="11" t="n">
        <v>102</v>
      </c>
      <c r="F108" s="13" t="n">
        <v>370</v>
      </c>
      <c r="G108" s="11" t="n">
        <v>44</v>
      </c>
      <c r="H108" s="10"/>
      <c r="I108" s="10" t="s">
        <v>727</v>
      </c>
      <c r="J108" s="17" t="n">
        <f aca="false">IFERROR(INDEX(hayday_info!$D$2:$D$349,MATCH($A108,hayday_info!$A$2:$A$349,0)),"not found")</f>
        <v>102</v>
      </c>
      <c r="K108" s="10" t="str">
        <f aca="false">IF(J108="not found","not in hayday.info",IF(J108=E108,"matches mastered",IF(J108=D108,"matches normal","differs")))</f>
        <v>matches mastered</v>
      </c>
      <c r="L108" s="18" t="n">
        <f aca="false">IFERROR(INDEX(hayday_info!$E$2:$E$349,MATCH($A108,hayday_info!$A$2:$A$349,0)),"not found")</f>
        <v>370</v>
      </c>
      <c r="M108" s="10" t="str">
        <f aca="false">IF(L108="not found","not in hayday.info",IF(F108="","no Fandom value",IF(L108=F108,"match","differs")))</f>
        <v>match</v>
      </c>
      <c r="N108" s="10" t="n">
        <f aca="false">IFERROR(INDEX(hayday_info!$F$2:$F$349,MATCH($A108,hayday_info!$A$2:$A$349,0)),"not found")</f>
        <v>44</v>
      </c>
      <c r="O108" s="10" t="str">
        <f aca="false">IF(N108="not found","not in hayday.info",IF(G108="","no Fandom value",IF(N108=G108,"match","differs")))</f>
        <v>match</v>
      </c>
      <c r="P108" s="10" t="str">
        <f aca="false">IF(J108="not found","not in hayday.info",IF(C108="","no Fandom value",IF(IFERROR(INDEX(hayday_info!$C$2:$C$349,MATCH($A108,hayday_info!$A$2:$A$349,0)),"not found")=C108,"match","differs")))</f>
        <v>match</v>
      </c>
    </row>
    <row r="109" customFormat="false" ht="15" hidden="false" customHeight="true" outlineLevel="0" collapsed="false">
      <c r="A109" s="10" t="s">
        <v>82</v>
      </c>
      <c r="B109" s="10" t="s">
        <v>80</v>
      </c>
      <c r="C109" s="11" t="n">
        <v>52</v>
      </c>
      <c r="D109" s="11" t="n">
        <v>105</v>
      </c>
      <c r="E109" s="11" t="n">
        <v>89</v>
      </c>
      <c r="F109" s="13" t="n">
        <v>360</v>
      </c>
      <c r="G109" s="11" t="n">
        <v>43</v>
      </c>
      <c r="H109" s="10"/>
      <c r="I109" s="10" t="s">
        <v>727</v>
      </c>
      <c r="J109" s="17" t="n">
        <f aca="false">IFERROR(INDEX(hayday_info!$D$2:$D$349,MATCH($A109,hayday_info!$A$2:$A$349,0)),"not found")</f>
        <v>89</v>
      </c>
      <c r="K109" s="10" t="str">
        <f aca="false">IF(J109="not found","not in hayday.info",IF(J109=E109,"matches mastered",IF(J109=D109,"matches normal","differs")))</f>
        <v>matches mastered</v>
      </c>
      <c r="L109" s="18" t="n">
        <f aca="false">IFERROR(INDEX(hayday_info!$E$2:$E$349,MATCH($A109,hayday_info!$A$2:$A$349,0)),"not found")</f>
        <v>360</v>
      </c>
      <c r="M109" s="10" t="str">
        <f aca="false">IF(L109="not found","not in hayday.info",IF(F109="","no Fandom value",IF(L109=F109,"match","differs")))</f>
        <v>match</v>
      </c>
      <c r="N109" s="10" t="n">
        <f aca="false">IFERROR(INDEX(hayday_info!$F$2:$F$349,MATCH($A109,hayday_info!$A$2:$A$349,0)),"not found")</f>
        <v>43</v>
      </c>
      <c r="O109" s="10" t="str">
        <f aca="false">IF(N109="not found","not in hayday.info",IF(G109="","no Fandom value",IF(N109=G109,"match","differs")))</f>
        <v>match</v>
      </c>
      <c r="P109" s="10" t="str">
        <f aca="false">IF(J109="not found","not in hayday.info",IF(C109="","no Fandom value",IF(IFERROR(INDEX(hayday_info!$C$2:$C$349,MATCH($A109,hayday_info!$A$2:$A$349,0)),"not found")=C109,"match","differs")))</f>
        <v>match</v>
      </c>
    </row>
    <row r="110" customFormat="false" ht="15" hidden="false" customHeight="true" outlineLevel="0" collapsed="false">
      <c r="A110" s="10" t="s">
        <v>83</v>
      </c>
      <c r="B110" s="10" t="s">
        <v>80</v>
      </c>
      <c r="C110" s="11" t="n">
        <v>72</v>
      </c>
      <c r="D110" s="11" t="n">
        <v>135</v>
      </c>
      <c r="E110" s="11" t="n">
        <v>114</v>
      </c>
      <c r="F110" s="13" t="n">
        <v>457</v>
      </c>
      <c r="G110" s="11" t="n">
        <v>55</v>
      </c>
      <c r="H110" s="10"/>
      <c r="I110" s="10" t="s">
        <v>727</v>
      </c>
      <c r="J110" s="17" t="n">
        <f aca="false">IFERROR(INDEX(hayday_info!$D$2:$D$349,MATCH($A110,hayday_info!$A$2:$A$349,0)),"not found")</f>
        <v>114</v>
      </c>
      <c r="K110" s="10" t="str">
        <f aca="false">IF(J110="not found","not in hayday.info",IF(J110=E110,"matches mastered",IF(J110=D110,"matches normal","differs")))</f>
        <v>matches mastered</v>
      </c>
      <c r="L110" s="18" t="n">
        <f aca="false">IFERROR(INDEX(hayday_info!$E$2:$E$349,MATCH($A110,hayday_info!$A$2:$A$349,0)),"not found")</f>
        <v>457</v>
      </c>
      <c r="M110" s="10" t="str">
        <f aca="false">IF(L110="not found","not in hayday.info",IF(F110="","no Fandom value",IF(L110=F110,"match","differs")))</f>
        <v>match</v>
      </c>
      <c r="N110" s="10" t="n">
        <f aca="false">IFERROR(INDEX(hayday_info!$F$2:$F$349,MATCH($A110,hayday_info!$A$2:$A$349,0)),"not found")</f>
        <v>55</v>
      </c>
      <c r="O110" s="10" t="str">
        <f aca="false">IF(N110="not found","not in hayday.info",IF(G110="","no Fandom value",IF(N110=G110,"match","differs")))</f>
        <v>match</v>
      </c>
      <c r="P110" s="10" t="str">
        <f aca="false">IF(J110="not found","not in hayday.info",IF(C110="","no Fandom value",IF(IFERROR(INDEX(hayday_info!$C$2:$C$349,MATCH($A110,hayday_info!$A$2:$A$349,0)),"not found")=C110,"match","differs")))</f>
        <v>match</v>
      </c>
    </row>
    <row r="111" customFormat="false" ht="15" hidden="false" customHeight="true" outlineLevel="0" collapsed="false">
      <c r="A111" s="10" t="s">
        <v>84</v>
      </c>
      <c r="B111" s="10" t="s">
        <v>80</v>
      </c>
      <c r="C111" s="11" t="n">
        <v>84</v>
      </c>
      <c r="D111" s="11" t="n">
        <v>110</v>
      </c>
      <c r="E111" s="11" t="n">
        <v>93</v>
      </c>
      <c r="F111" s="13" t="n">
        <v>324</v>
      </c>
      <c r="G111" s="11" t="n">
        <v>39</v>
      </c>
      <c r="H111" s="10"/>
      <c r="I111" s="10" t="s">
        <v>727</v>
      </c>
      <c r="J111" s="17" t="n">
        <f aca="false">IFERROR(INDEX(hayday_info!$D$2:$D$349,MATCH($A111,hayday_info!$A$2:$A$349,0)),"not found")</f>
        <v>93</v>
      </c>
      <c r="K111" s="10" t="str">
        <f aca="false">IF(J111="not found","not in hayday.info",IF(J111=E111,"matches mastered",IF(J111=D111,"matches normal","differs")))</f>
        <v>matches mastered</v>
      </c>
      <c r="L111" s="18" t="n">
        <f aca="false">IFERROR(INDEX(hayday_info!$E$2:$E$349,MATCH($A111,hayday_info!$A$2:$A$349,0)),"not found")</f>
        <v>324</v>
      </c>
      <c r="M111" s="10" t="str">
        <f aca="false">IF(L111="not found","not in hayday.info",IF(F111="","no Fandom value",IF(L111=F111,"match","differs")))</f>
        <v>match</v>
      </c>
      <c r="N111" s="10" t="n">
        <f aca="false">IFERROR(INDEX(hayday_info!$F$2:$F$349,MATCH($A111,hayday_info!$A$2:$A$349,0)),"not found")</f>
        <v>39</v>
      </c>
      <c r="O111" s="10" t="str">
        <f aca="false">IF(N111="not found","not in hayday.info",IF(G111="","no Fandom value",IF(N111=G111,"match","differs")))</f>
        <v>match</v>
      </c>
      <c r="P111" s="10" t="str">
        <f aca="false">IF(J111="not found","not in hayday.info",IF(C111="","no Fandom value",IF(IFERROR(INDEX(hayday_info!$C$2:$C$349,MATCH($A111,hayday_info!$A$2:$A$349,0)),"not found")=C111,"match","differs")))</f>
        <v>match</v>
      </c>
    </row>
    <row r="112" customFormat="false" ht="15" hidden="false" customHeight="true" outlineLevel="0" collapsed="false">
      <c r="A112" s="10" t="s">
        <v>85</v>
      </c>
      <c r="B112" s="10" t="s">
        <v>80</v>
      </c>
      <c r="C112" s="11" t="n">
        <v>95</v>
      </c>
      <c r="D112" s="11" t="n">
        <v>120</v>
      </c>
      <c r="E112" s="11" t="n">
        <v>102</v>
      </c>
      <c r="F112" s="13" t="n">
        <v>442</v>
      </c>
      <c r="G112" s="11" t="n">
        <v>53</v>
      </c>
      <c r="H112" s="10"/>
      <c r="I112" s="10" t="s">
        <v>727</v>
      </c>
      <c r="J112" s="17" t="n">
        <f aca="false">IFERROR(INDEX(hayday_info!$D$2:$D$349,MATCH($A112,hayday_info!$A$2:$A$349,0)),"not found")</f>
        <v>102</v>
      </c>
      <c r="K112" s="10" t="str">
        <f aca="false">IF(J112="not found","not in hayday.info",IF(J112=E112,"matches mastered",IF(J112=D112,"matches normal","differs")))</f>
        <v>matches mastered</v>
      </c>
      <c r="L112" s="18" t="n">
        <f aca="false">IFERROR(INDEX(hayday_info!$E$2:$E$349,MATCH($A112,hayday_info!$A$2:$A$349,0)),"not found")</f>
        <v>442</v>
      </c>
      <c r="M112" s="10" t="str">
        <f aca="false">IF(L112="not found","not in hayday.info",IF(F112="","no Fandom value",IF(L112=F112,"match","differs")))</f>
        <v>match</v>
      </c>
      <c r="N112" s="10" t="n">
        <f aca="false">IFERROR(INDEX(hayday_info!$F$2:$F$349,MATCH($A112,hayday_info!$A$2:$A$349,0)),"not found")</f>
        <v>53</v>
      </c>
      <c r="O112" s="10" t="str">
        <f aca="false">IF(N112="not found","not in hayday.info",IF(G112="","no Fandom value",IF(N112=G112,"match","differs")))</f>
        <v>match</v>
      </c>
      <c r="P112" s="10" t="str">
        <f aca="false">IF(J112="not found","not in hayday.info",IF(C112="","no Fandom value",IF(IFERROR(INDEX(hayday_info!$C$2:$C$349,MATCH($A112,hayday_info!$A$2:$A$349,0)),"not found")=C112,"match","differs")))</f>
        <v>match</v>
      </c>
    </row>
    <row r="113" customFormat="false" ht="15" hidden="false" customHeight="true" outlineLevel="0" collapsed="false">
      <c r="A113" s="10" t="s">
        <v>671</v>
      </c>
      <c r="B113" s="10" t="s">
        <v>385</v>
      </c>
      <c r="C113" s="11" t="n">
        <v>46</v>
      </c>
      <c r="D113" s="11" t="n">
        <v>150</v>
      </c>
      <c r="E113" s="11" t="n">
        <v>127</v>
      </c>
      <c r="F113" s="13" t="n">
        <v>612</v>
      </c>
      <c r="G113" s="11" t="n">
        <v>73</v>
      </c>
      <c r="H113" s="10"/>
      <c r="I113" s="10" t="s">
        <v>728</v>
      </c>
      <c r="J113" s="17" t="n">
        <f aca="false">IFERROR(INDEX(hayday_info!$D$2:$D$349,MATCH($A113,hayday_info!$A$2:$A$349,0)),"not found")</f>
        <v>127</v>
      </c>
      <c r="K113" s="10" t="str">
        <f aca="false">IF(J113="not found","not in hayday.info",IF(J113=E113,"matches mastered",IF(J113=D113,"matches normal","differs")))</f>
        <v>matches mastered</v>
      </c>
      <c r="L113" s="18" t="n">
        <f aca="false">IFERROR(INDEX(hayday_info!$E$2:$E$349,MATCH($A113,hayday_info!$A$2:$A$349,0)),"not found")</f>
        <v>612</v>
      </c>
      <c r="M113" s="10" t="str">
        <f aca="false">IF(L113="not found","not in hayday.info",IF(F113="","no Fandom value",IF(L113=F113,"match","differs")))</f>
        <v>match</v>
      </c>
      <c r="N113" s="10" t="n">
        <f aca="false">IFERROR(INDEX(hayday_info!$F$2:$F$349,MATCH($A113,hayday_info!$A$2:$A$349,0)),"not found")</f>
        <v>73</v>
      </c>
      <c r="O113" s="10" t="str">
        <f aca="false">IF(N113="not found","not in hayday.info",IF(G113="","no Fandom value",IF(N113=G113,"match","differs")))</f>
        <v>match</v>
      </c>
      <c r="P113" s="10" t="str">
        <f aca="false">IF(J113="not found","not in hayday.info",IF(C113="","no Fandom value",IF(IFERROR(INDEX(hayday_info!$C$2:$C$349,MATCH($A113,hayday_info!$A$2:$A$349,0)),"not found")=C113,"match","differs")))</f>
        <v>match</v>
      </c>
    </row>
    <row r="114" customFormat="false" ht="15" hidden="false" customHeight="true" outlineLevel="0" collapsed="false">
      <c r="A114" s="10" t="s">
        <v>672</v>
      </c>
      <c r="B114" s="10" t="s">
        <v>385</v>
      </c>
      <c r="C114" s="11" t="n">
        <v>47</v>
      </c>
      <c r="D114" s="11" t="n">
        <v>90</v>
      </c>
      <c r="E114" s="11" t="n">
        <v>76</v>
      </c>
      <c r="F114" s="13" t="n">
        <v>478</v>
      </c>
      <c r="G114" s="11" t="n">
        <v>57</v>
      </c>
      <c r="H114" s="10"/>
      <c r="I114" s="10" t="s">
        <v>728</v>
      </c>
      <c r="J114" s="17" t="n">
        <f aca="false">IFERROR(INDEX(hayday_info!$D$2:$D$349,MATCH($A114,hayday_info!$A$2:$A$349,0)),"not found")</f>
        <v>76</v>
      </c>
      <c r="K114" s="10" t="str">
        <f aca="false">IF(J114="not found","not in hayday.info",IF(J114=E114,"matches mastered",IF(J114=D114,"matches normal","differs")))</f>
        <v>matches mastered</v>
      </c>
      <c r="L114" s="18" t="n">
        <f aca="false">IFERROR(INDEX(hayday_info!$E$2:$E$349,MATCH($A114,hayday_info!$A$2:$A$349,0)),"not found")</f>
        <v>478</v>
      </c>
      <c r="M114" s="10" t="str">
        <f aca="false">IF(L114="not found","not in hayday.info",IF(F114="","no Fandom value",IF(L114=F114,"match","differs")))</f>
        <v>match</v>
      </c>
      <c r="N114" s="10" t="n">
        <f aca="false">IFERROR(INDEX(hayday_info!$F$2:$F$349,MATCH($A114,hayday_info!$A$2:$A$349,0)),"not found")</f>
        <v>57</v>
      </c>
      <c r="O114" s="10" t="str">
        <f aca="false">IF(N114="not found","not in hayday.info",IF(G114="","no Fandom value",IF(N114=G114,"match","differs")))</f>
        <v>match</v>
      </c>
      <c r="P114" s="10" t="str">
        <f aca="false">IF(J114="not found","not in hayday.info",IF(C114="","no Fandom value",IF(IFERROR(INDEX(hayday_info!$C$2:$C$349,MATCH($A114,hayday_info!$A$2:$A$349,0)),"not found")=C114,"match","differs")))</f>
        <v>match</v>
      </c>
    </row>
    <row r="115" customFormat="false" ht="15" hidden="false" customHeight="true" outlineLevel="0" collapsed="false">
      <c r="A115" s="10" t="s">
        <v>673</v>
      </c>
      <c r="B115" s="10" t="s">
        <v>385</v>
      </c>
      <c r="C115" s="11" t="n">
        <v>49</v>
      </c>
      <c r="D115" s="11" t="n">
        <v>120</v>
      </c>
      <c r="E115" s="11" t="n">
        <v>102</v>
      </c>
      <c r="F115" s="13" t="n">
        <v>392</v>
      </c>
      <c r="G115" s="11" t="n">
        <v>47</v>
      </c>
      <c r="H115" s="10"/>
      <c r="I115" s="10" t="s">
        <v>728</v>
      </c>
      <c r="J115" s="17" t="n">
        <f aca="false">IFERROR(INDEX(hayday_info!$D$2:$D$349,MATCH($A115,hayday_info!$A$2:$A$349,0)),"not found")</f>
        <v>102</v>
      </c>
      <c r="K115" s="10" t="str">
        <f aca="false">IF(J115="not found","not in hayday.info",IF(J115=E115,"matches mastered",IF(J115=D115,"matches normal","differs")))</f>
        <v>matches mastered</v>
      </c>
      <c r="L115" s="18" t="n">
        <f aca="false">IFERROR(INDEX(hayday_info!$E$2:$E$349,MATCH($A115,hayday_info!$A$2:$A$349,0)),"not found")</f>
        <v>392</v>
      </c>
      <c r="M115" s="10" t="str">
        <f aca="false">IF(L115="not found","not in hayday.info",IF(F115="","no Fandom value",IF(L115=F115,"match","differs")))</f>
        <v>match</v>
      </c>
      <c r="N115" s="10" t="n">
        <f aca="false">IFERROR(INDEX(hayday_info!$F$2:$F$349,MATCH($A115,hayday_info!$A$2:$A$349,0)),"not found")</f>
        <v>47</v>
      </c>
      <c r="O115" s="10" t="str">
        <f aca="false">IF(N115="not found","not in hayday.info",IF(G115="","no Fandom value",IF(N115=G115,"match","differs")))</f>
        <v>match</v>
      </c>
      <c r="P115" s="10" t="str">
        <f aca="false">IF(J115="not found","not in hayday.info",IF(C115="","no Fandom value",IF(IFERROR(INDEX(hayday_info!$C$2:$C$349,MATCH($A115,hayday_info!$A$2:$A$349,0)),"not found")=C115,"match","differs")))</f>
        <v>match</v>
      </c>
    </row>
    <row r="116" customFormat="false" ht="15" hidden="false" customHeight="true" outlineLevel="0" collapsed="false">
      <c r="A116" s="10" t="s">
        <v>674</v>
      </c>
      <c r="B116" s="10" t="s">
        <v>385</v>
      </c>
      <c r="C116" s="11" t="n">
        <v>53</v>
      </c>
      <c r="D116" s="11" t="n">
        <v>180</v>
      </c>
      <c r="E116" s="11" t="n">
        <v>153</v>
      </c>
      <c r="F116" s="13" t="n">
        <v>298</v>
      </c>
      <c r="G116" s="11" t="n">
        <v>35</v>
      </c>
      <c r="H116" s="10"/>
      <c r="I116" s="10" t="s">
        <v>728</v>
      </c>
      <c r="J116" s="17" t="n">
        <f aca="false">IFERROR(INDEX(hayday_info!$D$2:$D$349,MATCH($A116,hayday_info!$A$2:$A$349,0)),"not found")</f>
        <v>153</v>
      </c>
      <c r="K116" s="10" t="str">
        <f aca="false">IF(J116="not found","not in hayday.info",IF(J116=E116,"matches mastered",IF(J116=D116,"matches normal","differs")))</f>
        <v>matches mastered</v>
      </c>
      <c r="L116" s="18" t="n">
        <f aca="false">IFERROR(INDEX(hayday_info!$E$2:$E$349,MATCH($A116,hayday_info!$A$2:$A$349,0)),"not found")</f>
        <v>298</v>
      </c>
      <c r="M116" s="10" t="str">
        <f aca="false">IF(L116="not found","not in hayday.info",IF(F116="","no Fandom value",IF(L116=F116,"match","differs")))</f>
        <v>match</v>
      </c>
      <c r="N116" s="10" t="n">
        <f aca="false">IFERROR(INDEX(hayday_info!$F$2:$F$349,MATCH($A116,hayday_info!$A$2:$A$349,0)),"not found")</f>
        <v>35</v>
      </c>
      <c r="O116" s="10" t="str">
        <f aca="false">IF(N116="not found","not in hayday.info",IF(G116="","no Fandom value",IF(N116=G116,"match","differs")))</f>
        <v>match</v>
      </c>
      <c r="P116" s="10" t="str">
        <f aca="false">IF(J116="not found","not in hayday.info",IF(C116="","no Fandom value",IF(IFERROR(INDEX(hayday_info!$C$2:$C$349,MATCH($A116,hayday_info!$A$2:$A$349,0)),"not found")=C116,"match","differs")))</f>
        <v>match</v>
      </c>
    </row>
    <row r="117" customFormat="false" ht="15" hidden="false" customHeight="true" outlineLevel="0" collapsed="false">
      <c r="A117" s="10" t="s">
        <v>676</v>
      </c>
      <c r="B117" s="10" t="s">
        <v>385</v>
      </c>
      <c r="C117" s="11" t="n">
        <v>72</v>
      </c>
      <c r="D117" s="11" t="n">
        <v>150</v>
      </c>
      <c r="E117" s="11" t="n">
        <v>127</v>
      </c>
      <c r="F117" s="13" t="n">
        <v>327</v>
      </c>
      <c r="G117" s="11" t="n">
        <v>36</v>
      </c>
      <c r="H117" s="10"/>
      <c r="I117" s="10" t="s">
        <v>728</v>
      </c>
      <c r="J117" s="17" t="n">
        <f aca="false">IFERROR(INDEX(hayday_info!$D$2:$D$349,MATCH($A117,hayday_info!$A$2:$A$349,0)),"not found")</f>
        <v>127</v>
      </c>
      <c r="K117" s="10" t="str">
        <f aca="false">IF(J117="not found","not in hayday.info",IF(J117=E117,"matches mastered",IF(J117=D117,"matches normal","differs")))</f>
        <v>matches mastered</v>
      </c>
      <c r="L117" s="18" t="n">
        <f aca="false">IFERROR(INDEX(hayday_info!$E$2:$E$349,MATCH($A117,hayday_info!$A$2:$A$349,0)),"not found")</f>
        <v>327</v>
      </c>
      <c r="M117" s="10" t="str">
        <f aca="false">IF(L117="not found","not in hayday.info",IF(F117="","no Fandom value",IF(L117=F117,"match","differs")))</f>
        <v>match</v>
      </c>
      <c r="N117" s="10" t="n">
        <f aca="false">IFERROR(INDEX(hayday_info!$F$2:$F$349,MATCH($A117,hayday_info!$A$2:$A$349,0)),"not found")</f>
        <v>39</v>
      </c>
      <c r="O117" s="10" t="str">
        <f aca="false">IF(N117="not found","not in hayday.info",IF(G117="","no Fandom value",IF(N117=G117,"match","differs")))</f>
        <v>differs</v>
      </c>
      <c r="P117" s="10" t="str">
        <f aca="false">IF(J117="not found","not in hayday.info",IF(C117="","no Fandom value",IF(IFERROR(INDEX(hayday_info!$C$2:$C$349,MATCH($A117,hayday_info!$A$2:$A$349,0)),"not found")=C117,"match","differs")))</f>
        <v>match</v>
      </c>
    </row>
    <row r="118" customFormat="false" ht="15" hidden="false" customHeight="true" outlineLevel="0" collapsed="false">
      <c r="A118" s="10" t="s">
        <v>677</v>
      </c>
      <c r="B118" s="10" t="s">
        <v>385</v>
      </c>
      <c r="C118" s="11" t="n">
        <v>73</v>
      </c>
      <c r="D118" s="11" t="n">
        <v>120</v>
      </c>
      <c r="E118" s="11" t="n">
        <v>102</v>
      </c>
      <c r="F118" s="13" t="n">
        <v>432</v>
      </c>
      <c r="G118" s="11" t="n">
        <v>52</v>
      </c>
      <c r="H118" s="10"/>
      <c r="I118" s="10" t="s">
        <v>728</v>
      </c>
      <c r="J118" s="17" t="n">
        <f aca="false">IFERROR(INDEX(hayday_info!$D$2:$D$349,MATCH($A118,hayday_info!$A$2:$A$349,0)),"not found")</f>
        <v>102</v>
      </c>
      <c r="K118" s="10" t="str">
        <f aca="false">IF(J118="not found","not in hayday.info",IF(J118=E118,"matches mastered",IF(J118=D118,"matches normal","differs")))</f>
        <v>matches mastered</v>
      </c>
      <c r="L118" s="18" t="n">
        <f aca="false">IFERROR(INDEX(hayday_info!$E$2:$E$349,MATCH($A118,hayday_info!$A$2:$A$349,0)),"not found")</f>
        <v>432</v>
      </c>
      <c r="M118" s="10" t="str">
        <f aca="false">IF(L118="not found","not in hayday.info",IF(F118="","no Fandom value",IF(L118=F118,"match","differs")))</f>
        <v>match</v>
      </c>
      <c r="N118" s="10" t="n">
        <f aca="false">IFERROR(INDEX(hayday_info!$F$2:$F$349,MATCH($A118,hayday_info!$A$2:$A$349,0)),"not found")</f>
        <v>52</v>
      </c>
      <c r="O118" s="10" t="str">
        <f aca="false">IF(N118="not found","not in hayday.info",IF(G118="","no Fandom value",IF(N118=G118,"match","differs")))</f>
        <v>match</v>
      </c>
      <c r="P118" s="10" t="str">
        <f aca="false">IF(J118="not found","not in hayday.info",IF(C118="","no Fandom value",IF(IFERROR(INDEX(hayday_info!$C$2:$C$349,MATCH($A118,hayday_info!$A$2:$A$349,0)),"not found")=C118,"match","differs")))</f>
        <v>match</v>
      </c>
    </row>
    <row r="119" customFormat="false" ht="15" hidden="false" customHeight="true" outlineLevel="0" collapsed="false">
      <c r="A119" s="10" t="s">
        <v>678</v>
      </c>
      <c r="B119" s="10" t="s">
        <v>385</v>
      </c>
      <c r="C119" s="11" t="n">
        <v>78</v>
      </c>
      <c r="D119" s="11" t="n">
        <v>150</v>
      </c>
      <c r="E119" s="11" t="n">
        <v>127</v>
      </c>
      <c r="F119" s="13" t="n">
        <v>255</v>
      </c>
      <c r="G119" s="11" t="n">
        <v>31</v>
      </c>
      <c r="H119" s="10"/>
      <c r="I119" s="10" t="s">
        <v>728</v>
      </c>
      <c r="J119" s="17" t="n">
        <f aca="false">IFERROR(INDEX(hayday_info!$D$2:$D$349,MATCH($A119,hayday_info!$A$2:$A$349,0)),"not found")</f>
        <v>127</v>
      </c>
      <c r="K119" s="10" t="str">
        <f aca="false">IF(J119="not found","not in hayday.info",IF(J119=E119,"matches mastered",IF(J119=D119,"matches normal","differs")))</f>
        <v>matches mastered</v>
      </c>
      <c r="L119" s="18" t="n">
        <f aca="false">IFERROR(INDEX(hayday_info!$E$2:$E$349,MATCH($A119,hayday_info!$A$2:$A$349,0)),"not found")</f>
        <v>255</v>
      </c>
      <c r="M119" s="10" t="str">
        <f aca="false">IF(L119="not found","not in hayday.info",IF(F119="","no Fandom value",IF(L119=F119,"match","differs")))</f>
        <v>match</v>
      </c>
      <c r="N119" s="10" t="n">
        <f aca="false">IFERROR(INDEX(hayday_info!$F$2:$F$349,MATCH($A119,hayday_info!$A$2:$A$349,0)),"not found")</f>
        <v>31</v>
      </c>
      <c r="O119" s="10" t="str">
        <f aca="false">IF(N119="not found","not in hayday.info",IF(G119="","no Fandom value",IF(N119=G119,"match","differs")))</f>
        <v>match</v>
      </c>
      <c r="P119" s="10" t="str">
        <f aca="false">IF(J119="not found","not in hayday.info",IF(C119="","no Fandom value",IF(IFERROR(INDEX(hayday_info!$C$2:$C$349,MATCH($A119,hayday_info!$A$2:$A$349,0)),"not found")=C119,"match","differs")))</f>
        <v>match</v>
      </c>
    </row>
    <row r="120" customFormat="false" ht="15" hidden="false" customHeight="true" outlineLevel="0" collapsed="false">
      <c r="A120" s="10" t="s">
        <v>679</v>
      </c>
      <c r="B120" s="10" t="s">
        <v>385</v>
      </c>
      <c r="C120" s="11" t="n">
        <v>81</v>
      </c>
      <c r="D120" s="11" t="n">
        <v>60</v>
      </c>
      <c r="E120" s="11" t="n">
        <v>51</v>
      </c>
      <c r="F120" s="13" t="n">
        <v>439</v>
      </c>
      <c r="G120" s="11" t="n">
        <v>52</v>
      </c>
      <c r="H120" s="10"/>
      <c r="I120" s="10" t="s">
        <v>728</v>
      </c>
      <c r="J120" s="17" t="n">
        <f aca="false">IFERROR(INDEX(hayday_info!$D$2:$D$349,MATCH($A120,hayday_info!$A$2:$A$349,0)),"not found")</f>
        <v>51</v>
      </c>
      <c r="K120" s="10" t="str">
        <f aca="false">IF(J120="not found","not in hayday.info",IF(J120=E120,"matches mastered",IF(J120=D120,"matches normal","differs")))</f>
        <v>matches mastered</v>
      </c>
      <c r="L120" s="18" t="n">
        <f aca="false">IFERROR(INDEX(hayday_info!$E$2:$E$349,MATCH($A120,hayday_info!$A$2:$A$349,0)),"not found")</f>
        <v>439</v>
      </c>
      <c r="M120" s="10" t="str">
        <f aca="false">IF(L120="not found","not in hayday.info",IF(F120="","no Fandom value",IF(L120=F120,"match","differs")))</f>
        <v>match</v>
      </c>
      <c r="N120" s="10" t="n">
        <f aca="false">IFERROR(INDEX(hayday_info!$F$2:$F$349,MATCH($A120,hayday_info!$A$2:$A$349,0)),"not found")</f>
        <v>52</v>
      </c>
      <c r="O120" s="10" t="str">
        <f aca="false">IF(N120="not found","not in hayday.info",IF(G120="","no Fandom value",IF(N120=G120,"match","differs")))</f>
        <v>match</v>
      </c>
      <c r="P120" s="10" t="str">
        <f aca="false">IF(J120="not found","not in hayday.info",IF(C120="","no Fandom value",IF(IFERROR(INDEX(hayday_info!$C$2:$C$349,MATCH($A120,hayday_info!$A$2:$A$349,0)),"not found")=C120,"match","differs")))</f>
        <v>match</v>
      </c>
    </row>
    <row r="121" customFormat="false" ht="15" hidden="false" customHeight="true" outlineLevel="0" collapsed="false">
      <c r="A121" s="10" t="s">
        <v>680</v>
      </c>
      <c r="B121" s="10" t="s">
        <v>385</v>
      </c>
      <c r="C121" s="11" t="n">
        <v>87</v>
      </c>
      <c r="D121" s="11" t="n">
        <v>90</v>
      </c>
      <c r="E121" s="11" t="n">
        <v>76</v>
      </c>
      <c r="F121" s="13" t="n">
        <v>237</v>
      </c>
      <c r="G121" s="11" t="n">
        <v>28</v>
      </c>
      <c r="H121" s="10"/>
      <c r="I121" s="10" t="s">
        <v>728</v>
      </c>
      <c r="J121" s="17" t="n">
        <f aca="false">IFERROR(INDEX(hayday_info!$D$2:$D$349,MATCH($A121,hayday_info!$A$2:$A$349,0)),"not found")</f>
        <v>63</v>
      </c>
      <c r="K121" s="10" t="str">
        <f aca="false">IF(J121="not found","not in hayday.info",IF(J121=E121,"matches mastered",IF(J121=D121,"matches normal","differs")))</f>
        <v>differs</v>
      </c>
      <c r="L121" s="18" t="n">
        <f aca="false">IFERROR(INDEX(hayday_info!$E$2:$E$349,MATCH($A121,hayday_info!$A$2:$A$349,0)),"not found")</f>
        <v>237</v>
      </c>
      <c r="M121" s="10" t="str">
        <f aca="false">IF(L121="not found","not in hayday.info",IF(F121="","no Fandom value",IF(L121=F121,"match","differs")))</f>
        <v>match</v>
      </c>
      <c r="N121" s="10" t="n">
        <f aca="false">IFERROR(INDEX(hayday_info!$F$2:$F$349,MATCH($A121,hayday_info!$A$2:$A$349,0)),"not found")</f>
        <v>28</v>
      </c>
      <c r="O121" s="10" t="str">
        <f aca="false">IF(N121="not found","not in hayday.info",IF(G121="","no Fandom value",IF(N121=G121,"match","differs")))</f>
        <v>match</v>
      </c>
      <c r="P121" s="10" t="str">
        <f aca="false">IF(J121="not found","not in hayday.info",IF(C121="","no Fandom value",IF(IFERROR(INDEX(hayday_info!$C$2:$C$349,MATCH($A121,hayday_info!$A$2:$A$349,0)),"not found")=C121,"match","differs")))</f>
        <v>match</v>
      </c>
    </row>
    <row r="122" customFormat="false" ht="15" hidden="false" customHeight="true" outlineLevel="0" collapsed="false">
      <c r="A122" s="10" t="s">
        <v>681</v>
      </c>
      <c r="B122" s="10" t="s">
        <v>385</v>
      </c>
      <c r="C122" s="11" t="n">
        <v>104</v>
      </c>
      <c r="D122" s="11" t="n">
        <v>80</v>
      </c>
      <c r="E122" s="11" t="n">
        <v>68</v>
      </c>
      <c r="F122" s="13"/>
      <c r="G122" s="11"/>
      <c r="H122" s="10" t="s">
        <v>723</v>
      </c>
      <c r="I122" s="10" t="s">
        <v>728</v>
      </c>
      <c r="J122" s="17" t="n">
        <f aca="false">IFERROR(INDEX(hayday_info!$D$2:$D$349,MATCH($A122,hayday_info!$A$2:$A$349,0)),"not found")</f>
        <v>68</v>
      </c>
      <c r="K122" s="10" t="str">
        <f aca="false">IF(J122="not found","not in hayday.info",IF(J122=E122,"matches mastered",IF(J122=D122,"matches normal","differs")))</f>
        <v>matches mastered</v>
      </c>
      <c r="L122" s="18" t="n">
        <f aca="false">IFERROR(INDEX(hayday_info!$E$2:$E$349,MATCH($A122,hayday_info!$A$2:$A$349,0)),"not found")</f>
        <v>176</v>
      </c>
      <c r="M122" s="10" t="str">
        <f aca="false">IF(L122="not found","not in hayday.info",IF(F122="","no Fandom value",IF(L122=F122,"match","differs")))</f>
        <v>no Fandom value</v>
      </c>
      <c r="N122" s="10" t="n">
        <f aca="false">IFERROR(INDEX(hayday_info!$F$2:$F$349,MATCH($A122,hayday_info!$A$2:$A$349,0)),"not found")</f>
        <v>21</v>
      </c>
      <c r="O122" s="10" t="str">
        <f aca="false">IF(N122="not found","not in hayday.info",IF(G122="","no Fandom value",IF(N122=G122,"match","differs")))</f>
        <v>no Fandom value</v>
      </c>
      <c r="P122" s="10" t="str">
        <f aca="false">IF(J122="not found","not in hayday.info",IF(C122="","no Fandom value",IF(IFERROR(INDEX(hayday_info!$C$2:$C$349,MATCH($A122,hayday_info!$A$2:$A$349,0)),"not found")=C122,"match","differs")))</f>
        <v>match</v>
      </c>
    </row>
    <row r="123" customFormat="false" ht="15" hidden="false" customHeight="true" outlineLevel="0" collapsed="false">
      <c r="A123" s="10" t="s">
        <v>337</v>
      </c>
      <c r="B123" s="10" t="s">
        <v>338</v>
      </c>
      <c r="C123" s="11" t="n">
        <v>61</v>
      </c>
      <c r="D123" s="11" t="n">
        <v>40</v>
      </c>
      <c r="E123" s="11" t="n">
        <v>34</v>
      </c>
      <c r="F123" s="13" t="n">
        <v>532</v>
      </c>
      <c r="G123" s="11" t="n">
        <v>63</v>
      </c>
      <c r="H123" s="10" t="s">
        <v>729</v>
      </c>
      <c r="I123" s="10" t="s">
        <v>730</v>
      </c>
      <c r="J123" s="17" t="n">
        <f aca="false">IFERROR(INDEX(hayday_info!$D$2:$D$349,MATCH($A123,hayday_info!$A$2:$A$349,0)),"not found")</f>
        <v>34</v>
      </c>
      <c r="K123" s="10" t="str">
        <f aca="false">IF(J123="not found","not in hayday.info",IF(J123=E123,"matches mastered",IF(J123=D123,"matches normal","differs")))</f>
        <v>matches mastered</v>
      </c>
      <c r="L123" s="18" t="n">
        <f aca="false">IFERROR(INDEX(hayday_info!$E$2:$E$349,MATCH($A123,hayday_info!$A$2:$A$349,0)),"not found")</f>
        <v>532</v>
      </c>
      <c r="M123" s="10" t="str">
        <f aca="false">IF(L123="not found","not in hayday.info",IF(F123="","no Fandom value",IF(L123=F123,"match","differs")))</f>
        <v>match</v>
      </c>
      <c r="N123" s="10" t="n">
        <f aca="false">IFERROR(INDEX(hayday_info!$F$2:$F$349,MATCH($A123,hayday_info!$A$2:$A$349,0)),"not found")</f>
        <v>63</v>
      </c>
      <c r="O123" s="10" t="str">
        <f aca="false">IF(N123="not found","not in hayday.info",IF(G123="","no Fandom value",IF(N123=G123,"match","differs")))</f>
        <v>match</v>
      </c>
      <c r="P123" s="10" t="str">
        <f aca="false">IF(J123="not found","not in hayday.info",IF(C123="","no Fandom value",IF(IFERROR(INDEX(hayday_info!$C$2:$C$349,MATCH($A123,hayday_info!$A$2:$A$349,0)),"not found")=C123,"match","differs")))</f>
        <v>match</v>
      </c>
    </row>
    <row r="124" customFormat="false" ht="15" hidden="false" customHeight="true" outlineLevel="0" collapsed="false">
      <c r="A124" s="10" t="s">
        <v>340</v>
      </c>
      <c r="B124" s="10" t="s">
        <v>338</v>
      </c>
      <c r="C124" s="11" t="n">
        <v>65</v>
      </c>
      <c r="D124" s="11" t="n">
        <v>100</v>
      </c>
      <c r="E124" s="11" t="n">
        <v>85</v>
      </c>
      <c r="F124" s="13" t="n">
        <v>648</v>
      </c>
      <c r="G124" s="11" t="n">
        <v>77</v>
      </c>
      <c r="H124" s="10" t="s">
        <v>729</v>
      </c>
      <c r="I124" s="10" t="s">
        <v>730</v>
      </c>
      <c r="J124" s="17" t="n">
        <f aca="false">IFERROR(INDEX(hayday_info!$D$2:$D$349,MATCH($A124,hayday_info!$A$2:$A$349,0)),"not found")</f>
        <v>85</v>
      </c>
      <c r="K124" s="10" t="str">
        <f aca="false">IF(J124="not found","not in hayday.info",IF(J124=E124,"matches mastered",IF(J124=D124,"matches normal","differs")))</f>
        <v>matches mastered</v>
      </c>
      <c r="L124" s="18" t="n">
        <f aca="false">IFERROR(INDEX(hayday_info!$E$2:$E$349,MATCH($A124,hayday_info!$A$2:$A$349,0)),"not found")</f>
        <v>648</v>
      </c>
      <c r="M124" s="10" t="str">
        <f aca="false">IF(L124="not found","not in hayday.info",IF(F124="","no Fandom value",IF(L124=F124,"match","differs")))</f>
        <v>match</v>
      </c>
      <c r="N124" s="10" t="n">
        <f aca="false">IFERROR(INDEX(hayday_info!$F$2:$F$349,MATCH($A124,hayday_info!$A$2:$A$349,0)),"not found")</f>
        <v>77</v>
      </c>
      <c r="O124" s="10" t="str">
        <f aca="false">IF(N124="not found","not in hayday.info",IF(G124="","no Fandom value",IF(N124=G124,"match","differs")))</f>
        <v>match</v>
      </c>
      <c r="P124" s="10" t="str">
        <f aca="false">IF(J124="not found","not in hayday.info",IF(C124="","no Fandom value",IF(IFERROR(INDEX(hayday_info!$C$2:$C$349,MATCH($A124,hayday_info!$A$2:$A$349,0)),"not found")=C124,"match","differs")))</f>
        <v>match</v>
      </c>
    </row>
    <row r="125" customFormat="false" ht="15" hidden="false" customHeight="true" outlineLevel="0" collapsed="false">
      <c r="A125" s="10" t="s">
        <v>341</v>
      </c>
      <c r="B125" s="10" t="s">
        <v>338</v>
      </c>
      <c r="C125" s="11" t="n">
        <v>66</v>
      </c>
      <c r="D125" s="11" t="n">
        <v>80</v>
      </c>
      <c r="E125" s="11" t="n">
        <v>68</v>
      </c>
      <c r="F125" s="13" t="n">
        <v>583</v>
      </c>
      <c r="G125" s="11" t="n">
        <v>69</v>
      </c>
      <c r="H125" s="10" t="s">
        <v>729</v>
      </c>
      <c r="I125" s="10" t="s">
        <v>730</v>
      </c>
      <c r="J125" s="17" t="n">
        <f aca="false">IFERROR(INDEX(hayday_info!$D$2:$D$349,MATCH($A125,hayday_info!$A$2:$A$349,0)),"not found")</f>
        <v>68</v>
      </c>
      <c r="K125" s="10" t="str">
        <f aca="false">IF(J125="not found","not in hayday.info",IF(J125=E125,"matches mastered",IF(J125=D125,"matches normal","differs")))</f>
        <v>matches mastered</v>
      </c>
      <c r="L125" s="18" t="n">
        <f aca="false">IFERROR(INDEX(hayday_info!$E$2:$E$349,MATCH($A125,hayday_info!$A$2:$A$349,0)),"not found")</f>
        <v>583</v>
      </c>
      <c r="M125" s="10" t="str">
        <f aca="false">IF(L125="not found","not in hayday.info",IF(F125="","no Fandom value",IF(L125=F125,"match","differs")))</f>
        <v>match</v>
      </c>
      <c r="N125" s="10" t="n">
        <f aca="false">IFERROR(INDEX(hayday_info!$F$2:$F$349,MATCH($A125,hayday_info!$A$2:$A$349,0)),"not found")</f>
        <v>69</v>
      </c>
      <c r="O125" s="10" t="str">
        <f aca="false">IF(N125="not found","not in hayday.info",IF(G125="","no Fandom value",IF(N125=G125,"match","differs")))</f>
        <v>match</v>
      </c>
      <c r="P125" s="10" t="str">
        <f aca="false">IF(J125="not found","not in hayday.info",IF(C125="","no Fandom value",IF(IFERROR(INDEX(hayday_info!$C$2:$C$349,MATCH($A125,hayday_info!$A$2:$A$349,0)),"not found")=C125,"match","differs")))</f>
        <v>match</v>
      </c>
    </row>
    <row r="126" customFormat="false" ht="15" hidden="false" customHeight="true" outlineLevel="0" collapsed="false">
      <c r="A126" s="10" t="s">
        <v>342</v>
      </c>
      <c r="B126" s="10" t="s">
        <v>338</v>
      </c>
      <c r="C126" s="11" t="n">
        <v>69</v>
      </c>
      <c r="D126" s="11" t="n">
        <v>60</v>
      </c>
      <c r="E126" s="11" t="n">
        <v>51</v>
      </c>
      <c r="F126" s="13" t="n">
        <v>255</v>
      </c>
      <c r="G126" s="11" t="n">
        <v>31</v>
      </c>
      <c r="H126" s="10" t="s">
        <v>729</v>
      </c>
      <c r="I126" s="10" t="s">
        <v>730</v>
      </c>
      <c r="J126" s="17" t="n">
        <f aca="false">IFERROR(INDEX(hayday_info!$D$2:$D$349,MATCH($A126,hayday_info!$A$2:$A$349,0)),"not found")</f>
        <v>51</v>
      </c>
      <c r="K126" s="10" t="str">
        <f aca="false">IF(J126="not found","not in hayday.info",IF(J126=E126,"matches mastered",IF(J126=D126,"matches normal","differs")))</f>
        <v>matches mastered</v>
      </c>
      <c r="L126" s="18" t="n">
        <f aca="false">IFERROR(INDEX(hayday_info!$E$2:$E$349,MATCH($A126,hayday_info!$A$2:$A$349,0)),"not found")</f>
        <v>255</v>
      </c>
      <c r="M126" s="10" t="str">
        <f aca="false">IF(L126="not found","not in hayday.info",IF(F126="","no Fandom value",IF(L126=F126,"match","differs")))</f>
        <v>match</v>
      </c>
      <c r="N126" s="10" t="n">
        <f aca="false">IFERROR(INDEX(hayday_info!$F$2:$F$349,MATCH($A126,hayday_info!$A$2:$A$349,0)),"not found")</f>
        <v>31</v>
      </c>
      <c r="O126" s="10" t="str">
        <f aca="false">IF(N126="not found","not in hayday.info",IF(G126="","no Fandom value",IF(N126=G126,"match","differs")))</f>
        <v>match</v>
      </c>
      <c r="P126" s="10" t="str">
        <f aca="false">IF(J126="not found","not in hayday.info",IF(C126="","no Fandom value",IF(IFERROR(INDEX(hayday_info!$C$2:$C$349,MATCH($A126,hayday_info!$A$2:$A$349,0)),"not found")=C126,"match","differs")))</f>
        <v>match</v>
      </c>
    </row>
    <row r="127" customFormat="false" ht="15" hidden="false" customHeight="true" outlineLevel="0" collapsed="false">
      <c r="A127" s="10" t="s">
        <v>343</v>
      </c>
      <c r="B127" s="10" t="s">
        <v>338</v>
      </c>
      <c r="C127" s="11" t="n">
        <v>71</v>
      </c>
      <c r="D127" s="11" t="n">
        <v>25</v>
      </c>
      <c r="E127" s="11" t="n">
        <v>21</v>
      </c>
      <c r="F127" s="13" t="n">
        <v>601</v>
      </c>
      <c r="G127" s="11" t="n">
        <v>80</v>
      </c>
      <c r="H127" s="10" t="s">
        <v>729</v>
      </c>
      <c r="I127" s="10" t="s">
        <v>730</v>
      </c>
      <c r="J127" s="17" t="n">
        <f aca="false">IFERROR(INDEX(hayday_info!$D$2:$D$349,MATCH($A127,hayday_info!$A$2:$A$349,0)),"not found")</f>
        <v>21</v>
      </c>
      <c r="K127" s="10" t="str">
        <f aca="false">IF(J127="not found","not in hayday.info",IF(J127=E127,"matches mastered",IF(J127=D127,"matches normal","differs")))</f>
        <v>matches mastered</v>
      </c>
      <c r="L127" s="18" t="n">
        <f aca="false">IFERROR(INDEX(hayday_info!$E$2:$E$349,MATCH($A127,hayday_info!$A$2:$A$349,0)),"not found")</f>
        <v>673</v>
      </c>
      <c r="M127" s="10" t="str">
        <f aca="false">IF(L127="not found","not in hayday.info",IF(F127="","no Fandom value",IF(L127=F127,"match","differs")))</f>
        <v>differs</v>
      </c>
      <c r="N127" s="10" t="n">
        <f aca="false">IFERROR(INDEX(hayday_info!$F$2:$F$349,MATCH($A127,hayday_info!$A$2:$A$349,0)),"not found")</f>
        <v>80</v>
      </c>
      <c r="O127" s="10" t="str">
        <f aca="false">IF(N127="not found","not in hayday.info",IF(G127="","no Fandom value",IF(N127=G127,"match","differs")))</f>
        <v>match</v>
      </c>
      <c r="P127" s="10" t="str">
        <f aca="false">IF(J127="not found","not in hayday.info",IF(C127="","no Fandom value",IF(IFERROR(INDEX(hayday_info!$C$2:$C$349,MATCH($A127,hayday_info!$A$2:$A$349,0)),"not found")=C127,"match","differs")))</f>
        <v>match</v>
      </c>
    </row>
    <row r="128" customFormat="false" ht="15" hidden="false" customHeight="true" outlineLevel="0" collapsed="false">
      <c r="A128" s="10" t="s">
        <v>344</v>
      </c>
      <c r="B128" s="10" t="s">
        <v>338</v>
      </c>
      <c r="C128" s="11" t="n">
        <v>79</v>
      </c>
      <c r="D128" s="11" t="n">
        <v>35</v>
      </c>
      <c r="E128" s="11" t="n">
        <v>29</v>
      </c>
      <c r="F128" s="13" t="n">
        <v>464</v>
      </c>
      <c r="G128" s="11" t="n">
        <v>55</v>
      </c>
      <c r="H128" s="10" t="s">
        <v>729</v>
      </c>
      <c r="I128" s="10" t="s">
        <v>730</v>
      </c>
      <c r="J128" s="17" t="n">
        <f aca="false">IFERROR(INDEX(hayday_info!$D$2:$D$349,MATCH($A128,hayday_info!$A$2:$A$349,0)),"not found")</f>
        <v>29</v>
      </c>
      <c r="K128" s="10" t="str">
        <f aca="false">IF(J128="not found","not in hayday.info",IF(J128=E128,"matches mastered",IF(J128=D128,"matches normal","differs")))</f>
        <v>matches mastered</v>
      </c>
      <c r="L128" s="18" t="n">
        <f aca="false">IFERROR(INDEX(hayday_info!$E$2:$E$349,MATCH($A128,hayday_info!$A$2:$A$349,0)),"not found")</f>
        <v>464</v>
      </c>
      <c r="M128" s="10" t="str">
        <f aca="false">IF(L128="not found","not in hayday.info",IF(F128="","no Fandom value",IF(L128=F128,"match","differs")))</f>
        <v>match</v>
      </c>
      <c r="N128" s="10" t="n">
        <f aca="false">IFERROR(INDEX(hayday_info!$F$2:$F$349,MATCH($A128,hayday_info!$A$2:$A$349,0)),"not found")</f>
        <v>55</v>
      </c>
      <c r="O128" s="10" t="str">
        <f aca="false">IF(N128="not found","not in hayday.info",IF(G128="","no Fandom value",IF(N128=G128,"match","differs")))</f>
        <v>match</v>
      </c>
      <c r="P128" s="10" t="str">
        <f aca="false">IF(J128="not found","not in hayday.info",IF(C128="","no Fandom value",IF(IFERROR(INDEX(hayday_info!$C$2:$C$349,MATCH($A128,hayday_info!$A$2:$A$349,0)),"not found")=C128,"match","differs")))</f>
        <v>match</v>
      </c>
    </row>
    <row r="129" customFormat="false" ht="15" hidden="false" customHeight="true" outlineLevel="0" collapsed="false">
      <c r="A129" s="10" t="s">
        <v>345</v>
      </c>
      <c r="B129" s="10" t="s">
        <v>338</v>
      </c>
      <c r="C129" s="11" t="n">
        <v>84</v>
      </c>
      <c r="D129" s="11" t="n">
        <v>90</v>
      </c>
      <c r="E129" s="11" t="n">
        <v>76</v>
      </c>
      <c r="F129" s="13" t="n">
        <v>417</v>
      </c>
      <c r="G129" s="11" t="n">
        <v>50</v>
      </c>
      <c r="H129" s="10" t="s">
        <v>729</v>
      </c>
      <c r="I129" s="10" t="s">
        <v>730</v>
      </c>
      <c r="J129" s="17" t="n">
        <f aca="false">IFERROR(INDEX(hayday_info!$D$2:$D$349,MATCH($A129,hayday_info!$A$2:$A$349,0)),"not found")</f>
        <v>76</v>
      </c>
      <c r="K129" s="10" t="str">
        <f aca="false">IF(J129="not found","not in hayday.info",IF(J129=E129,"matches mastered",IF(J129=D129,"matches normal","differs")))</f>
        <v>matches mastered</v>
      </c>
      <c r="L129" s="18" t="n">
        <f aca="false">IFERROR(INDEX(hayday_info!$E$2:$E$349,MATCH($A129,hayday_info!$A$2:$A$349,0)),"not found")</f>
        <v>471</v>
      </c>
      <c r="M129" s="10" t="str">
        <f aca="false">IF(L129="not found","not in hayday.info",IF(F129="","no Fandom value",IF(L129=F129,"match","differs")))</f>
        <v>differs</v>
      </c>
      <c r="N129" s="10" t="n">
        <f aca="false">IFERROR(INDEX(hayday_info!$F$2:$F$349,MATCH($A129,hayday_info!$A$2:$A$349,0)),"not found")</f>
        <v>50</v>
      </c>
      <c r="O129" s="10" t="str">
        <f aca="false">IF(N129="not found","not in hayday.info",IF(G129="","no Fandom value",IF(N129=G129,"match","differs")))</f>
        <v>match</v>
      </c>
      <c r="P129" s="10" t="str">
        <f aca="false">IF(J129="not found","not in hayday.info",IF(C129="","no Fandom value",IF(IFERROR(INDEX(hayday_info!$C$2:$C$349,MATCH($A129,hayday_info!$A$2:$A$349,0)),"not found")=C129,"match","differs")))</f>
        <v>match</v>
      </c>
    </row>
    <row r="130" customFormat="false" ht="15" hidden="false" customHeight="true" outlineLevel="0" collapsed="false">
      <c r="A130" s="10" t="s">
        <v>346</v>
      </c>
      <c r="B130" s="10" t="s">
        <v>338</v>
      </c>
      <c r="C130" s="11" t="n">
        <v>92</v>
      </c>
      <c r="D130" s="11" t="n">
        <v>50</v>
      </c>
      <c r="E130" s="11" t="n">
        <v>42</v>
      </c>
      <c r="F130" s="13" t="n">
        <v>302</v>
      </c>
      <c r="G130" s="11" t="n">
        <v>36</v>
      </c>
      <c r="H130" s="10" t="s">
        <v>729</v>
      </c>
      <c r="I130" s="10" t="s">
        <v>730</v>
      </c>
      <c r="J130" s="17" t="n">
        <f aca="false">IFERROR(INDEX(hayday_info!$D$2:$D$349,MATCH($A130,hayday_info!$A$2:$A$349,0)),"not found")</f>
        <v>42</v>
      </c>
      <c r="K130" s="10" t="str">
        <f aca="false">IF(J130="not found","not in hayday.info",IF(J130=E130,"matches mastered",IF(J130=D130,"matches normal","differs")))</f>
        <v>matches mastered</v>
      </c>
      <c r="L130" s="18" t="n">
        <f aca="false">IFERROR(INDEX(hayday_info!$E$2:$E$349,MATCH($A130,hayday_info!$A$2:$A$349,0)),"not found")</f>
        <v>302</v>
      </c>
      <c r="M130" s="10" t="str">
        <f aca="false">IF(L130="not found","not in hayday.info",IF(F130="","no Fandom value",IF(L130=F130,"match","differs")))</f>
        <v>match</v>
      </c>
      <c r="N130" s="10" t="n">
        <f aca="false">IFERROR(INDEX(hayday_info!$F$2:$F$349,MATCH($A130,hayday_info!$A$2:$A$349,0)),"not found")</f>
        <v>36</v>
      </c>
      <c r="O130" s="10" t="str">
        <f aca="false">IF(N130="not found","not in hayday.info",IF(G130="","no Fandom value",IF(N130=G130,"match","differs")))</f>
        <v>match</v>
      </c>
      <c r="P130" s="10" t="str">
        <f aca="false">IF(J130="not found","not in hayday.info",IF(C130="","no Fandom value",IF(IFERROR(INDEX(hayday_info!$C$2:$C$349,MATCH($A130,hayday_info!$A$2:$A$349,0)),"not found")=C130,"match","differs")))</f>
        <v>match</v>
      </c>
    </row>
    <row r="131" customFormat="false" ht="15" hidden="false" customHeight="true" outlineLevel="0" collapsed="false">
      <c r="A131" s="10" t="s">
        <v>347</v>
      </c>
      <c r="B131" s="10" t="s">
        <v>338</v>
      </c>
      <c r="C131" s="11" t="n">
        <v>109</v>
      </c>
      <c r="D131" s="11" t="n">
        <v>25</v>
      </c>
      <c r="E131" s="11" t="n">
        <v>21</v>
      </c>
      <c r="F131" s="13" t="n">
        <v>374</v>
      </c>
      <c r="G131" s="11" t="n">
        <v>45</v>
      </c>
      <c r="H131" s="10" t="s">
        <v>729</v>
      </c>
      <c r="I131" s="10" t="s">
        <v>730</v>
      </c>
      <c r="J131" s="17" t="n">
        <f aca="false">IFERROR(INDEX(hayday_info!$D$2:$D$349,MATCH($A131,hayday_info!$A$2:$A$349,0)),"not found")</f>
        <v>25</v>
      </c>
      <c r="K131" s="10" t="str">
        <f aca="false">IF(J131="not found","not in hayday.info",IF(J131=E131,"matches mastered",IF(J131=D131,"matches normal","differs")))</f>
        <v>matches normal</v>
      </c>
      <c r="L131" s="18" t="n">
        <f aca="false">IFERROR(INDEX(hayday_info!$E$2:$E$349,MATCH($A131,hayday_info!$A$2:$A$349,0)),"not found")</f>
        <v>374</v>
      </c>
      <c r="M131" s="10" t="str">
        <f aca="false">IF(L131="not found","not in hayday.info",IF(F131="","no Fandom value",IF(L131=F131,"match","differs")))</f>
        <v>match</v>
      </c>
      <c r="N131" s="10" t="n">
        <f aca="false">IFERROR(INDEX(hayday_info!$F$2:$F$349,MATCH($A131,hayday_info!$A$2:$A$349,0)),"not found")</f>
        <v>45</v>
      </c>
      <c r="O131" s="10" t="str">
        <f aca="false">IF(N131="not found","not in hayday.info",IF(G131="","no Fandom value",IF(N131=G131,"match","differs")))</f>
        <v>match</v>
      </c>
      <c r="P131" s="10" t="str">
        <f aca="false">IF(J131="not found","not in hayday.info",IF(C131="","no Fandom value",IF(IFERROR(INDEX(hayday_info!$C$2:$C$349,MATCH($A131,hayday_info!$A$2:$A$349,0)),"not found")=C131,"match","differs")))</f>
        <v>match</v>
      </c>
    </row>
    <row r="132" customFormat="false" ht="15" hidden="false" customHeight="true" outlineLevel="0" collapsed="false">
      <c r="A132" s="10" t="s">
        <v>649</v>
      </c>
      <c r="B132" s="10" t="s">
        <v>349</v>
      </c>
      <c r="C132" s="11" t="n">
        <v>54</v>
      </c>
      <c r="D132" s="11" t="n">
        <v>180</v>
      </c>
      <c r="E132" s="11" t="n">
        <v>153</v>
      </c>
      <c r="F132" s="13" t="n">
        <v>154</v>
      </c>
      <c r="G132" s="11" t="n">
        <v>19</v>
      </c>
      <c r="H132" s="10"/>
      <c r="I132" s="10" t="s">
        <v>731</v>
      </c>
      <c r="J132" s="17" t="n">
        <f aca="false">IFERROR(INDEX(hayday_info!$D$2:$D$349,MATCH($A132,hayday_info!$A$2:$A$349,0)),"not found")</f>
        <v>153</v>
      </c>
      <c r="K132" s="10" t="str">
        <f aca="false">IF(J132="not found","not in hayday.info",IF(J132=E132,"matches mastered",IF(J132=D132,"matches normal","differs")))</f>
        <v>matches mastered</v>
      </c>
      <c r="L132" s="18" t="n">
        <f aca="false">IFERROR(INDEX(hayday_info!$E$2:$E$349,MATCH($A132,hayday_info!$A$2:$A$349,0)),"not found")</f>
        <v>154</v>
      </c>
      <c r="M132" s="10" t="str">
        <f aca="false">IF(L132="not found","not in hayday.info",IF(F132="","no Fandom value",IF(L132=F132,"match","differs")))</f>
        <v>match</v>
      </c>
      <c r="N132" s="10" t="n">
        <f aca="false">IFERROR(INDEX(hayday_info!$F$2:$F$349,MATCH($A132,hayday_info!$A$2:$A$349,0)),"not found")</f>
        <v>19</v>
      </c>
      <c r="O132" s="10" t="str">
        <f aca="false">IF(N132="not found","not in hayday.info",IF(G132="","no Fandom value",IF(N132=G132,"match","differs")))</f>
        <v>match</v>
      </c>
      <c r="P132" s="10" t="str">
        <f aca="false">IF(J132="not found","not in hayday.info",IF(C132="","no Fandom value",IF(IFERROR(INDEX(hayday_info!$C$2:$C$349,MATCH($A132,hayday_info!$A$2:$A$349,0)),"not found")=C132,"match","differs")))</f>
        <v>match</v>
      </c>
    </row>
    <row r="133" customFormat="false" ht="15" hidden="false" customHeight="true" outlineLevel="0" collapsed="false">
      <c r="A133" s="10" t="s">
        <v>650</v>
      </c>
      <c r="B133" s="10" t="s">
        <v>349</v>
      </c>
      <c r="C133" s="11" t="n">
        <v>60</v>
      </c>
      <c r="D133" s="11" t="n">
        <v>45</v>
      </c>
      <c r="E133" s="11" t="n">
        <v>38</v>
      </c>
      <c r="F133" s="13" t="n">
        <v>277</v>
      </c>
      <c r="G133" s="11" t="n">
        <v>33</v>
      </c>
      <c r="H133" s="10"/>
      <c r="I133" s="10" t="s">
        <v>731</v>
      </c>
      <c r="J133" s="17" t="n">
        <f aca="false">IFERROR(INDEX(hayday_info!$D$2:$D$349,MATCH($A133,hayday_info!$A$2:$A$349,0)),"not found")</f>
        <v>38</v>
      </c>
      <c r="K133" s="10" t="str">
        <f aca="false">IF(J133="not found","not in hayday.info",IF(J133=E133,"matches mastered",IF(J133=D133,"matches normal","differs")))</f>
        <v>matches mastered</v>
      </c>
      <c r="L133" s="18" t="n">
        <f aca="false">IFERROR(INDEX(hayday_info!$E$2:$E$349,MATCH($A133,hayday_info!$A$2:$A$349,0)),"not found")</f>
        <v>277</v>
      </c>
      <c r="M133" s="10" t="str">
        <f aca="false">IF(L133="not found","not in hayday.info",IF(F133="","no Fandom value",IF(L133=F133,"match","differs")))</f>
        <v>match</v>
      </c>
      <c r="N133" s="10" t="n">
        <f aca="false">IFERROR(INDEX(hayday_info!$F$2:$F$349,MATCH($A133,hayday_info!$A$2:$A$349,0)),"not found")</f>
        <v>33</v>
      </c>
      <c r="O133" s="10" t="str">
        <f aca="false">IF(N133="not found","not in hayday.info",IF(G133="","no Fandom value",IF(N133=G133,"match","differs")))</f>
        <v>match</v>
      </c>
      <c r="P133" s="10" t="str">
        <f aca="false">IF(J133="not found","not in hayday.info",IF(C133="","no Fandom value",IF(IFERROR(INDEX(hayday_info!$C$2:$C$349,MATCH($A133,hayday_info!$A$2:$A$349,0)),"not found")=C133,"match","differs")))</f>
        <v>match</v>
      </c>
    </row>
    <row r="134" customFormat="false" ht="15" hidden="false" customHeight="true" outlineLevel="0" collapsed="false">
      <c r="A134" s="10" t="s">
        <v>352</v>
      </c>
      <c r="B134" s="10" t="s">
        <v>349</v>
      </c>
      <c r="C134" s="11" t="n">
        <v>62</v>
      </c>
      <c r="D134" s="11" t="n">
        <v>15</v>
      </c>
      <c r="E134" s="11" t="n">
        <v>12</v>
      </c>
      <c r="F134" s="13" t="n">
        <v>367</v>
      </c>
      <c r="G134" s="11" t="n">
        <v>44</v>
      </c>
      <c r="H134" s="10"/>
      <c r="I134" s="10" t="s">
        <v>731</v>
      </c>
      <c r="J134" s="17" t="n">
        <f aca="false">IFERROR(INDEX(hayday_info!$D$2:$D$349,MATCH($A134,hayday_info!$A$2:$A$349,0)),"not found")</f>
        <v>12</v>
      </c>
      <c r="K134" s="10" t="str">
        <f aca="false">IF(J134="not found","not in hayday.info",IF(J134=E134,"matches mastered",IF(J134=D134,"matches normal","differs")))</f>
        <v>matches mastered</v>
      </c>
      <c r="L134" s="18" t="n">
        <f aca="false">IFERROR(INDEX(hayday_info!$E$2:$E$349,MATCH($A134,hayday_info!$A$2:$A$349,0)),"not found")</f>
        <v>367</v>
      </c>
      <c r="M134" s="10" t="str">
        <f aca="false">IF(L134="not found","not in hayday.info",IF(F134="","no Fandom value",IF(L134=F134,"match","differs")))</f>
        <v>match</v>
      </c>
      <c r="N134" s="10" t="n">
        <f aca="false">IFERROR(INDEX(hayday_info!$F$2:$F$349,MATCH($A134,hayday_info!$A$2:$A$349,0)),"not found")</f>
        <v>44</v>
      </c>
      <c r="O134" s="10" t="str">
        <f aca="false">IF(N134="not found","not in hayday.info",IF(G134="","no Fandom value",IF(N134=G134,"match","differs")))</f>
        <v>match</v>
      </c>
      <c r="P134" s="10" t="str">
        <f aca="false">IF(J134="not found","not in hayday.info",IF(C134="","no Fandom value",IF(IFERROR(INDEX(hayday_info!$C$2:$C$349,MATCH($A134,hayday_info!$A$2:$A$349,0)),"not found")=C134,"match","differs")))</f>
        <v>match</v>
      </c>
    </row>
    <row r="135" customFormat="false" ht="15" hidden="false" customHeight="true" outlineLevel="0" collapsed="false">
      <c r="A135" s="10" t="s">
        <v>652</v>
      </c>
      <c r="B135" s="10" t="s">
        <v>349</v>
      </c>
      <c r="C135" s="11" t="n">
        <v>66</v>
      </c>
      <c r="D135" s="11" t="n">
        <v>45</v>
      </c>
      <c r="E135" s="11" t="n">
        <v>38</v>
      </c>
      <c r="F135" s="13" t="n">
        <v>468</v>
      </c>
      <c r="G135" s="11" t="n">
        <v>56</v>
      </c>
      <c r="H135" s="10"/>
      <c r="I135" s="10" t="s">
        <v>731</v>
      </c>
      <c r="J135" s="17" t="n">
        <f aca="false">IFERROR(INDEX(hayday_info!$D$2:$D$349,MATCH($A135,hayday_info!$A$2:$A$349,0)),"not found")</f>
        <v>38</v>
      </c>
      <c r="K135" s="10" t="str">
        <f aca="false">IF(J135="not found","not in hayday.info",IF(J135=E135,"matches mastered",IF(J135=D135,"matches normal","differs")))</f>
        <v>matches mastered</v>
      </c>
      <c r="L135" s="18" t="n">
        <f aca="false">IFERROR(INDEX(hayday_info!$E$2:$E$349,MATCH($A135,hayday_info!$A$2:$A$349,0)),"not found")</f>
        <v>468</v>
      </c>
      <c r="M135" s="10" t="str">
        <f aca="false">IF(L135="not found","not in hayday.info",IF(F135="","no Fandom value",IF(L135=F135,"match","differs")))</f>
        <v>match</v>
      </c>
      <c r="N135" s="10" t="n">
        <f aca="false">IFERROR(INDEX(hayday_info!$F$2:$F$349,MATCH($A135,hayday_info!$A$2:$A$349,0)),"not found")</f>
        <v>56</v>
      </c>
      <c r="O135" s="10" t="str">
        <f aca="false">IF(N135="not found","not in hayday.info",IF(G135="","no Fandom value",IF(N135=G135,"match","differs")))</f>
        <v>match</v>
      </c>
      <c r="P135" s="10" t="str">
        <f aca="false">IF(J135="not found","not in hayday.info",IF(C135="","no Fandom value",IF(IFERROR(INDEX(hayday_info!$C$2:$C$349,MATCH($A135,hayday_info!$A$2:$A$349,0)),"not found")=C135,"match","differs")))</f>
        <v>match</v>
      </c>
    </row>
    <row r="136" customFormat="false" ht="15" hidden="false" customHeight="true" outlineLevel="0" collapsed="false">
      <c r="A136" s="10" t="s">
        <v>651</v>
      </c>
      <c r="B136" s="10" t="s">
        <v>349</v>
      </c>
      <c r="C136" s="11" t="n">
        <v>66</v>
      </c>
      <c r="D136" s="11" t="n">
        <v>25</v>
      </c>
      <c r="E136" s="11" t="n">
        <v>21</v>
      </c>
      <c r="F136" s="13" t="n">
        <v>378</v>
      </c>
      <c r="G136" s="11" t="n">
        <v>45</v>
      </c>
      <c r="H136" s="10"/>
      <c r="I136" s="10" t="s">
        <v>731</v>
      </c>
      <c r="J136" s="17" t="n">
        <f aca="false">IFERROR(INDEX(hayday_info!$D$2:$D$349,MATCH($A136,hayday_info!$A$2:$A$349,0)),"not found")</f>
        <v>21</v>
      </c>
      <c r="K136" s="10" t="str">
        <f aca="false">IF(J136="not found","not in hayday.info",IF(J136=E136,"matches mastered",IF(J136=D136,"matches normal","differs")))</f>
        <v>matches mastered</v>
      </c>
      <c r="L136" s="18" t="n">
        <f aca="false">IFERROR(INDEX(hayday_info!$E$2:$E$349,MATCH($A136,hayday_info!$A$2:$A$349,0)),"not found")</f>
        <v>378</v>
      </c>
      <c r="M136" s="10" t="str">
        <f aca="false">IF(L136="not found","not in hayday.info",IF(F136="","no Fandom value",IF(L136=F136,"match","differs")))</f>
        <v>match</v>
      </c>
      <c r="N136" s="10" t="n">
        <f aca="false">IFERROR(INDEX(hayday_info!$F$2:$F$349,MATCH($A136,hayday_info!$A$2:$A$349,0)),"not found")</f>
        <v>45</v>
      </c>
      <c r="O136" s="10" t="str">
        <f aca="false">IF(N136="not found","not in hayday.info",IF(G136="","no Fandom value",IF(N136=G136,"match","differs")))</f>
        <v>match</v>
      </c>
      <c r="P136" s="10" t="str">
        <f aca="false">IF(J136="not found","not in hayday.info",IF(C136="","no Fandom value",IF(IFERROR(INDEX(hayday_info!$C$2:$C$349,MATCH($A136,hayday_info!$A$2:$A$349,0)),"not found")=C136,"match","differs")))</f>
        <v>match</v>
      </c>
    </row>
    <row r="137" customFormat="false" ht="15" hidden="false" customHeight="true" outlineLevel="0" collapsed="false">
      <c r="A137" s="10" t="s">
        <v>653</v>
      </c>
      <c r="B137" s="10" t="s">
        <v>349</v>
      </c>
      <c r="C137" s="11" t="n">
        <v>69</v>
      </c>
      <c r="D137" s="11" t="n">
        <v>30</v>
      </c>
      <c r="E137" s="11" t="n">
        <v>25</v>
      </c>
      <c r="F137" s="13" t="n">
        <v>230</v>
      </c>
      <c r="G137" s="11" t="n">
        <v>27</v>
      </c>
      <c r="H137" s="10"/>
      <c r="I137" s="10" t="s">
        <v>731</v>
      </c>
      <c r="J137" s="17" t="n">
        <f aca="false">IFERROR(INDEX(hayday_info!$D$2:$D$349,MATCH($A137,hayday_info!$A$2:$A$349,0)),"not found")</f>
        <v>25</v>
      </c>
      <c r="K137" s="10" t="str">
        <f aca="false">IF(J137="not found","not in hayday.info",IF(J137=E137,"matches mastered",IF(J137=D137,"matches normal","differs")))</f>
        <v>matches mastered</v>
      </c>
      <c r="L137" s="18" t="n">
        <f aca="false">IFERROR(INDEX(hayday_info!$E$2:$E$349,MATCH($A137,hayday_info!$A$2:$A$349,0)),"not found")</f>
        <v>230</v>
      </c>
      <c r="M137" s="10" t="str">
        <f aca="false">IF(L137="not found","not in hayday.info",IF(F137="","no Fandom value",IF(L137=F137,"match","differs")))</f>
        <v>match</v>
      </c>
      <c r="N137" s="10" t="n">
        <f aca="false">IFERROR(INDEX(hayday_info!$F$2:$F$349,MATCH($A137,hayday_info!$A$2:$A$349,0)),"not found")</f>
        <v>27</v>
      </c>
      <c r="O137" s="10" t="str">
        <f aca="false">IF(N137="not found","not in hayday.info",IF(G137="","no Fandom value",IF(N137=G137,"match","differs")))</f>
        <v>match</v>
      </c>
      <c r="P137" s="10" t="str">
        <f aca="false">IF(J137="not found","not in hayday.info",IF(C137="","no Fandom value",IF(IFERROR(INDEX(hayday_info!$C$2:$C$349,MATCH($A137,hayday_info!$A$2:$A$349,0)),"not found")=C137,"match","differs")))</f>
        <v>match</v>
      </c>
    </row>
    <row r="138" customFormat="false" ht="15" hidden="false" customHeight="true" outlineLevel="0" collapsed="false">
      <c r="A138" s="10" t="s">
        <v>356</v>
      </c>
      <c r="B138" s="10" t="s">
        <v>349</v>
      </c>
      <c r="C138" s="11" t="n">
        <v>77</v>
      </c>
      <c r="D138" s="11" t="n">
        <v>20</v>
      </c>
      <c r="E138" s="11" t="n">
        <v>17</v>
      </c>
      <c r="F138" s="13"/>
      <c r="G138" s="11"/>
      <c r="H138" s="10" t="s">
        <v>723</v>
      </c>
      <c r="I138" s="10" t="s">
        <v>731</v>
      </c>
      <c r="J138" s="17" t="n">
        <f aca="false">IFERROR(INDEX(hayday_info!$D$2:$D$349,MATCH($A138,hayday_info!$A$2:$A$349,0)),"not found")</f>
        <v>17</v>
      </c>
      <c r="K138" s="10" t="str">
        <f aca="false">IF(J138="not found","not in hayday.info",IF(J138=E138,"matches mastered",IF(J138=D138,"matches normal","differs")))</f>
        <v>matches mastered</v>
      </c>
      <c r="L138" s="18" t="n">
        <f aca="false">IFERROR(INDEX(hayday_info!$E$2:$E$349,MATCH($A138,hayday_info!$A$2:$A$349,0)),"not found")</f>
        <v>252</v>
      </c>
      <c r="M138" s="10" t="str">
        <f aca="false">IF(L138="not found","not in hayday.info",IF(F138="","no Fandom value",IF(L138=F138,"match","differs")))</f>
        <v>no Fandom value</v>
      </c>
      <c r="N138" s="10" t="n">
        <f aca="false">IFERROR(INDEX(hayday_info!$F$2:$F$349,MATCH($A138,hayday_info!$A$2:$A$349,0)),"not found")</f>
        <v>30</v>
      </c>
      <c r="O138" s="10" t="str">
        <f aca="false">IF(N138="not found","not in hayday.info",IF(G138="","no Fandom value",IF(N138=G138,"match","differs")))</f>
        <v>no Fandom value</v>
      </c>
      <c r="P138" s="10" t="str">
        <f aca="false">IF(J138="not found","not in hayday.info",IF(C138="","no Fandom value",IF(IFERROR(INDEX(hayday_info!$C$2:$C$349,MATCH($A138,hayday_info!$A$2:$A$349,0)),"not found")=C138,"match","differs")))</f>
        <v>match</v>
      </c>
    </row>
    <row r="139" customFormat="false" ht="15" hidden="false" customHeight="true" outlineLevel="0" collapsed="false">
      <c r="A139" s="10" t="s">
        <v>373</v>
      </c>
      <c r="B139" s="10" t="s">
        <v>374</v>
      </c>
      <c r="C139" s="11" t="n">
        <v>64</v>
      </c>
      <c r="D139" s="11" t="n">
        <v>75</v>
      </c>
      <c r="E139" s="11" t="n">
        <v>63</v>
      </c>
      <c r="F139" s="13" t="n">
        <v>547</v>
      </c>
      <c r="G139" s="11" t="n">
        <v>65</v>
      </c>
      <c r="H139" s="10"/>
      <c r="I139" s="10" t="s">
        <v>732</v>
      </c>
      <c r="J139" s="17" t="n">
        <f aca="false">IFERROR(INDEX(hayday_info!$D$2:$D$349,MATCH($A139,hayday_info!$A$2:$A$349,0)),"not found")</f>
        <v>63</v>
      </c>
      <c r="K139" s="10" t="str">
        <f aca="false">IF(J139="not found","not in hayday.info",IF(J139=E139,"matches mastered",IF(J139=D139,"matches normal","differs")))</f>
        <v>matches mastered</v>
      </c>
      <c r="L139" s="18" t="n">
        <f aca="false">IFERROR(INDEX(hayday_info!$E$2:$E$349,MATCH($A139,hayday_info!$A$2:$A$349,0)),"not found")</f>
        <v>547</v>
      </c>
      <c r="M139" s="10" t="str">
        <f aca="false">IF(L139="not found","not in hayday.info",IF(F139="","no Fandom value",IF(L139=F139,"match","differs")))</f>
        <v>match</v>
      </c>
      <c r="N139" s="10" t="n">
        <f aca="false">IFERROR(INDEX(hayday_info!$F$2:$F$349,MATCH($A139,hayday_info!$A$2:$A$349,0)),"not found")</f>
        <v>65</v>
      </c>
      <c r="O139" s="10" t="str">
        <f aca="false">IF(N139="not found","not in hayday.info",IF(G139="","no Fandom value",IF(N139=G139,"match","differs")))</f>
        <v>match</v>
      </c>
      <c r="P139" s="10" t="str">
        <f aca="false">IF(J139="not found","not in hayday.info",IF(C139="","no Fandom value",IF(IFERROR(INDEX(hayday_info!$C$2:$C$349,MATCH($A139,hayday_info!$A$2:$A$349,0)),"not found")=C139,"match","differs")))</f>
        <v>match</v>
      </c>
    </row>
    <row r="140" customFormat="false" ht="15" hidden="false" customHeight="true" outlineLevel="0" collapsed="false">
      <c r="A140" s="10" t="s">
        <v>376</v>
      </c>
      <c r="B140" s="10" t="s">
        <v>374</v>
      </c>
      <c r="C140" s="11" t="n">
        <v>66</v>
      </c>
      <c r="D140" s="11" t="n">
        <v>45</v>
      </c>
      <c r="E140" s="11" t="n">
        <v>38</v>
      </c>
      <c r="F140" s="13" t="n">
        <v>320</v>
      </c>
      <c r="G140" s="11" t="n">
        <v>38</v>
      </c>
      <c r="H140" s="10"/>
      <c r="I140" s="10" t="s">
        <v>732</v>
      </c>
      <c r="J140" s="17" t="n">
        <f aca="false">IFERROR(INDEX(hayday_info!$D$2:$D$349,MATCH($A140,hayday_info!$A$2:$A$349,0)),"not found")</f>
        <v>38</v>
      </c>
      <c r="K140" s="10" t="str">
        <f aca="false">IF(J140="not found","not in hayday.info",IF(J140=E140,"matches mastered",IF(J140=D140,"matches normal","differs")))</f>
        <v>matches mastered</v>
      </c>
      <c r="L140" s="18" t="n">
        <f aca="false">IFERROR(INDEX(hayday_info!$E$2:$E$349,MATCH($A140,hayday_info!$A$2:$A$349,0)),"not found")</f>
        <v>320</v>
      </c>
      <c r="M140" s="10" t="str">
        <f aca="false">IF(L140="not found","not in hayday.info",IF(F140="","no Fandom value",IF(L140=F140,"match","differs")))</f>
        <v>match</v>
      </c>
      <c r="N140" s="10" t="n">
        <f aca="false">IFERROR(INDEX(hayday_info!$F$2:$F$349,MATCH($A140,hayday_info!$A$2:$A$349,0)),"not found")</f>
        <v>38</v>
      </c>
      <c r="O140" s="10" t="str">
        <f aca="false">IF(N140="not found","not in hayday.info",IF(G140="","no Fandom value",IF(N140=G140,"match","differs")))</f>
        <v>match</v>
      </c>
      <c r="P140" s="10" t="str">
        <f aca="false">IF(J140="not found","not in hayday.info",IF(C140="","no Fandom value",IF(IFERROR(INDEX(hayday_info!$C$2:$C$349,MATCH($A140,hayday_info!$A$2:$A$349,0)),"not found")=C140,"match","differs")))</f>
        <v>match</v>
      </c>
    </row>
    <row r="141" customFormat="false" ht="15" hidden="false" customHeight="true" outlineLevel="0" collapsed="false">
      <c r="A141" s="10" t="s">
        <v>378</v>
      </c>
      <c r="B141" s="10" t="s">
        <v>374</v>
      </c>
      <c r="C141" s="11" t="n">
        <v>70</v>
      </c>
      <c r="D141" s="11" t="n">
        <v>60</v>
      </c>
      <c r="E141" s="11" t="n">
        <v>51</v>
      </c>
      <c r="F141" s="13" t="n">
        <v>349</v>
      </c>
      <c r="G141" s="11" t="n">
        <v>60</v>
      </c>
      <c r="H141" s="10"/>
      <c r="I141" s="10" t="s">
        <v>732</v>
      </c>
      <c r="J141" s="17" t="n">
        <f aca="false">IFERROR(INDEX(hayday_info!$D$2:$D$349,MATCH($A141,hayday_info!$A$2:$A$349,0)),"not found")</f>
        <v>51</v>
      </c>
      <c r="K141" s="10" t="str">
        <f aca="false">IF(J141="not found","not in hayday.info",IF(J141=E141,"matches mastered",IF(J141=D141,"matches normal","differs")))</f>
        <v>matches mastered</v>
      </c>
      <c r="L141" s="18" t="n">
        <f aca="false">IFERROR(INDEX(hayday_info!$E$2:$E$349,MATCH($A141,hayday_info!$A$2:$A$349,0)),"not found")</f>
        <v>349</v>
      </c>
      <c r="M141" s="10" t="str">
        <f aca="false">IF(L141="not found","not in hayday.info",IF(F141="","no Fandom value",IF(L141=F141,"match","differs")))</f>
        <v>match</v>
      </c>
      <c r="N141" s="10" t="n">
        <f aca="false">IFERROR(INDEX(hayday_info!$F$2:$F$349,MATCH($A141,hayday_info!$A$2:$A$349,0)),"not found")</f>
        <v>42</v>
      </c>
      <c r="O141" s="10" t="str">
        <f aca="false">IF(N141="not found","not in hayday.info",IF(G141="","no Fandom value",IF(N141=G141,"match","differs")))</f>
        <v>differs</v>
      </c>
      <c r="P141" s="10" t="str">
        <f aca="false">IF(J141="not found","not in hayday.info",IF(C141="","no Fandom value",IF(IFERROR(INDEX(hayday_info!$C$2:$C$349,MATCH($A141,hayday_info!$A$2:$A$349,0)),"not found")=C141,"match","differs")))</f>
        <v>match</v>
      </c>
    </row>
    <row r="142" customFormat="false" ht="15" hidden="false" customHeight="true" outlineLevel="0" collapsed="false">
      <c r="A142" s="10" t="s">
        <v>377</v>
      </c>
      <c r="B142" s="10" t="s">
        <v>374</v>
      </c>
      <c r="C142" s="11" t="n">
        <v>70</v>
      </c>
      <c r="D142" s="11" t="n">
        <v>40</v>
      </c>
      <c r="E142" s="11" t="n">
        <v>34</v>
      </c>
      <c r="F142" s="13" t="n">
        <v>266</v>
      </c>
      <c r="G142" s="11" t="n">
        <v>32</v>
      </c>
      <c r="H142" s="10"/>
      <c r="I142" s="10" t="s">
        <v>732</v>
      </c>
      <c r="J142" s="17" t="n">
        <f aca="false">IFERROR(INDEX(hayday_info!$D$2:$D$349,MATCH($A142,hayday_info!$A$2:$A$349,0)),"not found")</f>
        <v>34</v>
      </c>
      <c r="K142" s="10" t="str">
        <f aca="false">IF(J142="not found","not in hayday.info",IF(J142=E142,"matches mastered",IF(J142=D142,"matches normal","differs")))</f>
        <v>matches mastered</v>
      </c>
      <c r="L142" s="18" t="n">
        <f aca="false">IFERROR(INDEX(hayday_info!$E$2:$E$349,MATCH($A142,hayday_info!$A$2:$A$349,0)),"not found")</f>
        <v>266</v>
      </c>
      <c r="M142" s="10" t="str">
        <f aca="false">IF(L142="not found","not in hayday.info",IF(F142="","no Fandom value",IF(L142=F142,"match","differs")))</f>
        <v>match</v>
      </c>
      <c r="N142" s="10" t="n">
        <f aca="false">IFERROR(INDEX(hayday_info!$F$2:$F$349,MATCH($A142,hayday_info!$A$2:$A$349,0)),"not found")</f>
        <v>32</v>
      </c>
      <c r="O142" s="10" t="str">
        <f aca="false">IF(N142="not found","not in hayday.info",IF(G142="","no Fandom value",IF(N142=G142,"match","differs")))</f>
        <v>match</v>
      </c>
      <c r="P142" s="10" t="str">
        <f aca="false">IF(J142="not found","not in hayday.info",IF(C142="","no Fandom value",IF(IFERROR(INDEX(hayday_info!$C$2:$C$349,MATCH($A142,hayday_info!$A$2:$A$349,0)),"not found")=C142,"match","differs")))</f>
        <v>match</v>
      </c>
    </row>
    <row r="143" customFormat="false" ht="15" hidden="false" customHeight="true" outlineLevel="0" collapsed="false">
      <c r="A143" s="10" t="s">
        <v>379</v>
      </c>
      <c r="B143" s="10" t="s">
        <v>374</v>
      </c>
      <c r="C143" s="11" t="n">
        <v>88</v>
      </c>
      <c r="D143" s="11" t="n">
        <v>30</v>
      </c>
      <c r="E143" s="11" t="n">
        <v>25</v>
      </c>
      <c r="F143" s="13" t="n">
        <v>504</v>
      </c>
      <c r="G143" s="11" t="n">
        <v>60</v>
      </c>
      <c r="H143" s="10"/>
      <c r="I143" s="10" t="s">
        <v>732</v>
      </c>
      <c r="J143" s="17" t="n">
        <f aca="false">IFERROR(INDEX(hayday_info!$D$2:$D$349,MATCH($A143,hayday_info!$A$2:$A$349,0)),"not found")</f>
        <v>25</v>
      </c>
      <c r="K143" s="10" t="str">
        <f aca="false">IF(J143="not found","not in hayday.info",IF(J143=E143,"matches mastered",IF(J143=D143,"matches normal","differs")))</f>
        <v>matches mastered</v>
      </c>
      <c r="L143" s="18" t="n">
        <f aca="false">IFERROR(INDEX(hayday_info!$E$2:$E$349,MATCH($A143,hayday_info!$A$2:$A$349,0)),"not found")</f>
        <v>504</v>
      </c>
      <c r="M143" s="10" t="str">
        <f aca="false">IF(L143="not found","not in hayday.info",IF(F143="","no Fandom value",IF(L143=F143,"match","differs")))</f>
        <v>match</v>
      </c>
      <c r="N143" s="10" t="n">
        <f aca="false">IFERROR(INDEX(hayday_info!$F$2:$F$349,MATCH($A143,hayday_info!$A$2:$A$349,0)),"not found")</f>
        <v>60</v>
      </c>
      <c r="O143" s="10" t="str">
        <f aca="false">IF(N143="not found","not in hayday.info",IF(G143="","no Fandom value",IF(N143=G143,"match","differs")))</f>
        <v>match</v>
      </c>
      <c r="P143" s="10" t="str">
        <f aca="false">IF(J143="not found","not in hayday.info",IF(C143="","no Fandom value",IF(IFERROR(INDEX(hayday_info!$C$2:$C$349,MATCH($A143,hayday_info!$A$2:$A$349,0)),"not found")=C143,"match","differs")))</f>
        <v>match</v>
      </c>
    </row>
    <row r="144" customFormat="false" ht="15" hidden="false" customHeight="true" outlineLevel="0" collapsed="false">
      <c r="A144" s="10" t="s">
        <v>380</v>
      </c>
      <c r="B144" s="10" t="s">
        <v>374</v>
      </c>
      <c r="C144" s="11" t="n">
        <v>93</v>
      </c>
      <c r="D144" s="11" t="n">
        <v>45</v>
      </c>
      <c r="E144" s="11" t="n">
        <v>38</v>
      </c>
      <c r="F144" s="13" t="n">
        <v>313</v>
      </c>
      <c r="G144" s="11" t="n">
        <v>37</v>
      </c>
      <c r="H144" s="10"/>
      <c r="I144" s="10" t="s">
        <v>732</v>
      </c>
      <c r="J144" s="17" t="n">
        <f aca="false">IFERROR(INDEX(hayday_info!$D$2:$D$349,MATCH($A144,hayday_info!$A$2:$A$349,0)),"not found")</f>
        <v>38</v>
      </c>
      <c r="K144" s="10" t="str">
        <f aca="false">IF(J144="not found","not in hayday.info",IF(J144=E144,"matches mastered",IF(J144=D144,"matches normal","differs")))</f>
        <v>matches mastered</v>
      </c>
      <c r="L144" s="18" t="n">
        <f aca="false">IFERROR(INDEX(hayday_info!$E$2:$E$349,MATCH($A144,hayday_info!$A$2:$A$349,0)),"not found")</f>
        <v>313</v>
      </c>
      <c r="M144" s="10" t="str">
        <f aca="false">IF(L144="not found","not in hayday.info",IF(F144="","no Fandom value",IF(L144=F144,"match","differs")))</f>
        <v>match</v>
      </c>
      <c r="N144" s="10" t="n">
        <f aca="false">IFERROR(INDEX(hayday_info!$F$2:$F$349,MATCH($A144,hayday_info!$A$2:$A$349,0)),"not found")</f>
        <v>37</v>
      </c>
      <c r="O144" s="10" t="str">
        <f aca="false">IF(N144="not found","not in hayday.info",IF(G144="","no Fandom value",IF(N144=G144,"match","differs")))</f>
        <v>match</v>
      </c>
      <c r="P144" s="10" t="str">
        <f aca="false">IF(J144="not found","not in hayday.info",IF(C144="","no Fandom value",IF(IFERROR(INDEX(hayday_info!$C$2:$C$349,MATCH($A144,hayday_info!$A$2:$A$349,0)),"not found")=C144,"match","differs")))</f>
        <v>match</v>
      </c>
    </row>
    <row r="145" customFormat="false" ht="15" hidden="false" customHeight="true" outlineLevel="0" collapsed="false">
      <c r="A145" s="10" t="s">
        <v>381</v>
      </c>
      <c r="B145" s="10" t="s">
        <v>374</v>
      </c>
      <c r="C145" s="11" t="n">
        <v>100</v>
      </c>
      <c r="D145" s="11" t="n">
        <v>40</v>
      </c>
      <c r="E145" s="11" t="n">
        <v>34</v>
      </c>
      <c r="F145" s="13" t="n">
        <v>511</v>
      </c>
      <c r="G145" s="11" t="n">
        <v>61</v>
      </c>
      <c r="H145" s="10"/>
      <c r="I145" s="10" t="s">
        <v>732</v>
      </c>
      <c r="J145" s="17" t="n">
        <f aca="false">IFERROR(INDEX(hayday_info!$D$2:$D$349,MATCH($A145,hayday_info!$A$2:$A$349,0)),"not found")</f>
        <v>34</v>
      </c>
      <c r="K145" s="10" t="str">
        <f aca="false">IF(J145="not found","not in hayday.info",IF(J145=E145,"matches mastered",IF(J145=D145,"matches normal","differs")))</f>
        <v>matches mastered</v>
      </c>
      <c r="L145" s="18" t="n">
        <f aca="false">IFERROR(INDEX(hayday_info!$E$2:$E$349,MATCH($A145,hayday_info!$A$2:$A$349,0)),"not found")</f>
        <v>511</v>
      </c>
      <c r="M145" s="10" t="str">
        <f aca="false">IF(L145="not found","not in hayday.info",IF(F145="","no Fandom value",IF(L145=F145,"match","differs")))</f>
        <v>match</v>
      </c>
      <c r="N145" s="10" t="n">
        <f aca="false">IFERROR(INDEX(hayday_info!$F$2:$F$349,MATCH($A145,hayday_info!$A$2:$A$349,0)),"not found")</f>
        <v>61</v>
      </c>
      <c r="O145" s="10" t="str">
        <f aca="false">IF(N145="not found","not in hayday.info",IF(G145="","no Fandom value",IF(N145=G145,"match","differs")))</f>
        <v>match</v>
      </c>
      <c r="P145" s="10" t="str">
        <f aca="false">IF(J145="not found","not in hayday.info",IF(C145="","no Fandom value",IF(IFERROR(INDEX(hayday_info!$C$2:$C$349,MATCH($A145,hayday_info!$A$2:$A$349,0)),"not found")=C145,"match","differs")))</f>
        <v>match</v>
      </c>
    </row>
    <row r="146" customFormat="false" ht="15" hidden="false" customHeight="true" outlineLevel="0" collapsed="false">
      <c r="A146" s="10" t="s">
        <v>382</v>
      </c>
      <c r="B146" s="10" t="s">
        <v>374</v>
      </c>
      <c r="C146" s="11" t="n">
        <v>102</v>
      </c>
      <c r="D146" s="11" t="n">
        <v>35</v>
      </c>
      <c r="E146" s="11" t="n">
        <v>29</v>
      </c>
      <c r="F146" s="13" t="n">
        <v>522</v>
      </c>
      <c r="G146" s="11" t="n">
        <v>62</v>
      </c>
      <c r="H146" s="10"/>
      <c r="I146" s="10" t="s">
        <v>732</v>
      </c>
      <c r="J146" s="17" t="n">
        <f aca="false">IFERROR(INDEX(hayday_info!$D$2:$D$349,MATCH($A146,hayday_info!$A$2:$A$349,0)),"not found")</f>
        <v>29</v>
      </c>
      <c r="K146" s="10" t="str">
        <f aca="false">IF(J146="not found","not in hayday.info",IF(J146=E146,"matches mastered",IF(J146=D146,"matches normal","differs")))</f>
        <v>matches mastered</v>
      </c>
      <c r="L146" s="18" t="n">
        <f aca="false">IFERROR(INDEX(hayday_info!$E$2:$E$349,MATCH($A146,hayday_info!$A$2:$A$349,0)),"not found")</f>
        <v>522</v>
      </c>
      <c r="M146" s="10" t="str">
        <f aca="false">IF(L146="not found","not in hayday.info",IF(F146="","no Fandom value",IF(L146=F146,"match","differs")))</f>
        <v>match</v>
      </c>
      <c r="N146" s="10" t="n">
        <f aca="false">IFERROR(INDEX(hayday_info!$F$2:$F$349,MATCH($A146,hayday_info!$A$2:$A$349,0)),"not found")</f>
        <v>62</v>
      </c>
      <c r="O146" s="10" t="str">
        <f aca="false">IF(N146="not found","not in hayday.info",IF(G146="","no Fandom value",IF(N146=G146,"match","differs")))</f>
        <v>match</v>
      </c>
      <c r="P146" s="10" t="str">
        <f aca="false">IF(J146="not found","not in hayday.info",IF(C146="","no Fandom value",IF(IFERROR(INDEX(hayday_info!$C$2:$C$349,MATCH($A146,hayday_info!$A$2:$A$349,0)),"not found")=C146,"match","differs")))</f>
        <v>match</v>
      </c>
    </row>
    <row r="147" customFormat="false" ht="15" hidden="false" customHeight="true" outlineLevel="0" collapsed="false">
      <c r="A147" s="10" t="s">
        <v>414</v>
      </c>
      <c r="B147" s="10" t="s">
        <v>415</v>
      </c>
      <c r="C147" s="11" t="n">
        <v>77</v>
      </c>
      <c r="D147" s="11" t="n">
        <v>45</v>
      </c>
      <c r="E147" s="11" t="n">
        <v>38</v>
      </c>
      <c r="F147" s="13" t="n">
        <v>396</v>
      </c>
      <c r="G147" s="11" t="n">
        <v>47</v>
      </c>
      <c r="H147" s="10"/>
      <c r="I147" s="10" t="s">
        <v>733</v>
      </c>
      <c r="J147" s="17" t="n">
        <f aca="false">IFERROR(INDEX(hayday_info!$D$2:$D$349,MATCH($A147,hayday_info!$A$2:$A$349,0)),"not found")</f>
        <v>38</v>
      </c>
      <c r="K147" s="10" t="str">
        <f aca="false">IF(J147="not found","not in hayday.info",IF(J147=E147,"matches mastered",IF(J147=D147,"matches normal","differs")))</f>
        <v>matches mastered</v>
      </c>
      <c r="L147" s="18" t="n">
        <f aca="false">IFERROR(INDEX(hayday_info!$E$2:$E$349,MATCH($A147,hayday_info!$A$2:$A$349,0)),"not found")</f>
        <v>396</v>
      </c>
      <c r="M147" s="10" t="str">
        <f aca="false">IF(L147="not found","not in hayday.info",IF(F147="","no Fandom value",IF(L147=F147,"match","differs")))</f>
        <v>match</v>
      </c>
      <c r="N147" s="10" t="n">
        <f aca="false">IFERROR(INDEX(hayday_info!$F$2:$F$349,MATCH($A147,hayday_info!$A$2:$A$349,0)),"not found")</f>
        <v>47</v>
      </c>
      <c r="O147" s="10" t="str">
        <f aca="false">IF(N147="not found","not in hayday.info",IF(G147="","no Fandom value",IF(N147=G147,"match","differs")))</f>
        <v>match</v>
      </c>
      <c r="P147" s="10" t="str">
        <f aca="false">IF(J147="not found","not in hayday.info",IF(C147="","no Fandom value",IF(IFERROR(INDEX(hayday_info!$C$2:$C$349,MATCH($A147,hayday_info!$A$2:$A$349,0)),"not found")=C147,"match","differs")))</f>
        <v>match</v>
      </c>
    </row>
    <row r="148" customFormat="false" ht="15" hidden="false" customHeight="true" outlineLevel="0" collapsed="false">
      <c r="A148" s="10" t="s">
        <v>417</v>
      </c>
      <c r="B148" s="10" t="s">
        <v>415</v>
      </c>
      <c r="C148" s="11" t="n">
        <v>79</v>
      </c>
      <c r="D148" s="11" t="n">
        <v>90</v>
      </c>
      <c r="E148" s="11" t="n">
        <v>76</v>
      </c>
      <c r="F148" s="13" t="n">
        <v>392</v>
      </c>
      <c r="G148" s="11" t="n">
        <v>44</v>
      </c>
      <c r="H148" s="10"/>
      <c r="I148" s="10" t="s">
        <v>733</v>
      </c>
      <c r="J148" s="17" t="n">
        <f aca="false">IFERROR(INDEX(hayday_info!$D$2:$D$349,MATCH($A148,hayday_info!$A$2:$A$349,0)),"not found")</f>
        <v>76</v>
      </c>
      <c r="K148" s="10" t="str">
        <f aca="false">IF(J148="not found","not in hayday.info",IF(J148=E148,"matches mastered",IF(J148=D148,"matches normal","differs")))</f>
        <v>matches mastered</v>
      </c>
      <c r="L148" s="18" t="n">
        <f aca="false">IFERROR(INDEX(hayday_info!$E$2:$E$349,MATCH($A148,hayday_info!$A$2:$A$349,0)),"not found")</f>
        <v>392</v>
      </c>
      <c r="M148" s="10" t="str">
        <f aca="false">IF(L148="not found","not in hayday.info",IF(F148="","no Fandom value",IF(L148=F148,"match","differs")))</f>
        <v>match</v>
      </c>
      <c r="N148" s="10" t="n">
        <f aca="false">IFERROR(INDEX(hayday_info!$F$2:$F$349,MATCH($A148,hayday_info!$A$2:$A$349,0)),"not found")</f>
        <v>47</v>
      </c>
      <c r="O148" s="10" t="str">
        <f aca="false">IF(N148="not found","not in hayday.info",IF(G148="","no Fandom value",IF(N148=G148,"match","differs")))</f>
        <v>differs</v>
      </c>
      <c r="P148" s="10" t="str">
        <f aca="false">IF(J148="not found","not in hayday.info",IF(C148="","no Fandom value",IF(IFERROR(INDEX(hayday_info!$C$2:$C$349,MATCH($A148,hayday_info!$A$2:$A$349,0)),"not found")=C148,"match","differs")))</f>
        <v>match</v>
      </c>
    </row>
    <row r="149" customFormat="false" ht="15" hidden="false" customHeight="true" outlineLevel="0" collapsed="false">
      <c r="A149" s="10" t="s">
        <v>418</v>
      </c>
      <c r="B149" s="10" t="s">
        <v>415</v>
      </c>
      <c r="C149" s="11" t="n">
        <v>82</v>
      </c>
      <c r="D149" s="11" t="n">
        <v>60</v>
      </c>
      <c r="E149" s="11" t="n">
        <v>51</v>
      </c>
      <c r="F149" s="13" t="n">
        <v>241</v>
      </c>
      <c r="G149" s="11" t="n">
        <v>29</v>
      </c>
      <c r="H149" s="10"/>
      <c r="I149" s="10" t="s">
        <v>733</v>
      </c>
      <c r="J149" s="17" t="n">
        <f aca="false">IFERROR(INDEX(hayday_info!$D$2:$D$349,MATCH($A149,hayday_info!$A$2:$A$349,0)),"not found")</f>
        <v>51</v>
      </c>
      <c r="K149" s="10" t="str">
        <f aca="false">IF(J149="not found","not in hayday.info",IF(J149=E149,"matches mastered",IF(J149=D149,"matches normal","differs")))</f>
        <v>matches mastered</v>
      </c>
      <c r="L149" s="18" t="n">
        <f aca="false">IFERROR(INDEX(hayday_info!$E$2:$E$349,MATCH($A149,hayday_info!$A$2:$A$349,0)),"not found")</f>
        <v>241</v>
      </c>
      <c r="M149" s="10" t="str">
        <f aca="false">IF(L149="not found","not in hayday.info",IF(F149="","no Fandom value",IF(L149=F149,"match","differs")))</f>
        <v>match</v>
      </c>
      <c r="N149" s="10" t="n">
        <f aca="false">IFERROR(INDEX(hayday_info!$F$2:$F$349,MATCH($A149,hayday_info!$A$2:$A$349,0)),"not found")</f>
        <v>29</v>
      </c>
      <c r="O149" s="10" t="str">
        <f aca="false">IF(N149="not found","not in hayday.info",IF(G149="","no Fandom value",IF(N149=G149,"match","differs")))</f>
        <v>match</v>
      </c>
      <c r="P149" s="10" t="str">
        <f aca="false">IF(J149="not found","not in hayday.info",IF(C149="","no Fandom value",IF(IFERROR(INDEX(hayday_info!$C$2:$C$349,MATCH($A149,hayday_info!$A$2:$A$349,0)),"not found")=C149,"match","differs")))</f>
        <v>match</v>
      </c>
    </row>
    <row r="150" customFormat="false" ht="15" hidden="false" customHeight="true" outlineLevel="0" collapsed="false">
      <c r="A150" s="10" t="s">
        <v>419</v>
      </c>
      <c r="B150" s="10" t="s">
        <v>415</v>
      </c>
      <c r="C150" s="11" t="n">
        <v>87</v>
      </c>
      <c r="D150" s="11" t="n">
        <v>75</v>
      </c>
      <c r="E150" s="11" t="n">
        <v>63</v>
      </c>
      <c r="F150" s="13" t="n">
        <v>430</v>
      </c>
      <c r="G150" s="11" t="n">
        <v>52</v>
      </c>
      <c r="H150" s="10"/>
      <c r="I150" s="10" t="s">
        <v>733</v>
      </c>
      <c r="J150" s="17" t="n">
        <f aca="false">IFERROR(INDEX(hayday_info!$D$2:$D$349,MATCH($A150,hayday_info!$A$2:$A$349,0)),"not found")</f>
        <v>63</v>
      </c>
      <c r="K150" s="10" t="str">
        <f aca="false">IF(J150="not found","not in hayday.info",IF(J150=E150,"matches mastered",IF(J150=D150,"matches normal","differs")))</f>
        <v>matches mastered</v>
      </c>
      <c r="L150" s="18" t="n">
        <f aca="false">IFERROR(INDEX(hayday_info!$E$2:$E$349,MATCH($A150,hayday_info!$A$2:$A$349,0)),"not found")</f>
        <v>432</v>
      </c>
      <c r="M150" s="10" t="str">
        <f aca="false">IF(L150="not found","not in hayday.info",IF(F150="","no Fandom value",IF(L150=F150,"match","differs")))</f>
        <v>differs</v>
      </c>
      <c r="N150" s="10" t="n">
        <f aca="false">IFERROR(INDEX(hayday_info!$F$2:$F$349,MATCH($A150,hayday_info!$A$2:$A$349,0)),"not found")</f>
        <v>52</v>
      </c>
      <c r="O150" s="10" t="str">
        <f aca="false">IF(N150="not found","not in hayday.info",IF(G150="","no Fandom value",IF(N150=G150,"match","differs")))</f>
        <v>match</v>
      </c>
      <c r="P150" s="10" t="str">
        <f aca="false">IF(J150="not found","not in hayday.info",IF(C150="","no Fandom value",IF(IFERROR(INDEX(hayday_info!$C$2:$C$349,MATCH($A150,hayday_info!$A$2:$A$349,0)),"not found")=C150,"match","differs")))</f>
        <v>match</v>
      </c>
    </row>
    <row r="151" customFormat="false" ht="15" hidden="false" customHeight="true" outlineLevel="0" collapsed="false">
      <c r="A151" s="10" t="s">
        <v>698</v>
      </c>
      <c r="B151" s="10" t="s">
        <v>452</v>
      </c>
      <c r="C151" s="11" t="n">
        <v>69</v>
      </c>
      <c r="D151" s="11" t="n">
        <v>60</v>
      </c>
      <c r="E151" s="11" t="n">
        <v>51</v>
      </c>
      <c r="F151" s="13" t="n">
        <v>205</v>
      </c>
      <c r="G151" s="11" t="n">
        <v>24</v>
      </c>
      <c r="H151" s="10"/>
      <c r="I151" s="10" t="s">
        <v>734</v>
      </c>
      <c r="J151" s="17" t="n">
        <f aca="false">IFERROR(INDEX(hayday_info!$D$2:$D$349,MATCH($A151,hayday_info!$A$2:$A$349,0)),"not found")</f>
        <v>51</v>
      </c>
      <c r="K151" s="10" t="str">
        <f aca="false">IF(J151="not found","not in hayday.info",IF(J151=E151,"matches mastered",IF(J151=D151,"matches normal","differs")))</f>
        <v>matches mastered</v>
      </c>
      <c r="L151" s="18" t="n">
        <f aca="false">IFERROR(INDEX(hayday_info!$E$2:$E$349,MATCH($A151,hayday_info!$A$2:$A$349,0)),"not found")</f>
        <v>205</v>
      </c>
      <c r="M151" s="10" t="str">
        <f aca="false">IF(L151="not found","not in hayday.info",IF(F151="","no Fandom value",IF(L151=F151,"match","differs")))</f>
        <v>match</v>
      </c>
      <c r="N151" s="10" t="n">
        <f aca="false">IFERROR(INDEX(hayday_info!$F$2:$F$349,MATCH($A151,hayday_info!$A$2:$A$349,0)),"not found")</f>
        <v>24</v>
      </c>
      <c r="O151" s="10" t="str">
        <f aca="false">IF(N151="not found","not in hayday.info",IF(G151="","no Fandom value",IF(N151=G151,"match","differs")))</f>
        <v>match</v>
      </c>
      <c r="P151" s="10" t="str">
        <f aca="false">IF(J151="not found","not in hayday.info",IF(C151="","no Fandom value",IF(IFERROR(INDEX(hayday_info!$C$2:$C$349,MATCH($A151,hayday_info!$A$2:$A$349,0)),"not found")=C151,"match","differs")))</f>
        <v>match</v>
      </c>
    </row>
    <row r="152" customFormat="false" ht="15" hidden="false" customHeight="true" outlineLevel="0" collapsed="false">
      <c r="A152" s="10" t="s">
        <v>699</v>
      </c>
      <c r="B152" s="10" t="s">
        <v>452</v>
      </c>
      <c r="C152" s="11" t="n">
        <v>79</v>
      </c>
      <c r="D152" s="11" t="n">
        <v>90</v>
      </c>
      <c r="E152" s="11" t="n">
        <v>76</v>
      </c>
      <c r="F152" s="13" t="n">
        <v>543</v>
      </c>
      <c r="G152" s="11" t="n">
        <v>65</v>
      </c>
      <c r="H152" s="10"/>
      <c r="I152" s="10" t="s">
        <v>734</v>
      </c>
      <c r="J152" s="17" t="n">
        <f aca="false">IFERROR(INDEX(hayday_info!$D$2:$D$349,MATCH($A152,hayday_info!$A$2:$A$349,0)),"not found")</f>
        <v>76</v>
      </c>
      <c r="K152" s="10" t="str">
        <f aca="false">IF(J152="not found","not in hayday.info",IF(J152=E152,"matches mastered",IF(J152=D152,"matches normal","differs")))</f>
        <v>matches mastered</v>
      </c>
      <c r="L152" s="18" t="n">
        <f aca="false">IFERROR(INDEX(hayday_info!$E$2:$E$349,MATCH($A152,hayday_info!$A$2:$A$349,0)),"not found")</f>
        <v>543</v>
      </c>
      <c r="M152" s="10" t="str">
        <f aca="false">IF(L152="not found","not in hayday.info",IF(F152="","no Fandom value",IF(L152=F152,"match","differs")))</f>
        <v>match</v>
      </c>
      <c r="N152" s="10" t="n">
        <f aca="false">IFERROR(INDEX(hayday_info!$F$2:$F$349,MATCH($A152,hayday_info!$A$2:$A$349,0)),"not found")</f>
        <v>65</v>
      </c>
      <c r="O152" s="10" t="str">
        <f aca="false">IF(N152="not found","not in hayday.info",IF(G152="","no Fandom value",IF(N152=G152,"match","differs")))</f>
        <v>match</v>
      </c>
      <c r="P152" s="10" t="str">
        <f aca="false">IF(J152="not found","not in hayday.info",IF(C152="","no Fandom value",IF(IFERROR(INDEX(hayday_info!$C$2:$C$349,MATCH($A152,hayday_info!$A$2:$A$349,0)),"not found")=C152,"match","differs")))</f>
        <v>match</v>
      </c>
    </row>
    <row r="153" customFormat="false" ht="15" hidden="false" customHeight="true" outlineLevel="0" collapsed="false">
      <c r="A153" s="10" t="s">
        <v>700</v>
      </c>
      <c r="B153" s="10" t="s">
        <v>452</v>
      </c>
      <c r="C153" s="11" t="n">
        <v>86</v>
      </c>
      <c r="D153" s="11" t="n">
        <v>45</v>
      </c>
      <c r="E153" s="11" t="n">
        <v>38</v>
      </c>
      <c r="F153" s="13" t="n">
        <v>669</v>
      </c>
      <c r="G153" s="11" t="n">
        <v>80</v>
      </c>
      <c r="H153" s="10"/>
      <c r="I153" s="10" t="s">
        <v>734</v>
      </c>
      <c r="J153" s="17" t="n">
        <f aca="false">IFERROR(INDEX(hayday_info!$D$2:$D$349,MATCH($A153,hayday_info!$A$2:$A$349,0)),"not found")</f>
        <v>38</v>
      </c>
      <c r="K153" s="10" t="str">
        <f aca="false">IF(J153="not found","not in hayday.info",IF(J153=E153,"matches mastered",IF(J153=D153,"matches normal","differs")))</f>
        <v>matches mastered</v>
      </c>
      <c r="L153" s="18" t="n">
        <f aca="false">IFERROR(INDEX(hayday_info!$E$2:$E$349,MATCH($A153,hayday_info!$A$2:$A$349,0)),"not found")</f>
        <v>669</v>
      </c>
      <c r="M153" s="10" t="str">
        <f aca="false">IF(L153="not found","not in hayday.info",IF(F153="","no Fandom value",IF(L153=F153,"match","differs")))</f>
        <v>match</v>
      </c>
      <c r="N153" s="10" t="n">
        <f aca="false">IFERROR(INDEX(hayday_info!$F$2:$F$349,MATCH($A153,hayday_info!$A$2:$A$349,0)),"not found")</f>
        <v>80</v>
      </c>
      <c r="O153" s="10" t="str">
        <f aca="false">IF(N153="not found","not in hayday.info",IF(G153="","no Fandom value",IF(N153=G153,"match","differs")))</f>
        <v>match</v>
      </c>
      <c r="P153" s="10" t="str">
        <f aca="false">IF(J153="not found","not in hayday.info",IF(C153="","no Fandom value",IF(IFERROR(INDEX(hayday_info!$C$2:$C$349,MATCH($A153,hayday_info!$A$2:$A$349,0)),"not found")=C153,"match","differs")))</f>
        <v>match</v>
      </c>
    </row>
    <row r="154" customFormat="false" ht="15" hidden="false" customHeight="true" outlineLevel="0" collapsed="false">
      <c r="A154" s="10" t="s">
        <v>701</v>
      </c>
      <c r="B154" s="10" t="s">
        <v>452</v>
      </c>
      <c r="C154" s="11" t="n">
        <v>89</v>
      </c>
      <c r="D154" s="11" t="n">
        <v>75</v>
      </c>
      <c r="E154" s="11" t="n">
        <v>63</v>
      </c>
      <c r="F154" s="13" t="n">
        <v>306</v>
      </c>
      <c r="G154" s="11" t="n">
        <v>37</v>
      </c>
      <c r="H154" s="10"/>
      <c r="I154" s="10" t="s">
        <v>734</v>
      </c>
      <c r="J154" s="17" t="n">
        <f aca="false">IFERROR(INDEX(hayday_info!$D$2:$D$349,MATCH($A154,hayday_info!$A$2:$A$349,0)),"not found")</f>
        <v>63</v>
      </c>
      <c r="K154" s="10" t="str">
        <f aca="false">IF(J154="not found","not in hayday.info",IF(J154=E154,"matches mastered",IF(J154=D154,"matches normal","differs")))</f>
        <v>matches mastered</v>
      </c>
      <c r="L154" s="18" t="n">
        <f aca="false">IFERROR(INDEX(hayday_info!$E$2:$E$349,MATCH($A154,hayday_info!$A$2:$A$349,0)),"not found")</f>
        <v>306</v>
      </c>
      <c r="M154" s="10" t="str">
        <f aca="false">IF(L154="not found","not in hayday.info",IF(F154="","no Fandom value",IF(L154=F154,"match","differs")))</f>
        <v>match</v>
      </c>
      <c r="N154" s="10" t="n">
        <f aca="false">IFERROR(INDEX(hayday_info!$F$2:$F$349,MATCH($A154,hayday_info!$A$2:$A$349,0)),"not found")</f>
        <v>37</v>
      </c>
      <c r="O154" s="10" t="str">
        <f aca="false">IF(N154="not found","not in hayday.info",IF(G154="","no Fandom value",IF(N154=G154,"match","differs")))</f>
        <v>match</v>
      </c>
      <c r="P154" s="10" t="str">
        <f aca="false">IF(J154="not found","not in hayday.info",IF(C154="","no Fandom value",IF(IFERROR(INDEX(hayday_info!$C$2:$C$349,MATCH($A154,hayday_info!$A$2:$A$349,0)),"not found")=C154,"match","differs")))</f>
        <v>match</v>
      </c>
    </row>
    <row r="155" customFormat="false" ht="15" hidden="false" customHeight="true" outlineLevel="0" collapsed="false">
      <c r="A155" s="10" t="s">
        <v>276</v>
      </c>
      <c r="B155" s="10" t="s">
        <v>277</v>
      </c>
      <c r="C155" s="11" t="n">
        <v>72</v>
      </c>
      <c r="D155" s="11" t="n">
        <v>80</v>
      </c>
      <c r="E155" s="11" t="n">
        <v>68</v>
      </c>
      <c r="F155" s="13" t="n">
        <v>475</v>
      </c>
      <c r="G155" s="11" t="n">
        <v>57</v>
      </c>
      <c r="H155" s="10"/>
      <c r="I155" s="10" t="s">
        <v>735</v>
      </c>
      <c r="J155" s="17" t="n">
        <f aca="false">IFERROR(INDEX(hayday_info!$D$2:$D$349,MATCH($A155,hayday_info!$A$2:$A$349,0)),"not found")</f>
        <v>68</v>
      </c>
      <c r="K155" s="10" t="str">
        <f aca="false">IF(J155="not found","not in hayday.info",IF(J155=E155,"matches mastered",IF(J155=D155,"matches normal","differs")))</f>
        <v>matches mastered</v>
      </c>
      <c r="L155" s="18" t="n">
        <f aca="false">IFERROR(INDEX(hayday_info!$E$2:$E$349,MATCH($A155,hayday_info!$A$2:$A$349,0)),"not found")</f>
        <v>475</v>
      </c>
      <c r="M155" s="10" t="str">
        <f aca="false">IF(L155="not found","not in hayday.info",IF(F155="","no Fandom value",IF(L155=F155,"match","differs")))</f>
        <v>match</v>
      </c>
      <c r="N155" s="10" t="n">
        <f aca="false">IFERROR(INDEX(hayday_info!$F$2:$F$349,MATCH($A155,hayday_info!$A$2:$A$349,0)),"not found")</f>
        <v>57</v>
      </c>
      <c r="O155" s="10" t="str">
        <f aca="false">IF(N155="not found","not in hayday.info",IF(G155="","no Fandom value",IF(N155=G155,"match","differs")))</f>
        <v>match</v>
      </c>
      <c r="P155" s="10" t="str">
        <f aca="false">IF(J155="not found","not in hayday.info",IF(C155="","no Fandom value",IF(IFERROR(INDEX(hayday_info!$C$2:$C$349,MATCH($A155,hayday_info!$A$2:$A$349,0)),"not found")=C155,"match","differs")))</f>
        <v>match</v>
      </c>
    </row>
    <row r="156" customFormat="false" ht="15" hidden="false" customHeight="true" outlineLevel="0" collapsed="false">
      <c r="A156" s="10" t="s">
        <v>279</v>
      </c>
      <c r="B156" s="10" t="s">
        <v>277</v>
      </c>
      <c r="C156" s="11" t="n">
        <v>74</v>
      </c>
      <c r="D156" s="11" t="n">
        <v>100</v>
      </c>
      <c r="E156" s="11" t="n">
        <v>85</v>
      </c>
      <c r="F156" s="13" t="n">
        <v>532</v>
      </c>
      <c r="G156" s="11" t="n">
        <v>63</v>
      </c>
      <c r="H156" s="10"/>
      <c r="I156" s="10" t="s">
        <v>735</v>
      </c>
      <c r="J156" s="17" t="n">
        <f aca="false">IFERROR(INDEX(hayday_info!$D$2:$D$349,MATCH($A156,hayday_info!$A$2:$A$349,0)),"not found")</f>
        <v>85</v>
      </c>
      <c r="K156" s="10" t="str">
        <f aca="false">IF(J156="not found","not in hayday.info",IF(J156=E156,"matches mastered",IF(J156=D156,"matches normal","differs")))</f>
        <v>matches mastered</v>
      </c>
      <c r="L156" s="18" t="n">
        <f aca="false">IFERROR(INDEX(hayday_info!$E$2:$E$349,MATCH($A156,hayday_info!$A$2:$A$349,0)),"not found")</f>
        <v>532</v>
      </c>
      <c r="M156" s="10" t="str">
        <f aca="false">IF(L156="not found","not in hayday.info",IF(F156="","no Fandom value",IF(L156=F156,"match","differs")))</f>
        <v>match</v>
      </c>
      <c r="N156" s="10" t="n">
        <f aca="false">IFERROR(INDEX(hayday_info!$F$2:$F$349,MATCH($A156,hayday_info!$A$2:$A$349,0)),"not found")</f>
        <v>63</v>
      </c>
      <c r="O156" s="10" t="str">
        <f aca="false">IF(N156="not found","not in hayday.info",IF(G156="","no Fandom value",IF(N156=G156,"match","differs")))</f>
        <v>match</v>
      </c>
      <c r="P156" s="10" t="str">
        <f aca="false">IF(J156="not found","not in hayday.info",IF(C156="","no Fandom value",IF(IFERROR(INDEX(hayday_info!$C$2:$C$349,MATCH($A156,hayday_info!$A$2:$A$349,0)),"not found")=C156,"match","differs")))</f>
        <v>match</v>
      </c>
    </row>
    <row r="157" customFormat="false" ht="15" hidden="false" customHeight="true" outlineLevel="0" collapsed="false">
      <c r="A157" s="10" t="s">
        <v>280</v>
      </c>
      <c r="B157" s="10" t="s">
        <v>277</v>
      </c>
      <c r="C157" s="11" t="n">
        <v>79</v>
      </c>
      <c r="D157" s="11" t="n">
        <v>120</v>
      </c>
      <c r="E157" s="11" t="n">
        <v>102</v>
      </c>
      <c r="F157" s="13" t="n">
        <v>637</v>
      </c>
      <c r="G157" s="11" t="n">
        <v>76</v>
      </c>
      <c r="H157" s="10"/>
      <c r="I157" s="10" t="s">
        <v>735</v>
      </c>
      <c r="J157" s="17" t="n">
        <f aca="false">IFERROR(INDEX(hayday_info!$D$2:$D$349,MATCH($A157,hayday_info!$A$2:$A$349,0)),"not found")</f>
        <v>102</v>
      </c>
      <c r="K157" s="10" t="str">
        <f aca="false">IF(J157="not found","not in hayday.info",IF(J157=E157,"matches mastered",IF(J157=D157,"matches normal","differs")))</f>
        <v>matches mastered</v>
      </c>
      <c r="L157" s="18" t="n">
        <f aca="false">IFERROR(INDEX(hayday_info!$E$2:$E$349,MATCH($A157,hayday_info!$A$2:$A$349,0)),"not found")</f>
        <v>637</v>
      </c>
      <c r="M157" s="10" t="str">
        <f aca="false">IF(L157="not found","not in hayday.info",IF(F157="","no Fandom value",IF(L157=F157,"match","differs")))</f>
        <v>match</v>
      </c>
      <c r="N157" s="10" t="n">
        <f aca="false">IFERROR(INDEX(hayday_info!$F$2:$F$349,MATCH($A157,hayday_info!$A$2:$A$349,0)),"not found")</f>
        <v>76</v>
      </c>
      <c r="O157" s="10" t="str">
        <f aca="false">IF(N157="not found","not in hayday.info",IF(G157="","no Fandom value",IF(N157=G157,"match","differs")))</f>
        <v>match</v>
      </c>
      <c r="P157" s="10" t="str">
        <f aca="false">IF(J157="not found","not in hayday.info",IF(C157="","no Fandom value",IF(IFERROR(INDEX(hayday_info!$C$2:$C$349,MATCH($A157,hayday_info!$A$2:$A$349,0)),"not found")=C157,"match","differs")))</f>
        <v>match</v>
      </c>
    </row>
    <row r="158" customFormat="false" ht="15" hidden="false" customHeight="true" outlineLevel="0" collapsed="false">
      <c r="A158" s="10" t="s">
        <v>282</v>
      </c>
      <c r="B158" s="10" t="s">
        <v>277</v>
      </c>
      <c r="C158" s="11" t="n">
        <v>83</v>
      </c>
      <c r="D158" s="11" t="n">
        <v>150</v>
      </c>
      <c r="E158" s="11" t="n">
        <v>127</v>
      </c>
      <c r="F158" s="13" t="n">
        <v>410</v>
      </c>
      <c r="G158" s="11" t="n">
        <v>49</v>
      </c>
      <c r="H158" s="10"/>
      <c r="I158" s="10" t="s">
        <v>735</v>
      </c>
      <c r="J158" s="17" t="n">
        <f aca="false">IFERROR(INDEX(hayday_info!$D$2:$D$349,MATCH($A158,hayday_info!$A$2:$A$349,0)),"not found")</f>
        <v>127</v>
      </c>
      <c r="K158" s="10" t="str">
        <f aca="false">IF(J158="not found","not in hayday.info",IF(J158=E158,"matches mastered",IF(J158=D158,"matches normal","differs")))</f>
        <v>matches mastered</v>
      </c>
      <c r="L158" s="18" t="n">
        <f aca="false">IFERROR(INDEX(hayday_info!$E$2:$E$349,MATCH($A158,hayday_info!$A$2:$A$349,0)),"not found")</f>
        <v>410</v>
      </c>
      <c r="M158" s="10" t="str">
        <f aca="false">IF(L158="not found","not in hayday.info",IF(F158="","no Fandom value",IF(L158=F158,"match","differs")))</f>
        <v>match</v>
      </c>
      <c r="N158" s="10" t="n">
        <f aca="false">IFERROR(INDEX(hayday_info!$F$2:$F$349,MATCH($A158,hayday_info!$A$2:$A$349,0)),"not found")</f>
        <v>49</v>
      </c>
      <c r="O158" s="10" t="str">
        <f aca="false">IF(N158="not found","not in hayday.info",IF(G158="","no Fandom value",IF(N158=G158,"match","differs")))</f>
        <v>match</v>
      </c>
      <c r="P158" s="10" t="str">
        <f aca="false">IF(J158="not found","not in hayday.info",IF(C158="","no Fandom value",IF(IFERROR(INDEX(hayday_info!$C$2:$C$349,MATCH($A158,hayday_info!$A$2:$A$349,0)),"not found")=C158,"match","differs")))</f>
        <v>match</v>
      </c>
    </row>
    <row r="159" customFormat="false" ht="15" hidden="false" customHeight="true" outlineLevel="0" collapsed="false">
      <c r="A159" s="10" t="s">
        <v>281</v>
      </c>
      <c r="B159" s="10" t="s">
        <v>277</v>
      </c>
      <c r="C159" s="11" t="n">
        <v>83</v>
      </c>
      <c r="D159" s="11" t="n">
        <v>60</v>
      </c>
      <c r="E159" s="11" t="n">
        <v>51</v>
      </c>
      <c r="F159" s="13" t="n">
        <v>345</v>
      </c>
      <c r="G159" s="11" t="n">
        <v>41</v>
      </c>
      <c r="H159" s="10"/>
      <c r="I159" s="10" t="s">
        <v>735</v>
      </c>
      <c r="J159" s="17" t="n">
        <f aca="false">IFERROR(INDEX(hayday_info!$D$2:$D$349,MATCH($A159,hayday_info!$A$2:$A$349,0)),"not found")</f>
        <v>51</v>
      </c>
      <c r="K159" s="10" t="str">
        <f aca="false">IF(J159="not found","not in hayday.info",IF(J159=E159,"matches mastered",IF(J159=D159,"matches normal","differs")))</f>
        <v>matches mastered</v>
      </c>
      <c r="L159" s="18" t="n">
        <f aca="false">IFERROR(INDEX(hayday_info!$E$2:$E$349,MATCH($A159,hayday_info!$A$2:$A$349,0)),"not found")</f>
        <v>345</v>
      </c>
      <c r="M159" s="10" t="str">
        <f aca="false">IF(L159="not found","not in hayday.info",IF(F159="","no Fandom value",IF(L159=F159,"match","differs")))</f>
        <v>match</v>
      </c>
      <c r="N159" s="10" t="n">
        <f aca="false">IFERROR(INDEX(hayday_info!$F$2:$F$349,MATCH($A159,hayday_info!$A$2:$A$349,0)),"not found")</f>
        <v>41</v>
      </c>
      <c r="O159" s="10" t="str">
        <f aca="false">IF(N159="not found","not in hayday.info",IF(G159="","no Fandom value",IF(N159=G159,"match","differs")))</f>
        <v>match</v>
      </c>
      <c r="P159" s="10" t="str">
        <f aca="false">IF(J159="not found","not in hayday.info",IF(C159="","no Fandom value",IF(IFERROR(INDEX(hayday_info!$C$2:$C$349,MATCH($A159,hayday_info!$A$2:$A$349,0)),"not found")=C159,"match","differs")))</f>
        <v>match</v>
      </c>
    </row>
    <row r="160" customFormat="false" ht="15" hidden="false" customHeight="true" outlineLevel="0" collapsed="false">
      <c r="A160" s="10" t="s">
        <v>283</v>
      </c>
      <c r="B160" s="10" t="s">
        <v>277</v>
      </c>
      <c r="C160" s="11" t="n">
        <v>87</v>
      </c>
      <c r="D160" s="11" t="n">
        <v>90</v>
      </c>
      <c r="E160" s="11" t="n">
        <v>76</v>
      </c>
      <c r="F160" s="13" t="n">
        <v>576</v>
      </c>
      <c r="G160" s="11" t="n">
        <v>69</v>
      </c>
      <c r="H160" s="10"/>
      <c r="I160" s="10" t="s">
        <v>735</v>
      </c>
      <c r="J160" s="17" t="n">
        <f aca="false">IFERROR(INDEX(hayday_info!$D$2:$D$349,MATCH($A160,hayday_info!$A$2:$A$349,0)),"not found")</f>
        <v>76</v>
      </c>
      <c r="K160" s="10" t="str">
        <f aca="false">IF(J160="not found","not in hayday.info",IF(J160=E160,"matches mastered",IF(J160=D160,"matches normal","differs")))</f>
        <v>matches mastered</v>
      </c>
      <c r="L160" s="18" t="n">
        <f aca="false">IFERROR(INDEX(hayday_info!$E$2:$E$349,MATCH($A160,hayday_info!$A$2:$A$349,0)),"not found")</f>
        <v>576</v>
      </c>
      <c r="M160" s="10" t="str">
        <f aca="false">IF(L160="not found","not in hayday.info",IF(F160="","no Fandom value",IF(L160=F160,"match","differs")))</f>
        <v>match</v>
      </c>
      <c r="N160" s="10" t="n">
        <f aca="false">IFERROR(INDEX(hayday_info!$F$2:$F$349,MATCH($A160,hayday_info!$A$2:$A$349,0)),"not found")</f>
        <v>69</v>
      </c>
      <c r="O160" s="10" t="str">
        <f aca="false">IF(N160="not found","not in hayday.info",IF(G160="","no Fandom value",IF(N160=G160,"match","differs")))</f>
        <v>match</v>
      </c>
      <c r="P160" s="10" t="str">
        <f aca="false">IF(J160="not found","not in hayday.info",IF(C160="","no Fandom value",IF(IFERROR(INDEX(hayday_info!$C$2:$C$349,MATCH($A160,hayday_info!$A$2:$A$349,0)),"not found")=C160,"match","differs")))</f>
        <v>match</v>
      </c>
    </row>
    <row r="161" customFormat="false" ht="15" hidden="false" customHeight="true" outlineLevel="0" collapsed="false">
      <c r="A161" s="10" t="s">
        <v>211</v>
      </c>
      <c r="B161" s="10" t="s">
        <v>212</v>
      </c>
      <c r="C161" s="11" t="n">
        <v>75</v>
      </c>
      <c r="D161" s="11" t="n">
        <v>30</v>
      </c>
      <c r="E161" s="11" t="n">
        <v>25</v>
      </c>
      <c r="F161" s="13" t="n">
        <v>370</v>
      </c>
      <c r="G161" s="11" t="n">
        <v>44</v>
      </c>
      <c r="H161" s="10"/>
      <c r="I161" s="10" t="s">
        <v>736</v>
      </c>
      <c r="J161" s="17" t="n">
        <f aca="false">IFERROR(INDEX(hayday_info!$D$2:$D$349,MATCH($A161,hayday_info!$A$2:$A$349,0)),"not found")</f>
        <v>25</v>
      </c>
      <c r="K161" s="10" t="str">
        <f aca="false">IF(J161="not found","not in hayday.info",IF(J161=E161,"matches mastered",IF(J161=D161,"matches normal","differs")))</f>
        <v>matches mastered</v>
      </c>
      <c r="L161" s="18" t="n">
        <f aca="false">IFERROR(INDEX(hayday_info!$E$2:$E$349,MATCH($A161,hayday_info!$A$2:$A$349,0)),"not found")</f>
        <v>370</v>
      </c>
      <c r="M161" s="10" t="str">
        <f aca="false">IF(L161="not found","not in hayday.info",IF(F161="","no Fandom value",IF(L161=F161,"match","differs")))</f>
        <v>match</v>
      </c>
      <c r="N161" s="10" t="n">
        <f aca="false">IFERROR(INDEX(hayday_info!$F$2:$F$349,MATCH($A161,hayday_info!$A$2:$A$349,0)),"not found")</f>
        <v>44</v>
      </c>
      <c r="O161" s="10" t="str">
        <f aca="false">IF(N161="not found","not in hayday.info",IF(G161="","no Fandom value",IF(N161=G161,"match","differs")))</f>
        <v>match</v>
      </c>
      <c r="P161" s="10" t="str">
        <f aca="false">IF(J161="not found","not in hayday.info",IF(C161="","no Fandom value",IF(IFERROR(INDEX(hayday_info!$C$2:$C$349,MATCH($A161,hayday_info!$A$2:$A$349,0)),"not found")=C161,"match","differs")))</f>
        <v>match</v>
      </c>
    </row>
    <row r="162" customFormat="false" ht="15" hidden="false" customHeight="true" outlineLevel="0" collapsed="false">
      <c r="A162" s="10" t="s">
        <v>214</v>
      </c>
      <c r="B162" s="10" t="s">
        <v>212</v>
      </c>
      <c r="C162" s="11" t="n">
        <v>76</v>
      </c>
      <c r="D162" s="11" t="n">
        <v>45</v>
      </c>
      <c r="E162" s="11" t="n">
        <v>38</v>
      </c>
      <c r="F162" s="13" t="n">
        <v>367</v>
      </c>
      <c r="G162" s="11" t="n">
        <v>44</v>
      </c>
      <c r="H162" s="10"/>
      <c r="I162" s="10" t="s">
        <v>736</v>
      </c>
      <c r="J162" s="17" t="n">
        <f aca="false">IFERROR(INDEX(hayday_info!$D$2:$D$349,MATCH($A162,hayday_info!$A$2:$A$349,0)),"not found")</f>
        <v>38</v>
      </c>
      <c r="K162" s="10" t="str">
        <f aca="false">IF(J162="not found","not in hayday.info",IF(J162=E162,"matches mastered",IF(J162=D162,"matches normal","differs")))</f>
        <v>matches mastered</v>
      </c>
      <c r="L162" s="18" t="n">
        <f aca="false">IFERROR(INDEX(hayday_info!$E$2:$E$349,MATCH($A162,hayday_info!$A$2:$A$349,0)),"not found")</f>
        <v>367</v>
      </c>
      <c r="M162" s="10" t="str">
        <f aca="false">IF(L162="not found","not in hayday.info",IF(F162="","no Fandom value",IF(L162=F162,"match","differs")))</f>
        <v>match</v>
      </c>
      <c r="N162" s="10" t="n">
        <f aca="false">IFERROR(INDEX(hayday_info!$F$2:$F$349,MATCH($A162,hayday_info!$A$2:$A$349,0)),"not found")</f>
        <v>44</v>
      </c>
      <c r="O162" s="10" t="str">
        <f aca="false">IF(N162="not found","not in hayday.info",IF(G162="","no Fandom value",IF(N162=G162,"match","differs")))</f>
        <v>match</v>
      </c>
      <c r="P162" s="10" t="str">
        <f aca="false">IF(J162="not found","not in hayday.info",IF(C162="","no Fandom value",IF(IFERROR(INDEX(hayday_info!$C$2:$C$349,MATCH($A162,hayday_info!$A$2:$A$349,0)),"not found")=C162,"match","differs")))</f>
        <v>match</v>
      </c>
    </row>
    <row r="163" customFormat="false" ht="15" hidden="false" customHeight="true" outlineLevel="0" collapsed="false">
      <c r="A163" s="10" t="s">
        <v>215</v>
      </c>
      <c r="B163" s="10" t="s">
        <v>212</v>
      </c>
      <c r="C163" s="11" t="n">
        <v>78</v>
      </c>
      <c r="D163" s="11" t="n">
        <v>60</v>
      </c>
      <c r="E163" s="11" t="n">
        <v>51</v>
      </c>
      <c r="F163" s="13" t="n">
        <v>529</v>
      </c>
      <c r="G163" s="11" t="n">
        <v>63</v>
      </c>
      <c r="H163" s="10"/>
      <c r="I163" s="10" t="s">
        <v>736</v>
      </c>
      <c r="J163" s="17" t="n">
        <f aca="false">IFERROR(INDEX(hayday_info!$D$2:$D$349,MATCH($A163,hayday_info!$A$2:$A$349,0)),"not found")</f>
        <v>51</v>
      </c>
      <c r="K163" s="10" t="str">
        <f aca="false">IF(J163="not found","not in hayday.info",IF(J163=E163,"matches mastered",IF(J163=D163,"matches normal","differs")))</f>
        <v>matches mastered</v>
      </c>
      <c r="L163" s="18" t="n">
        <f aca="false">IFERROR(INDEX(hayday_info!$E$2:$E$349,MATCH($A163,hayday_info!$A$2:$A$349,0)),"not found")</f>
        <v>529</v>
      </c>
      <c r="M163" s="10" t="str">
        <f aca="false">IF(L163="not found","not in hayday.info",IF(F163="","no Fandom value",IF(L163=F163,"match","differs")))</f>
        <v>match</v>
      </c>
      <c r="N163" s="10" t="n">
        <f aca="false">IFERROR(INDEX(hayday_info!$F$2:$F$349,MATCH($A163,hayday_info!$A$2:$A$349,0)),"not found")</f>
        <v>63</v>
      </c>
      <c r="O163" s="10" t="str">
        <f aca="false">IF(N163="not found","not in hayday.info",IF(G163="","no Fandom value",IF(N163=G163,"match","differs")))</f>
        <v>match</v>
      </c>
      <c r="P163" s="10" t="str">
        <f aca="false">IF(J163="not found","not in hayday.info",IF(C163="","no Fandom value",IF(IFERROR(INDEX(hayday_info!$C$2:$C$349,MATCH($A163,hayday_info!$A$2:$A$349,0)),"not found")=C163,"match","differs")))</f>
        <v>match</v>
      </c>
    </row>
    <row r="164" customFormat="false" ht="15" hidden="false" customHeight="true" outlineLevel="0" collapsed="false">
      <c r="A164" s="10" t="s">
        <v>216</v>
      </c>
      <c r="B164" s="10" t="s">
        <v>212</v>
      </c>
      <c r="C164" s="11" t="n">
        <v>80</v>
      </c>
      <c r="D164" s="11" t="n">
        <v>75</v>
      </c>
      <c r="E164" s="11" t="n">
        <v>63</v>
      </c>
      <c r="F164" s="13" t="n">
        <v>306</v>
      </c>
      <c r="G164" s="11" t="n">
        <v>36</v>
      </c>
      <c r="H164" s="10"/>
      <c r="I164" s="10" t="s">
        <v>736</v>
      </c>
      <c r="J164" s="17" t="n">
        <f aca="false">IFERROR(INDEX(hayday_info!$D$2:$D$349,MATCH($A164,hayday_info!$A$2:$A$349,0)),"not found")</f>
        <v>63</v>
      </c>
      <c r="K164" s="10" t="str">
        <f aca="false">IF(J164="not found","not in hayday.info",IF(J164=E164,"matches mastered",IF(J164=D164,"matches normal","differs")))</f>
        <v>matches mastered</v>
      </c>
      <c r="L164" s="18" t="n">
        <f aca="false">IFERROR(INDEX(hayday_info!$E$2:$E$349,MATCH($A164,hayday_info!$A$2:$A$349,0)),"not found")</f>
        <v>306</v>
      </c>
      <c r="M164" s="10" t="str">
        <f aca="false">IF(L164="not found","not in hayday.info",IF(F164="","no Fandom value",IF(L164=F164,"match","differs")))</f>
        <v>match</v>
      </c>
      <c r="N164" s="10" t="n">
        <f aca="false">IFERROR(INDEX(hayday_info!$F$2:$F$349,MATCH($A164,hayday_info!$A$2:$A$349,0)),"not found")</f>
        <v>36</v>
      </c>
      <c r="O164" s="10" t="str">
        <f aca="false">IF(N164="not found","not in hayday.info",IF(G164="","no Fandom value",IF(N164=G164,"match","differs")))</f>
        <v>match</v>
      </c>
      <c r="P164" s="10" t="str">
        <f aca="false">IF(J164="not found","not in hayday.info",IF(C164="","no Fandom value",IF(IFERROR(INDEX(hayday_info!$C$2:$C$349,MATCH($A164,hayday_info!$A$2:$A$349,0)),"not found")=C164,"match","differs")))</f>
        <v>match</v>
      </c>
    </row>
    <row r="165" customFormat="false" ht="15" hidden="false" customHeight="true" outlineLevel="0" collapsed="false">
      <c r="A165" s="10" t="s">
        <v>420</v>
      </c>
      <c r="B165" s="10" t="s">
        <v>421</v>
      </c>
      <c r="C165" s="11" t="n">
        <v>80</v>
      </c>
      <c r="D165" s="11" t="n">
        <v>30</v>
      </c>
      <c r="E165" s="11" t="n">
        <v>25</v>
      </c>
      <c r="F165" s="13" t="n">
        <v>241</v>
      </c>
      <c r="G165" s="11" t="n">
        <v>29</v>
      </c>
      <c r="H165" s="10"/>
      <c r="I165" s="10" t="s">
        <v>737</v>
      </c>
      <c r="J165" s="17" t="n">
        <f aca="false">IFERROR(INDEX(hayday_info!$D$2:$D$349,MATCH($A165,hayday_info!$A$2:$A$349,0)),"not found")</f>
        <v>25</v>
      </c>
      <c r="K165" s="10" t="str">
        <f aca="false">IF(J165="not found","not in hayday.info",IF(J165=E165,"matches mastered",IF(J165=D165,"matches normal","differs")))</f>
        <v>matches mastered</v>
      </c>
      <c r="L165" s="18" t="n">
        <f aca="false">IFERROR(INDEX(hayday_info!$E$2:$E$349,MATCH($A165,hayday_info!$A$2:$A$349,0)),"not found")</f>
        <v>241</v>
      </c>
      <c r="M165" s="10" t="str">
        <f aca="false">IF(L165="not found","not in hayday.info",IF(F165="","no Fandom value",IF(L165=F165,"match","differs")))</f>
        <v>match</v>
      </c>
      <c r="N165" s="10" t="n">
        <f aca="false">IFERROR(INDEX(hayday_info!$F$2:$F$349,MATCH($A165,hayday_info!$A$2:$A$349,0)),"not found")</f>
        <v>29</v>
      </c>
      <c r="O165" s="10" t="str">
        <f aca="false">IF(N165="not found","not in hayday.info",IF(G165="","no Fandom value",IF(N165=G165,"match","differs")))</f>
        <v>match</v>
      </c>
      <c r="P165" s="10" t="str">
        <f aca="false">IF(J165="not found","not in hayday.info",IF(C165="","no Fandom value",IF(IFERROR(INDEX(hayday_info!$C$2:$C$349,MATCH($A165,hayday_info!$A$2:$A$349,0)),"not found")=C165,"match","differs")))</f>
        <v>match</v>
      </c>
    </row>
    <row r="166" customFormat="false" ht="15" hidden="false" customHeight="true" outlineLevel="0" collapsed="false">
      <c r="A166" s="10" t="s">
        <v>423</v>
      </c>
      <c r="B166" s="10" t="s">
        <v>421</v>
      </c>
      <c r="C166" s="11" t="n">
        <v>81</v>
      </c>
      <c r="D166" s="11" t="n">
        <v>45</v>
      </c>
      <c r="E166" s="11" t="n">
        <v>38</v>
      </c>
      <c r="F166" s="13" t="n">
        <v>190</v>
      </c>
      <c r="G166" s="11" t="n">
        <v>23</v>
      </c>
      <c r="H166" s="10"/>
      <c r="I166" s="10" t="s">
        <v>737</v>
      </c>
      <c r="J166" s="17" t="n">
        <f aca="false">IFERROR(INDEX(hayday_info!$D$2:$D$349,MATCH($A166,hayday_info!$A$2:$A$349,0)),"not found")</f>
        <v>38</v>
      </c>
      <c r="K166" s="10" t="str">
        <f aca="false">IF(J166="not found","not in hayday.info",IF(J166=E166,"matches mastered",IF(J166=D166,"matches normal","differs")))</f>
        <v>matches mastered</v>
      </c>
      <c r="L166" s="18" t="n">
        <f aca="false">IFERROR(INDEX(hayday_info!$E$2:$E$349,MATCH($A166,hayday_info!$A$2:$A$349,0)),"not found")</f>
        <v>190</v>
      </c>
      <c r="M166" s="10" t="str">
        <f aca="false">IF(L166="not found","not in hayday.info",IF(F166="","no Fandom value",IF(L166=F166,"match","differs")))</f>
        <v>match</v>
      </c>
      <c r="N166" s="10" t="n">
        <f aca="false">IFERROR(INDEX(hayday_info!$F$2:$F$349,MATCH($A166,hayday_info!$A$2:$A$349,0)),"not found")</f>
        <v>23</v>
      </c>
      <c r="O166" s="10" t="str">
        <f aca="false">IF(N166="not found","not in hayday.info",IF(G166="","no Fandom value",IF(N166=G166,"match","differs")))</f>
        <v>match</v>
      </c>
      <c r="P166" s="10" t="str">
        <f aca="false">IF(J166="not found","not in hayday.info",IF(C166="","no Fandom value",IF(IFERROR(INDEX(hayday_info!$C$2:$C$349,MATCH($A166,hayday_info!$A$2:$A$349,0)),"not found")=C166,"match","differs")))</f>
        <v>match</v>
      </c>
    </row>
    <row r="167" customFormat="false" ht="15" hidden="false" customHeight="true" outlineLevel="0" collapsed="false">
      <c r="A167" s="10" t="s">
        <v>424</v>
      </c>
      <c r="B167" s="10" t="s">
        <v>421</v>
      </c>
      <c r="C167" s="11" t="n">
        <v>83</v>
      </c>
      <c r="D167" s="11" t="n">
        <v>40</v>
      </c>
      <c r="E167" s="11" t="n">
        <v>34</v>
      </c>
      <c r="F167" s="13" t="n">
        <v>313</v>
      </c>
      <c r="G167" s="11" t="n">
        <v>37</v>
      </c>
      <c r="H167" s="10"/>
      <c r="I167" s="10" t="s">
        <v>737</v>
      </c>
      <c r="J167" s="17" t="n">
        <f aca="false">IFERROR(INDEX(hayday_info!$D$2:$D$349,MATCH($A167,hayday_info!$A$2:$A$349,0)),"not found")</f>
        <v>34</v>
      </c>
      <c r="K167" s="10" t="str">
        <f aca="false">IF(J167="not found","not in hayday.info",IF(J167=E167,"matches mastered",IF(J167=D167,"matches normal","differs")))</f>
        <v>matches mastered</v>
      </c>
      <c r="L167" s="18" t="n">
        <f aca="false">IFERROR(INDEX(hayday_info!$E$2:$E$349,MATCH($A167,hayday_info!$A$2:$A$349,0)),"not found")</f>
        <v>313</v>
      </c>
      <c r="M167" s="10" t="str">
        <f aca="false">IF(L167="not found","not in hayday.info",IF(F167="","no Fandom value",IF(L167=F167,"match","differs")))</f>
        <v>match</v>
      </c>
      <c r="N167" s="10" t="n">
        <f aca="false">IFERROR(INDEX(hayday_info!$F$2:$F$349,MATCH($A167,hayday_info!$A$2:$A$349,0)),"not found")</f>
        <v>37</v>
      </c>
      <c r="O167" s="10" t="str">
        <f aca="false">IF(N167="not found","not in hayday.info",IF(G167="","no Fandom value",IF(N167=G167,"match","differs")))</f>
        <v>match</v>
      </c>
      <c r="P167" s="10" t="str">
        <f aca="false">IF(J167="not found","not in hayday.info",IF(C167="","no Fandom value",IF(IFERROR(INDEX(hayday_info!$C$2:$C$349,MATCH($A167,hayday_info!$A$2:$A$349,0)),"not found")=C167,"match","differs")))</f>
        <v>match</v>
      </c>
    </row>
    <row r="168" customFormat="false" ht="15" hidden="false" customHeight="true" outlineLevel="0" collapsed="false">
      <c r="A168" s="10" t="s">
        <v>425</v>
      </c>
      <c r="B168" s="10" t="s">
        <v>421</v>
      </c>
      <c r="C168" s="11" t="n">
        <v>86</v>
      </c>
      <c r="D168" s="11" t="n">
        <v>20</v>
      </c>
      <c r="E168" s="11" t="n">
        <v>17</v>
      </c>
      <c r="F168" s="13" t="n">
        <v>241</v>
      </c>
      <c r="G168" s="11" t="n">
        <v>29</v>
      </c>
      <c r="H168" s="10"/>
      <c r="I168" s="10" t="s">
        <v>737</v>
      </c>
      <c r="J168" s="17" t="n">
        <f aca="false">IFERROR(INDEX(hayday_info!$D$2:$D$349,MATCH($A168,hayday_info!$A$2:$A$349,0)),"not found")</f>
        <v>17</v>
      </c>
      <c r="K168" s="10" t="str">
        <f aca="false">IF(J168="not found","not in hayday.info",IF(J168=E168,"matches mastered",IF(J168=D168,"matches normal","differs")))</f>
        <v>matches mastered</v>
      </c>
      <c r="L168" s="18" t="n">
        <f aca="false">IFERROR(INDEX(hayday_info!$E$2:$E$349,MATCH($A168,hayday_info!$A$2:$A$349,0)),"not found")</f>
        <v>241</v>
      </c>
      <c r="M168" s="10" t="str">
        <f aca="false">IF(L168="not found","not in hayday.info",IF(F168="","no Fandom value",IF(L168=F168,"match","differs")))</f>
        <v>match</v>
      </c>
      <c r="N168" s="10" t="n">
        <f aca="false">IFERROR(INDEX(hayday_info!$F$2:$F$349,MATCH($A168,hayday_info!$A$2:$A$349,0)),"not found")</f>
        <v>29</v>
      </c>
      <c r="O168" s="10" t="str">
        <f aca="false">IF(N168="not found","not in hayday.info",IF(G168="","no Fandom value",IF(N168=G168,"match","differs")))</f>
        <v>match</v>
      </c>
      <c r="P168" s="10" t="str">
        <f aca="false">IF(J168="not found","not in hayday.info",IF(C168="","no Fandom value",IF(IFERROR(INDEX(hayday_info!$C$2:$C$349,MATCH($A168,hayday_info!$A$2:$A$349,0)),"not found")=C168,"match","differs")))</f>
        <v>match</v>
      </c>
    </row>
    <row r="169" customFormat="false" ht="15" hidden="false" customHeight="true" outlineLevel="0" collapsed="false">
      <c r="A169" s="10" t="s">
        <v>426</v>
      </c>
      <c r="B169" s="10" t="s">
        <v>421</v>
      </c>
      <c r="C169" s="11" t="n">
        <v>88</v>
      </c>
      <c r="D169" s="11" t="n">
        <v>30</v>
      </c>
      <c r="E169" s="11" t="n">
        <v>25</v>
      </c>
      <c r="F169" s="13" t="n">
        <v>169</v>
      </c>
      <c r="G169" s="11" t="n">
        <v>20</v>
      </c>
      <c r="H169" s="10"/>
      <c r="I169" s="10" t="s">
        <v>737</v>
      </c>
      <c r="J169" s="17" t="n">
        <f aca="false">IFERROR(INDEX(hayday_info!$D$2:$D$349,MATCH($A169,hayday_info!$A$2:$A$349,0)),"not found")</f>
        <v>25</v>
      </c>
      <c r="K169" s="10" t="str">
        <f aca="false">IF(J169="not found","not in hayday.info",IF(J169=E169,"matches mastered",IF(J169=D169,"matches normal","differs")))</f>
        <v>matches mastered</v>
      </c>
      <c r="L169" s="18" t="n">
        <f aca="false">IFERROR(INDEX(hayday_info!$E$2:$E$349,MATCH($A169,hayday_info!$A$2:$A$349,0)),"not found")</f>
        <v>169</v>
      </c>
      <c r="M169" s="10" t="str">
        <f aca="false">IF(L169="not found","not in hayday.info",IF(F169="","no Fandom value",IF(L169=F169,"match","differs")))</f>
        <v>match</v>
      </c>
      <c r="N169" s="10" t="n">
        <f aca="false">IFERROR(INDEX(hayday_info!$F$2:$F$349,MATCH($A169,hayday_info!$A$2:$A$349,0)),"not found")</f>
        <v>20</v>
      </c>
      <c r="O169" s="10" t="str">
        <f aca="false">IF(N169="not found","not in hayday.info",IF(G169="","no Fandom value",IF(N169=G169,"match","differs")))</f>
        <v>match</v>
      </c>
      <c r="P169" s="10" t="str">
        <f aca="false">IF(J169="not found","not in hayday.info",IF(C169="","no Fandom value",IF(IFERROR(INDEX(hayday_info!$C$2:$C$349,MATCH($A169,hayday_info!$A$2:$A$349,0)),"not found")=C169,"match","differs")))</f>
        <v>match</v>
      </c>
    </row>
    <row r="170" customFormat="false" ht="15" hidden="false" customHeight="true" outlineLevel="0" collapsed="false">
      <c r="A170" s="10" t="s">
        <v>427</v>
      </c>
      <c r="B170" s="10" t="s">
        <v>421</v>
      </c>
      <c r="C170" s="11" t="n">
        <v>89</v>
      </c>
      <c r="D170" s="11" t="n">
        <v>40</v>
      </c>
      <c r="E170" s="11" t="n">
        <v>34</v>
      </c>
      <c r="F170" s="13" t="n">
        <v>255</v>
      </c>
      <c r="G170" s="11" t="n">
        <v>30</v>
      </c>
      <c r="H170" s="10"/>
      <c r="I170" s="10" t="s">
        <v>737</v>
      </c>
      <c r="J170" s="17" t="n">
        <f aca="false">IFERROR(INDEX(hayday_info!$D$2:$D$349,MATCH($A170,hayday_info!$A$2:$A$349,0)),"not found")</f>
        <v>34</v>
      </c>
      <c r="K170" s="10" t="str">
        <f aca="false">IF(J170="not found","not in hayday.info",IF(J170=E170,"matches mastered",IF(J170=D170,"matches normal","differs")))</f>
        <v>matches mastered</v>
      </c>
      <c r="L170" s="18" t="n">
        <f aca="false">IFERROR(INDEX(hayday_info!$E$2:$E$349,MATCH($A170,hayday_info!$A$2:$A$349,0)),"not found")</f>
        <v>255</v>
      </c>
      <c r="M170" s="10" t="str">
        <f aca="false">IF(L170="not found","not in hayday.info",IF(F170="","no Fandom value",IF(L170=F170,"match","differs")))</f>
        <v>match</v>
      </c>
      <c r="N170" s="10" t="n">
        <f aca="false">IFERROR(INDEX(hayday_info!$F$2:$F$349,MATCH($A170,hayday_info!$A$2:$A$349,0)),"not found")</f>
        <v>30</v>
      </c>
      <c r="O170" s="10" t="str">
        <f aca="false">IF(N170="not found","not in hayday.info",IF(G170="","no Fandom value",IF(N170=G170,"match","differs")))</f>
        <v>match</v>
      </c>
      <c r="P170" s="10" t="str">
        <f aca="false">IF(J170="not found","not in hayday.info",IF(C170="","no Fandom value",IF(IFERROR(INDEX(hayday_info!$C$2:$C$349,MATCH($A170,hayday_info!$A$2:$A$349,0)),"not found")=C170,"match","differs")))</f>
        <v>match</v>
      </c>
    </row>
    <row r="171" customFormat="false" ht="15" hidden="false" customHeight="true" outlineLevel="0" collapsed="false">
      <c r="A171" s="10" t="s">
        <v>428</v>
      </c>
      <c r="B171" s="10" t="s">
        <v>421</v>
      </c>
      <c r="C171" s="11" t="n">
        <v>92</v>
      </c>
      <c r="D171" s="11" t="n">
        <v>30</v>
      </c>
      <c r="E171" s="11" t="n">
        <v>25</v>
      </c>
      <c r="F171" s="13" t="n">
        <v>252</v>
      </c>
      <c r="G171" s="11" t="n">
        <v>30</v>
      </c>
      <c r="H171" s="10"/>
      <c r="I171" s="10" t="s">
        <v>737</v>
      </c>
      <c r="J171" s="17" t="n">
        <f aca="false">IFERROR(INDEX(hayday_info!$D$2:$D$349,MATCH($A171,hayday_info!$A$2:$A$349,0)),"not found")</f>
        <v>25</v>
      </c>
      <c r="K171" s="10" t="str">
        <f aca="false">IF(J171="not found","not in hayday.info",IF(J171=E171,"matches mastered",IF(J171=D171,"matches normal","differs")))</f>
        <v>matches mastered</v>
      </c>
      <c r="L171" s="18" t="n">
        <f aca="false">IFERROR(INDEX(hayday_info!$E$2:$E$349,MATCH($A171,hayday_info!$A$2:$A$349,0)),"not found")</f>
        <v>252</v>
      </c>
      <c r="M171" s="10" t="str">
        <f aca="false">IF(L171="not found","not in hayday.info",IF(F171="","no Fandom value",IF(L171=F171,"match","differs")))</f>
        <v>match</v>
      </c>
      <c r="N171" s="10" t="n">
        <f aca="false">IFERROR(INDEX(hayday_info!$F$2:$F$349,MATCH($A171,hayday_info!$A$2:$A$349,0)),"not found")</f>
        <v>30</v>
      </c>
      <c r="O171" s="10" t="str">
        <f aca="false">IF(N171="not found","not in hayday.info",IF(G171="","no Fandom value",IF(N171=G171,"match","differs")))</f>
        <v>match</v>
      </c>
      <c r="P171" s="10" t="str">
        <f aca="false">IF(J171="not found","not in hayday.info",IF(C171="","no Fandom value",IF(IFERROR(INDEX(hayday_info!$C$2:$C$349,MATCH($A171,hayday_info!$A$2:$A$349,0)),"not found")=C171,"match","differs")))</f>
        <v>match</v>
      </c>
    </row>
    <row r="172" customFormat="false" ht="15" hidden="false" customHeight="true" outlineLevel="0" collapsed="false">
      <c r="A172" s="10" t="s">
        <v>429</v>
      </c>
      <c r="B172" s="10" t="s">
        <v>421</v>
      </c>
      <c r="C172" s="11" t="n">
        <v>97</v>
      </c>
      <c r="D172" s="11" t="n">
        <v>35</v>
      </c>
      <c r="E172" s="11" t="n">
        <v>29</v>
      </c>
      <c r="F172" s="13" t="n">
        <v>255</v>
      </c>
      <c r="G172" s="11" t="n">
        <v>31</v>
      </c>
      <c r="H172" s="10"/>
      <c r="I172" s="10" t="s">
        <v>737</v>
      </c>
      <c r="J172" s="17" t="n">
        <f aca="false">IFERROR(INDEX(hayday_info!$D$2:$D$349,MATCH($A172,hayday_info!$A$2:$A$349,0)),"not found")</f>
        <v>29</v>
      </c>
      <c r="K172" s="10" t="str">
        <f aca="false">IF(J172="not found","not in hayday.info",IF(J172=E172,"matches mastered",IF(J172=D172,"matches normal","differs")))</f>
        <v>matches mastered</v>
      </c>
      <c r="L172" s="18" t="n">
        <f aca="false">IFERROR(INDEX(hayday_info!$E$2:$E$349,MATCH($A172,hayday_info!$A$2:$A$349,0)),"not found")</f>
        <v>255</v>
      </c>
      <c r="M172" s="10" t="str">
        <f aca="false">IF(L172="not found","not in hayday.info",IF(F172="","no Fandom value",IF(L172=F172,"match","differs")))</f>
        <v>match</v>
      </c>
      <c r="N172" s="10" t="n">
        <f aca="false">IFERROR(INDEX(hayday_info!$F$2:$F$349,MATCH($A172,hayday_info!$A$2:$A$349,0)),"not found")</f>
        <v>31</v>
      </c>
      <c r="O172" s="10" t="str">
        <f aca="false">IF(N172="not found","not in hayday.info",IF(G172="","no Fandom value",IF(N172=G172,"match","differs")))</f>
        <v>match</v>
      </c>
      <c r="P172" s="10" t="str">
        <f aca="false">IF(J172="not found","not in hayday.info",IF(C172="","no Fandom value",IF(IFERROR(INDEX(hayday_info!$C$2:$C$349,MATCH($A172,hayday_info!$A$2:$A$349,0)),"not found")=C172,"match","differs")))</f>
        <v>match</v>
      </c>
    </row>
    <row r="173" customFormat="false" ht="15" hidden="false" customHeight="true" outlineLevel="0" collapsed="false">
      <c r="A173" s="10" t="s">
        <v>189</v>
      </c>
      <c r="B173" s="10" t="s">
        <v>190</v>
      </c>
      <c r="C173" s="11" t="n">
        <v>81</v>
      </c>
      <c r="D173" s="11" t="n">
        <v>25</v>
      </c>
      <c r="E173" s="11" t="n">
        <v>21</v>
      </c>
      <c r="F173" s="13" t="n">
        <v>626</v>
      </c>
      <c r="G173" s="11" t="n">
        <v>74</v>
      </c>
      <c r="H173" s="10"/>
      <c r="I173" s="10" t="s">
        <v>738</v>
      </c>
      <c r="J173" s="17" t="n">
        <f aca="false">IFERROR(INDEX(hayday_info!$D$2:$D$349,MATCH($A173,hayday_info!$A$2:$A$349,0)),"not found")</f>
        <v>21</v>
      </c>
      <c r="K173" s="10" t="str">
        <f aca="false">IF(J173="not found","not in hayday.info",IF(J173=E173,"matches mastered",IF(J173=D173,"matches normal","differs")))</f>
        <v>matches mastered</v>
      </c>
      <c r="L173" s="18" t="n">
        <f aca="false">IFERROR(INDEX(hayday_info!$E$2:$E$349,MATCH($A173,hayday_info!$A$2:$A$349,0)),"not found")</f>
        <v>626</v>
      </c>
      <c r="M173" s="10" t="str">
        <f aca="false">IF(L173="not found","not in hayday.info",IF(F173="","no Fandom value",IF(L173=F173,"match","differs")))</f>
        <v>match</v>
      </c>
      <c r="N173" s="10" t="n">
        <f aca="false">IFERROR(INDEX(hayday_info!$F$2:$F$349,MATCH($A173,hayday_info!$A$2:$A$349,0)),"not found")</f>
        <v>74</v>
      </c>
      <c r="O173" s="10" t="str">
        <f aca="false">IF(N173="not found","not in hayday.info",IF(G173="","no Fandom value",IF(N173=G173,"match","differs")))</f>
        <v>match</v>
      </c>
      <c r="P173" s="10" t="str">
        <f aca="false">IF(J173="not found","not in hayday.info",IF(C173="","no Fandom value",IF(IFERROR(INDEX(hayday_info!$C$2:$C$349,MATCH($A173,hayday_info!$A$2:$A$349,0)),"not found")=C173,"match","differs")))</f>
        <v>match</v>
      </c>
    </row>
    <row r="174" customFormat="false" ht="15" hidden="false" customHeight="true" outlineLevel="0" collapsed="false">
      <c r="A174" s="10" t="s">
        <v>192</v>
      </c>
      <c r="B174" s="10" t="s">
        <v>190</v>
      </c>
      <c r="C174" s="11" t="n">
        <v>86</v>
      </c>
      <c r="D174" s="11" t="n">
        <v>30</v>
      </c>
      <c r="E174" s="11" t="n">
        <v>25</v>
      </c>
      <c r="F174" s="13" t="n">
        <v>507</v>
      </c>
      <c r="G174" s="11" t="n">
        <v>60</v>
      </c>
      <c r="H174" s="10"/>
      <c r="I174" s="10" t="s">
        <v>738</v>
      </c>
      <c r="J174" s="17" t="n">
        <f aca="false">IFERROR(INDEX(hayday_info!$D$2:$D$349,MATCH($A174,hayday_info!$A$2:$A$349,0)),"not found")</f>
        <v>25</v>
      </c>
      <c r="K174" s="10" t="str">
        <f aca="false">IF(J174="not found","not in hayday.info",IF(J174=E174,"matches mastered",IF(J174=D174,"matches normal","differs")))</f>
        <v>matches mastered</v>
      </c>
      <c r="L174" s="18" t="n">
        <f aca="false">IFERROR(INDEX(hayday_info!$E$2:$E$349,MATCH($A174,hayday_info!$A$2:$A$349,0)),"not found")</f>
        <v>507</v>
      </c>
      <c r="M174" s="10" t="str">
        <f aca="false">IF(L174="not found","not in hayday.info",IF(F174="","no Fandom value",IF(L174=F174,"match","differs")))</f>
        <v>match</v>
      </c>
      <c r="N174" s="10" t="n">
        <f aca="false">IFERROR(INDEX(hayday_info!$F$2:$F$349,MATCH($A174,hayday_info!$A$2:$A$349,0)),"not found")</f>
        <v>60</v>
      </c>
      <c r="O174" s="10" t="str">
        <f aca="false">IF(N174="not found","not in hayday.info",IF(G174="","no Fandom value",IF(N174=G174,"match","differs")))</f>
        <v>match</v>
      </c>
      <c r="P174" s="10" t="str">
        <f aca="false">IF(J174="not found","not in hayday.info",IF(C174="","no Fandom value",IF(IFERROR(INDEX(hayday_info!$C$2:$C$349,MATCH($A174,hayday_info!$A$2:$A$349,0)),"not found")=C174,"match","differs")))</f>
        <v>match</v>
      </c>
    </row>
    <row r="175" customFormat="false" ht="15" hidden="false" customHeight="true" outlineLevel="0" collapsed="false">
      <c r="A175" s="10" t="s">
        <v>193</v>
      </c>
      <c r="B175" s="10" t="s">
        <v>190</v>
      </c>
      <c r="C175" s="11" t="n">
        <v>91</v>
      </c>
      <c r="D175" s="11" t="n">
        <v>20</v>
      </c>
      <c r="E175" s="11" t="n">
        <v>17</v>
      </c>
      <c r="F175" s="13" t="n">
        <v>493</v>
      </c>
      <c r="G175" s="11" t="n">
        <v>59</v>
      </c>
      <c r="H175" s="10"/>
      <c r="I175" s="10" t="s">
        <v>738</v>
      </c>
      <c r="J175" s="17" t="n">
        <f aca="false">IFERROR(INDEX(hayday_info!$D$2:$D$349,MATCH($A175,hayday_info!$A$2:$A$349,0)),"not found")</f>
        <v>17</v>
      </c>
      <c r="K175" s="10" t="str">
        <f aca="false">IF(J175="not found","not in hayday.info",IF(J175=E175,"matches mastered",IF(J175=D175,"matches normal","differs")))</f>
        <v>matches mastered</v>
      </c>
      <c r="L175" s="18" t="n">
        <f aca="false">IFERROR(INDEX(hayday_info!$E$2:$E$349,MATCH($A175,hayday_info!$A$2:$A$349,0)),"not found")</f>
        <v>493</v>
      </c>
      <c r="M175" s="10" t="str">
        <f aca="false">IF(L175="not found","not in hayday.info",IF(F175="","no Fandom value",IF(L175=F175,"match","differs")))</f>
        <v>match</v>
      </c>
      <c r="N175" s="10" t="n">
        <f aca="false">IFERROR(INDEX(hayday_info!$F$2:$F$349,MATCH($A175,hayday_info!$A$2:$A$349,0)),"not found")</f>
        <v>59</v>
      </c>
      <c r="O175" s="10" t="str">
        <f aca="false">IF(N175="not found","not in hayday.info",IF(G175="","no Fandom value",IF(N175=G175,"match","differs")))</f>
        <v>match</v>
      </c>
      <c r="P175" s="10" t="str">
        <f aca="false">IF(J175="not found","not in hayday.info",IF(C175="","no Fandom value",IF(IFERROR(INDEX(hayday_info!$C$2:$C$349,MATCH($A175,hayday_info!$A$2:$A$349,0)),"not found")=C175,"match","differs")))</f>
        <v>match</v>
      </c>
    </row>
    <row r="176" customFormat="false" ht="15" hidden="false" customHeight="true" outlineLevel="0" collapsed="false">
      <c r="A176" s="10" t="s">
        <v>160</v>
      </c>
      <c r="B176" s="10" t="s">
        <v>161</v>
      </c>
      <c r="C176" s="11" t="n">
        <v>76</v>
      </c>
      <c r="D176" s="11" t="n">
        <v>15</v>
      </c>
      <c r="E176" s="11" t="n">
        <v>12</v>
      </c>
      <c r="F176" s="13" t="n">
        <v>129</v>
      </c>
      <c r="G176" s="11" t="n">
        <v>15</v>
      </c>
      <c r="H176" s="10"/>
      <c r="I176" s="10" t="s">
        <v>739</v>
      </c>
      <c r="J176" s="17" t="n">
        <f aca="false">IFERROR(INDEX(hayday_info!$D$2:$D$349,MATCH($A176,hayday_info!$A$2:$A$349,0)),"not found")</f>
        <v>12</v>
      </c>
      <c r="K176" s="10" t="str">
        <f aca="false">IF(J176="not found","not in hayday.info",IF(J176=E176,"matches mastered",IF(J176=D176,"matches normal","differs")))</f>
        <v>matches mastered</v>
      </c>
      <c r="L176" s="18" t="n">
        <f aca="false">IFERROR(INDEX(hayday_info!$E$2:$E$349,MATCH($A176,hayday_info!$A$2:$A$349,0)),"not found")</f>
        <v>129</v>
      </c>
      <c r="M176" s="10" t="str">
        <f aca="false">IF(L176="not found","not in hayday.info",IF(F176="","no Fandom value",IF(L176=F176,"match","differs")))</f>
        <v>match</v>
      </c>
      <c r="N176" s="10" t="n">
        <f aca="false">IFERROR(INDEX(hayday_info!$F$2:$F$349,MATCH($A176,hayday_info!$A$2:$A$349,0)),"not found")</f>
        <v>15</v>
      </c>
      <c r="O176" s="10" t="str">
        <f aca="false">IF(N176="not found","not in hayday.info",IF(G176="","no Fandom value",IF(N176=G176,"match","differs")))</f>
        <v>match</v>
      </c>
      <c r="P176" s="10" t="str">
        <f aca="false">IF(J176="not found","not in hayday.info",IF(C176="","no Fandom value",IF(IFERROR(INDEX(hayday_info!$C$2:$C$349,MATCH($A176,hayday_info!$A$2:$A$349,0)),"not found")=C176,"match","differs")))</f>
        <v>match</v>
      </c>
    </row>
    <row r="177" customFormat="false" ht="15" hidden="false" customHeight="true" outlineLevel="0" collapsed="false">
      <c r="A177" s="10" t="s">
        <v>163</v>
      </c>
      <c r="B177" s="10" t="s">
        <v>161</v>
      </c>
      <c r="C177" s="11" t="n">
        <v>79</v>
      </c>
      <c r="D177" s="11" t="n">
        <v>20</v>
      </c>
      <c r="E177" s="11" t="n">
        <v>17</v>
      </c>
      <c r="F177" s="13" t="n">
        <v>313</v>
      </c>
      <c r="G177" s="11" t="n">
        <v>37</v>
      </c>
      <c r="H177" s="10"/>
      <c r="I177" s="10" t="s">
        <v>739</v>
      </c>
      <c r="J177" s="17" t="n">
        <f aca="false">IFERROR(INDEX(hayday_info!$D$2:$D$349,MATCH($A177,hayday_info!$A$2:$A$349,0)),"not found")</f>
        <v>17</v>
      </c>
      <c r="K177" s="10" t="str">
        <f aca="false">IF(J177="not found","not in hayday.info",IF(J177=E177,"matches mastered",IF(J177=D177,"matches normal","differs")))</f>
        <v>matches mastered</v>
      </c>
      <c r="L177" s="18" t="n">
        <f aca="false">IFERROR(INDEX(hayday_info!$E$2:$E$349,MATCH($A177,hayday_info!$A$2:$A$349,0)),"not found")</f>
        <v>313</v>
      </c>
      <c r="M177" s="10" t="str">
        <f aca="false">IF(L177="not found","not in hayday.info",IF(F177="","no Fandom value",IF(L177=F177,"match","differs")))</f>
        <v>match</v>
      </c>
      <c r="N177" s="10" t="n">
        <f aca="false">IFERROR(INDEX(hayday_info!$F$2:$F$349,MATCH($A177,hayday_info!$A$2:$A$349,0)),"not found")</f>
        <v>37</v>
      </c>
      <c r="O177" s="10" t="str">
        <f aca="false">IF(N177="not found","not in hayday.info",IF(G177="","no Fandom value",IF(N177=G177,"match","differs")))</f>
        <v>match</v>
      </c>
      <c r="P177" s="10" t="str">
        <f aca="false">IF(J177="not found","not in hayday.info",IF(C177="","no Fandom value",IF(IFERROR(INDEX(hayday_info!$C$2:$C$349,MATCH($A177,hayday_info!$A$2:$A$349,0)),"not found")=C177,"match","differs")))</f>
        <v>match</v>
      </c>
    </row>
    <row r="178" customFormat="false" ht="15" hidden="false" customHeight="true" outlineLevel="0" collapsed="false">
      <c r="A178" s="10" t="s">
        <v>164</v>
      </c>
      <c r="B178" s="10" t="s">
        <v>161</v>
      </c>
      <c r="C178" s="11" t="n">
        <v>82</v>
      </c>
      <c r="D178" s="11" t="n">
        <v>30</v>
      </c>
      <c r="E178" s="11" t="n">
        <v>25</v>
      </c>
      <c r="F178" s="13" t="n">
        <v>594</v>
      </c>
      <c r="G178" s="11" t="n">
        <v>71</v>
      </c>
      <c r="H178" s="10"/>
      <c r="I178" s="10" t="s">
        <v>739</v>
      </c>
      <c r="J178" s="17" t="n">
        <f aca="false">IFERROR(INDEX(hayday_info!$D$2:$D$349,MATCH($A178,hayday_info!$A$2:$A$349,0)),"not found")</f>
        <v>25</v>
      </c>
      <c r="K178" s="10" t="str">
        <f aca="false">IF(J178="not found","not in hayday.info",IF(J178=E178,"matches mastered",IF(J178=D178,"matches normal","differs")))</f>
        <v>matches mastered</v>
      </c>
      <c r="L178" s="18" t="n">
        <f aca="false">IFERROR(INDEX(hayday_info!$E$2:$E$349,MATCH($A178,hayday_info!$A$2:$A$349,0)),"not found")</f>
        <v>594</v>
      </c>
      <c r="M178" s="10" t="str">
        <f aca="false">IF(L178="not found","not in hayday.info",IF(F178="","no Fandom value",IF(L178=F178,"match","differs")))</f>
        <v>match</v>
      </c>
      <c r="N178" s="10" t="n">
        <f aca="false">IFERROR(INDEX(hayday_info!$F$2:$F$349,MATCH($A178,hayday_info!$A$2:$A$349,0)),"not found")</f>
        <v>71</v>
      </c>
      <c r="O178" s="10" t="str">
        <f aca="false">IF(N178="not found","not in hayday.info",IF(G178="","no Fandom value",IF(N178=G178,"match","differs")))</f>
        <v>match</v>
      </c>
      <c r="P178" s="10" t="str">
        <f aca="false">IF(J178="not found","not in hayday.info",IF(C178="","no Fandom value",IF(IFERROR(INDEX(hayday_info!$C$2:$C$349,MATCH($A178,hayday_info!$A$2:$A$349,0)),"not found")=C178,"match","differs")))</f>
        <v>match</v>
      </c>
    </row>
    <row r="179" customFormat="false" ht="15" hidden="false" customHeight="true" outlineLevel="0" collapsed="false">
      <c r="A179" s="10" t="s">
        <v>165</v>
      </c>
      <c r="B179" s="10" t="s">
        <v>161</v>
      </c>
      <c r="C179" s="11" t="n">
        <v>86</v>
      </c>
      <c r="D179" s="11" t="n">
        <v>25</v>
      </c>
      <c r="E179" s="11" t="n">
        <v>21</v>
      </c>
      <c r="F179" s="13" t="n">
        <v>230</v>
      </c>
      <c r="G179" s="11" t="n">
        <v>27</v>
      </c>
      <c r="H179" s="10"/>
      <c r="I179" s="10" t="s">
        <v>739</v>
      </c>
      <c r="J179" s="17" t="n">
        <f aca="false">IFERROR(INDEX(hayday_info!$D$2:$D$349,MATCH($A179,hayday_info!$A$2:$A$349,0)),"not found")</f>
        <v>21</v>
      </c>
      <c r="K179" s="10" t="str">
        <f aca="false">IF(J179="not found","not in hayday.info",IF(J179=E179,"matches mastered",IF(J179=D179,"matches normal","differs")))</f>
        <v>matches mastered</v>
      </c>
      <c r="L179" s="18" t="n">
        <f aca="false">IFERROR(INDEX(hayday_info!$E$2:$E$349,MATCH($A179,hayday_info!$A$2:$A$349,0)),"not found")</f>
        <v>230</v>
      </c>
      <c r="M179" s="10" t="str">
        <f aca="false">IF(L179="not found","not in hayday.info",IF(F179="","no Fandom value",IF(L179=F179,"match","differs")))</f>
        <v>match</v>
      </c>
      <c r="N179" s="10" t="n">
        <f aca="false">IFERROR(INDEX(hayday_info!$F$2:$F$349,MATCH($A179,hayday_info!$A$2:$A$349,0)),"not found")</f>
        <v>27</v>
      </c>
      <c r="O179" s="10" t="str">
        <f aca="false">IF(N179="not found","not in hayday.info",IF(G179="","no Fandom value",IF(N179=G179,"match","differs")))</f>
        <v>match</v>
      </c>
      <c r="P179" s="10" t="str">
        <f aca="false">IF(J179="not found","not in hayday.info",IF(C179="","no Fandom value",IF(IFERROR(INDEX(hayday_info!$C$2:$C$349,MATCH($A179,hayday_info!$A$2:$A$349,0)),"not found")=C179,"match","differs")))</f>
        <v>match</v>
      </c>
    </row>
    <row r="180" customFormat="false" ht="15" hidden="false" customHeight="true" outlineLevel="0" collapsed="false">
      <c r="A180" s="10" t="s">
        <v>166</v>
      </c>
      <c r="B180" s="10" t="s">
        <v>161</v>
      </c>
      <c r="C180" s="11" t="n">
        <v>88</v>
      </c>
      <c r="D180" s="11" t="n">
        <v>30</v>
      </c>
      <c r="E180" s="11" t="n">
        <v>25</v>
      </c>
      <c r="F180" s="13" t="n">
        <v>388</v>
      </c>
      <c r="G180" s="11" t="n">
        <v>46</v>
      </c>
      <c r="H180" s="10"/>
      <c r="I180" s="10" t="s">
        <v>739</v>
      </c>
      <c r="J180" s="17" t="n">
        <f aca="false">IFERROR(INDEX(hayday_info!$D$2:$D$349,MATCH($A180,hayday_info!$A$2:$A$349,0)),"not found")</f>
        <v>25</v>
      </c>
      <c r="K180" s="10" t="str">
        <f aca="false">IF(J180="not found","not in hayday.info",IF(J180=E180,"matches mastered",IF(J180=D180,"matches normal","differs")))</f>
        <v>matches mastered</v>
      </c>
      <c r="L180" s="18" t="n">
        <f aca="false">IFERROR(INDEX(hayday_info!$E$2:$E$349,MATCH($A180,hayday_info!$A$2:$A$349,0)),"not found")</f>
        <v>388</v>
      </c>
      <c r="M180" s="10" t="str">
        <f aca="false">IF(L180="not found","not in hayday.info",IF(F180="","no Fandom value",IF(L180=F180,"match","differs")))</f>
        <v>match</v>
      </c>
      <c r="N180" s="10" t="n">
        <f aca="false">IFERROR(INDEX(hayday_info!$F$2:$F$349,MATCH($A180,hayday_info!$A$2:$A$349,0)),"not found")</f>
        <v>46</v>
      </c>
      <c r="O180" s="10" t="str">
        <f aca="false">IF(N180="not found","not in hayday.info",IF(G180="","no Fandom value",IF(N180=G180,"match","differs")))</f>
        <v>match</v>
      </c>
      <c r="P180" s="10" t="str">
        <f aca="false">IF(J180="not found","not in hayday.info",IF(C180="","no Fandom value",IF(IFERROR(INDEX(hayday_info!$C$2:$C$349,MATCH($A180,hayday_info!$A$2:$A$349,0)),"not found")=C180,"match","differs")))</f>
        <v>match</v>
      </c>
    </row>
    <row r="181" customFormat="false" ht="15" hidden="false" customHeight="true" outlineLevel="0" collapsed="false">
      <c r="A181" s="10" t="s">
        <v>167</v>
      </c>
      <c r="B181" s="10" t="s">
        <v>161</v>
      </c>
      <c r="C181" s="11" t="n">
        <v>93</v>
      </c>
      <c r="D181" s="11" t="n">
        <v>35</v>
      </c>
      <c r="E181" s="11" t="n">
        <v>29</v>
      </c>
      <c r="F181" s="13" t="n">
        <v>403</v>
      </c>
      <c r="G181" s="11" t="n">
        <v>48</v>
      </c>
      <c r="H181" s="10"/>
      <c r="I181" s="10" t="s">
        <v>739</v>
      </c>
      <c r="J181" s="17" t="n">
        <f aca="false">IFERROR(INDEX(hayday_info!$D$2:$D$349,MATCH($A181,hayday_info!$A$2:$A$349,0)),"not found")</f>
        <v>29</v>
      </c>
      <c r="K181" s="10" t="str">
        <f aca="false">IF(J181="not found","not in hayday.info",IF(J181=E181,"matches mastered",IF(J181=D181,"matches normal","differs")))</f>
        <v>matches mastered</v>
      </c>
      <c r="L181" s="18" t="n">
        <f aca="false">IFERROR(INDEX(hayday_info!$E$2:$E$349,MATCH($A181,hayday_info!$A$2:$A$349,0)),"not found")</f>
        <v>403</v>
      </c>
      <c r="M181" s="10" t="str">
        <f aca="false">IF(L181="not found","not in hayday.info",IF(F181="","no Fandom value",IF(L181=F181,"match","differs")))</f>
        <v>match</v>
      </c>
      <c r="N181" s="10" t="n">
        <f aca="false">IFERROR(INDEX(hayday_info!$F$2:$F$349,MATCH($A181,hayday_info!$A$2:$A$349,0)),"not found")</f>
        <v>48</v>
      </c>
      <c r="O181" s="10" t="str">
        <f aca="false">IF(N181="not found","not in hayday.info",IF(G181="","no Fandom value",IF(N181=G181,"match","differs")))</f>
        <v>match</v>
      </c>
      <c r="P181" s="10" t="str">
        <f aca="false">IF(J181="not found","not in hayday.info",IF(C181="","no Fandom value",IF(IFERROR(INDEX(hayday_info!$C$2:$C$349,MATCH($A181,hayday_info!$A$2:$A$349,0)),"not found")=C181,"match","differs")))</f>
        <v>match</v>
      </c>
    </row>
    <row r="182" customFormat="false" ht="15" hidden="false" customHeight="true" outlineLevel="0" collapsed="false">
      <c r="A182" s="10" t="s">
        <v>96</v>
      </c>
      <c r="B182" s="10" t="s">
        <v>97</v>
      </c>
      <c r="C182" s="11" t="n">
        <v>42</v>
      </c>
      <c r="D182" s="11" t="n">
        <v>5</v>
      </c>
      <c r="E182" s="11" t="n">
        <v>4</v>
      </c>
      <c r="F182" s="13" t="n">
        <v>248</v>
      </c>
      <c r="G182" s="11" t="n">
        <v>29</v>
      </c>
      <c r="H182" s="10"/>
      <c r="I182" s="10" t="s">
        <v>740</v>
      </c>
      <c r="J182" s="17" t="n">
        <f aca="false">IFERROR(INDEX(hayday_info!$D$2:$D$349,MATCH($A182,hayday_info!$A$2:$A$349,0)),"not found")</f>
        <v>4</v>
      </c>
      <c r="K182" s="10" t="str">
        <f aca="false">IF(J182="not found","not in hayday.info",IF(J182=E182,"matches mastered",IF(J182=D182,"matches normal","differs")))</f>
        <v>matches mastered</v>
      </c>
      <c r="L182" s="18" t="n">
        <f aca="false">IFERROR(INDEX(hayday_info!$E$2:$E$349,MATCH($A182,hayday_info!$A$2:$A$349,0)),"not found")</f>
        <v>248</v>
      </c>
      <c r="M182" s="10" t="str">
        <f aca="false">IF(L182="not found","not in hayday.info",IF(F182="","no Fandom value",IF(L182=F182,"match","differs")))</f>
        <v>match</v>
      </c>
      <c r="N182" s="10" t="n">
        <f aca="false">IFERROR(INDEX(hayday_info!$F$2:$F$349,MATCH($A182,hayday_info!$A$2:$A$349,0)),"not found")</f>
        <v>29</v>
      </c>
      <c r="O182" s="10" t="str">
        <f aca="false">IF(N182="not found","not in hayday.info",IF(G182="","no Fandom value",IF(N182=G182,"match","differs")))</f>
        <v>match</v>
      </c>
      <c r="P182" s="10" t="str">
        <f aca="false">IF(J182="not found","not in hayday.info",IF(C182="","no Fandom value",IF(IFERROR(INDEX(hayday_info!$C$2:$C$349,MATCH($A182,hayday_info!$A$2:$A$349,0)),"not found")=C182,"match","differs")))</f>
        <v>match</v>
      </c>
    </row>
    <row r="183" customFormat="false" ht="15" hidden="false" customHeight="true" outlineLevel="0" collapsed="false">
      <c r="A183" s="10" t="s">
        <v>511</v>
      </c>
      <c r="B183" s="10" t="s">
        <v>97</v>
      </c>
      <c r="C183" s="11" t="n">
        <v>43</v>
      </c>
      <c r="D183" s="11" t="n">
        <v>10</v>
      </c>
      <c r="E183" s="11" t="n">
        <v>8</v>
      </c>
      <c r="F183" s="13" t="n">
        <v>219</v>
      </c>
      <c r="G183" s="11" t="n">
        <v>26</v>
      </c>
      <c r="H183" s="10"/>
      <c r="I183" s="10" t="s">
        <v>740</v>
      </c>
      <c r="J183" s="17" t="n">
        <f aca="false">IFERROR(INDEX(hayday_info!$D$2:$D$349,MATCH($A183,hayday_info!$A$2:$A$349,0)),"not found")</f>
        <v>8</v>
      </c>
      <c r="K183" s="10" t="str">
        <f aca="false">IF(J183="not found","not in hayday.info",IF(J183=E183,"matches mastered",IF(J183=D183,"matches normal","differs")))</f>
        <v>matches mastered</v>
      </c>
      <c r="L183" s="18" t="n">
        <f aca="false">IFERROR(INDEX(hayday_info!$E$2:$E$349,MATCH($A183,hayday_info!$A$2:$A$349,0)),"not found")</f>
        <v>219</v>
      </c>
      <c r="M183" s="10" t="str">
        <f aca="false">IF(L183="not found","not in hayday.info",IF(F183="","no Fandom value",IF(L183=F183,"match","differs")))</f>
        <v>match</v>
      </c>
      <c r="N183" s="10" t="n">
        <f aca="false">IFERROR(INDEX(hayday_info!$F$2:$F$349,MATCH($A183,hayday_info!$A$2:$A$349,0)),"not found")</f>
        <v>26</v>
      </c>
      <c r="O183" s="10" t="str">
        <f aca="false">IF(N183="not found","not in hayday.info",IF(G183="","no Fandom value",IF(N183=G183,"match","differs")))</f>
        <v>match</v>
      </c>
      <c r="P183" s="10" t="str">
        <f aca="false">IF(J183="not found","not in hayday.info",IF(C183="","no Fandom value",IF(IFERROR(INDEX(hayday_info!$C$2:$C$349,MATCH($A183,hayday_info!$A$2:$A$349,0)),"not found")=C183,"match","differs")))</f>
        <v>match</v>
      </c>
    </row>
    <row r="184" customFormat="false" ht="15" hidden="false" customHeight="true" outlineLevel="0" collapsed="false">
      <c r="A184" s="10" t="s">
        <v>512</v>
      </c>
      <c r="B184" s="10" t="s">
        <v>97</v>
      </c>
      <c r="C184" s="11" t="n">
        <v>45</v>
      </c>
      <c r="D184" s="11" t="n">
        <v>15</v>
      </c>
      <c r="E184" s="11" t="n">
        <v>12</v>
      </c>
      <c r="F184" s="13" t="n">
        <v>291</v>
      </c>
      <c r="G184" s="11" t="n">
        <v>35</v>
      </c>
      <c r="H184" s="10"/>
      <c r="I184" s="10" t="s">
        <v>740</v>
      </c>
      <c r="J184" s="17" t="n">
        <f aca="false">IFERROR(INDEX(hayday_info!$D$2:$D$349,MATCH($A184,hayday_info!$A$2:$A$349,0)),"not found")</f>
        <v>12</v>
      </c>
      <c r="K184" s="10" t="str">
        <f aca="false">IF(J184="not found","not in hayday.info",IF(J184=E184,"matches mastered",IF(J184=D184,"matches normal","differs")))</f>
        <v>matches mastered</v>
      </c>
      <c r="L184" s="18" t="n">
        <f aca="false">IFERROR(INDEX(hayday_info!$E$2:$E$349,MATCH($A184,hayday_info!$A$2:$A$349,0)),"not found")</f>
        <v>291</v>
      </c>
      <c r="M184" s="10" t="str">
        <f aca="false">IF(L184="not found","not in hayday.info",IF(F184="","no Fandom value",IF(L184=F184,"match","differs")))</f>
        <v>match</v>
      </c>
      <c r="N184" s="10" t="n">
        <f aca="false">IFERROR(INDEX(hayday_info!$F$2:$F$349,MATCH($A184,hayday_info!$A$2:$A$349,0)),"not found")</f>
        <v>35</v>
      </c>
      <c r="O184" s="10" t="str">
        <f aca="false">IF(N184="not found","not in hayday.info",IF(G184="","no Fandom value",IF(N184=G184,"match","differs")))</f>
        <v>match</v>
      </c>
      <c r="P184" s="10" t="str">
        <f aca="false">IF(J184="not found","not in hayday.info",IF(C184="","no Fandom value",IF(IFERROR(INDEX(hayday_info!$C$2:$C$349,MATCH($A184,hayday_info!$A$2:$A$349,0)),"not found")=C184,"match","differs")))</f>
        <v>match</v>
      </c>
    </row>
    <row r="185" customFormat="false" ht="15" hidden="false" customHeight="true" outlineLevel="0" collapsed="false">
      <c r="A185" s="10" t="s">
        <v>513</v>
      </c>
      <c r="B185" s="10" t="s">
        <v>97</v>
      </c>
      <c r="C185" s="11" t="n">
        <v>46</v>
      </c>
      <c r="D185" s="11" t="n">
        <v>30</v>
      </c>
      <c r="E185" s="11" t="n">
        <v>25</v>
      </c>
      <c r="F185" s="13" t="n">
        <v>259</v>
      </c>
      <c r="G185" s="11" t="n">
        <v>31</v>
      </c>
      <c r="H185" s="10"/>
      <c r="I185" s="10" t="s">
        <v>740</v>
      </c>
      <c r="J185" s="17" t="n">
        <f aca="false">IFERROR(INDEX(hayday_info!$D$2:$D$349,MATCH($A185,hayday_info!$A$2:$A$349,0)),"not found")</f>
        <v>25</v>
      </c>
      <c r="K185" s="10" t="str">
        <f aca="false">IF(J185="not found","not in hayday.info",IF(J185=E185,"matches mastered",IF(J185=D185,"matches normal","differs")))</f>
        <v>matches mastered</v>
      </c>
      <c r="L185" s="18" t="n">
        <f aca="false">IFERROR(INDEX(hayday_info!$E$2:$E$349,MATCH($A185,hayday_info!$A$2:$A$349,0)),"not found")</f>
        <v>259</v>
      </c>
      <c r="M185" s="10" t="str">
        <f aca="false">IF(L185="not found","not in hayday.info",IF(F185="","no Fandom value",IF(L185=F185,"match","differs")))</f>
        <v>match</v>
      </c>
      <c r="N185" s="10" t="n">
        <f aca="false">IFERROR(INDEX(hayday_info!$F$2:$F$349,MATCH($A185,hayday_info!$A$2:$A$349,0)),"not found")</f>
        <v>31</v>
      </c>
      <c r="O185" s="10" t="str">
        <f aca="false">IF(N185="not found","not in hayday.info",IF(G185="","no Fandom value",IF(N185=G185,"match","differs")))</f>
        <v>match</v>
      </c>
      <c r="P185" s="10" t="str">
        <f aca="false">IF(J185="not found","not in hayday.info",IF(C185="","no Fandom value",IF(IFERROR(INDEX(hayday_info!$C$2:$C$349,MATCH($A185,hayday_info!$A$2:$A$349,0)),"not found")=C185,"match","differs")))</f>
        <v>match</v>
      </c>
    </row>
    <row r="186" customFormat="false" ht="15" hidden="false" customHeight="true" outlineLevel="0" collapsed="false">
      <c r="A186" s="10" t="s">
        <v>514</v>
      </c>
      <c r="B186" s="10" t="s">
        <v>97</v>
      </c>
      <c r="C186" s="11" t="n">
        <v>47</v>
      </c>
      <c r="D186" s="11" t="n">
        <v>25</v>
      </c>
      <c r="E186" s="11" t="n">
        <v>21</v>
      </c>
      <c r="F186" s="13" t="n">
        <v>316</v>
      </c>
      <c r="G186" s="11" t="n">
        <v>32</v>
      </c>
      <c r="H186" s="10"/>
      <c r="I186" s="10" t="s">
        <v>740</v>
      </c>
      <c r="J186" s="17" t="n">
        <f aca="false">IFERROR(INDEX(hayday_info!$D$2:$D$349,MATCH($A186,hayday_info!$A$2:$A$349,0)),"not found")</f>
        <v>21</v>
      </c>
      <c r="K186" s="10" t="str">
        <f aca="false">IF(J186="not found","not in hayday.info",IF(J186=E186,"matches mastered",IF(J186=D186,"matches normal","differs")))</f>
        <v>matches mastered</v>
      </c>
      <c r="L186" s="18" t="n">
        <f aca="false">IFERROR(INDEX(hayday_info!$E$2:$E$349,MATCH($A186,hayday_info!$A$2:$A$349,0)),"not found")</f>
        <v>316</v>
      </c>
      <c r="M186" s="10" t="str">
        <f aca="false">IF(L186="not found","not in hayday.info",IF(F186="","no Fandom value",IF(L186=F186,"match","differs")))</f>
        <v>match</v>
      </c>
      <c r="N186" s="10" t="n">
        <f aca="false">IFERROR(INDEX(hayday_info!$F$2:$F$349,MATCH($A186,hayday_info!$A$2:$A$349,0)),"not found")</f>
        <v>38</v>
      </c>
      <c r="O186" s="10" t="str">
        <f aca="false">IF(N186="not found","not in hayday.info",IF(G186="","no Fandom value",IF(N186=G186,"match","differs")))</f>
        <v>differs</v>
      </c>
      <c r="P186" s="10" t="str">
        <f aca="false">IF(J186="not found","not in hayday.info",IF(C186="","no Fandom value",IF(IFERROR(INDEX(hayday_info!$C$2:$C$349,MATCH($A186,hayday_info!$A$2:$A$349,0)),"not found")=C186,"match","differs")))</f>
        <v>match</v>
      </c>
    </row>
    <row r="187" customFormat="false" ht="15" hidden="false" customHeight="true" outlineLevel="0" collapsed="false">
      <c r="A187" s="10" t="s">
        <v>515</v>
      </c>
      <c r="B187" s="10" t="s">
        <v>97</v>
      </c>
      <c r="C187" s="11" t="n">
        <v>62</v>
      </c>
      <c r="D187" s="11" t="n">
        <v>15</v>
      </c>
      <c r="E187" s="11" t="n">
        <v>12</v>
      </c>
      <c r="F187" s="13" t="n">
        <v>345</v>
      </c>
      <c r="G187" s="11" t="n">
        <v>41</v>
      </c>
      <c r="H187" s="10"/>
      <c r="I187" s="10" t="s">
        <v>740</v>
      </c>
      <c r="J187" s="17" t="n">
        <f aca="false">IFERROR(INDEX(hayday_info!$D$2:$D$349,MATCH($A187,hayday_info!$A$2:$A$349,0)),"not found")</f>
        <v>12</v>
      </c>
      <c r="K187" s="10" t="str">
        <f aca="false">IF(J187="not found","not in hayday.info",IF(J187=E187,"matches mastered",IF(J187=D187,"matches normal","differs")))</f>
        <v>matches mastered</v>
      </c>
      <c r="L187" s="18" t="n">
        <f aca="false">IFERROR(INDEX(hayday_info!$E$2:$E$349,MATCH($A187,hayday_info!$A$2:$A$349,0)),"not found")</f>
        <v>345</v>
      </c>
      <c r="M187" s="10" t="str">
        <f aca="false">IF(L187="not found","not in hayday.info",IF(F187="","no Fandom value",IF(L187=F187,"match","differs")))</f>
        <v>match</v>
      </c>
      <c r="N187" s="10" t="n">
        <f aca="false">IFERROR(INDEX(hayday_info!$F$2:$F$349,MATCH($A187,hayday_info!$A$2:$A$349,0)),"not found")</f>
        <v>41</v>
      </c>
      <c r="O187" s="10" t="str">
        <f aca="false">IF(N187="not found","not in hayday.info",IF(G187="","no Fandom value",IF(N187=G187,"match","differs")))</f>
        <v>match</v>
      </c>
      <c r="P187" s="10" t="str">
        <f aca="false">IF(J187="not found","not in hayday.info",IF(C187="","no Fandom value",IF(IFERROR(INDEX(hayday_info!$C$2:$C$349,MATCH($A187,hayday_info!$A$2:$A$349,0)),"not found")=C187,"match","differs")))</f>
        <v>match</v>
      </c>
    </row>
    <row r="188" customFormat="false" ht="15" hidden="false" customHeight="true" outlineLevel="0" collapsed="false">
      <c r="A188" s="10" t="s">
        <v>516</v>
      </c>
      <c r="B188" s="10" t="s">
        <v>97</v>
      </c>
      <c r="C188" s="11" t="n">
        <v>88</v>
      </c>
      <c r="D188" s="11" t="n">
        <v>20</v>
      </c>
      <c r="E188" s="11" t="n">
        <v>17</v>
      </c>
      <c r="F188" s="13" t="n">
        <v>277</v>
      </c>
      <c r="G188" s="11" t="n">
        <v>33</v>
      </c>
      <c r="H188" s="10"/>
      <c r="I188" s="10" t="s">
        <v>740</v>
      </c>
      <c r="J188" s="17" t="n">
        <f aca="false">IFERROR(INDEX(hayday_info!$D$2:$D$349,MATCH($A188,hayday_info!$A$2:$A$349,0)),"not found")</f>
        <v>17</v>
      </c>
      <c r="K188" s="10" t="str">
        <f aca="false">IF(J188="not found","not in hayday.info",IF(J188=E188,"matches mastered",IF(J188=D188,"matches normal","differs")))</f>
        <v>matches mastered</v>
      </c>
      <c r="L188" s="18" t="n">
        <f aca="false">IFERROR(INDEX(hayday_info!$E$2:$E$349,MATCH($A188,hayday_info!$A$2:$A$349,0)),"not found")</f>
        <v>277</v>
      </c>
      <c r="M188" s="10" t="str">
        <f aca="false">IF(L188="not found","not in hayday.info",IF(F188="","no Fandom value",IF(L188=F188,"match","differs")))</f>
        <v>match</v>
      </c>
      <c r="N188" s="10" t="n">
        <f aca="false">IFERROR(INDEX(hayday_info!$F$2:$F$349,MATCH($A188,hayday_info!$A$2:$A$349,0)),"not found")</f>
        <v>33</v>
      </c>
      <c r="O188" s="10" t="str">
        <f aca="false">IF(N188="not found","not in hayday.info",IF(G188="","no Fandom value",IF(N188=G188,"match","differs")))</f>
        <v>match</v>
      </c>
      <c r="P188" s="10" t="str">
        <f aca="false">IF(J188="not found","not in hayday.info",IF(C188="","no Fandom value",IF(IFERROR(INDEX(hayday_info!$C$2:$C$349,MATCH($A188,hayday_info!$A$2:$A$349,0)),"not found")=C188,"match","differs")))</f>
        <v>match</v>
      </c>
    </row>
    <row r="189" customFormat="false" ht="15" hidden="false" customHeight="true" outlineLevel="0" collapsed="false">
      <c r="A189" s="10" t="s">
        <v>180</v>
      </c>
      <c r="B189" s="10" t="s">
        <v>181</v>
      </c>
      <c r="C189" s="11" t="n">
        <v>49</v>
      </c>
      <c r="D189" s="11" t="n">
        <v>45</v>
      </c>
      <c r="E189" s="11" t="n">
        <v>38</v>
      </c>
      <c r="F189" s="13" t="n">
        <v>208</v>
      </c>
      <c r="G189" s="11" t="n">
        <v>25</v>
      </c>
      <c r="H189" s="10"/>
      <c r="I189" s="10" t="s">
        <v>741</v>
      </c>
      <c r="J189" s="17" t="n">
        <f aca="false">IFERROR(INDEX(hayday_info!$D$2:$D$349,MATCH($A189,hayday_info!$A$2:$A$349,0)),"not found")</f>
        <v>38</v>
      </c>
      <c r="K189" s="10" t="str">
        <f aca="false">IF(J189="not found","not in hayday.info",IF(J189=E189,"matches mastered",IF(J189=D189,"matches normal","differs")))</f>
        <v>matches mastered</v>
      </c>
      <c r="L189" s="18" t="n">
        <f aca="false">IFERROR(INDEX(hayday_info!$E$2:$E$349,MATCH($A189,hayday_info!$A$2:$A$349,0)),"not found")</f>
        <v>208</v>
      </c>
      <c r="M189" s="10" t="str">
        <f aca="false">IF(L189="not found","not in hayday.info",IF(F189="","no Fandom value",IF(L189=F189,"match","differs")))</f>
        <v>match</v>
      </c>
      <c r="N189" s="10" t="n">
        <f aca="false">IFERROR(INDEX(hayday_info!$F$2:$F$349,MATCH($A189,hayday_info!$A$2:$A$349,0)),"not found")</f>
        <v>25</v>
      </c>
      <c r="O189" s="10" t="str">
        <f aca="false">IF(N189="not found","not in hayday.info",IF(G189="","no Fandom value",IF(N189=G189,"match","differs")))</f>
        <v>match</v>
      </c>
      <c r="P189" s="10" t="str">
        <f aca="false">IF(J189="not found","not in hayday.info",IF(C189="","no Fandom value",IF(IFERROR(INDEX(hayday_info!$C$2:$C$349,MATCH($A189,hayday_info!$A$2:$A$349,0)),"not found")=C189,"match","differs")))</f>
        <v>match</v>
      </c>
    </row>
    <row r="190" customFormat="false" ht="15" hidden="false" customHeight="true" outlineLevel="0" collapsed="false">
      <c r="A190" s="10" t="s">
        <v>183</v>
      </c>
      <c r="B190" s="10" t="s">
        <v>181</v>
      </c>
      <c r="C190" s="11" t="n">
        <v>65</v>
      </c>
      <c r="D190" s="11" t="n">
        <v>20</v>
      </c>
      <c r="E190" s="11" t="n">
        <v>17</v>
      </c>
      <c r="F190" s="13" t="n">
        <v>338</v>
      </c>
      <c r="G190" s="11" t="n">
        <v>40</v>
      </c>
      <c r="H190" s="10"/>
      <c r="I190" s="10" t="s">
        <v>741</v>
      </c>
      <c r="J190" s="17" t="n">
        <f aca="false">IFERROR(INDEX(hayday_info!$D$2:$D$349,MATCH($A190,hayday_info!$A$2:$A$349,0)),"not found")</f>
        <v>17</v>
      </c>
      <c r="K190" s="10" t="str">
        <f aca="false">IF(J190="not found","not in hayday.info",IF(J190=E190,"matches mastered",IF(J190=D190,"matches normal","differs")))</f>
        <v>matches mastered</v>
      </c>
      <c r="L190" s="18" t="n">
        <f aca="false">IFERROR(INDEX(hayday_info!$E$2:$E$349,MATCH($A190,hayday_info!$A$2:$A$349,0)),"not found")</f>
        <v>338</v>
      </c>
      <c r="M190" s="10" t="str">
        <f aca="false">IF(L190="not found","not in hayday.info",IF(F190="","no Fandom value",IF(L190=F190,"match","differs")))</f>
        <v>match</v>
      </c>
      <c r="N190" s="10" t="n">
        <f aca="false">IFERROR(INDEX(hayday_info!$F$2:$F$349,MATCH($A190,hayday_info!$A$2:$A$349,0)),"not found")</f>
        <v>40</v>
      </c>
      <c r="O190" s="10" t="str">
        <f aca="false">IF(N190="not found","not in hayday.info",IF(G190="","no Fandom value",IF(N190=G190,"match","differs")))</f>
        <v>match</v>
      </c>
      <c r="P190" s="10" t="str">
        <f aca="false">IF(J190="not found","not in hayday.info",IF(C190="","no Fandom value",IF(IFERROR(INDEX(hayday_info!$C$2:$C$349,MATCH($A190,hayday_info!$A$2:$A$349,0)),"not found")=C190,"match","differs")))</f>
        <v>match</v>
      </c>
    </row>
    <row r="191" customFormat="false" ht="15" hidden="false" customHeight="true" outlineLevel="0" collapsed="false">
      <c r="A191" s="10" t="s">
        <v>184</v>
      </c>
      <c r="B191" s="10" t="s">
        <v>181</v>
      </c>
      <c r="C191" s="11" t="n">
        <v>73</v>
      </c>
      <c r="D191" s="11" t="n">
        <v>40</v>
      </c>
      <c r="E191" s="11" t="n">
        <v>34</v>
      </c>
      <c r="F191" s="13" t="n">
        <v>500</v>
      </c>
      <c r="G191" s="11" t="n">
        <v>60</v>
      </c>
      <c r="H191" s="10"/>
      <c r="I191" s="10" t="s">
        <v>741</v>
      </c>
      <c r="J191" s="17" t="n">
        <f aca="false">IFERROR(INDEX(hayday_info!$D$2:$D$349,MATCH($A191,hayday_info!$A$2:$A$349,0)),"not found")</f>
        <v>34</v>
      </c>
      <c r="K191" s="10" t="str">
        <f aca="false">IF(J191="not found","not in hayday.info",IF(J191=E191,"matches mastered",IF(J191=D191,"matches normal","differs")))</f>
        <v>matches mastered</v>
      </c>
      <c r="L191" s="18" t="n">
        <f aca="false">IFERROR(INDEX(hayday_info!$E$2:$E$349,MATCH($A191,hayday_info!$A$2:$A$349,0)),"not found")</f>
        <v>500</v>
      </c>
      <c r="M191" s="10" t="str">
        <f aca="false">IF(L191="not found","not in hayday.info",IF(F191="","no Fandom value",IF(L191=F191,"match","differs")))</f>
        <v>match</v>
      </c>
      <c r="N191" s="10" t="n">
        <f aca="false">IFERROR(INDEX(hayday_info!$F$2:$F$349,MATCH($A191,hayday_info!$A$2:$A$349,0)),"not found")</f>
        <v>60</v>
      </c>
      <c r="O191" s="10" t="str">
        <f aca="false">IF(N191="not found","not in hayday.info",IF(G191="","no Fandom value",IF(N191=G191,"match","differs")))</f>
        <v>match</v>
      </c>
      <c r="P191" s="10" t="str">
        <f aca="false">IF(J191="not found","not in hayday.info",IF(C191="","no Fandom value",IF(IFERROR(INDEX(hayday_info!$C$2:$C$349,MATCH($A191,hayday_info!$A$2:$A$349,0)),"not found")=C191,"match","differs")))</f>
        <v>match</v>
      </c>
    </row>
    <row r="192" customFormat="false" ht="15" hidden="false" customHeight="true" outlineLevel="0" collapsed="false">
      <c r="A192" s="10" t="s">
        <v>185</v>
      </c>
      <c r="B192" s="10" t="s">
        <v>181</v>
      </c>
      <c r="C192" s="11" t="n">
        <v>90</v>
      </c>
      <c r="D192" s="11" t="n">
        <v>20</v>
      </c>
      <c r="E192" s="11" t="n">
        <v>17</v>
      </c>
      <c r="F192" s="13" t="n">
        <v>554</v>
      </c>
      <c r="G192" s="11" t="n">
        <v>66</v>
      </c>
      <c r="H192" s="10"/>
      <c r="I192" s="10" t="s">
        <v>741</v>
      </c>
      <c r="J192" s="17" t="n">
        <f aca="false">IFERROR(INDEX(hayday_info!$D$2:$D$349,MATCH($A192,hayday_info!$A$2:$A$349,0)),"not found")</f>
        <v>17</v>
      </c>
      <c r="K192" s="10" t="str">
        <f aca="false">IF(J192="not found","not in hayday.info",IF(J192=E192,"matches mastered",IF(J192=D192,"matches normal","differs")))</f>
        <v>matches mastered</v>
      </c>
      <c r="L192" s="18" t="n">
        <f aca="false">IFERROR(INDEX(hayday_info!$E$2:$E$349,MATCH($A192,hayday_info!$A$2:$A$349,0)),"not found")</f>
        <v>554</v>
      </c>
      <c r="M192" s="10" t="str">
        <f aca="false">IF(L192="not found","not in hayday.info",IF(F192="","no Fandom value",IF(L192=F192,"match","differs")))</f>
        <v>match</v>
      </c>
      <c r="N192" s="10" t="n">
        <f aca="false">IFERROR(INDEX(hayday_info!$F$2:$F$349,MATCH($A192,hayday_info!$A$2:$A$349,0)),"not found")</f>
        <v>66</v>
      </c>
      <c r="O192" s="10" t="str">
        <f aca="false">IF(N192="not found","not in hayday.info",IF(G192="","no Fandom value",IF(N192=G192,"match","differs")))</f>
        <v>match</v>
      </c>
      <c r="P192" s="10" t="str">
        <f aca="false">IF(J192="not found","not in hayday.info",IF(C192="","no Fandom value",IF(IFERROR(INDEX(hayday_info!$C$2:$C$349,MATCH($A192,hayday_info!$A$2:$A$349,0)),"not found")=C192,"match","differs")))</f>
        <v>match</v>
      </c>
    </row>
    <row r="193" customFormat="false" ht="15" hidden="false" customHeight="true" outlineLevel="0" collapsed="false">
      <c r="A193" s="10" t="s">
        <v>187</v>
      </c>
      <c r="B193" s="10" t="s">
        <v>181</v>
      </c>
      <c r="C193" s="11" t="n">
        <v>93</v>
      </c>
      <c r="D193" s="11" t="n">
        <v>30</v>
      </c>
      <c r="E193" s="11" t="n">
        <v>25</v>
      </c>
      <c r="F193" s="13" t="n">
        <v>298</v>
      </c>
      <c r="G193" s="11" t="n">
        <v>36</v>
      </c>
      <c r="H193" s="10"/>
      <c r="I193" s="10" t="s">
        <v>741</v>
      </c>
      <c r="J193" s="17" t="n">
        <f aca="false">IFERROR(INDEX(hayday_info!$D$2:$D$349,MATCH($A193,hayday_info!$A$2:$A$349,0)),"not found")</f>
        <v>25</v>
      </c>
      <c r="K193" s="10" t="str">
        <f aca="false">IF(J193="not found","not in hayday.info",IF(J193=E193,"matches mastered",IF(J193=D193,"matches normal","differs")))</f>
        <v>matches mastered</v>
      </c>
      <c r="L193" s="18" t="n">
        <f aca="false">IFERROR(INDEX(hayday_info!$E$2:$E$349,MATCH($A193,hayday_info!$A$2:$A$349,0)),"not found")</f>
        <v>298</v>
      </c>
      <c r="M193" s="10" t="str">
        <f aca="false">IF(L193="not found","not in hayday.info",IF(F193="","no Fandom value",IF(L193=F193,"match","differs")))</f>
        <v>match</v>
      </c>
      <c r="N193" s="10" t="n">
        <f aca="false">IFERROR(INDEX(hayday_info!$F$2:$F$349,MATCH($A193,hayday_info!$A$2:$A$349,0)),"not found")</f>
        <v>36</v>
      </c>
      <c r="O193" s="10" t="str">
        <f aca="false">IF(N193="not found","not in hayday.info",IF(G193="","no Fandom value",IF(N193=G193,"match","differs")))</f>
        <v>match</v>
      </c>
      <c r="P193" s="10" t="str">
        <f aca="false">IF(J193="not found","not in hayday.info",IF(C193="","no Fandom value",IF(IFERROR(INDEX(hayday_info!$C$2:$C$349,MATCH($A193,hayday_info!$A$2:$A$349,0)),"not found")=C193,"match","differs")))</f>
        <v>match</v>
      </c>
    </row>
    <row r="194" customFormat="false" ht="15" hidden="false" customHeight="true" outlineLevel="0" collapsed="false">
      <c r="A194" s="10" t="s">
        <v>188</v>
      </c>
      <c r="B194" s="10" t="s">
        <v>181</v>
      </c>
      <c r="C194" s="11" t="n">
        <v>106</v>
      </c>
      <c r="D194" s="11" t="n">
        <v>15</v>
      </c>
      <c r="E194" s="11" t="n">
        <v>12</v>
      </c>
      <c r="F194" s="13" t="n">
        <v>352</v>
      </c>
      <c r="G194" s="11" t="n">
        <v>42</v>
      </c>
      <c r="H194" s="10"/>
      <c r="I194" s="10" t="s">
        <v>741</v>
      </c>
      <c r="J194" s="17" t="n">
        <f aca="false">IFERROR(INDEX(hayday_info!$D$2:$D$349,MATCH($A194,hayday_info!$A$2:$A$349,0)),"not found")</f>
        <v>12</v>
      </c>
      <c r="K194" s="10" t="str">
        <f aca="false">IF(J194="not found","not in hayday.info",IF(J194=E194,"matches mastered",IF(J194=D194,"matches normal","differs")))</f>
        <v>matches mastered</v>
      </c>
      <c r="L194" s="18" t="n">
        <f aca="false">IFERROR(INDEX(hayday_info!$E$2:$E$349,MATCH($A194,hayday_info!$A$2:$A$349,0)),"not found")</f>
        <v>352</v>
      </c>
      <c r="M194" s="10" t="str">
        <f aca="false">IF(L194="not found","not in hayday.info",IF(F194="","no Fandom value",IF(L194=F194,"match","differs")))</f>
        <v>match</v>
      </c>
      <c r="N194" s="10" t="n">
        <f aca="false">IFERROR(INDEX(hayday_info!$F$2:$F$349,MATCH($A194,hayday_info!$A$2:$A$349,0)),"not found")</f>
        <v>42</v>
      </c>
      <c r="O194" s="10" t="str">
        <f aca="false">IF(N194="not found","not in hayday.info",IF(G194="","no Fandom value",IF(N194=G194,"match","differs")))</f>
        <v>match</v>
      </c>
      <c r="P194" s="10" t="str">
        <f aca="false">IF(J194="not found","not in hayday.info",IF(C194="","no Fandom value",IF(IFERROR(INDEX(hayday_info!$C$2:$C$349,MATCH($A194,hayday_info!$A$2:$A$349,0)),"not found")=C194,"match","differs")))</f>
        <v>match</v>
      </c>
    </row>
    <row r="195" customFormat="false" ht="15" hidden="false" customHeight="true" outlineLevel="0" collapsed="false">
      <c r="A195" s="10" t="s">
        <v>684</v>
      </c>
      <c r="B195" s="10" t="s">
        <v>408</v>
      </c>
      <c r="C195" s="11" t="n">
        <v>56</v>
      </c>
      <c r="D195" s="11" t="n">
        <v>60</v>
      </c>
      <c r="E195" s="11" t="n">
        <v>51</v>
      </c>
      <c r="F195" s="13" t="n">
        <v>489</v>
      </c>
      <c r="G195" s="11" t="n">
        <v>58</v>
      </c>
      <c r="H195" s="10"/>
      <c r="I195" s="10" t="s">
        <v>742</v>
      </c>
      <c r="J195" s="17" t="n">
        <f aca="false">IFERROR(INDEX(hayday_info!$D$2:$D$349,MATCH($A195,hayday_info!$A$2:$A$349,0)),"not found")</f>
        <v>51</v>
      </c>
      <c r="K195" s="10" t="str">
        <f aca="false">IF(J195="not found","not in hayday.info",IF(J195=E195,"matches mastered",IF(J195=D195,"matches normal","differs")))</f>
        <v>matches mastered</v>
      </c>
      <c r="L195" s="18" t="n">
        <f aca="false">IFERROR(INDEX(hayday_info!$E$2:$E$349,MATCH($A195,hayday_info!$A$2:$A$349,0)),"not found")</f>
        <v>489</v>
      </c>
      <c r="M195" s="10" t="str">
        <f aca="false">IF(L195="not found","not in hayday.info",IF(F195="","no Fandom value",IF(L195=F195,"match","differs")))</f>
        <v>match</v>
      </c>
      <c r="N195" s="10" t="n">
        <f aca="false">IFERROR(INDEX(hayday_info!$F$2:$F$349,MATCH($A195,hayday_info!$A$2:$A$349,0)),"not found")</f>
        <v>58</v>
      </c>
      <c r="O195" s="10" t="str">
        <f aca="false">IF(N195="not found","not in hayday.info",IF(G195="","no Fandom value",IF(N195=G195,"match","differs")))</f>
        <v>match</v>
      </c>
      <c r="P195" s="10" t="str">
        <f aca="false">IF(J195="not found","not in hayday.info",IF(C195="","no Fandom value",IF(IFERROR(INDEX(hayday_info!$C$2:$C$349,MATCH($A195,hayday_info!$A$2:$A$349,0)),"not found")=C195,"match","differs")))</f>
        <v>match</v>
      </c>
    </row>
    <row r="196" customFormat="false" ht="15" hidden="false" customHeight="true" outlineLevel="0" collapsed="false">
      <c r="A196" s="10" t="s">
        <v>685</v>
      </c>
      <c r="B196" s="10" t="s">
        <v>408</v>
      </c>
      <c r="C196" s="11" t="n">
        <v>59</v>
      </c>
      <c r="D196" s="11" t="n">
        <v>60</v>
      </c>
      <c r="E196" s="11" t="n">
        <v>51</v>
      </c>
      <c r="F196" s="13" t="n">
        <v>637</v>
      </c>
      <c r="G196" s="11" t="n">
        <v>76</v>
      </c>
      <c r="H196" s="10"/>
      <c r="I196" s="10" t="s">
        <v>742</v>
      </c>
      <c r="J196" s="17" t="n">
        <f aca="false">IFERROR(INDEX(hayday_info!$D$2:$D$349,MATCH($A196,hayday_info!$A$2:$A$349,0)),"not found")</f>
        <v>51</v>
      </c>
      <c r="K196" s="10" t="str">
        <f aca="false">IF(J196="not found","not in hayday.info",IF(J196=E196,"matches mastered",IF(J196=D196,"matches normal","differs")))</f>
        <v>matches mastered</v>
      </c>
      <c r="L196" s="18" t="n">
        <f aca="false">IFERROR(INDEX(hayday_info!$E$2:$E$349,MATCH($A196,hayday_info!$A$2:$A$349,0)),"not found")</f>
        <v>637</v>
      </c>
      <c r="M196" s="10" t="str">
        <f aca="false">IF(L196="not found","not in hayday.info",IF(F196="","no Fandom value",IF(L196=F196,"match","differs")))</f>
        <v>match</v>
      </c>
      <c r="N196" s="10" t="n">
        <f aca="false">IFERROR(INDEX(hayday_info!$F$2:$F$349,MATCH($A196,hayday_info!$A$2:$A$349,0)),"not found")</f>
        <v>76</v>
      </c>
      <c r="O196" s="10" t="str">
        <f aca="false">IF(N196="not found","not in hayday.info",IF(G196="","no Fandom value",IF(N196=G196,"match","differs")))</f>
        <v>match</v>
      </c>
      <c r="P196" s="10" t="str">
        <f aca="false">IF(J196="not found","not in hayday.info",IF(C196="","no Fandom value",IF(IFERROR(INDEX(hayday_info!$C$2:$C$349,MATCH($A196,hayday_info!$A$2:$A$349,0)),"not found")=C196,"match","differs")))</f>
        <v>match</v>
      </c>
    </row>
    <row r="197" customFormat="false" ht="15" hidden="false" customHeight="true" outlineLevel="0" collapsed="false">
      <c r="A197" s="10" t="s">
        <v>686</v>
      </c>
      <c r="B197" s="10" t="s">
        <v>408</v>
      </c>
      <c r="C197" s="11" t="n">
        <v>63</v>
      </c>
      <c r="D197" s="11" t="n">
        <v>120</v>
      </c>
      <c r="E197" s="11" t="n">
        <v>102</v>
      </c>
      <c r="F197" s="13" t="n">
        <v>550</v>
      </c>
      <c r="G197" s="11" t="n">
        <v>66</v>
      </c>
      <c r="H197" s="10"/>
      <c r="I197" s="10" t="s">
        <v>742</v>
      </c>
      <c r="J197" s="17" t="n">
        <f aca="false">IFERROR(INDEX(hayday_info!$D$2:$D$349,MATCH($A197,hayday_info!$A$2:$A$349,0)),"not found")</f>
        <v>102</v>
      </c>
      <c r="K197" s="10" t="str">
        <f aca="false">IF(J197="not found","not in hayday.info",IF(J197=E197,"matches mastered",IF(J197=D197,"matches normal","differs")))</f>
        <v>matches mastered</v>
      </c>
      <c r="L197" s="18" t="n">
        <f aca="false">IFERROR(INDEX(hayday_info!$E$2:$E$349,MATCH($A197,hayday_info!$A$2:$A$349,0)),"not found")</f>
        <v>550</v>
      </c>
      <c r="M197" s="10" t="str">
        <f aca="false">IF(L197="not found","not in hayday.info",IF(F197="","no Fandom value",IF(L197=F197,"match","differs")))</f>
        <v>match</v>
      </c>
      <c r="N197" s="10" t="n">
        <f aca="false">IFERROR(INDEX(hayday_info!$F$2:$F$349,MATCH($A197,hayday_info!$A$2:$A$349,0)),"not found")</f>
        <v>66</v>
      </c>
      <c r="O197" s="10" t="str">
        <f aca="false">IF(N197="not found","not in hayday.info",IF(G197="","no Fandom value",IF(N197=G197,"match","differs")))</f>
        <v>match</v>
      </c>
      <c r="P197" s="10" t="str">
        <f aca="false">IF(J197="not found","not in hayday.info",IF(C197="","no Fandom value",IF(IFERROR(INDEX(hayday_info!$C$2:$C$349,MATCH($A197,hayday_info!$A$2:$A$349,0)),"not found")=C197,"match","differs")))</f>
        <v>match</v>
      </c>
    </row>
    <row r="198" customFormat="false" ht="15" hidden="false" customHeight="true" outlineLevel="0" collapsed="false">
      <c r="A198" s="10" t="s">
        <v>687</v>
      </c>
      <c r="B198" s="10" t="s">
        <v>408</v>
      </c>
      <c r="C198" s="11" t="n">
        <v>76</v>
      </c>
      <c r="D198" s="11" t="n">
        <v>90</v>
      </c>
      <c r="E198" s="11" t="n">
        <v>76</v>
      </c>
      <c r="F198" s="13" t="n">
        <v>550</v>
      </c>
      <c r="G198" s="11" t="n">
        <v>77</v>
      </c>
      <c r="H198" s="10"/>
      <c r="I198" s="10" t="s">
        <v>742</v>
      </c>
      <c r="J198" s="17" t="n">
        <f aca="false">IFERROR(INDEX(hayday_info!$D$2:$D$349,MATCH($A198,hayday_info!$A$2:$A$349,0)),"not found")</f>
        <v>76</v>
      </c>
      <c r="K198" s="10" t="str">
        <f aca="false">IF(J198="not found","not in hayday.info",IF(J198=E198,"matches mastered",IF(J198=D198,"matches normal","differs")))</f>
        <v>matches mastered</v>
      </c>
      <c r="L198" s="18" t="n">
        <f aca="false">IFERROR(INDEX(hayday_info!$E$2:$E$349,MATCH($A198,hayday_info!$A$2:$A$349,0)),"not found")</f>
        <v>648</v>
      </c>
      <c r="M198" s="10" t="str">
        <f aca="false">IF(L198="not found","not in hayday.info",IF(F198="","no Fandom value",IF(L198=F198,"match","differs")))</f>
        <v>differs</v>
      </c>
      <c r="N198" s="10" t="n">
        <f aca="false">IFERROR(INDEX(hayday_info!$F$2:$F$349,MATCH($A198,hayday_info!$A$2:$A$349,0)),"not found")</f>
        <v>77</v>
      </c>
      <c r="O198" s="10" t="str">
        <f aca="false">IF(N198="not found","not in hayday.info",IF(G198="","no Fandom value",IF(N198=G198,"match","differs")))</f>
        <v>match</v>
      </c>
      <c r="P198" s="10" t="str">
        <f aca="false">IF(J198="not found","not in hayday.info",IF(C198="","no Fandom value",IF(IFERROR(INDEX(hayday_info!$C$2:$C$349,MATCH($A198,hayday_info!$A$2:$A$349,0)),"not found")=C198,"match","differs")))</f>
        <v>match</v>
      </c>
    </row>
    <row r="199" customFormat="false" ht="15" hidden="false" customHeight="true" outlineLevel="0" collapsed="false">
      <c r="A199" s="10" t="s">
        <v>201</v>
      </c>
      <c r="B199" s="10" t="s">
        <v>202</v>
      </c>
      <c r="C199" s="11" t="n">
        <v>70</v>
      </c>
      <c r="D199" s="11" t="n">
        <v>120</v>
      </c>
      <c r="E199" s="11" t="n">
        <v>102</v>
      </c>
      <c r="F199" s="13" t="n">
        <v>468</v>
      </c>
      <c r="G199" s="11" t="n">
        <v>56</v>
      </c>
      <c r="H199" s="10"/>
      <c r="I199" s="10" t="s">
        <v>743</v>
      </c>
      <c r="J199" s="17" t="n">
        <f aca="false">IFERROR(INDEX(hayday_info!$D$2:$D$349,MATCH($A199,hayday_info!$A$2:$A$349,0)),"not found")</f>
        <v>102</v>
      </c>
      <c r="K199" s="10" t="str">
        <f aca="false">IF(J199="not found","not in hayday.info",IF(J199=E199,"matches mastered",IF(J199=D199,"matches normal","differs")))</f>
        <v>matches mastered</v>
      </c>
      <c r="L199" s="18" t="n">
        <f aca="false">IFERROR(INDEX(hayday_info!$E$2:$E$349,MATCH($A199,hayday_info!$A$2:$A$349,0)),"not found")</f>
        <v>468</v>
      </c>
      <c r="M199" s="10" t="str">
        <f aca="false">IF(L199="not found","not in hayday.info",IF(F199="","no Fandom value",IF(L199=F199,"match","differs")))</f>
        <v>match</v>
      </c>
      <c r="N199" s="10" t="n">
        <f aca="false">IFERROR(INDEX(hayday_info!$F$2:$F$349,MATCH($A199,hayday_info!$A$2:$A$349,0)),"not found")</f>
        <v>56</v>
      </c>
      <c r="O199" s="10" t="str">
        <f aca="false">IF(N199="not found","not in hayday.info",IF(G199="","no Fandom value",IF(N199=G199,"match","differs")))</f>
        <v>match</v>
      </c>
      <c r="P199" s="10" t="str">
        <f aca="false">IF(J199="not found","not in hayday.info",IF(C199="","no Fandom value",IF(IFERROR(INDEX(hayday_info!$C$2:$C$349,MATCH($A199,hayday_info!$A$2:$A$349,0)),"not found")=C199,"match","differs")))</f>
        <v>match</v>
      </c>
    </row>
    <row r="200" customFormat="false" ht="15" hidden="false" customHeight="true" outlineLevel="0" collapsed="false">
      <c r="A200" s="10" t="s">
        <v>204</v>
      </c>
      <c r="B200" s="10" t="s">
        <v>202</v>
      </c>
      <c r="C200" s="11" t="n">
        <v>72</v>
      </c>
      <c r="D200" s="11" t="n">
        <v>210</v>
      </c>
      <c r="E200" s="11" t="n">
        <v>178</v>
      </c>
      <c r="F200" s="13" t="n">
        <v>619</v>
      </c>
      <c r="G200" s="11" t="n">
        <v>74</v>
      </c>
      <c r="H200" s="10"/>
      <c r="I200" s="10" t="s">
        <v>743</v>
      </c>
      <c r="J200" s="17" t="n">
        <f aca="false">IFERROR(INDEX(hayday_info!$D$2:$D$349,MATCH($A200,hayday_info!$A$2:$A$349,0)),"not found")</f>
        <v>178</v>
      </c>
      <c r="K200" s="10" t="str">
        <f aca="false">IF(J200="not found","not in hayday.info",IF(J200=E200,"matches mastered",IF(J200=D200,"matches normal","differs")))</f>
        <v>matches mastered</v>
      </c>
      <c r="L200" s="18" t="n">
        <f aca="false">IFERROR(INDEX(hayday_info!$E$2:$E$349,MATCH($A200,hayday_info!$A$2:$A$349,0)),"not found")</f>
        <v>619</v>
      </c>
      <c r="M200" s="10" t="str">
        <f aca="false">IF(L200="not found","not in hayday.info",IF(F200="","no Fandom value",IF(L200=F200,"match","differs")))</f>
        <v>match</v>
      </c>
      <c r="N200" s="10" t="n">
        <f aca="false">IFERROR(INDEX(hayday_info!$F$2:$F$349,MATCH($A200,hayday_info!$A$2:$A$349,0)),"not found")</f>
        <v>74</v>
      </c>
      <c r="O200" s="10" t="str">
        <f aca="false">IF(N200="not found","not in hayday.info",IF(G200="","no Fandom value",IF(N200=G200,"match","differs")))</f>
        <v>match</v>
      </c>
      <c r="P200" s="10" t="str">
        <f aca="false">IF(J200="not found","not in hayday.info",IF(C200="","no Fandom value",IF(IFERROR(INDEX(hayday_info!$C$2:$C$349,MATCH($A200,hayday_info!$A$2:$A$349,0)),"not found")=C200,"match","differs")))</f>
        <v>match</v>
      </c>
    </row>
    <row r="201" customFormat="false" ht="15" hidden="false" customHeight="true" outlineLevel="0" collapsed="false">
      <c r="A201" s="10" t="s">
        <v>205</v>
      </c>
      <c r="B201" s="10" t="s">
        <v>202</v>
      </c>
      <c r="C201" s="11" t="n">
        <v>74</v>
      </c>
      <c r="D201" s="11" t="n">
        <v>150</v>
      </c>
      <c r="E201" s="11" t="n">
        <v>127</v>
      </c>
      <c r="F201" s="13" t="n">
        <v>558</v>
      </c>
      <c r="G201" s="11" t="n">
        <v>66</v>
      </c>
      <c r="H201" s="10"/>
      <c r="I201" s="10" t="s">
        <v>743</v>
      </c>
      <c r="J201" s="17" t="n">
        <f aca="false">IFERROR(INDEX(hayday_info!$D$2:$D$349,MATCH($A201,hayday_info!$A$2:$A$349,0)),"not found")</f>
        <v>127</v>
      </c>
      <c r="K201" s="10" t="str">
        <f aca="false">IF(J201="not found","not in hayday.info",IF(J201=E201,"matches mastered",IF(J201=D201,"matches normal","differs")))</f>
        <v>matches mastered</v>
      </c>
      <c r="L201" s="18" t="n">
        <f aca="false">IFERROR(INDEX(hayday_info!$E$2:$E$349,MATCH($A201,hayday_info!$A$2:$A$349,0)),"not found")</f>
        <v>558</v>
      </c>
      <c r="M201" s="10" t="str">
        <f aca="false">IF(L201="not found","not in hayday.info",IF(F201="","no Fandom value",IF(L201=F201,"match","differs")))</f>
        <v>match</v>
      </c>
      <c r="N201" s="10" t="n">
        <f aca="false">IFERROR(INDEX(hayday_info!$F$2:$F$349,MATCH($A201,hayday_info!$A$2:$A$349,0)),"not found")</f>
        <v>66</v>
      </c>
      <c r="O201" s="10" t="str">
        <f aca="false">IF(N201="not found","not in hayday.info",IF(G201="","no Fandom value",IF(N201=G201,"match","differs")))</f>
        <v>match</v>
      </c>
      <c r="P201" s="10" t="str">
        <f aca="false">IF(J201="not found","not in hayday.info",IF(C201="","no Fandom value",IF(IFERROR(INDEX(hayday_info!$C$2:$C$349,MATCH($A201,hayday_info!$A$2:$A$349,0)),"not found")=C201,"match","differs")))</f>
        <v>match</v>
      </c>
    </row>
    <row r="202" customFormat="false" ht="15" hidden="false" customHeight="true" outlineLevel="0" collapsed="false">
      <c r="A202" s="10" t="s">
        <v>206</v>
      </c>
      <c r="B202" s="10" t="s">
        <v>202</v>
      </c>
      <c r="C202" s="11" t="n">
        <v>86</v>
      </c>
      <c r="D202" s="11" t="n">
        <v>120</v>
      </c>
      <c r="E202" s="11" t="n">
        <v>102</v>
      </c>
      <c r="F202" s="13" t="n">
        <v>331</v>
      </c>
      <c r="G202" s="11" t="n">
        <v>40</v>
      </c>
      <c r="H202" s="10"/>
      <c r="I202" s="10" t="s">
        <v>743</v>
      </c>
      <c r="J202" s="17" t="n">
        <f aca="false">IFERROR(INDEX(hayday_info!$D$2:$D$349,MATCH($A202,hayday_info!$A$2:$A$349,0)),"not found")</f>
        <v>102</v>
      </c>
      <c r="K202" s="10" t="str">
        <f aca="false">IF(J202="not found","not in hayday.info",IF(J202=E202,"matches mastered",IF(J202=D202,"matches normal","differs")))</f>
        <v>matches mastered</v>
      </c>
      <c r="L202" s="18" t="n">
        <f aca="false">IFERROR(INDEX(hayday_info!$E$2:$E$349,MATCH($A202,hayday_info!$A$2:$A$349,0)),"not found")</f>
        <v>331</v>
      </c>
      <c r="M202" s="10" t="str">
        <f aca="false">IF(L202="not found","not in hayday.info",IF(F202="","no Fandom value",IF(L202=F202,"match","differs")))</f>
        <v>match</v>
      </c>
      <c r="N202" s="10" t="n">
        <f aca="false">IFERROR(INDEX(hayday_info!$F$2:$F$349,MATCH($A202,hayday_info!$A$2:$A$349,0)),"not found")</f>
        <v>40</v>
      </c>
      <c r="O202" s="10" t="str">
        <f aca="false">IF(N202="not found","not in hayday.info",IF(G202="","no Fandom value",IF(N202=G202,"match","differs")))</f>
        <v>match</v>
      </c>
      <c r="P202" s="10" t="str">
        <f aca="false">IF(J202="not found","not in hayday.info",IF(C202="","no Fandom value",IF(IFERROR(INDEX(hayday_info!$C$2:$C$349,MATCH($A202,hayday_info!$A$2:$A$349,0)),"not found")=C202,"match","differs")))</f>
        <v>match</v>
      </c>
    </row>
    <row r="203" customFormat="false" ht="15" hidden="false" customHeight="true" outlineLevel="0" collapsed="false">
      <c r="A203" s="10" t="s">
        <v>285</v>
      </c>
      <c r="B203" s="10" t="s">
        <v>286</v>
      </c>
      <c r="C203" s="11" t="n">
        <v>67</v>
      </c>
      <c r="D203" s="11" t="n">
        <v>15</v>
      </c>
      <c r="E203" s="11" t="n">
        <v>12</v>
      </c>
      <c r="F203" s="13" t="n">
        <v>43</v>
      </c>
      <c r="G203" s="11" t="n">
        <v>5</v>
      </c>
      <c r="H203" s="10"/>
      <c r="I203" s="10" t="s">
        <v>744</v>
      </c>
      <c r="J203" s="17" t="n">
        <f aca="false">IFERROR(INDEX(hayday_info!$D$2:$D$349,MATCH($A203,hayday_info!$A$2:$A$349,0)),"not found")</f>
        <v>12</v>
      </c>
      <c r="K203" s="10" t="str">
        <f aca="false">IF(J203="not found","not in hayday.info",IF(J203=E203,"matches mastered",IF(J203=D203,"matches normal","differs")))</f>
        <v>matches mastered</v>
      </c>
      <c r="L203" s="18" t="n">
        <f aca="false">IFERROR(INDEX(hayday_info!$E$2:$E$349,MATCH($A203,hayday_info!$A$2:$A$349,0)),"not found")</f>
        <v>43</v>
      </c>
      <c r="M203" s="10" t="str">
        <f aca="false">IF(L203="not found","not in hayday.info",IF(F203="","no Fandom value",IF(L203=F203,"match","differs")))</f>
        <v>match</v>
      </c>
      <c r="N203" s="10" t="n">
        <f aca="false">IFERROR(INDEX(hayday_info!$F$2:$F$349,MATCH($A203,hayday_info!$A$2:$A$349,0)),"not found")</f>
        <v>5</v>
      </c>
      <c r="O203" s="10" t="str">
        <f aca="false">IF(N203="not found","not in hayday.info",IF(G203="","no Fandom value",IF(N203=G203,"match","differs")))</f>
        <v>match</v>
      </c>
      <c r="P203" s="10" t="str">
        <f aca="false">IF(J203="not found","not in hayday.info",IF(C203="","no Fandom value",IF(IFERROR(INDEX(hayday_info!$C$2:$C$349,MATCH($A203,hayday_info!$A$2:$A$349,0)),"not found")=C203,"match","differs")))</f>
        <v>match</v>
      </c>
    </row>
    <row r="204" customFormat="false" ht="15" hidden="false" customHeight="true" outlineLevel="0" collapsed="false">
      <c r="A204" s="10" t="s">
        <v>288</v>
      </c>
      <c r="B204" s="10" t="s">
        <v>286</v>
      </c>
      <c r="C204" s="11" t="n">
        <v>73</v>
      </c>
      <c r="D204" s="11" t="n">
        <v>20</v>
      </c>
      <c r="E204" s="11" t="n">
        <v>17</v>
      </c>
      <c r="F204" s="13" t="n">
        <v>100</v>
      </c>
      <c r="G204" s="11" t="n">
        <v>12</v>
      </c>
      <c r="H204" s="10"/>
      <c r="I204" s="10" t="s">
        <v>744</v>
      </c>
      <c r="J204" s="17" t="n">
        <f aca="false">IFERROR(INDEX(hayday_info!$D$2:$D$349,MATCH($A204,hayday_info!$A$2:$A$349,0)),"not found")</f>
        <v>17</v>
      </c>
      <c r="K204" s="10" t="str">
        <f aca="false">IF(J204="not found","not in hayday.info",IF(J204=E204,"matches mastered",IF(J204=D204,"matches normal","differs")))</f>
        <v>matches mastered</v>
      </c>
      <c r="L204" s="18" t="n">
        <f aca="false">IFERROR(INDEX(hayday_info!$E$2:$E$349,MATCH($A204,hayday_info!$A$2:$A$349,0)),"not found")</f>
        <v>100</v>
      </c>
      <c r="M204" s="10" t="str">
        <f aca="false">IF(L204="not found","not in hayday.info",IF(F204="","no Fandom value",IF(L204=F204,"match","differs")))</f>
        <v>match</v>
      </c>
      <c r="N204" s="10" t="n">
        <f aca="false">IFERROR(INDEX(hayday_info!$F$2:$F$349,MATCH($A204,hayday_info!$A$2:$A$349,0)),"not found")</f>
        <v>12</v>
      </c>
      <c r="O204" s="10" t="str">
        <f aca="false">IF(N204="not found","not in hayday.info",IF(G204="","no Fandom value",IF(N204=G204,"match","differs")))</f>
        <v>match</v>
      </c>
      <c r="P204" s="10" t="str">
        <f aca="false">IF(J204="not found","not in hayday.info",IF(C204="","no Fandom value",IF(IFERROR(INDEX(hayday_info!$C$2:$C$349,MATCH($A204,hayday_info!$A$2:$A$349,0)),"not found")=C204,"match","differs")))</f>
        <v>match</v>
      </c>
    </row>
    <row r="205" customFormat="false" ht="15" hidden="false" customHeight="true" outlineLevel="0" collapsed="false">
      <c r="A205" s="10" t="s">
        <v>318</v>
      </c>
      <c r="B205" s="10" t="s">
        <v>319</v>
      </c>
      <c r="C205" s="11" t="n">
        <v>91</v>
      </c>
      <c r="D205" s="11" t="n">
        <v>240</v>
      </c>
      <c r="E205" s="11" t="n">
        <v>204</v>
      </c>
      <c r="F205" s="13" t="n">
        <v>270</v>
      </c>
      <c r="G205" s="11" t="n">
        <v>32</v>
      </c>
      <c r="H205" s="10"/>
      <c r="I205" s="10" t="s">
        <v>745</v>
      </c>
      <c r="J205" s="17" t="n">
        <f aca="false">IFERROR(INDEX(hayday_info!$D$2:$D$349,MATCH($A205,hayday_info!$A$2:$A$349,0)),"not found")</f>
        <v>204</v>
      </c>
      <c r="K205" s="10" t="str">
        <f aca="false">IF(J205="not found","not in hayday.info",IF(J205=E205,"matches mastered",IF(J205=D205,"matches normal","differs")))</f>
        <v>matches mastered</v>
      </c>
      <c r="L205" s="18" t="n">
        <f aca="false">IFERROR(INDEX(hayday_info!$E$2:$E$349,MATCH($A205,hayday_info!$A$2:$A$349,0)),"not found")</f>
        <v>270</v>
      </c>
      <c r="M205" s="10" t="str">
        <f aca="false">IF(L205="not found","not in hayday.info",IF(F205="","no Fandom value",IF(L205=F205,"match","differs")))</f>
        <v>match</v>
      </c>
      <c r="N205" s="10" t="n">
        <f aca="false">IFERROR(INDEX(hayday_info!$F$2:$F$349,MATCH($A205,hayday_info!$A$2:$A$349,0)),"not found")</f>
        <v>32</v>
      </c>
      <c r="O205" s="10" t="str">
        <f aca="false">IF(N205="not found","not in hayday.info",IF(G205="","no Fandom value",IF(N205=G205,"match","differs")))</f>
        <v>match</v>
      </c>
      <c r="P205" s="10" t="str">
        <f aca="false">IF(J205="not found","not in hayday.info",IF(C205="","no Fandom value",IF(IFERROR(INDEX(hayday_info!$C$2:$C$349,MATCH($A205,hayday_info!$A$2:$A$349,0)),"not found")=C205,"match","differs")))</f>
        <v>match</v>
      </c>
    </row>
    <row r="206" customFormat="false" ht="15" hidden="false" customHeight="true" outlineLevel="0" collapsed="false">
      <c r="A206" s="10" t="s">
        <v>321</v>
      </c>
      <c r="B206" s="10" t="s">
        <v>319</v>
      </c>
      <c r="C206" s="11" t="n">
        <v>95</v>
      </c>
      <c r="D206" s="11" t="n">
        <v>220</v>
      </c>
      <c r="E206" s="11" t="n">
        <v>187</v>
      </c>
      <c r="F206" s="13" t="n">
        <v>471</v>
      </c>
      <c r="G206" s="11" t="n">
        <v>56</v>
      </c>
      <c r="H206" s="10"/>
      <c r="I206" s="10" t="s">
        <v>745</v>
      </c>
      <c r="J206" s="17" t="n">
        <f aca="false">IFERROR(INDEX(hayday_info!$D$2:$D$349,MATCH($A206,hayday_info!$A$2:$A$349,0)),"not found")</f>
        <v>187</v>
      </c>
      <c r="K206" s="10" t="str">
        <f aca="false">IF(J206="not found","not in hayday.info",IF(J206=E206,"matches mastered",IF(J206=D206,"matches normal","differs")))</f>
        <v>matches mastered</v>
      </c>
      <c r="L206" s="18" t="n">
        <f aca="false">IFERROR(INDEX(hayday_info!$E$2:$E$349,MATCH($A206,hayday_info!$A$2:$A$349,0)),"not found")</f>
        <v>471</v>
      </c>
      <c r="M206" s="10" t="str">
        <f aca="false">IF(L206="not found","not in hayday.info",IF(F206="","no Fandom value",IF(L206=F206,"match","differs")))</f>
        <v>match</v>
      </c>
      <c r="N206" s="10" t="n">
        <f aca="false">IFERROR(INDEX(hayday_info!$F$2:$F$349,MATCH($A206,hayday_info!$A$2:$A$349,0)),"not found")</f>
        <v>56</v>
      </c>
      <c r="O206" s="10" t="str">
        <f aca="false">IF(N206="not found","not in hayday.info",IF(G206="","no Fandom value",IF(N206=G206,"match","differs")))</f>
        <v>match</v>
      </c>
      <c r="P206" s="10" t="str">
        <f aca="false">IF(J206="not found","not in hayday.info",IF(C206="","no Fandom value",IF(IFERROR(INDEX(hayday_info!$C$2:$C$349,MATCH($A206,hayday_info!$A$2:$A$349,0)),"not found")=C206,"match","differs")))</f>
        <v>match</v>
      </c>
    </row>
    <row r="207" customFormat="false" ht="15" hidden="false" customHeight="true" outlineLevel="0" collapsed="false">
      <c r="A207" s="10" t="s">
        <v>322</v>
      </c>
      <c r="B207" s="10" t="s">
        <v>319</v>
      </c>
      <c r="C207" s="11" t="n">
        <v>98</v>
      </c>
      <c r="D207" s="11" t="n">
        <v>300</v>
      </c>
      <c r="E207" s="11" t="n">
        <v>255</v>
      </c>
      <c r="F207" s="13" t="n">
        <v>219</v>
      </c>
      <c r="G207" s="11" t="n">
        <v>26</v>
      </c>
      <c r="H207" s="10"/>
      <c r="I207" s="10" t="s">
        <v>745</v>
      </c>
      <c r="J207" s="17" t="n">
        <f aca="false">IFERROR(INDEX(hayday_info!$D$2:$D$349,MATCH($A207,hayday_info!$A$2:$A$349,0)),"not found")</f>
        <v>255</v>
      </c>
      <c r="K207" s="10" t="str">
        <f aca="false">IF(J207="not found","not in hayday.info",IF(J207=E207,"matches mastered",IF(J207=D207,"matches normal","differs")))</f>
        <v>matches mastered</v>
      </c>
      <c r="L207" s="18" t="n">
        <f aca="false">IFERROR(INDEX(hayday_info!$E$2:$E$349,MATCH($A207,hayday_info!$A$2:$A$349,0)),"not found")</f>
        <v>219</v>
      </c>
      <c r="M207" s="10" t="str">
        <f aca="false">IF(L207="not found","not in hayday.info",IF(F207="","no Fandom value",IF(L207=F207,"match","differs")))</f>
        <v>match</v>
      </c>
      <c r="N207" s="10" t="n">
        <f aca="false">IFERROR(INDEX(hayday_info!$F$2:$F$349,MATCH($A207,hayday_info!$A$2:$A$349,0)),"not found")</f>
        <v>26</v>
      </c>
      <c r="O207" s="10" t="str">
        <f aca="false">IF(N207="not found","not in hayday.info",IF(G207="","no Fandom value",IF(N207=G207,"match","differs")))</f>
        <v>match</v>
      </c>
      <c r="P207" s="10" t="str">
        <f aca="false">IF(J207="not found","not in hayday.info",IF(C207="","no Fandom value",IF(IFERROR(INDEX(hayday_info!$C$2:$C$349,MATCH($A207,hayday_info!$A$2:$A$349,0)),"not found")=C207,"match","differs")))</f>
        <v>match</v>
      </c>
    </row>
    <row r="208" customFormat="false" ht="15" hidden="false" customHeight="true" outlineLevel="0" collapsed="false">
      <c r="A208" s="10" t="s">
        <v>323</v>
      </c>
      <c r="B208" s="10" t="s">
        <v>319</v>
      </c>
      <c r="C208" s="11" t="n">
        <v>102</v>
      </c>
      <c r="D208" s="11" t="n">
        <v>180</v>
      </c>
      <c r="E208" s="11" t="n">
        <v>153</v>
      </c>
      <c r="F208" s="13" t="n">
        <v>266</v>
      </c>
      <c r="G208" s="11" t="n">
        <v>32</v>
      </c>
      <c r="H208" s="10"/>
      <c r="I208" s="10" t="s">
        <v>745</v>
      </c>
      <c r="J208" s="17" t="n">
        <f aca="false">IFERROR(INDEX(hayday_info!$D$2:$D$349,MATCH($A208,hayday_info!$A$2:$A$349,0)),"not found")</f>
        <v>153</v>
      </c>
      <c r="K208" s="10" t="str">
        <f aca="false">IF(J208="not found","not in hayday.info",IF(J208=E208,"matches mastered",IF(J208=D208,"matches normal","differs")))</f>
        <v>matches mastered</v>
      </c>
      <c r="L208" s="18" t="n">
        <f aca="false">IFERROR(INDEX(hayday_info!$E$2:$E$349,MATCH($A208,hayday_info!$A$2:$A$349,0)),"not found")</f>
        <v>266</v>
      </c>
      <c r="M208" s="10" t="str">
        <f aca="false">IF(L208="not found","not in hayday.info",IF(F208="","no Fandom value",IF(L208=F208,"match","differs")))</f>
        <v>match</v>
      </c>
      <c r="N208" s="10" t="n">
        <f aca="false">IFERROR(INDEX(hayday_info!$F$2:$F$349,MATCH($A208,hayday_info!$A$2:$A$349,0)),"not found")</f>
        <v>32</v>
      </c>
      <c r="O208" s="10" t="str">
        <f aca="false">IF(N208="not found","not in hayday.info",IF(G208="","no Fandom value",IF(N208=G208,"match","differs")))</f>
        <v>match</v>
      </c>
      <c r="P208" s="10" t="str">
        <f aca="false">IF(J208="not found","not in hayday.info",IF(C208="","no Fandom value",IF(IFERROR(INDEX(hayday_info!$C$2:$C$349,MATCH($A208,hayday_info!$A$2:$A$349,0)),"not found")=C208,"match","differs")))</f>
        <v>match</v>
      </c>
    </row>
    <row r="209" customFormat="false" ht="15" hidden="false" customHeight="true" outlineLevel="0" collapsed="false">
      <c r="A209" s="10" t="s">
        <v>324</v>
      </c>
      <c r="B209" s="10" t="s">
        <v>319</v>
      </c>
      <c r="C209" s="11" t="n">
        <v>104</v>
      </c>
      <c r="D209" s="11" t="n">
        <v>260</v>
      </c>
      <c r="E209" s="11" t="n">
        <v>221</v>
      </c>
      <c r="F209" s="13" t="n">
        <v>421</v>
      </c>
      <c r="G209" s="11" t="n">
        <v>50</v>
      </c>
      <c r="H209" s="10"/>
      <c r="I209" s="10" t="s">
        <v>745</v>
      </c>
      <c r="J209" s="17" t="n">
        <f aca="false">IFERROR(INDEX(hayday_info!$D$2:$D$349,MATCH($A209,hayday_info!$A$2:$A$349,0)),"not found")</f>
        <v>260</v>
      </c>
      <c r="K209" s="10" t="str">
        <f aca="false">IF(J209="not found","not in hayday.info",IF(J209=E209,"matches mastered",IF(J209=D209,"matches normal","differs")))</f>
        <v>matches normal</v>
      </c>
      <c r="L209" s="18" t="n">
        <f aca="false">IFERROR(INDEX(hayday_info!$E$2:$E$349,MATCH($A209,hayday_info!$A$2:$A$349,0)),"not found")</f>
        <v>421</v>
      </c>
      <c r="M209" s="10" t="str">
        <f aca="false">IF(L209="not found","not in hayday.info",IF(F209="","no Fandom value",IF(L209=F209,"match","differs")))</f>
        <v>match</v>
      </c>
      <c r="N209" s="10" t="n">
        <f aca="false">IFERROR(INDEX(hayday_info!$F$2:$F$349,MATCH($A209,hayday_info!$A$2:$A$349,0)),"not found")</f>
        <v>50</v>
      </c>
      <c r="O209" s="10" t="str">
        <f aca="false">IF(N209="not found","not in hayday.info",IF(G209="","no Fandom value",IF(N209=G209,"match","differs")))</f>
        <v>match</v>
      </c>
      <c r="P209" s="10" t="str">
        <f aca="false">IF(J209="not found","not in hayday.info",IF(C209="","no Fandom value",IF(IFERROR(INDEX(hayday_info!$C$2:$C$349,MATCH($A209,hayday_info!$A$2:$A$349,0)),"not found")=C209,"match","differs")))</f>
        <v>match</v>
      </c>
    </row>
    <row r="210" customFormat="false" ht="15" hidden="false" customHeight="true" outlineLevel="0" collapsed="false">
      <c r="A210" s="10" t="s">
        <v>457</v>
      </c>
      <c r="B210" s="10" t="s">
        <v>458</v>
      </c>
      <c r="C210" s="11" t="n">
        <v>103</v>
      </c>
      <c r="D210" s="11"/>
      <c r="E210" s="11" t="n">
        <v>102</v>
      </c>
      <c r="F210" s="13" t="n">
        <v>234</v>
      </c>
      <c r="G210" s="11" t="n">
        <v>28</v>
      </c>
      <c r="H210" s="10" t="s">
        <v>746</v>
      </c>
      <c r="I210" s="10" t="s">
        <v>747</v>
      </c>
      <c r="J210" s="17" t="n">
        <f aca="false">IFERROR(INDEX(hayday_info!$D$2:$D$349,MATCH($A210,hayday_info!$A$2:$A$349,0)),"not found")</f>
        <v>102</v>
      </c>
      <c r="K210" s="10" t="str">
        <f aca="false">IF(J210="not found","not in hayday.info",IF(J210=E210,"matches mastered",IF(J210=D210,"matches normal","differs")))</f>
        <v>matches mastered</v>
      </c>
      <c r="L210" s="18" t="n">
        <f aca="false">IFERROR(INDEX(hayday_info!$E$2:$E$349,MATCH($A210,hayday_info!$A$2:$A$349,0)),"not found")</f>
        <v>234</v>
      </c>
      <c r="M210" s="10" t="str">
        <f aca="false">IF(L210="not found","not in hayday.info",IF(F210="","no Fandom value",IF(L210=F210,"match","differs")))</f>
        <v>match</v>
      </c>
      <c r="N210" s="10" t="n">
        <f aca="false">IFERROR(INDEX(hayday_info!$F$2:$F$349,MATCH($A210,hayday_info!$A$2:$A$349,0)),"not found")</f>
        <v>28</v>
      </c>
      <c r="O210" s="10" t="str">
        <f aca="false">IF(N210="not found","not in hayday.info",IF(G210="","no Fandom value",IF(N210=G210,"match","differs")))</f>
        <v>match</v>
      </c>
      <c r="P210" s="10" t="str">
        <f aca="false">IF(J210="not found","not in hayday.info",IF(C210="","no Fandom value",IF(IFERROR(INDEX(hayday_info!$C$2:$C$349,MATCH($A210,hayday_info!$A$2:$A$349,0)),"not found")=C210,"match","differs")))</f>
        <v>match</v>
      </c>
    </row>
    <row r="211" customFormat="false" ht="15" hidden="false" customHeight="true" outlineLevel="0" collapsed="false">
      <c r="A211" s="10" t="s">
        <v>460</v>
      </c>
      <c r="B211" s="10" t="s">
        <v>458</v>
      </c>
      <c r="C211" s="11" t="n">
        <v>105</v>
      </c>
      <c r="D211" s="11"/>
      <c r="E211" s="11" t="n">
        <v>34</v>
      </c>
      <c r="F211" s="13" t="n">
        <v>529</v>
      </c>
      <c r="G211" s="11" t="n">
        <v>63</v>
      </c>
      <c r="H211" s="10" t="s">
        <v>746</v>
      </c>
      <c r="I211" s="10" t="s">
        <v>747</v>
      </c>
      <c r="J211" s="17" t="n">
        <f aca="false">IFERROR(INDEX(hayday_info!$D$2:$D$349,MATCH($A211,hayday_info!$A$2:$A$349,0)),"not found")</f>
        <v>34</v>
      </c>
      <c r="K211" s="10" t="str">
        <f aca="false">IF(J211="not found","not in hayday.info",IF(J211=E211,"matches mastered",IF(J211=D211,"matches normal","differs")))</f>
        <v>matches mastered</v>
      </c>
      <c r="L211" s="18" t="n">
        <f aca="false">IFERROR(INDEX(hayday_info!$E$2:$E$349,MATCH($A211,hayday_info!$A$2:$A$349,0)),"not found")</f>
        <v>529</v>
      </c>
      <c r="M211" s="10" t="str">
        <f aca="false">IF(L211="not found","not in hayday.info",IF(F211="","no Fandom value",IF(L211=F211,"match","differs")))</f>
        <v>match</v>
      </c>
      <c r="N211" s="10" t="n">
        <f aca="false">IFERROR(INDEX(hayday_info!$F$2:$F$349,MATCH($A211,hayday_info!$A$2:$A$349,0)),"not found")</f>
        <v>63</v>
      </c>
      <c r="O211" s="10" t="str">
        <f aca="false">IF(N211="not found","not in hayday.info",IF(G211="","no Fandom value",IF(N211=G211,"match","differs")))</f>
        <v>match</v>
      </c>
      <c r="P211" s="10" t="str">
        <f aca="false">IF(J211="not found","not in hayday.info",IF(C211="","no Fandom value",IF(IFERROR(INDEX(hayday_info!$C$2:$C$349,MATCH($A211,hayday_info!$A$2:$A$349,0)),"not found")=C211,"match","differs")))</f>
        <v>match</v>
      </c>
    </row>
    <row r="212" customFormat="false" ht="15" hidden="false" customHeight="true" outlineLevel="0" collapsed="false">
      <c r="A212" s="10" t="s">
        <v>461</v>
      </c>
      <c r="B212" s="10" t="s">
        <v>458</v>
      </c>
      <c r="C212" s="11" t="n">
        <v>109</v>
      </c>
      <c r="D212" s="11"/>
      <c r="E212" s="11" t="n">
        <v>51</v>
      </c>
      <c r="F212" s="13" t="n">
        <v>457</v>
      </c>
      <c r="G212" s="11" t="n">
        <v>54</v>
      </c>
      <c r="H212" s="10" t="s">
        <v>746</v>
      </c>
      <c r="I212" s="10" t="s">
        <v>747</v>
      </c>
      <c r="J212" s="17" t="n">
        <f aca="false">IFERROR(INDEX(hayday_info!$D$2:$D$349,MATCH($A212,hayday_info!$A$2:$A$349,0)),"not found")</f>
        <v>51</v>
      </c>
      <c r="K212" s="10" t="str">
        <f aca="false">IF(J212="not found","not in hayday.info",IF(J212=E212,"matches mastered",IF(J212=D212,"matches normal","differs")))</f>
        <v>matches mastered</v>
      </c>
      <c r="L212" s="18" t="n">
        <f aca="false">IFERROR(INDEX(hayday_info!$E$2:$E$349,MATCH($A212,hayday_info!$A$2:$A$349,0)),"not found")</f>
        <v>457</v>
      </c>
      <c r="M212" s="10" t="str">
        <f aca="false">IF(L212="not found","not in hayday.info",IF(F212="","no Fandom value",IF(L212=F212,"match","differs")))</f>
        <v>match</v>
      </c>
      <c r="N212" s="10" t="n">
        <f aca="false">IFERROR(INDEX(hayday_info!$F$2:$F$349,MATCH($A212,hayday_info!$A$2:$A$349,0)),"not found")</f>
        <v>54</v>
      </c>
      <c r="O212" s="10" t="str">
        <f aca="false">IF(N212="not found","not in hayday.info",IF(G212="","no Fandom value",IF(N212=G212,"match","differs")))</f>
        <v>match</v>
      </c>
      <c r="P212" s="10" t="str">
        <f aca="false">IF(J212="not found","not in hayday.info",IF(C212="","no Fandom value",IF(IFERROR(INDEX(hayday_info!$C$2:$C$349,MATCH($A212,hayday_info!$A$2:$A$349,0)),"not found")=C212,"match","differs")))</f>
        <v>match</v>
      </c>
    </row>
    <row r="213" customFormat="false" ht="15" hidden="false" customHeight="true" outlineLevel="0" collapsed="false">
      <c r="A213" s="10" t="s">
        <v>462</v>
      </c>
      <c r="B213" s="10" t="s">
        <v>458</v>
      </c>
      <c r="C213" s="11" t="n">
        <v>119</v>
      </c>
      <c r="D213" s="11"/>
      <c r="E213" s="11" t="n">
        <v>42</v>
      </c>
      <c r="F213" s="13" t="n">
        <v>604</v>
      </c>
      <c r="G213" s="11" t="n">
        <v>72</v>
      </c>
      <c r="H213" s="10" t="s">
        <v>746</v>
      </c>
      <c r="I213" s="10" t="s">
        <v>747</v>
      </c>
      <c r="J213" s="10" t="str">
        <f aca="false">IFERROR(INDEX(hayday_info!$D$2:$D$349,MATCH($A213,hayday_info!$A$2:$A$349,0)),"not found")</f>
        <v>not found</v>
      </c>
      <c r="K213" s="10" t="str">
        <f aca="false">IF(J213="not found","not in hayday.info",IF(J213=E213,"matches mastered",IF(J213=D213,"matches normal","differs")))</f>
        <v>not in hayday.info</v>
      </c>
      <c r="L213" s="10" t="str">
        <f aca="false">IFERROR(INDEX(hayday_info!$E$2:$E$349,MATCH($A213,hayday_info!$A$2:$A$349,0)),"not found")</f>
        <v>not found</v>
      </c>
      <c r="M213" s="10" t="str">
        <f aca="false">IF(L213="not found","not in hayday.info",IF(F213="","no Fandom value",IF(L213=F213,"match","differs")))</f>
        <v>not in hayday.info</v>
      </c>
      <c r="N213" s="10" t="str">
        <f aca="false">IFERROR(INDEX(hayday_info!$F$2:$F$349,MATCH($A213,hayday_info!$A$2:$A$349,0)),"not found")</f>
        <v>not found</v>
      </c>
      <c r="O213" s="10" t="str">
        <f aca="false">IF(N213="not found","not in hayday.info",IF(G213="","no Fandom value",IF(N213=G213,"match","differs")))</f>
        <v>not in hayday.info</v>
      </c>
      <c r="P213" s="10" t="str">
        <f aca="false">IF(J213="not found","not in hayday.info",IF(C213="","no Fandom value",IF(IFERROR(INDEX(hayday_info!$C$2:$C$349,MATCH($A213,hayday_info!$A$2:$A$349,0)),"not found")=C213,"match","differs")))</f>
        <v>not in hayday.info</v>
      </c>
    </row>
    <row r="214" customFormat="false" ht="15" hidden="false" customHeight="true" outlineLevel="0" collapsed="false">
      <c r="A214" s="10" t="s">
        <v>397</v>
      </c>
      <c r="B214" s="10" t="s">
        <v>398</v>
      </c>
      <c r="C214" s="11" t="n">
        <v>106</v>
      </c>
      <c r="D214" s="11" t="n">
        <v>90</v>
      </c>
      <c r="E214" s="11" t="n">
        <v>76</v>
      </c>
      <c r="F214" s="13" t="n">
        <v>284</v>
      </c>
      <c r="G214" s="11" t="n">
        <v>34</v>
      </c>
      <c r="H214" s="10"/>
      <c r="I214" s="10" t="s">
        <v>748</v>
      </c>
      <c r="J214" s="17" t="n">
        <f aca="false">IFERROR(INDEX(hayday_info!$D$2:$D$349,MATCH($A214,hayday_info!$A$2:$A$349,0)),"not found")</f>
        <v>90</v>
      </c>
      <c r="K214" s="10" t="str">
        <f aca="false">IF(J214="not found","not in hayday.info",IF(J214=E214,"matches mastered",IF(J214=D214,"matches normal","differs")))</f>
        <v>matches normal</v>
      </c>
      <c r="L214" s="18" t="n">
        <f aca="false">IFERROR(INDEX(hayday_info!$E$2:$E$349,MATCH($A214,hayday_info!$A$2:$A$349,0)),"not found")</f>
        <v>284</v>
      </c>
      <c r="M214" s="10" t="str">
        <f aca="false">IF(L214="not found","not in hayday.info",IF(F214="","no Fandom value",IF(L214=F214,"match","differs")))</f>
        <v>match</v>
      </c>
      <c r="N214" s="10" t="n">
        <f aca="false">IFERROR(INDEX(hayday_info!$F$2:$F$349,MATCH($A214,hayday_info!$A$2:$A$349,0)),"not found")</f>
        <v>34</v>
      </c>
      <c r="O214" s="10" t="str">
        <f aca="false">IF(N214="not found","not in hayday.info",IF(G214="","no Fandom value",IF(N214=G214,"match","differs")))</f>
        <v>match</v>
      </c>
      <c r="P214" s="10" t="str">
        <f aca="false">IF(J214="not found","not in hayday.info",IF(C214="","no Fandom value",IF(IFERROR(INDEX(hayday_info!$C$2:$C$349,MATCH($A214,hayday_info!$A$2:$A$349,0)),"not found")=C214,"match","differs")))</f>
        <v>match</v>
      </c>
    </row>
    <row r="215" customFormat="false" ht="15" hidden="false" customHeight="true" outlineLevel="0" collapsed="false">
      <c r="A215" s="10" t="s">
        <v>400</v>
      </c>
      <c r="B215" s="10" t="s">
        <v>398</v>
      </c>
      <c r="C215" s="11" t="n">
        <v>109</v>
      </c>
      <c r="D215" s="11" t="n">
        <v>120</v>
      </c>
      <c r="E215" s="11" t="n">
        <v>102</v>
      </c>
      <c r="F215" s="13" t="n">
        <v>370</v>
      </c>
      <c r="G215" s="11" t="n">
        <v>44</v>
      </c>
      <c r="H215" s="10"/>
      <c r="I215" s="10" t="s">
        <v>748</v>
      </c>
      <c r="J215" s="17" t="n">
        <f aca="false">IFERROR(INDEX(hayday_info!$D$2:$D$349,MATCH($A215,hayday_info!$A$2:$A$349,0)),"not found")</f>
        <v>120</v>
      </c>
      <c r="K215" s="10" t="str">
        <f aca="false">IF(J215="not found","not in hayday.info",IF(J215=E215,"matches mastered",IF(J215=D215,"matches normal","differs")))</f>
        <v>matches normal</v>
      </c>
      <c r="L215" s="18" t="n">
        <f aca="false">IFERROR(INDEX(hayday_info!$E$2:$E$349,MATCH($A215,hayday_info!$A$2:$A$349,0)),"not found")</f>
        <v>370</v>
      </c>
      <c r="M215" s="10" t="str">
        <f aca="false">IF(L215="not found","not in hayday.info",IF(F215="","no Fandom value",IF(L215=F215,"match","differs")))</f>
        <v>match</v>
      </c>
      <c r="N215" s="10" t="n">
        <f aca="false">IFERROR(INDEX(hayday_info!$F$2:$F$349,MATCH($A215,hayday_info!$A$2:$A$349,0)),"not found")</f>
        <v>44</v>
      </c>
      <c r="O215" s="10" t="str">
        <f aca="false">IF(N215="not found","not in hayday.info",IF(G215="","no Fandom value",IF(N215=G215,"match","differs")))</f>
        <v>match</v>
      </c>
      <c r="P215" s="10" t="str">
        <f aca="false">IF(J215="not found","not in hayday.info",IF(C215="","no Fandom value",IF(IFERROR(INDEX(hayday_info!$C$2:$C$349,MATCH($A215,hayday_info!$A$2:$A$349,0)),"not found")=C215,"match","differs")))</f>
        <v>match</v>
      </c>
    </row>
    <row r="216" customFormat="false" ht="15" hidden="false" customHeight="true" outlineLevel="0" collapsed="false">
      <c r="A216" s="10" t="s">
        <v>401</v>
      </c>
      <c r="B216" s="10" t="s">
        <v>398</v>
      </c>
      <c r="C216" s="11" t="n">
        <v>112</v>
      </c>
      <c r="D216" s="11" t="n">
        <v>140</v>
      </c>
      <c r="E216" s="11" t="n">
        <v>119</v>
      </c>
      <c r="F216" s="13" t="n">
        <v>295</v>
      </c>
      <c r="G216" s="11" t="n">
        <v>35</v>
      </c>
      <c r="H216" s="10"/>
      <c r="I216" s="10" t="s">
        <v>748</v>
      </c>
      <c r="J216" s="17" t="n">
        <f aca="false">IFERROR(INDEX(hayday_info!$D$2:$D$349,MATCH($A216,hayday_info!$A$2:$A$349,0)),"not found")</f>
        <v>240</v>
      </c>
      <c r="K216" s="10" t="str">
        <f aca="false">IF(J216="not found","not in hayday.info",IF(J216=E216,"matches mastered",IF(J216=D216,"matches normal","differs")))</f>
        <v>differs</v>
      </c>
      <c r="L216" s="18" t="n">
        <f aca="false">IFERROR(INDEX(hayday_info!$E$2:$E$349,MATCH($A216,hayday_info!$A$2:$A$349,0)),"not found")</f>
        <v>295</v>
      </c>
      <c r="M216" s="10" t="str">
        <f aca="false">IF(L216="not found","not in hayday.info",IF(F216="","no Fandom value",IF(L216=F216,"match","differs")))</f>
        <v>match</v>
      </c>
      <c r="N216" s="10" t="n">
        <f aca="false">IFERROR(INDEX(hayday_info!$F$2:$F$349,MATCH($A216,hayday_info!$A$2:$A$349,0)),"not found")</f>
        <v>35</v>
      </c>
      <c r="O216" s="10" t="str">
        <f aca="false">IF(N216="not found","not in hayday.info",IF(G216="","no Fandom value",IF(N216=G216,"match","differs")))</f>
        <v>match</v>
      </c>
      <c r="P216" s="10" t="str">
        <f aca="false">IF(J216="not found","not in hayday.info",IF(C216="","no Fandom value",IF(IFERROR(INDEX(hayday_info!$C$2:$C$349,MATCH($A216,hayday_info!$A$2:$A$349,0)),"not found")=C216,"match","differs")))</f>
        <v>match</v>
      </c>
    </row>
    <row r="217" customFormat="false" ht="15" hidden="false" customHeight="true" outlineLevel="0" collapsed="false">
      <c r="A217" s="10" t="s">
        <v>313</v>
      </c>
      <c r="B217" s="10" t="s">
        <v>314</v>
      </c>
      <c r="C217" s="11" t="n">
        <v>94</v>
      </c>
      <c r="D217" s="11" t="n">
        <v>240</v>
      </c>
      <c r="E217" s="11" t="n">
        <v>204</v>
      </c>
      <c r="F217" s="13" t="n">
        <v>219</v>
      </c>
      <c r="G217" s="11" t="n">
        <v>26</v>
      </c>
      <c r="H217" s="10"/>
      <c r="I217" s="10" t="s">
        <v>749</v>
      </c>
      <c r="J217" s="17" t="n">
        <f aca="false">IFERROR(INDEX(hayday_info!$D$2:$D$349,MATCH($A217,hayday_info!$A$2:$A$349,0)),"not found")</f>
        <v>187</v>
      </c>
      <c r="K217" s="10" t="str">
        <f aca="false">IF(J217="not found","not in hayday.info",IF(J217=E217,"matches mastered",IF(J217=D217,"matches normal","differs")))</f>
        <v>differs</v>
      </c>
      <c r="L217" s="18" t="n">
        <f aca="false">IFERROR(INDEX(hayday_info!$E$2:$E$349,MATCH($A217,hayday_info!$A$2:$A$349,0)),"not found")</f>
        <v>219</v>
      </c>
      <c r="M217" s="10" t="str">
        <f aca="false">IF(L217="not found","not in hayday.info",IF(F217="","no Fandom value",IF(L217=F217,"match","differs")))</f>
        <v>match</v>
      </c>
      <c r="N217" s="10" t="n">
        <f aca="false">IFERROR(INDEX(hayday_info!$F$2:$F$349,MATCH($A217,hayday_info!$A$2:$A$349,0)),"not found")</f>
        <v>26</v>
      </c>
      <c r="O217" s="10" t="str">
        <f aca="false">IF(N217="not found","not in hayday.info",IF(G217="","no Fandom value",IF(N217=G217,"match","differs")))</f>
        <v>match</v>
      </c>
      <c r="P217" s="10" t="str">
        <f aca="false">IF(J217="not found","not in hayday.info",IF(C217="","no Fandom value",IF(IFERROR(INDEX(hayday_info!$C$2:$C$349,MATCH($A217,hayday_info!$A$2:$A$349,0)),"not found")=C217,"match","differs")))</f>
        <v>match</v>
      </c>
    </row>
    <row r="218" customFormat="false" ht="15" hidden="false" customHeight="true" outlineLevel="0" collapsed="false">
      <c r="A218" s="10" t="s">
        <v>316</v>
      </c>
      <c r="B218" s="10" t="s">
        <v>314</v>
      </c>
      <c r="C218" s="11" t="n">
        <v>96</v>
      </c>
      <c r="D218" s="11" t="n">
        <v>220</v>
      </c>
      <c r="E218" s="11" t="n">
        <v>187</v>
      </c>
      <c r="F218" s="13" t="n">
        <v>151</v>
      </c>
      <c r="G218" s="11" t="n">
        <v>26</v>
      </c>
      <c r="H218" s="10"/>
      <c r="I218" s="10" t="s">
        <v>749</v>
      </c>
      <c r="J218" s="17" t="n">
        <f aca="false">IFERROR(INDEX(hayday_info!$D$2:$D$349,MATCH($A218,hayday_info!$A$2:$A$349,0)),"not found")</f>
        <v>187</v>
      </c>
      <c r="K218" s="10" t="str">
        <f aca="false">IF(J218="not found","not in hayday.info",IF(J218=E218,"matches mastered",IF(J218=D218,"matches normal","differs")))</f>
        <v>matches mastered</v>
      </c>
      <c r="L218" s="18" t="n">
        <f aca="false">IFERROR(INDEX(hayday_info!$E$2:$E$349,MATCH($A218,hayday_info!$A$2:$A$349,0)),"not found")</f>
        <v>151</v>
      </c>
      <c r="M218" s="10" t="str">
        <f aca="false">IF(L218="not found","not in hayday.info",IF(F218="","no Fandom value",IF(L218=F218,"match","differs")))</f>
        <v>match</v>
      </c>
      <c r="N218" s="10" t="n">
        <f aca="false">IFERROR(INDEX(hayday_info!$F$2:$F$349,MATCH($A218,hayday_info!$A$2:$A$349,0)),"not found")</f>
        <v>26</v>
      </c>
      <c r="O218" s="10" t="str">
        <f aca="false">IF(N218="not found","not in hayday.info",IF(G218="","no Fandom value",IF(N218=G218,"match","differs")))</f>
        <v>match</v>
      </c>
      <c r="P218" s="10" t="str">
        <f aca="false">IF(J218="not found","not in hayday.info",IF(C218="","no Fandom value",IF(IFERROR(INDEX(hayday_info!$C$2:$C$349,MATCH($A218,hayday_info!$A$2:$A$349,0)),"not found")=C218,"match","differs")))</f>
        <v>match</v>
      </c>
    </row>
    <row r="219" customFormat="false" ht="15" hidden="false" customHeight="true" outlineLevel="0" collapsed="false">
      <c r="A219" s="10" t="s">
        <v>317</v>
      </c>
      <c r="B219" s="10" t="s">
        <v>314</v>
      </c>
      <c r="C219" s="11" t="n">
        <v>99</v>
      </c>
      <c r="D219" s="11" t="n">
        <v>200</v>
      </c>
      <c r="E219" s="11" t="n">
        <v>170</v>
      </c>
      <c r="F219" s="13" t="n">
        <v>212</v>
      </c>
      <c r="G219" s="11" t="n">
        <v>25</v>
      </c>
      <c r="H219" s="10"/>
      <c r="I219" s="10" t="s">
        <v>749</v>
      </c>
      <c r="J219" s="17" t="n">
        <f aca="false">IFERROR(INDEX(hayday_info!$D$2:$D$349,MATCH($A219,hayday_info!$A$2:$A$349,0)),"not found")</f>
        <v>170</v>
      </c>
      <c r="K219" s="10" t="str">
        <f aca="false">IF(J219="not found","not in hayday.info",IF(J219=E219,"matches mastered",IF(J219=D219,"matches normal","differs")))</f>
        <v>matches mastered</v>
      </c>
      <c r="L219" s="18" t="n">
        <f aca="false">IFERROR(INDEX(hayday_info!$E$2:$E$349,MATCH($A219,hayday_info!$A$2:$A$349,0)),"not found")</f>
        <v>212</v>
      </c>
      <c r="M219" s="10" t="str">
        <f aca="false">IF(L219="not found","not in hayday.info",IF(F219="","no Fandom value",IF(L219=F219,"match","differs")))</f>
        <v>match</v>
      </c>
      <c r="N219" s="10" t="n">
        <f aca="false">IFERROR(INDEX(hayday_info!$F$2:$F$349,MATCH($A219,hayday_info!$A$2:$A$349,0)),"not found")</f>
        <v>25</v>
      </c>
      <c r="O219" s="10" t="str">
        <f aca="false">IF(N219="not found","not in hayday.info",IF(G219="","no Fandom value",IF(N219=G219,"match","differs")))</f>
        <v>match</v>
      </c>
      <c r="P219" s="10" t="str">
        <f aca="false">IF(J219="not found","not in hayday.info",IF(C219="","no Fandom value",IF(IFERROR(INDEX(hayday_info!$C$2:$C$349,MATCH($A219,hayday_info!$A$2:$A$349,0)),"not found")=C219,"match","differs")))</f>
        <v>match</v>
      </c>
    </row>
    <row r="220" customFormat="false" ht="15" hidden="false" customHeight="true" outlineLevel="0" collapsed="false">
      <c r="A220" s="10" t="s">
        <v>207</v>
      </c>
      <c r="B220" s="10" t="s">
        <v>208</v>
      </c>
      <c r="C220" s="11" t="n">
        <v>39</v>
      </c>
      <c r="D220" s="11" t="n">
        <v>20</v>
      </c>
      <c r="E220" s="11" t="n">
        <v>17</v>
      </c>
      <c r="F220" s="13" t="n">
        <v>154</v>
      </c>
      <c r="G220" s="11" t="n">
        <v>19</v>
      </c>
      <c r="H220" s="10"/>
      <c r="I220" s="10" t="s">
        <v>750</v>
      </c>
      <c r="J220" s="17" t="n">
        <f aca="false">IFERROR(INDEX(hayday_info!$D$2:$D$349,MATCH($A220,hayday_info!$A$2:$A$349,0)),"not found")</f>
        <v>17</v>
      </c>
      <c r="K220" s="10" t="str">
        <f aca="false">IF(J220="not found","not in hayday.info",IF(J220=E220,"matches mastered",IF(J220=D220,"matches normal","differs")))</f>
        <v>matches mastered</v>
      </c>
      <c r="L220" s="18" t="n">
        <f aca="false">IFERROR(INDEX(hayday_info!$E$2:$E$349,MATCH($A220,hayday_info!$A$2:$A$349,0)),"not found")</f>
        <v>154</v>
      </c>
      <c r="M220" s="10" t="str">
        <f aca="false">IF(L220="not found","not in hayday.info",IF(F220="","no Fandom value",IF(L220=F220,"match","differs")))</f>
        <v>match</v>
      </c>
      <c r="N220" s="10" t="n">
        <f aca="false">IFERROR(INDEX(hayday_info!$F$2:$F$349,MATCH($A220,hayday_info!$A$2:$A$349,0)),"not found")</f>
        <v>19</v>
      </c>
      <c r="O220" s="10" t="str">
        <f aca="false">IF(N220="not found","not in hayday.info",IF(G220="","no Fandom value",IF(N220=G220,"match","differs")))</f>
        <v>match</v>
      </c>
      <c r="P220" s="10" t="str">
        <f aca="false">IF(J220="not found","not in hayday.info",IF(C220="","no Fandom value",IF(IFERROR(INDEX(hayday_info!$C$2:$C$349,MATCH($A220,hayday_info!$A$2:$A$349,0)),"not found")=C220,"match","differs")))</f>
        <v>match</v>
      </c>
    </row>
    <row r="221" customFormat="false" ht="15" hidden="false" customHeight="true" outlineLevel="0" collapsed="false">
      <c r="A221" s="10" t="s">
        <v>210</v>
      </c>
      <c r="B221" s="10" t="s">
        <v>208</v>
      </c>
      <c r="C221" s="11" t="n">
        <v>48</v>
      </c>
      <c r="D221" s="11" t="n">
        <v>45</v>
      </c>
      <c r="E221" s="11" t="n">
        <v>38</v>
      </c>
      <c r="F221" s="13" t="n">
        <v>234</v>
      </c>
      <c r="G221" s="11" t="n">
        <v>28</v>
      </c>
      <c r="H221" s="10"/>
      <c r="I221" s="10" t="s">
        <v>750</v>
      </c>
      <c r="J221" s="17" t="n">
        <f aca="false">IFERROR(INDEX(hayday_info!$D$2:$D$349,MATCH($A221,hayday_info!$A$2:$A$349,0)),"not found")</f>
        <v>38</v>
      </c>
      <c r="K221" s="10" t="str">
        <f aca="false">IF(J221="not found","not in hayday.info",IF(J221=E221,"matches mastered",IF(J221=D221,"matches normal","differs")))</f>
        <v>matches mastered</v>
      </c>
      <c r="L221" s="18" t="n">
        <f aca="false">IFERROR(INDEX(hayday_info!$E$2:$E$349,MATCH($A221,hayday_info!$A$2:$A$349,0)),"not found")</f>
        <v>234</v>
      </c>
      <c r="M221" s="10" t="str">
        <f aca="false">IF(L221="not found","not in hayday.info",IF(F221="","no Fandom value",IF(L221=F221,"match","differs")))</f>
        <v>match</v>
      </c>
      <c r="N221" s="10" t="n">
        <f aca="false">IFERROR(INDEX(hayday_info!$F$2:$F$349,MATCH($A221,hayday_info!$A$2:$A$349,0)),"not found")</f>
        <v>28</v>
      </c>
      <c r="O221" s="10" t="str">
        <f aca="false">IF(N221="not found","not in hayday.info",IF(G221="","no Fandom value",IF(N221=G221,"match","differs")))</f>
        <v>match</v>
      </c>
      <c r="P221" s="10" t="str">
        <f aca="false">IF(J221="not found","not in hayday.info",IF(C221="","no Fandom value",IF(IFERROR(INDEX(hayday_info!$C$2:$C$349,MATCH($A221,hayday_info!$A$2:$A$349,0)),"not found")=C221,"match","differs")))</f>
        <v>match</v>
      </c>
    </row>
    <row r="222" customFormat="false" ht="15" hidden="false" customHeight="true" outlineLevel="0" collapsed="false">
      <c r="A222" s="10" t="s">
        <v>168</v>
      </c>
      <c r="B222" s="10" t="s">
        <v>169</v>
      </c>
      <c r="C222" s="11" t="n">
        <v>50</v>
      </c>
      <c r="D222" s="11" t="n">
        <v>180</v>
      </c>
      <c r="E222" s="11"/>
      <c r="F222" s="13"/>
      <c r="G222" s="11"/>
      <c r="H222" s="10" t="s">
        <v>751</v>
      </c>
      <c r="I222" s="10" t="s">
        <v>752</v>
      </c>
      <c r="J222" s="17" t="n">
        <f aca="false">IFERROR(INDEX(hayday_info!$D$2:$D$349,MATCH($A222,hayday_info!$A$2:$A$349,0)),"not found")</f>
        <v>180</v>
      </c>
      <c r="K222" s="10" t="str">
        <f aca="false">IF(J222="not found","not in hayday.info",IF(J222=E222,"matches mastered",IF(J222=D222,"matches normal","differs")))</f>
        <v>matches normal</v>
      </c>
      <c r="L222" s="18" t="n">
        <f aca="false">IFERROR(INDEX(hayday_info!$E$2:$E$349,MATCH($A222,hayday_info!$A$2:$A$349,0)),"not found")</f>
        <v>140</v>
      </c>
      <c r="M222" s="10" t="str">
        <f aca="false">IF(L222="not found","not in hayday.info",IF(F222="","no Fandom value",IF(L222=F222,"match","differs")))</f>
        <v>no Fandom value</v>
      </c>
      <c r="N222" s="10" t="n">
        <f aca="false">IFERROR(INDEX(hayday_info!$F$2:$F$349,MATCH($A222,hayday_info!$A$2:$A$349,0)),"not found")</f>
        <v>17</v>
      </c>
      <c r="O222" s="10" t="str">
        <f aca="false">IF(N222="not found","not in hayday.info",IF(G222="","no Fandom value",IF(N222=G222,"match","differs")))</f>
        <v>no Fandom value</v>
      </c>
      <c r="P222" s="10" t="str">
        <f aca="false">IF(J222="not found","not in hayday.info",IF(C222="","no Fandom value",IF(IFERROR(INDEX(hayday_info!$C$2:$C$349,MATCH($A222,hayday_info!$A$2:$A$349,0)),"not found")=C222,"match","differs")))</f>
        <v>match</v>
      </c>
    </row>
    <row r="223" customFormat="false" ht="15" hidden="false" customHeight="true" outlineLevel="0" collapsed="false">
      <c r="A223" s="10" t="s">
        <v>592</v>
      </c>
      <c r="B223" s="10" t="s">
        <v>266</v>
      </c>
      <c r="C223" s="11" t="n">
        <v>44</v>
      </c>
      <c r="D223" s="11" t="n">
        <v>360</v>
      </c>
      <c r="E223" s="11"/>
      <c r="F223" s="13" t="n">
        <v>201</v>
      </c>
      <c r="G223" s="11" t="n">
        <v>24</v>
      </c>
      <c r="H223" s="10" t="s">
        <v>753</v>
      </c>
      <c r="I223" s="10" t="s">
        <v>754</v>
      </c>
      <c r="J223" s="17" t="n">
        <f aca="false">IFERROR(INDEX(hayday_info!$D$2:$D$349,MATCH($A223,hayday_info!$A$2:$A$349,0)),"not found")</f>
        <v>360</v>
      </c>
      <c r="K223" s="10" t="str">
        <f aca="false">IF(J223="not found","not in hayday.info",IF(J223=E223,"matches mastered",IF(J223=D223,"matches normal","differs")))</f>
        <v>matches normal</v>
      </c>
      <c r="L223" s="18" t="n">
        <f aca="false">IFERROR(INDEX(hayday_info!$E$2:$E$349,MATCH($A223,hayday_info!$A$2:$A$349,0)),"not found")</f>
        <v>201</v>
      </c>
      <c r="M223" s="10" t="str">
        <f aca="false">IF(L223="not found","not in hayday.info",IF(F223="","no Fandom value",IF(L223=F223,"match","differs")))</f>
        <v>match</v>
      </c>
      <c r="N223" s="10" t="n">
        <f aca="false">IFERROR(INDEX(hayday_info!$F$2:$F$349,MATCH($A223,hayday_info!$A$2:$A$349,0)),"not found")</f>
        <v>24</v>
      </c>
      <c r="O223" s="10" t="str">
        <f aca="false">IF(N223="not found","not in hayday.info",IF(G223="","no Fandom value",IF(N223=G223,"match","differs")))</f>
        <v>match</v>
      </c>
      <c r="P223" s="10" t="str">
        <f aca="false">IF(J223="not found","not in hayday.info",IF(C223="","no Fandom value",IF(IFERROR(INDEX(hayday_info!$C$2:$C$349,MATCH($A223,hayday_info!$A$2:$A$349,0)),"not found")=C223,"match","differs")))</f>
        <v>match</v>
      </c>
    </row>
    <row r="224" customFormat="false" ht="15" hidden="false" customHeight="true" outlineLevel="0" collapsed="false">
      <c r="A224" s="10" t="s">
        <v>430</v>
      </c>
      <c r="B224" s="10" t="s">
        <v>431</v>
      </c>
      <c r="C224" s="11" t="n">
        <v>15</v>
      </c>
      <c r="D224" s="11" t="n">
        <v>960</v>
      </c>
      <c r="E224" s="11"/>
      <c r="F224" s="13"/>
      <c r="G224" s="11"/>
      <c r="H224" s="10" t="s">
        <v>755</v>
      </c>
      <c r="I224" s="10" t="s">
        <v>756</v>
      </c>
      <c r="J224" s="17" t="n">
        <f aca="false">IFERROR(INDEX(hayday_info!$D$2:$D$349,MATCH($A224,hayday_info!$A$2:$A$349,0)),"not found")</f>
        <v>960</v>
      </c>
      <c r="K224" s="10" t="str">
        <f aca="false">IF(J224="not found","not in hayday.info",IF(J224=E224,"matches mastered",IF(J224=D224,"matches normal","differs")))</f>
        <v>matches normal</v>
      </c>
      <c r="L224" s="18" t="n">
        <f aca="false">IFERROR(INDEX(hayday_info!$E$2:$E$349,MATCH($A224,hayday_info!$A$2:$A$349,0)),"not found")</f>
        <v>39</v>
      </c>
      <c r="M224" s="10" t="str">
        <f aca="false">IF(L224="not found","not in hayday.info",IF(F224="","no Fandom value",IF(L224=F224,"match","differs")))</f>
        <v>no Fandom value</v>
      </c>
      <c r="N224" s="10" t="n">
        <f aca="false">IFERROR(INDEX(hayday_info!$F$2:$F$349,MATCH($A224,hayday_info!$A$2:$A$349,0)),"not found")</f>
        <v>7</v>
      </c>
      <c r="O224" s="10" t="str">
        <f aca="false">IF(N224="not found","not in hayday.info",IF(G224="","no Fandom value",IF(N224=G224,"match","differs")))</f>
        <v>no Fandom value</v>
      </c>
      <c r="P224" s="10" t="str">
        <f aca="false">IF(J224="not found","not in hayday.info",IF(C224="","no Fandom value",IF(IFERROR(INDEX(hayday_info!$C$2:$C$349,MATCH($A224,hayday_info!$A$2:$A$349,0)),"not found")=C224,"match","differs")))</f>
        <v>match</v>
      </c>
    </row>
    <row r="225" customFormat="false" ht="15" hidden="false" customHeight="true" outlineLevel="0" collapsed="false">
      <c r="A225" s="10" t="s">
        <v>433</v>
      </c>
      <c r="B225" s="10" t="s">
        <v>431</v>
      </c>
      <c r="C225" s="11" t="n">
        <v>19</v>
      </c>
      <c r="D225" s="11" t="n">
        <v>1080</v>
      </c>
      <c r="E225" s="11"/>
      <c r="F225" s="13"/>
      <c r="G225" s="11"/>
      <c r="H225" s="10" t="s">
        <v>757</v>
      </c>
      <c r="I225" s="10" t="s">
        <v>756</v>
      </c>
      <c r="J225" s="17" t="n">
        <f aca="false">IFERROR(INDEX(hayday_info!$D$2:$D$349,MATCH($A225,hayday_info!$A$2:$A$349,0)),"not found")</f>
        <v>1080</v>
      </c>
      <c r="K225" s="10" t="str">
        <f aca="false">IF(J225="not found","not in hayday.info",IF(J225=E225,"matches mastered",IF(J225=D225,"matches normal","differs")))</f>
        <v>matches normal</v>
      </c>
      <c r="L225" s="18" t="n">
        <f aca="false">IFERROR(INDEX(hayday_info!$E$2:$E$349,MATCH($A225,hayday_info!$A$2:$A$349,0)),"not found")</f>
        <v>46</v>
      </c>
      <c r="M225" s="10" t="str">
        <f aca="false">IF(L225="not found","not in hayday.info",IF(F225="","no Fandom value",IF(L225=F225,"match","differs")))</f>
        <v>no Fandom value</v>
      </c>
      <c r="N225" s="10" t="n">
        <f aca="false">IFERROR(INDEX(hayday_info!$F$2:$F$349,MATCH($A225,hayday_info!$A$2:$A$349,0)),"not found")</f>
        <v>9</v>
      </c>
      <c r="O225" s="10" t="str">
        <f aca="false">IF(N225="not found","not in hayday.info",IF(G225="","no Fandom value",IF(N225=G225,"match","differs")))</f>
        <v>no Fandom value</v>
      </c>
      <c r="P225" s="10" t="str">
        <f aca="false">IF(J225="not found","not in hayday.info",IF(C225="","no Fandom value",IF(IFERROR(INDEX(hayday_info!$C$2:$C$349,MATCH($A225,hayday_info!$A$2:$A$349,0)),"not found")=C225,"match","differs")))</f>
        <v>match</v>
      </c>
    </row>
    <row r="226" customFormat="false" ht="15" hidden="false" customHeight="true" outlineLevel="0" collapsed="false">
      <c r="A226" s="10" t="s">
        <v>434</v>
      </c>
      <c r="B226" s="10" t="s">
        <v>431</v>
      </c>
      <c r="C226" s="11" t="n">
        <v>22</v>
      </c>
      <c r="D226" s="11" t="n">
        <v>1620</v>
      </c>
      <c r="E226" s="11"/>
      <c r="F226" s="13"/>
      <c r="G226" s="11"/>
      <c r="H226" s="10" t="s">
        <v>758</v>
      </c>
      <c r="I226" s="10" t="s">
        <v>756</v>
      </c>
      <c r="J226" s="17" t="n">
        <f aca="false">IFERROR(INDEX(hayday_info!$D$2:$D$349,MATCH($A226,hayday_info!$A$2:$A$349,0)),"not found")</f>
        <v>1620</v>
      </c>
      <c r="K226" s="10" t="str">
        <f aca="false">IF(J226="not found","not in hayday.info",IF(J226=E226,"matches mastered",IF(J226=D226,"matches normal","differs")))</f>
        <v>matches normal</v>
      </c>
      <c r="L226" s="18" t="n">
        <f aca="false">IFERROR(INDEX(hayday_info!$E$2:$E$349,MATCH($A226,hayday_info!$A$2:$A$349,0)),"not found")</f>
        <v>68</v>
      </c>
      <c r="M226" s="10" t="str">
        <f aca="false">IF(L226="not found","not in hayday.info",IF(F226="","no Fandom value",IF(L226=F226,"match","differs")))</f>
        <v>no Fandom value</v>
      </c>
      <c r="N226" s="10" t="n">
        <f aca="false">IFERROR(INDEX(hayday_info!$F$2:$F$349,MATCH($A226,hayday_info!$A$2:$A$349,0)),"not found")</f>
        <v>13</v>
      </c>
      <c r="O226" s="10" t="str">
        <f aca="false">IF(N226="not found","not in hayday.info",IF(G226="","no Fandom value",IF(N226=G226,"match","differs")))</f>
        <v>no Fandom value</v>
      </c>
      <c r="P226" s="10" t="str">
        <f aca="false">IF(J226="not found","not in hayday.info",IF(C226="","no Fandom value",IF(IFERROR(INDEX(hayday_info!$C$2:$C$349,MATCH($A226,hayday_info!$A$2:$A$349,0)),"not found")=C226,"match","differs")))</f>
        <v>match</v>
      </c>
    </row>
    <row r="227" customFormat="false" ht="15" hidden="false" customHeight="true" outlineLevel="0" collapsed="false">
      <c r="A227" s="10" t="s">
        <v>435</v>
      </c>
      <c r="B227" s="10" t="s">
        <v>431</v>
      </c>
      <c r="C227" s="11" t="n">
        <v>26</v>
      </c>
      <c r="D227" s="11" t="n">
        <v>1920</v>
      </c>
      <c r="E227" s="11"/>
      <c r="F227" s="13"/>
      <c r="G227" s="11"/>
      <c r="H227" s="10" t="s">
        <v>759</v>
      </c>
      <c r="I227" s="10" t="s">
        <v>756</v>
      </c>
      <c r="J227" s="17" t="n">
        <f aca="false">IFERROR(INDEX(hayday_info!$D$2:$D$349,MATCH($A227,hayday_info!$A$2:$A$349,0)),"not found")</f>
        <v>1920</v>
      </c>
      <c r="K227" s="10" t="str">
        <f aca="false">IF(J227="not found","not in hayday.info",IF(J227=E227,"matches mastered",IF(J227=D227,"matches normal","differs")))</f>
        <v>matches normal</v>
      </c>
      <c r="L227" s="18" t="n">
        <f aca="false">IFERROR(INDEX(hayday_info!$E$2:$E$349,MATCH($A227,hayday_info!$A$2:$A$349,0)),"not found")</f>
        <v>82</v>
      </c>
      <c r="M227" s="10" t="str">
        <f aca="false">IF(L227="not found","not in hayday.info",IF(F227="","no Fandom value",IF(L227=F227,"match","differs")))</f>
        <v>no Fandom value</v>
      </c>
      <c r="N227" s="10" t="n">
        <f aca="false">IFERROR(INDEX(hayday_info!$F$2:$F$349,MATCH($A227,hayday_info!$A$2:$A$349,0)),"not found")</f>
        <v>16</v>
      </c>
      <c r="O227" s="10" t="str">
        <f aca="false">IF(N227="not found","not in hayday.info",IF(G227="","no Fandom value",IF(N227=G227,"match","differs")))</f>
        <v>no Fandom value</v>
      </c>
      <c r="P227" s="10" t="str">
        <f aca="false">IF(J227="not found","not in hayday.info",IF(C227="","no Fandom value",IF(IFERROR(INDEX(hayday_info!$C$2:$C$349,MATCH($A227,hayday_info!$A$2:$A$349,0)),"not found")=C227,"match","differs")))</f>
        <v>match</v>
      </c>
    </row>
    <row r="228" customFormat="false" ht="15" hidden="false" customHeight="true" outlineLevel="0" collapsed="false">
      <c r="A228" s="10" t="s">
        <v>436</v>
      </c>
      <c r="B228" s="10" t="s">
        <v>431</v>
      </c>
      <c r="C228" s="11" t="n">
        <v>36</v>
      </c>
      <c r="D228" s="11" t="n">
        <v>2100</v>
      </c>
      <c r="E228" s="11"/>
      <c r="F228" s="13"/>
      <c r="G228" s="11"/>
      <c r="H228" s="10" t="s">
        <v>760</v>
      </c>
      <c r="I228" s="10" t="s">
        <v>756</v>
      </c>
      <c r="J228" s="17" t="n">
        <f aca="false">IFERROR(INDEX(hayday_info!$D$2:$D$349,MATCH($A228,hayday_info!$A$2:$A$349,0)),"not found")</f>
        <v>2040</v>
      </c>
      <c r="K228" s="10" t="str">
        <f aca="false">IF(J228="not found","not in hayday.info",IF(J228=E228,"matches mastered",IF(J228=D228,"matches normal","differs")))</f>
        <v>differs</v>
      </c>
      <c r="L228" s="18" t="n">
        <f aca="false">IFERROR(INDEX(hayday_info!$E$2:$E$349,MATCH($A228,hayday_info!$A$2:$A$349,0)),"not found")</f>
        <v>86</v>
      </c>
      <c r="M228" s="10" t="str">
        <f aca="false">IF(L228="not found","not in hayday.info",IF(F228="","no Fandom value",IF(L228=F228,"match","differs")))</f>
        <v>no Fandom value</v>
      </c>
      <c r="N228" s="10" t="n">
        <f aca="false">IFERROR(INDEX(hayday_info!$F$2:$F$349,MATCH($A228,hayday_info!$A$2:$A$349,0)),"not found")</f>
        <v>16</v>
      </c>
      <c r="O228" s="10" t="str">
        <f aca="false">IF(N228="not found","not in hayday.info",IF(G228="","no Fandom value",IF(N228=G228,"match","differs")))</f>
        <v>no Fandom value</v>
      </c>
      <c r="P228" s="10" t="str">
        <f aca="false">IF(J228="not found","not in hayday.info",IF(C228="","no Fandom value",IF(IFERROR(INDEX(hayday_info!$C$2:$C$349,MATCH($A228,hayday_info!$A$2:$A$349,0)),"not found")=C228,"match","differs")))</f>
        <v>match</v>
      </c>
    </row>
    <row r="229" customFormat="false" ht="15" hidden="false" customHeight="true" outlineLevel="0" collapsed="false">
      <c r="A229" s="10" t="s">
        <v>438</v>
      </c>
      <c r="B229" s="10" t="s">
        <v>431</v>
      </c>
      <c r="C229" s="11" t="n">
        <v>42</v>
      </c>
      <c r="D229" s="11" t="n">
        <v>1440</v>
      </c>
      <c r="E229" s="11"/>
      <c r="F229" s="13"/>
      <c r="G229" s="11"/>
      <c r="H229" s="10" t="s">
        <v>761</v>
      </c>
      <c r="I229" s="10" t="s">
        <v>756</v>
      </c>
      <c r="J229" s="17" t="n">
        <f aca="false">IFERROR(INDEX(hayday_info!$D$2:$D$349,MATCH($A229,hayday_info!$A$2:$A$349,0)),"not found")</f>
        <v>1500</v>
      </c>
      <c r="K229" s="10" t="str">
        <f aca="false">IF(J229="not found","not in hayday.info",IF(J229=E229,"matches mastered",IF(J229=D229,"matches normal","differs")))</f>
        <v>differs</v>
      </c>
      <c r="L229" s="18" t="n">
        <f aca="false">IFERROR(INDEX(hayday_info!$E$2:$E$349,MATCH($A229,hayday_info!$A$2:$A$349,0)),"not found")</f>
        <v>64</v>
      </c>
      <c r="M229" s="10" t="str">
        <f aca="false">IF(L229="not found","not in hayday.info",IF(F229="","no Fandom value",IF(L229=F229,"match","differs")))</f>
        <v>no Fandom value</v>
      </c>
      <c r="N229" s="10" t="n">
        <f aca="false">IFERROR(INDEX(hayday_info!$F$2:$F$349,MATCH($A229,hayday_info!$A$2:$A$349,0)),"not found")</f>
        <v>12</v>
      </c>
      <c r="O229" s="10" t="str">
        <f aca="false">IF(N229="not found","not in hayday.info",IF(G229="","no Fandom value",IF(N229=G229,"match","differs")))</f>
        <v>no Fandom value</v>
      </c>
      <c r="P229" s="10" t="str">
        <f aca="false">IF(J229="not found","not in hayday.info",IF(C229="","no Fandom value",IF(IFERROR(INDEX(hayday_info!$C$2:$C$349,MATCH($A229,hayday_info!$A$2:$A$349,0)),"not found")=C229,"match","differs")))</f>
        <v>match</v>
      </c>
    </row>
    <row r="230" customFormat="false" ht="15" hidden="false" customHeight="true" outlineLevel="0" collapsed="false">
      <c r="A230" s="10" t="s">
        <v>439</v>
      </c>
      <c r="B230" s="10" t="s">
        <v>431</v>
      </c>
      <c r="C230" s="11" t="n">
        <v>57</v>
      </c>
      <c r="D230" s="11" t="n">
        <v>1440</v>
      </c>
      <c r="E230" s="11"/>
      <c r="F230" s="13"/>
      <c r="G230" s="11"/>
      <c r="H230" s="10" t="s">
        <v>762</v>
      </c>
      <c r="I230" s="10" t="s">
        <v>756</v>
      </c>
      <c r="J230" s="17" t="n">
        <f aca="false">IFERROR(INDEX(hayday_info!$D$2:$D$349,MATCH($A230,hayday_info!$A$2:$A$349,0)),"not found")</f>
        <v>1440</v>
      </c>
      <c r="K230" s="10" t="str">
        <f aca="false">IF(J230="not found","not in hayday.info",IF(J230=E230,"matches mastered",IF(J230=D230,"matches normal","differs")))</f>
        <v>matches normal</v>
      </c>
      <c r="L230" s="18" t="n">
        <f aca="false">IFERROR(INDEX(hayday_info!$E$2:$E$349,MATCH($A230,hayday_info!$A$2:$A$349,0)),"not found")</f>
        <v>82</v>
      </c>
      <c r="M230" s="10" t="str">
        <f aca="false">IF(L230="not found","not in hayday.info",IF(F230="","no Fandom value",IF(L230=F230,"match","differs")))</f>
        <v>no Fandom value</v>
      </c>
      <c r="N230" s="10" t="n">
        <f aca="false">IFERROR(INDEX(hayday_info!$F$2:$F$349,MATCH($A230,hayday_info!$A$2:$A$349,0)),"not found")</f>
        <v>17</v>
      </c>
      <c r="O230" s="10" t="str">
        <f aca="false">IF(N230="not found","not in hayday.info",IF(G230="","no Fandom value",IF(N230=G230,"match","differs")))</f>
        <v>no Fandom value</v>
      </c>
      <c r="P230" s="10" t="str">
        <f aca="false">IF(J230="not found","not in hayday.info",IF(C230="","no Fandom value",IF(IFERROR(INDEX(hayday_info!$C$2:$C$349,MATCH($A230,hayday_info!$A$2:$A$349,0)),"not found")=C230,"match","differs")))</f>
        <v>match</v>
      </c>
    </row>
    <row r="231" customFormat="false" ht="15" hidden="false" customHeight="true" outlineLevel="0" collapsed="false">
      <c r="A231" s="10" t="s">
        <v>440</v>
      </c>
      <c r="B231" s="10" t="s">
        <v>431</v>
      </c>
      <c r="C231" s="11" t="n">
        <v>66</v>
      </c>
      <c r="D231" s="11" t="n">
        <v>1740</v>
      </c>
      <c r="E231" s="11"/>
      <c r="F231" s="13"/>
      <c r="G231" s="11"/>
      <c r="H231" s="10" t="s">
        <v>763</v>
      </c>
      <c r="I231" s="10" t="s">
        <v>756</v>
      </c>
      <c r="J231" s="17" t="n">
        <f aca="false">IFERROR(INDEX(hayday_info!$D$2:$D$349,MATCH($A231,hayday_info!$A$2:$A$349,0)),"not found")</f>
        <v>1740</v>
      </c>
      <c r="K231" s="10" t="str">
        <f aca="false">IF(J231="not found","not in hayday.info",IF(J231=E231,"matches mastered",IF(J231=D231,"matches normal","differs")))</f>
        <v>matches normal</v>
      </c>
      <c r="L231" s="18" t="n">
        <f aca="false">IFERROR(INDEX(hayday_info!$E$2:$E$349,MATCH($A231,hayday_info!$A$2:$A$349,0)),"not found")</f>
        <v>93</v>
      </c>
      <c r="M231" s="10" t="str">
        <f aca="false">IF(L231="not found","not in hayday.info",IF(F231="","no Fandom value",IF(L231=F231,"match","differs")))</f>
        <v>no Fandom value</v>
      </c>
      <c r="N231" s="10" t="n">
        <f aca="false">IFERROR(INDEX(hayday_info!$F$2:$F$349,MATCH($A231,hayday_info!$A$2:$A$349,0)),"not found")</f>
        <v>18</v>
      </c>
      <c r="O231" s="10" t="str">
        <f aca="false">IF(N231="not found","not in hayday.info",IF(G231="","no Fandom value",IF(N231=G231,"match","differs")))</f>
        <v>no Fandom value</v>
      </c>
      <c r="P231" s="10" t="str">
        <f aca="false">IF(J231="not found","not in hayday.info",IF(C231="","no Fandom value",IF(IFERROR(INDEX(hayday_info!$C$2:$C$349,MATCH($A231,hayday_info!$A$2:$A$349,0)),"not found")=C231,"match","differs")))</f>
        <v>match</v>
      </c>
    </row>
    <row r="232" customFormat="false" ht="15" hidden="false" customHeight="true" outlineLevel="0" collapsed="false">
      <c r="A232" s="10" t="s">
        <v>441</v>
      </c>
      <c r="B232" s="10" t="s">
        <v>431</v>
      </c>
      <c r="C232" s="11" t="n">
        <v>71</v>
      </c>
      <c r="D232" s="11" t="n">
        <v>1860</v>
      </c>
      <c r="E232" s="11"/>
      <c r="F232" s="13"/>
      <c r="G232" s="11"/>
      <c r="H232" s="10" t="s">
        <v>764</v>
      </c>
      <c r="I232" s="10" t="s">
        <v>756</v>
      </c>
      <c r="J232" s="17" t="n">
        <f aca="false">IFERROR(INDEX(hayday_info!$D$2:$D$349,MATCH($A232,hayday_info!$A$2:$A$349,0)),"not found")</f>
        <v>1860</v>
      </c>
      <c r="K232" s="10" t="str">
        <f aca="false">IF(J232="not found","not in hayday.info",IF(J232=E232,"matches mastered",IF(J232=D232,"matches normal","differs")))</f>
        <v>matches normal</v>
      </c>
      <c r="L232" s="18" t="n">
        <f aca="false">IFERROR(INDEX(hayday_info!$E$2:$E$349,MATCH($A232,hayday_info!$A$2:$A$349,0)),"not found")</f>
        <v>97</v>
      </c>
      <c r="M232" s="10" t="str">
        <f aca="false">IF(L232="not found","not in hayday.info",IF(F232="","no Fandom value",IF(L232=F232,"match","differs")))</f>
        <v>no Fandom value</v>
      </c>
      <c r="N232" s="10" t="n">
        <f aca="false">IFERROR(INDEX(hayday_info!$F$2:$F$349,MATCH($A232,hayday_info!$A$2:$A$349,0)),"not found")</f>
        <v>19</v>
      </c>
      <c r="O232" s="10" t="str">
        <f aca="false">IF(N232="not found","not in hayday.info",IF(G232="","no Fandom value",IF(N232=G232,"match","differs")))</f>
        <v>no Fandom value</v>
      </c>
      <c r="P232" s="10" t="str">
        <f aca="false">IF(J232="not found","not in hayday.info",IF(C232="","no Fandom value",IF(IFERROR(INDEX(hayday_info!$C$2:$C$349,MATCH($A232,hayday_info!$A$2:$A$349,0)),"not found")=C232,"match","differs")))</f>
        <v>match</v>
      </c>
    </row>
    <row r="233" customFormat="false" ht="15" hidden="false" customHeight="true" outlineLevel="0" collapsed="false">
      <c r="A233" s="10" t="s">
        <v>442</v>
      </c>
      <c r="B233" s="10" t="s">
        <v>431</v>
      </c>
      <c r="C233" s="11" t="n">
        <v>76</v>
      </c>
      <c r="D233" s="11" t="n">
        <v>1800</v>
      </c>
      <c r="E233" s="11"/>
      <c r="F233" s="13"/>
      <c r="G233" s="11"/>
      <c r="H233" s="10" t="s">
        <v>765</v>
      </c>
      <c r="I233" s="10" t="s">
        <v>756</v>
      </c>
      <c r="J233" s="17" t="n">
        <f aca="false">IFERROR(INDEX(hayday_info!$D$2:$D$349,MATCH($A233,hayday_info!$A$2:$A$349,0)),"not found")</f>
        <v>1800</v>
      </c>
      <c r="K233" s="10" t="str">
        <f aca="false">IF(J233="not found","not in hayday.info",IF(J233=E233,"matches mastered",IF(J233=D233,"matches normal","differs")))</f>
        <v>matches normal</v>
      </c>
      <c r="L233" s="18" t="n">
        <f aca="false">IFERROR(INDEX(hayday_info!$E$2:$E$349,MATCH($A233,hayday_info!$A$2:$A$349,0)),"not found")</f>
        <v>100</v>
      </c>
      <c r="M233" s="10" t="str">
        <f aca="false">IF(L233="not found","not in hayday.info",IF(F233="","no Fandom value",IF(L233=F233,"match","differs")))</f>
        <v>no Fandom value</v>
      </c>
      <c r="N233" s="10" t="n">
        <f aca="false">IFERROR(INDEX(hayday_info!$F$2:$F$349,MATCH($A233,hayday_info!$A$2:$A$349,0)),"not found")</f>
        <v>20</v>
      </c>
      <c r="O233" s="10" t="str">
        <f aca="false">IF(N233="not found","not in hayday.info",IF(G233="","no Fandom value",IF(N233=G233,"match","differs")))</f>
        <v>no Fandom value</v>
      </c>
      <c r="P233" s="10" t="str">
        <f aca="false">IF(J233="not found","not in hayday.info",IF(C233="","no Fandom value",IF(IFERROR(INDEX(hayday_info!$C$2:$C$349,MATCH($A233,hayday_info!$A$2:$A$349,0)),"not found")=C233,"match","differs")))</f>
        <v>match</v>
      </c>
    </row>
    <row r="234" customFormat="false" ht="15" hidden="false" customHeight="true" outlineLevel="0" collapsed="false">
      <c r="A234" s="10" t="s">
        <v>443</v>
      </c>
      <c r="B234" s="10" t="s">
        <v>431</v>
      </c>
      <c r="C234" s="11" t="n">
        <v>88</v>
      </c>
      <c r="D234" s="11" t="n">
        <v>1620</v>
      </c>
      <c r="E234" s="11"/>
      <c r="F234" s="13"/>
      <c r="G234" s="11"/>
      <c r="H234" s="10" t="s">
        <v>766</v>
      </c>
      <c r="I234" s="10" t="s">
        <v>756</v>
      </c>
      <c r="J234" s="17" t="n">
        <f aca="false">IFERROR(INDEX(hayday_info!$D$2:$D$349,MATCH($A234,hayday_info!$A$2:$A$349,0)),"not found")</f>
        <v>1620</v>
      </c>
      <c r="K234" s="10" t="str">
        <f aca="false">IF(J234="not found","not in hayday.info",IF(J234=E234,"matches mastered",IF(J234=D234,"matches normal","differs")))</f>
        <v>matches normal</v>
      </c>
      <c r="L234" s="18" t="n">
        <f aca="false">IFERROR(INDEX(hayday_info!$E$2:$E$349,MATCH($A234,hayday_info!$A$2:$A$349,0)),"not found")</f>
        <v>104</v>
      </c>
      <c r="M234" s="10" t="str">
        <f aca="false">IF(L234="not found","not in hayday.info",IF(F234="","no Fandom value",IF(L234=F234,"match","differs")))</f>
        <v>no Fandom value</v>
      </c>
      <c r="N234" s="10" t="n">
        <f aca="false">IFERROR(INDEX(hayday_info!$F$2:$F$349,MATCH($A234,hayday_info!$A$2:$A$349,0)),"not found")</f>
        <v>20</v>
      </c>
      <c r="O234" s="10" t="str">
        <f aca="false">IF(N234="not found","not in hayday.info",IF(G234="","no Fandom value",IF(N234=G234,"match","differs")))</f>
        <v>no Fandom value</v>
      </c>
      <c r="P234" s="10" t="str">
        <f aca="false">IF(J234="not found","not in hayday.info",IF(C234="","no Fandom value",IF(IFERROR(INDEX(hayday_info!$C$2:$C$349,MATCH($A234,hayday_info!$A$2:$A$349,0)),"not found")=C234,"match","differs")))</f>
        <v>match</v>
      </c>
    </row>
    <row r="235" customFormat="false" ht="15" hidden="false" customHeight="true" outlineLevel="0" collapsed="false">
      <c r="A235" s="10" t="s">
        <v>444</v>
      </c>
      <c r="B235" s="10" t="s">
        <v>431</v>
      </c>
      <c r="C235" s="11" t="n">
        <v>94</v>
      </c>
      <c r="D235" s="11" t="n">
        <v>1500</v>
      </c>
      <c r="E235" s="11"/>
      <c r="F235" s="13"/>
      <c r="G235" s="11"/>
      <c r="H235" s="10" t="s">
        <v>767</v>
      </c>
      <c r="I235" s="10" t="s">
        <v>756</v>
      </c>
      <c r="J235" s="17" t="n">
        <f aca="false">IFERROR(INDEX(hayday_info!$D$2:$D$349,MATCH($A235,hayday_info!$A$2:$A$349,0)),"not found")</f>
        <v>1620</v>
      </c>
      <c r="K235" s="10" t="str">
        <f aca="false">IF(J235="not found","not in hayday.info",IF(J235=E235,"matches mastered",IF(J235=D235,"matches normal","differs")))</f>
        <v>differs</v>
      </c>
      <c r="L235" s="18" t="n">
        <f aca="false">IFERROR(INDEX(hayday_info!$E$2:$E$349,MATCH($A235,hayday_info!$A$2:$A$349,0)),"not found")</f>
        <v>82</v>
      </c>
      <c r="M235" s="10" t="str">
        <f aca="false">IF(L235="not found","not in hayday.info",IF(F235="","no Fandom value",IF(L235=F235,"match","differs")))</f>
        <v>no Fandom value</v>
      </c>
      <c r="N235" s="10" t="n">
        <f aca="false">IFERROR(INDEX(hayday_info!$F$2:$F$349,MATCH($A235,hayday_info!$A$2:$A$349,0)),"not found")</f>
        <v>16</v>
      </c>
      <c r="O235" s="10" t="str">
        <f aca="false">IF(N235="not found","not in hayday.info",IF(G235="","no Fandom value",IF(N235=G235,"match","differs")))</f>
        <v>no Fandom value</v>
      </c>
      <c r="P235" s="10" t="str">
        <f aca="false">IF(J235="not found","not in hayday.info",IF(C235="","no Fandom value",IF(IFERROR(INDEX(hayday_info!$C$2:$C$349,MATCH($A235,hayday_info!$A$2:$A$349,0)),"not found")=C235,"match","differs")))</f>
        <v>match</v>
      </c>
    </row>
    <row r="236" customFormat="false" ht="15" hidden="false" customHeight="true" outlineLevel="0" collapsed="false">
      <c r="A236" s="10" t="s">
        <v>445</v>
      </c>
      <c r="B236" s="10" t="s">
        <v>431</v>
      </c>
      <c r="C236" s="11" t="n">
        <v>97</v>
      </c>
      <c r="D236" s="11" t="n">
        <v>1920</v>
      </c>
      <c r="E236" s="11"/>
      <c r="F236" s="13"/>
      <c r="G236" s="11"/>
      <c r="H236" s="10" t="s">
        <v>768</v>
      </c>
      <c r="I236" s="10" t="s">
        <v>756</v>
      </c>
      <c r="J236" s="17" t="n">
        <f aca="false">IFERROR(INDEX(hayday_info!$D$2:$D$349,MATCH($A236,hayday_info!$A$2:$A$349,0)),"not found")</f>
        <v>1920</v>
      </c>
      <c r="K236" s="10" t="str">
        <f aca="false">IF(J236="not found","not in hayday.info",IF(J236=E236,"matches mastered",IF(J236=D236,"matches normal","differs")))</f>
        <v>matches normal</v>
      </c>
      <c r="L236" s="18" t="n">
        <f aca="false">IFERROR(INDEX(hayday_info!$E$2:$E$349,MATCH($A236,hayday_info!$A$2:$A$349,0)),"not found")</f>
        <v>100</v>
      </c>
      <c r="M236" s="10" t="str">
        <f aca="false">IF(L236="not found","not in hayday.info",IF(F236="","no Fandom value",IF(L236=F236,"match","differs")))</f>
        <v>no Fandom value</v>
      </c>
      <c r="N236" s="10" t="n">
        <f aca="false">IFERROR(INDEX(hayday_info!$F$2:$F$349,MATCH($A236,hayday_info!$A$2:$A$349,0)),"not found")</f>
        <v>20</v>
      </c>
      <c r="O236" s="10" t="str">
        <f aca="false">IF(N236="not found","not in hayday.info",IF(G236="","no Fandom value",IF(N236=G236,"match","differs")))</f>
        <v>no Fandom value</v>
      </c>
      <c r="P236" s="10" t="str">
        <f aca="false">IF(J236="not found","not in hayday.info",IF(C236="","no Fandom value",IF(IFERROR(INDEX(hayday_info!$C$2:$C$349,MATCH($A236,hayday_info!$A$2:$A$349,0)),"not found")=C236,"match","differs")))</f>
        <v>match</v>
      </c>
    </row>
    <row r="237" customFormat="false" ht="15" hidden="false" customHeight="true" outlineLevel="0" collapsed="false">
      <c r="A237" s="10" t="s">
        <v>446</v>
      </c>
      <c r="B237" s="10" t="s">
        <v>431</v>
      </c>
      <c r="C237" s="11" t="n">
        <v>101</v>
      </c>
      <c r="D237" s="11" t="n">
        <v>2160</v>
      </c>
      <c r="E237" s="11"/>
      <c r="F237" s="13"/>
      <c r="G237" s="11"/>
      <c r="H237" s="10" t="s">
        <v>769</v>
      </c>
      <c r="I237" s="10" t="s">
        <v>756</v>
      </c>
      <c r="J237" s="17" t="n">
        <f aca="false">IFERROR(INDEX(hayday_info!$D$2:$D$349,MATCH($A237,hayday_info!$A$2:$A$349,0)),"not found")</f>
        <v>2160</v>
      </c>
      <c r="K237" s="10" t="str">
        <f aca="false">IF(J237="not found","not in hayday.info",IF(J237=E237,"matches mastered",IF(J237=D237,"matches normal","differs")))</f>
        <v>matches normal</v>
      </c>
      <c r="L237" s="18" t="n">
        <f aca="false">IFERROR(INDEX(hayday_info!$E$2:$E$349,MATCH($A237,hayday_info!$A$2:$A$349,0)),"not found")</f>
        <v>108</v>
      </c>
      <c r="M237" s="10" t="str">
        <f aca="false">IF(L237="not found","not in hayday.info",IF(F237="","no Fandom value",IF(L237=F237,"match","differs")))</f>
        <v>no Fandom value</v>
      </c>
      <c r="N237" s="10" t="n">
        <f aca="false">IFERROR(INDEX(hayday_info!$F$2:$F$349,MATCH($A237,hayday_info!$A$2:$A$349,0)),"not found")</f>
        <v>21</v>
      </c>
      <c r="O237" s="10" t="str">
        <f aca="false">IF(N237="not found","not in hayday.info",IF(G237="","no Fandom value",IF(N237=G237,"match","differs")))</f>
        <v>no Fandom value</v>
      </c>
      <c r="P237" s="10" t="str">
        <f aca="false">IF(J237="not found","not in hayday.info",IF(C237="","no Fandom value",IF(IFERROR(INDEX(hayday_info!$C$2:$C$349,MATCH($A237,hayday_info!$A$2:$A$349,0)),"not found")=C237,"match","differs")))</f>
        <v>match</v>
      </c>
    </row>
    <row r="238" customFormat="false" ht="15" hidden="false" customHeight="true" outlineLevel="0" collapsed="false">
      <c r="A238" s="10" t="s">
        <v>447</v>
      </c>
      <c r="B238" s="10" t="s">
        <v>431</v>
      </c>
      <c r="C238" s="11" t="n">
        <v>104</v>
      </c>
      <c r="D238" s="11" t="n">
        <v>2040</v>
      </c>
      <c r="E238" s="11"/>
      <c r="F238" s="13"/>
      <c r="G238" s="11"/>
      <c r="H238" s="10" t="s">
        <v>770</v>
      </c>
      <c r="I238" s="10" t="s">
        <v>756</v>
      </c>
      <c r="J238" s="17" t="n">
        <f aca="false">IFERROR(INDEX(hayday_info!$D$2:$D$349,MATCH($A238,hayday_info!$A$2:$A$349,0)),"not found")</f>
        <v>2040</v>
      </c>
      <c r="K238" s="10" t="str">
        <f aca="false">IF(J238="not found","not in hayday.info",IF(J238=E238,"matches mastered",IF(J238=D238,"matches normal","differs")))</f>
        <v>matches normal</v>
      </c>
      <c r="L238" s="18" t="n">
        <f aca="false">IFERROR(INDEX(hayday_info!$E$2:$E$349,MATCH($A238,hayday_info!$A$2:$A$349,0)),"not found")</f>
        <v>111</v>
      </c>
      <c r="M238" s="10" t="str">
        <f aca="false">IF(L238="not found","not in hayday.info",IF(F238="","no Fandom value",IF(L238=F238,"match","differs")))</f>
        <v>no Fandom value</v>
      </c>
      <c r="N238" s="10" t="n">
        <f aca="false">IFERROR(INDEX(hayday_info!$F$2:$F$349,MATCH($A238,hayday_info!$A$2:$A$349,0)),"not found")</f>
        <v>22</v>
      </c>
      <c r="O238" s="10" t="str">
        <f aca="false">IF(N238="not found","not in hayday.info",IF(G238="","no Fandom value",IF(N238=G238,"match","differs")))</f>
        <v>no Fandom value</v>
      </c>
      <c r="P238" s="10" t="str">
        <f aca="false">IF(J238="not found","not in hayday.info",IF(C238="","no Fandom value",IF(IFERROR(INDEX(hayday_info!$C$2:$C$349,MATCH($A238,hayday_info!$A$2:$A$349,0)),"not found")=C238,"match","differs")))</f>
        <v>match</v>
      </c>
    </row>
    <row r="239" customFormat="false" ht="15" hidden="false" customHeight="true" outlineLevel="0" collapsed="false">
      <c r="A239" s="10" t="s">
        <v>448</v>
      </c>
      <c r="B239" s="10" t="s">
        <v>431</v>
      </c>
      <c r="C239" s="11" t="n">
        <v>107</v>
      </c>
      <c r="D239" s="11" t="n">
        <v>1620</v>
      </c>
      <c r="E239" s="11"/>
      <c r="F239" s="13"/>
      <c r="G239" s="11"/>
      <c r="H239" s="10" t="s">
        <v>771</v>
      </c>
      <c r="I239" s="10" t="s">
        <v>756</v>
      </c>
      <c r="J239" s="10" t="str">
        <f aca="false">IFERROR(INDEX(hayday_info!$D$2:$D$349,MATCH($A239,hayday_info!$A$2:$A$349,0)),"not found")</f>
        <v>not found</v>
      </c>
      <c r="K239" s="10" t="str">
        <f aca="false">IF(J239="not found","not in hayday.info",IF(J239=E239,"matches mastered",IF(J239=D239,"matches normal","differs")))</f>
        <v>not in hayday.info</v>
      </c>
      <c r="L239" s="10" t="str">
        <f aca="false">IFERROR(INDEX(hayday_info!$E$2:$E$349,MATCH($A239,hayday_info!$A$2:$A$349,0)),"not found")</f>
        <v>not found</v>
      </c>
      <c r="M239" s="10" t="str">
        <f aca="false">IF(L239="not found","not in hayday.info",IF(F239="","no Fandom value",IF(L239=F239,"match","differs")))</f>
        <v>not in hayday.info</v>
      </c>
      <c r="N239" s="10" t="str">
        <f aca="false">IFERROR(INDEX(hayday_info!$F$2:$F$349,MATCH($A239,hayday_info!$A$2:$A$349,0)),"not found")</f>
        <v>not found</v>
      </c>
      <c r="O239" s="10" t="str">
        <f aca="false">IF(N239="not found","not in hayday.info",IF(G239="","no Fandom value",IF(N239=G239,"match","differs")))</f>
        <v>not in hayday.info</v>
      </c>
      <c r="P239" s="10" t="str">
        <f aca="false">IF(J239="not found","not in hayday.info",IF(C239="","no Fandom value",IF(IFERROR(INDEX(hayday_info!$C$2:$C$349,MATCH($A239,hayday_info!$A$2:$A$349,0)),"not found")=C239,"match","differs")))</f>
        <v>not in hayday.info</v>
      </c>
    </row>
  </sheetData>
  <autoFilter ref="A1:P239"/>
  <conditionalFormatting sqref="K2:K239">
    <cfRule type="expression" priority="2" aboveAverage="0" equalAverage="0" bottom="0" percent="0" rank="0" text="" dxfId="10">
      <formula>OR(K2="differs",K2="not in hayday.info")</formula>
    </cfRule>
  </conditionalFormatting>
  <conditionalFormatting sqref="M2:M239">
    <cfRule type="expression" priority="3" aboveAverage="0" equalAverage="0" bottom="0" percent="0" rank="0" text="" dxfId="10">
      <formula>OR(M2="differs",M2="not in hayday.info")</formula>
    </cfRule>
  </conditionalFormatting>
  <conditionalFormatting sqref="O2:O239">
    <cfRule type="expression" priority="4" aboveAverage="0" equalAverage="0" bottom="0" percent="0" rank="0" text="" dxfId="10">
      <formula>OR(O2="differs",O2="not in hayday.info")</formula>
    </cfRule>
  </conditionalFormatting>
  <conditionalFormatting sqref="P2:P239">
    <cfRule type="expression" priority="5" aboveAverage="0" equalAverage="0" bottom="0" percent="0" rank="0" text="" dxfId="10">
      <formula>OR(P2="differs",P2="not in hayday.info")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9" width="44"/>
    <col collapsed="false" customWidth="true" hidden="false" outlineLevel="0" max="2" min="2" style="9" width="100"/>
    <col collapsed="false" customWidth="true" hidden="false" outlineLevel="0" max="3" min="3" style="9" width="60"/>
  </cols>
  <sheetData>
    <row r="1" customFormat="false" ht="15.75" hidden="false" customHeight="true" outlineLevel="0" collapsed="false">
      <c r="A1" s="19" t="s">
        <v>772</v>
      </c>
    </row>
    <row r="3" customFormat="false" ht="15" hidden="false" customHeight="true" outlineLevel="0" collapsed="false">
      <c r="A3" s="20" t="s">
        <v>773</v>
      </c>
    </row>
    <row r="4" customFormat="false" ht="23.25" hidden="false" customHeight="true" outlineLevel="0" collapsed="false">
      <c r="A4" s="21" t="s">
        <v>774</v>
      </c>
      <c r="B4" s="22" t="n">
        <v>200</v>
      </c>
      <c r="C4" s="23" t="s">
        <v>775</v>
      </c>
    </row>
    <row r="6" customFormat="false" ht="15" hidden="false" customHeight="true" outlineLevel="0" collapsed="false">
      <c r="A6" s="20" t="s">
        <v>776</v>
      </c>
    </row>
    <row r="7" customFormat="false" ht="15" hidden="false" customHeight="true" outlineLevel="0" collapsed="false">
      <c r="A7" s="21" t="s">
        <v>777</v>
      </c>
      <c r="B7" s="24" t="n">
        <f aca="false">COUNTA(fandom_all!A2:A239)</f>
        <v>238</v>
      </c>
    </row>
    <row r="8" customFormat="false" ht="15" hidden="false" customHeight="true" outlineLevel="0" collapsed="false">
      <c r="A8" s="21" t="s">
        <v>778</v>
      </c>
      <c r="B8" s="24" t="n">
        <f aca="false">COUNTIF(fandom_all!K2:K239,"&lt;&gt;not in hayday.info")</f>
        <v>236</v>
      </c>
    </row>
    <row r="9" customFormat="false" ht="15" hidden="false" customHeight="true" outlineLevel="0" collapsed="false">
      <c r="A9" s="21" t="s">
        <v>779</v>
      </c>
      <c r="B9" s="24" t="n">
        <f aca="false">COUNTIF(fandom_all!K2:K239,"not in hayday.info")</f>
        <v>2</v>
      </c>
    </row>
    <row r="10" customFormat="false" ht="15" hidden="false" customHeight="true" outlineLevel="0" collapsed="false">
      <c r="A10" s="21" t="s">
        <v>780</v>
      </c>
      <c r="B10" s="24" t="n">
        <f aca="false">COUNTIF(fandom_all!K2:K239,"matches mastered")</f>
        <v>211</v>
      </c>
    </row>
    <row r="11" customFormat="false" ht="15" hidden="false" customHeight="true" outlineLevel="0" collapsed="false">
      <c r="A11" s="21" t="s">
        <v>781</v>
      </c>
      <c r="B11" s="24" t="n">
        <f aca="false">COUNTIF(fandom_all!K2:K239,"matches normal")</f>
        <v>18</v>
      </c>
    </row>
    <row r="12" customFormat="false" ht="15" hidden="false" customHeight="true" outlineLevel="0" collapsed="false">
      <c r="A12" s="21" t="s">
        <v>782</v>
      </c>
      <c r="B12" s="24" t="n">
        <f aca="false">COUNTIF(fandom_all!K2:K239,"differs")</f>
        <v>7</v>
      </c>
    </row>
    <row r="13" customFormat="false" ht="15" hidden="false" customHeight="true" outlineLevel="0" collapsed="false">
      <c r="A13" s="21" t="s">
        <v>783</v>
      </c>
      <c r="B13" s="24" t="n">
        <f aca="false">COUNTIF(fandom_all!M2:M239,"match")</f>
        <v>212</v>
      </c>
    </row>
    <row r="14" customFormat="false" ht="15" hidden="false" customHeight="true" outlineLevel="0" collapsed="false">
      <c r="A14" s="21" t="s">
        <v>784</v>
      </c>
      <c r="B14" s="24" t="n">
        <f aca="false">COUNTIF(fandom_all!M2:M239,"differs")</f>
        <v>4</v>
      </c>
    </row>
    <row r="15" customFormat="false" ht="15" hidden="false" customHeight="true" outlineLevel="0" collapsed="false">
      <c r="A15" s="21" t="s">
        <v>785</v>
      </c>
      <c r="B15" s="24" t="n">
        <f aca="false">COUNTIF(fandom_all!O2:O239,"match")</f>
        <v>206</v>
      </c>
    </row>
    <row r="16" customFormat="false" ht="15" hidden="false" customHeight="true" outlineLevel="0" collapsed="false">
      <c r="A16" s="21" t="s">
        <v>786</v>
      </c>
      <c r="B16" s="24" t="n">
        <f aca="false">COUNTIF(fandom_all!O2:O239,"differs")</f>
        <v>10</v>
      </c>
    </row>
    <row r="17" customFormat="false" ht="15" hidden="false" customHeight="true" outlineLevel="0" collapsed="false">
      <c r="A17" s="21" t="s">
        <v>787</v>
      </c>
      <c r="B17" s="24" t="n">
        <f aca="false">COUNTIF(fandom_all!P2:P239,"differs")</f>
        <v>0</v>
      </c>
    </row>
    <row r="19" customFormat="false" ht="15" hidden="false" customHeight="true" outlineLevel="0" collapsed="false">
      <c r="A19" s="20" t="s">
        <v>788</v>
      </c>
    </row>
    <row r="20" customFormat="false" ht="23.25" hidden="false" customHeight="true" outlineLevel="0" collapsed="false">
      <c r="A20" s="25" t="s">
        <v>21</v>
      </c>
      <c r="B20" s="23" t="s">
        <v>789</v>
      </c>
    </row>
    <row r="21" customFormat="false" ht="34.5" hidden="false" customHeight="true" outlineLevel="0" collapsed="false">
      <c r="A21" s="25" t="s">
        <v>790</v>
      </c>
      <c r="B21" s="23" t="s">
        <v>791</v>
      </c>
    </row>
    <row r="22" customFormat="false" ht="23.25" hidden="false" customHeight="true" outlineLevel="0" collapsed="false">
      <c r="A22" s="25" t="s">
        <v>792</v>
      </c>
      <c r="B22" s="23" t="s">
        <v>793</v>
      </c>
    </row>
    <row r="23" customFormat="false" ht="23.25" hidden="false" customHeight="true" outlineLevel="0" collapsed="false">
      <c r="A23" s="25" t="s">
        <v>794</v>
      </c>
      <c r="B23" s="23" t="s">
        <v>795</v>
      </c>
    </row>
    <row r="24" customFormat="false" ht="15" hidden="false" customHeight="true" outlineLevel="0" collapsed="false">
      <c r="A24" s="25"/>
      <c r="B24" s="23"/>
    </row>
    <row r="25" customFormat="false" ht="15" hidden="false" customHeight="true" outlineLevel="0" collapsed="false">
      <c r="A25" s="20" t="s">
        <v>796</v>
      </c>
    </row>
    <row r="26" customFormat="false" ht="23.25" hidden="false" customHeight="true" outlineLevel="0" collapsed="false">
      <c r="A26" s="25" t="s">
        <v>797</v>
      </c>
      <c r="B26" s="23" t="s">
        <v>798</v>
      </c>
    </row>
    <row r="27" customFormat="false" ht="23.25" hidden="false" customHeight="true" outlineLevel="0" collapsed="false">
      <c r="A27" s="25" t="s">
        <v>799</v>
      </c>
      <c r="B27" s="23" t="s">
        <v>800</v>
      </c>
    </row>
    <row r="28" customFormat="false" ht="15" hidden="false" customHeight="true" outlineLevel="0" collapsed="false">
      <c r="A28" s="25" t="s">
        <v>801</v>
      </c>
      <c r="B28" s="23" t="s">
        <v>802</v>
      </c>
    </row>
    <row r="29" customFormat="false" ht="15" hidden="false" customHeight="true" outlineLevel="0" collapsed="false">
      <c r="A29" s="25" t="s">
        <v>803</v>
      </c>
      <c r="B29" s="23" t="s">
        <v>804</v>
      </c>
    </row>
    <row r="30" customFormat="false" ht="15" hidden="false" customHeight="true" outlineLevel="0" collapsed="false">
      <c r="A30" s="25"/>
      <c r="B30" s="23"/>
    </row>
    <row r="31" customFormat="false" ht="15" hidden="false" customHeight="true" outlineLevel="0" collapsed="false">
      <c r="A31" s="20" t="s">
        <v>805</v>
      </c>
    </row>
    <row r="32" customFormat="false" ht="23.25" hidden="false" customHeight="true" outlineLevel="0" collapsed="false">
      <c r="A32" s="25" t="s">
        <v>806</v>
      </c>
      <c r="B32" s="23" t="s">
        <v>807</v>
      </c>
    </row>
    <row r="33" customFormat="false" ht="15" hidden="false" customHeight="true" outlineLevel="0" collapsed="false">
      <c r="A33" s="25" t="s">
        <v>808</v>
      </c>
      <c r="B33" s="23" t="s">
        <v>809</v>
      </c>
    </row>
    <row r="34" customFormat="false" ht="15" hidden="false" customHeight="true" outlineLevel="0" collapsed="false">
      <c r="A34" s="25"/>
      <c r="B34" s="23"/>
    </row>
    <row r="35" customFormat="false" ht="34.5" hidden="false" customHeight="true" outlineLevel="0" collapsed="false">
      <c r="A35" s="25" t="s">
        <v>810</v>
      </c>
      <c r="B35" s="23" t="s">
        <v>811</v>
      </c>
    </row>
    <row r="36" customFormat="false" ht="15" hidden="false" customHeight="true" outlineLevel="0" collapsed="false">
      <c r="A36" s="25" t="s">
        <v>812</v>
      </c>
      <c r="B36" s="23" t="s">
        <v>813</v>
      </c>
    </row>
    <row r="38" customFormat="false" ht="15" hidden="false" customHeight="false" outlineLevel="0" collapsed="false">
      <c r="A38" s="26" t="s">
        <v>814</v>
      </c>
    </row>
    <row r="39" customFormat="false" ht="15" hidden="false" customHeight="false" outlineLevel="0" collapsed="false">
      <c r="A39" s="27" t="s">
        <v>815</v>
      </c>
      <c r="B39" s="24" t="n">
        <f aca="false">COUNTA(merged_clean!A2:A351)</f>
        <v>350</v>
      </c>
    </row>
    <row r="40" customFormat="false" ht="15" hidden="false" customHeight="false" outlineLevel="0" collapsed="false">
      <c r="A40" s="27" t="s">
        <v>816</v>
      </c>
      <c r="B40" s="24" t="n">
        <f aca="false">COUNTIF(merged_clean!O2:O351,"both")</f>
        <v>236</v>
      </c>
    </row>
    <row r="41" customFormat="false" ht="15" hidden="false" customHeight="false" outlineLevel="0" collapsed="false">
      <c r="A41" s="27" t="s">
        <v>817</v>
      </c>
      <c r="B41" s="24" t="n">
        <f aca="false">COUNTIF(merged_clean!O2:O351,"hayday.info")</f>
        <v>112</v>
      </c>
    </row>
    <row r="42" customFormat="false" ht="15" hidden="false" customHeight="false" outlineLevel="0" collapsed="false">
      <c r="A42" s="27" t="s">
        <v>818</v>
      </c>
      <c r="B42" s="24" t="n">
        <f aca="false">COUNTIF(merged_clean!O2:O351,"Fandom")</f>
        <v>2</v>
      </c>
    </row>
    <row r="43" customFormat="false" ht="15" hidden="false" customHeight="false" outlineLevel="0" collapsed="false">
      <c r="A43" s="27" t="s">
        <v>819</v>
      </c>
      <c r="B43" s="24" t="n">
        <f aca="false">COUNTIF(merged_clean!P2:P351,"conflict")</f>
        <v>21</v>
      </c>
    </row>
    <row r="44" customFormat="false" ht="15" hidden="false" customHeight="false" outlineLevel="0" collapsed="false">
      <c r="A44" s="27" t="s">
        <v>820</v>
      </c>
      <c r="B44" s="24" t="n">
        <f aca="false">COUNTIF(merged_clean!G2:G351,"mastered")</f>
        <v>211</v>
      </c>
    </row>
    <row r="45" customFormat="false" ht="15" hidden="false" customHeight="false" outlineLevel="0" collapsed="false">
      <c r="A45" s="27" t="s">
        <v>821</v>
      </c>
      <c r="B45" s="24" t="n">
        <f aca="false">COUNTIF(merged_clean!G2:G351,"normal")</f>
        <v>18</v>
      </c>
    </row>
    <row r="46" customFormat="false" ht="15" hidden="false" customHeight="false" outlineLevel="0" collapsed="false">
      <c r="A46" s="27" t="s">
        <v>822</v>
      </c>
      <c r="B46" s="24" t="n">
        <f aca="false">COUNTIF(merged_clean!G2:G351,"differs")</f>
        <v>7</v>
      </c>
    </row>
    <row r="48" customFormat="false" ht="15" hidden="false" customHeight="false" outlineLevel="0" collapsed="false">
      <c r="A48" s="25" t="s">
        <v>823</v>
      </c>
      <c r="B48" s="23" t="s">
        <v>824</v>
      </c>
    </row>
    <row r="49" customFormat="false" ht="35.05" hidden="false" customHeight="false" outlineLevel="0" collapsed="false">
      <c r="A49" s="25" t="s">
        <v>825</v>
      </c>
      <c r="B49" s="23" t="s">
        <v>826</v>
      </c>
    </row>
    <row r="50" customFormat="false" ht="23.85" hidden="false" customHeight="false" outlineLevel="0" collapsed="false">
      <c r="A50" s="25" t="s">
        <v>827</v>
      </c>
      <c r="B50" s="23" t="s">
        <v>828</v>
      </c>
    </row>
    <row r="51" customFormat="false" ht="23.85" hidden="false" customHeight="false" outlineLevel="0" collapsed="false">
      <c r="A51" s="25" t="s">
        <v>829</v>
      </c>
      <c r="B51" s="23" t="s">
        <v>830</v>
      </c>
    </row>
    <row r="52" customFormat="false" ht="15" hidden="false" customHeight="false" outlineLevel="0" collapsed="false">
      <c r="A52" s="25" t="s">
        <v>831</v>
      </c>
      <c r="B52" s="23" t="s">
        <v>832</v>
      </c>
    </row>
    <row r="53" customFormat="false" ht="35.05" hidden="false" customHeight="false" outlineLevel="0" collapsed="false">
      <c r="A53" s="25" t="s">
        <v>833</v>
      </c>
      <c r="B53" s="23" t="s">
        <v>834</v>
      </c>
    </row>
    <row r="54" customFormat="false" ht="15" hidden="false" customHeight="false" outlineLevel="0" collapsed="false">
      <c r="A54" s="25" t="s">
        <v>835</v>
      </c>
      <c r="B54" s="23" t="s">
        <v>836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2026-10-13T16:36:08Z</dcterms:created>
  <dc:creator>openpyxl</dc:creator>
  <dc:description/>
  <dc:language>en-US</dc:language>
  <cp:lastModifiedBy/>
  <dcterms:modified xsi:type="dcterms:W3CDTF">2026-10-13T16:39:46Z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