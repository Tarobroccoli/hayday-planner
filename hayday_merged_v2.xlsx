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erged_v2" sheetId="1" state="visible" r:id="rId1"/>
    <sheet xmlns:r="http://schemas.openxmlformats.org/officeDocument/2006/relationships" name="chain_economics" sheetId="2" state="visible" r:id="rId2"/>
    <sheet xmlns:r="http://schemas.openxmlformats.org/officeDocument/2006/relationships" name="merged_clean" sheetId="3" state="visible" r:id="rId3"/>
    <sheet xmlns:r="http://schemas.openxmlformats.org/officeDocument/2006/relationships" name="hayday_info" sheetId="4" state="visible" r:id="rId4"/>
    <sheet xmlns:r="http://schemas.openxmlformats.org/officeDocument/2006/relationships" name="fandom_all" sheetId="5" state="visible" r:id="rId5"/>
    <sheet xmlns:r="http://schemas.openxmlformats.org/officeDocument/2006/relationships" name="Notes" sheetId="6" state="visible" r:id="rId6"/>
    <sheet xmlns:r="http://schemas.openxmlformats.org/officeDocument/2006/relationships" name="fandom_api_products" sheetId="7" state="visible" r:id="rId7"/>
    <sheet xmlns:r="http://schemas.openxmlformats.org/officeDocument/2006/relationships" name="fandom_api_machine_lists" sheetId="8" state="visible" r:id="rId8"/>
    <sheet xmlns:r="http://schemas.openxmlformats.org/officeDocument/2006/relationships" name="recipes" sheetId="9" state="visible" r:id="rId9"/>
    <sheet xmlns:r="http://schemas.openxmlformats.org/officeDocument/2006/relationships" name="check_hand_vs_api" sheetId="10" state="visible" r:id="rId10"/>
    <sheet xmlns:r="http://schemas.openxmlformats.org/officeDocument/2006/relationships" name="check_recipe_vs_usage" sheetId="11" state="visible" r:id="rId11"/>
  </sheets>
  <definedNames>
    <definedName name="_xlnm._FilterDatabase" localSheetId="0" hidden="1">'merged_v2'!$A$1:$AC$390</definedName>
    <definedName name="_xlnm._FilterDatabase" localSheetId="1" hidden="1">'chain_economics'!$A$1:$AC$390</definedName>
    <definedName name="_xlnm._FilterDatabase" localSheetId="2" hidden="1">'merged_clean'!$A$1:$S$351</definedName>
    <definedName name="_xlnm._FilterDatabase" localSheetId="3" hidden="1">'hayday_info'!$A$1:$J$349</definedName>
    <definedName name="_xlnm._FilterDatabase" localSheetId="4" hidden="1">'fandom_all'!$A$1:$P$239</definedName>
    <definedName name="_xlnm._FilterDatabase" localSheetId="6" hidden="1">'fandom_api_products'!$A$1:$R$390</definedName>
    <definedName name="_xlnm._FilterDatabase" localSheetId="7" hidden="1">'fandom_api_machine_lists'!$A$1:$F$316</definedName>
    <definedName name="_xlnm._FilterDatabase" localSheetId="8" hidden="1">'recipes'!$A$1:$E$897</definedName>
    <definedName name="_xlnm._FilterDatabase" localSheetId="9" hidden="1">'check_hand_vs_api'!$A$1:$G$69</definedName>
    <definedName name="_xlnm._FilterDatabase" localSheetId="10" hidden="1">'check_recipe_vs_usage'!$A$1:$E$22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
    <numFmt numFmtId="165" formatCode="#,##0.0;[RED]\-#,##0.0"/>
    <numFmt numFmtId="166"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color rgb="FF0000FF"/>
      <sz val="10"/>
    </font>
    <font>
      <name val="Arial"/>
      <charset val="1"/>
      <family val="0"/>
      <b val="1"/>
      <sz val="13"/>
    </font>
    <font>
      <name val="Arial"/>
      <charset val="1"/>
      <family val="0"/>
      <b val="1"/>
      <sz val="10"/>
    </font>
    <font>
      <b val="1"/>
    </font>
    <font>
      <color rgb="FF0000FF"/>
    </font>
  </fonts>
  <fills count="6">
    <fill>
      <patternFill/>
    </fill>
    <fill>
      <patternFill patternType="gray125"/>
    </fill>
    <fill>
      <patternFill patternType="solid">
        <fgColor rgb="FF305496"/>
        <bgColor rgb="FF666699"/>
      </patternFill>
    </fill>
    <fill>
      <patternFill patternType="solid">
        <fgColor rgb="FF375623"/>
        <bgColor rgb="FF333300"/>
      </patternFill>
    </fill>
    <fill>
      <patternFill patternType="solid">
        <fgColor rgb="FF7F6000"/>
        <bgColor rgb="FF993300"/>
      </patternFill>
    </fill>
    <fill>
      <patternFill patternType="solid">
        <fgColor rgb="FFF4E1C1"/>
      </patternFill>
    </fill>
  </fills>
  <borders count="2">
    <border>
      <left/>
      <right/>
      <top/>
      <bottom/>
      <diagonal/>
    </border>
    <border>
      <left/>
      <right/>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164" fontId="6" fillId="0" borderId="1" applyAlignment="1" pivotButton="0" quotePrefix="0" xfId="0">
      <alignment horizontal="general" vertical="bottom"/>
    </xf>
    <xf numFmtId="3" fontId="6" fillId="0" borderId="1" applyAlignment="1" pivotButton="0" quotePrefix="0" xfId="0">
      <alignment horizontal="general" vertical="bottom"/>
    </xf>
    <xf numFmtId="165" fontId="6" fillId="0" borderId="1" applyAlignment="1" pivotButton="0" quotePrefix="0" xfId="0">
      <alignment horizontal="general" vertical="bottom"/>
    </xf>
    <xf numFmtId="166" fontId="6"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164" fontId="6" fillId="0" borderId="1" applyAlignment="1" pivotButton="0" quotePrefix="0" xfId="0">
      <alignment horizontal="general" vertical="bottom"/>
    </xf>
    <xf numFmtId="3" fontId="6" fillId="0" borderId="1" applyAlignment="1" pivotButton="0" quotePrefix="0" xfId="0">
      <alignment horizontal="general" vertical="bottom"/>
    </xf>
    <xf numFmtId="165" fontId="6" fillId="0" borderId="1" applyAlignment="1" pivotButton="0" quotePrefix="0" xfId="0">
      <alignment horizontal="general" vertical="bottom"/>
    </xf>
    <xf numFmtId="166" fontId="6" fillId="0" borderId="1" applyAlignment="1" pivotButton="0" quotePrefix="0" xfId="0">
      <alignment horizontal="general" vertical="bottom"/>
    </xf>
    <xf numFmtId="0" fontId="4" fillId="4" borderId="0" applyAlignment="1" pivotButton="0" quotePrefix="0" xfId="0">
      <alignment horizontal="center" vertical="center" wrapText="1"/>
    </xf>
    <xf numFmtId="164" fontId="5" fillId="0" borderId="1" applyAlignment="1" pivotButton="0" quotePrefix="0" xfId="0">
      <alignment horizontal="general" vertical="bottom"/>
    </xf>
    <xf numFmtId="3" fontId="5" fillId="0" borderId="1"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0" applyAlignment="1" pivotButton="0" quotePrefix="0" xfId="0">
      <alignment horizontal="left" vertical="bottom"/>
    </xf>
    <xf numFmtId="0" fontId="5" fillId="0" borderId="0" applyAlignment="1" pivotButton="0" quotePrefix="0" xfId="0">
      <alignment horizontal="general" vertical="top"/>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164" fontId="6" fillId="0" borderId="1" applyAlignment="1" pivotButton="0" quotePrefix="0" xfId="0">
      <alignment horizontal="general" vertical="bottom"/>
    </xf>
    <xf numFmtId="3" fontId="6" fillId="0" borderId="1" applyAlignment="1" pivotButton="0" quotePrefix="0" xfId="0">
      <alignment horizontal="general" vertical="bottom"/>
    </xf>
    <xf numFmtId="165" fontId="6" fillId="0" borderId="1" applyAlignment="1" pivotButton="0" quotePrefix="0" xfId="0">
      <alignment horizontal="general" vertical="bottom"/>
    </xf>
    <xf numFmtId="166" fontId="6" fillId="0" borderId="1" applyAlignment="1" pivotButton="0" quotePrefix="0" xfId="0">
      <alignment horizontal="general" vertical="bottom"/>
    </xf>
    <xf numFmtId="0" fontId="4" fillId="4" borderId="0" applyAlignment="1" pivotButton="0" quotePrefix="0" xfId="0">
      <alignment horizontal="center" vertical="center" wrapText="1"/>
    </xf>
    <xf numFmtId="164" fontId="5" fillId="0" borderId="1" applyAlignment="1" pivotButton="0" quotePrefix="0" xfId="0">
      <alignment horizontal="general" vertical="bottom"/>
    </xf>
    <xf numFmtId="3" fontId="5" fillId="0" borderId="1"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0" applyAlignment="1" pivotButton="0" quotePrefix="0" xfId="0">
      <alignment horizontal="left" vertical="bottom"/>
    </xf>
    <xf numFmtId="0" fontId="5" fillId="0" borderId="0" applyAlignment="1" pivotButton="0" quotePrefix="0" xfId="0">
      <alignment horizontal="general" vertical="top"/>
    </xf>
    <xf numFmtId="0" fontId="9" fillId="0" borderId="0" pivotButton="0" quotePrefix="0" xfId="0"/>
    <xf numFmtId="0" fontId="9" fillId="5" borderId="0" pivotButton="0" quotePrefix="0" xfId="0"/>
    <xf numFmtId="0" fontId="1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375623"/>
          <bgColor rgb="FF000000"/>
        </patternFill>
      </fill>
    </dxf>
    <dxf>
      <fill>
        <patternFill patternType="solid">
          <fgColor rgb="FFFFE699"/>
          <bgColor rgb="FF000000"/>
        </patternFill>
      </fill>
    </dxf>
    <dxf>
      <fill>
        <patternFill patternType="solid">
          <fgColor rgb="FFFF0000"/>
          <bgColor rgb="FF000000"/>
        </patternFill>
      </fill>
    </dxf>
    <dxf>
      <fill>
        <patternFill>
          <bgColor rgb="FFFFE699"/>
        </patternFill>
      </fill>
    </dxf>
    <dxf>
      <fill>
        <patternFill patternType="solid">
          <fgColor rgb="FF7F6000"/>
          <bgColor rgb="FF000000"/>
        </patternFill>
      </fill>
    </dxf>
    <dxf>
      <fill>
        <patternFill patternType="solid">
          <fgColor rgb="FFF8CBAD"/>
          <bgColor rgb="FF000000"/>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icons/Animal Products/Egg.png" TargetMode="External" Id="rId1"/><Relationship Type="http://schemas.openxmlformats.org/officeDocument/2006/relationships/hyperlink" Target="icons/Animal Products/Milk.png" TargetMode="External" Id="rId2"/><Relationship Type="http://schemas.openxmlformats.org/officeDocument/2006/relationships/hyperlink" Target="icons/Animal Products/Bacon.png" TargetMode="External" Id="rId3"/><Relationship Type="http://schemas.openxmlformats.org/officeDocument/2006/relationships/hyperlink" Target="icons/Animal Products/Wool.png" TargetMode="External" Id="rId4"/><Relationship Type="http://schemas.openxmlformats.org/officeDocument/2006/relationships/hyperlink" Target="icons/Animal Products/Goat Milk.png" TargetMode="External" Id="rId5"/><Relationship Type="http://schemas.openxmlformats.org/officeDocument/2006/relationships/hyperlink" Target="icons/Animal Products/Lamb Chop.png" TargetMode="External" Id="rId6"/><Relationship Type="http://schemas.openxmlformats.org/officeDocument/2006/relationships/hyperlink" Target="icons/Animal Products/Fish Fillet.png" TargetMode="External" Id="rId7"/><Relationship Type="http://schemas.openxmlformats.org/officeDocument/2006/relationships/hyperlink" Target="icons/Animal Products/Mussel Meat.png" TargetMode="External" Id="rId8"/><Relationship Type="http://schemas.openxmlformats.org/officeDocument/2006/relationships/hyperlink" Target="icons/Animal Products/Peanuts.png" TargetMode="External" Id="rId9"/><Relationship Type="http://schemas.openxmlformats.org/officeDocument/2006/relationships/hyperlink" Target="icons/BBQ Grill/Pancake.png" TargetMode="External" Id="rId10"/><Relationship Type="http://schemas.openxmlformats.org/officeDocument/2006/relationships/hyperlink" Target="icons/BBQ Grill/Bacon and Eggs.png" TargetMode="External" Id="rId11"/><Relationship Type="http://schemas.openxmlformats.org/officeDocument/2006/relationships/hyperlink" Target="icons/BBQ Grill/Hamburger.png" TargetMode="External" Id="rId12"/><Relationship Type="http://schemas.openxmlformats.org/officeDocument/2006/relationships/hyperlink" Target="icons/BBQ Grill/Fish Burger.png" TargetMode="External" Id="rId13"/><Relationship Type="http://schemas.openxmlformats.org/officeDocument/2006/relationships/hyperlink" Target="icons/BBQ Grill/Roasted Tomatoes.png" TargetMode="External" Id="rId14"/><Relationship Type="http://schemas.openxmlformats.org/officeDocument/2006/relationships/hyperlink" Target="icons/BBQ Grill/Baked Potato.png" TargetMode="External" Id="rId15"/><Relationship Type="http://schemas.openxmlformats.org/officeDocument/2006/relationships/hyperlink" Target="icons/BBQ Grill/Fish and Chips.png" TargetMode="External" Id="rId16"/><Relationship Type="http://schemas.openxmlformats.org/officeDocument/2006/relationships/hyperlink" Target="icons/BBQ Grill/Lobster Skewer.png" TargetMode="External" Id="rId17"/><Relationship Type="http://schemas.openxmlformats.org/officeDocument/2006/relationships/hyperlink" Target="icons/BBQ Grill/Garlic Bread.png" TargetMode="External" Id="rId18"/><Relationship Type="http://schemas.openxmlformats.org/officeDocument/2006/relationships/hyperlink" Target="icons/BBQ Grill/Grilled Onion.png" TargetMode="External" Id="rId19"/><Relationship Type="http://schemas.openxmlformats.org/officeDocument/2006/relationships/hyperlink" Target="icons/BBQ Grill/Winter Veggies.png" TargetMode="External" Id="rId20"/><Relationship Type="http://schemas.openxmlformats.org/officeDocument/2006/relationships/hyperlink" Target="icons/BBQ Grill/Stuffed Peppers.png" TargetMode="External" Id="rId21"/><Relationship Type="http://schemas.openxmlformats.org/officeDocument/2006/relationships/hyperlink" Target="icons/BBQ Grill/Grilled Eggplant.png" TargetMode="External" Id="rId22"/><Relationship Type="http://schemas.openxmlformats.org/officeDocument/2006/relationships/hyperlink" Target="icons/BBQ Grill/Banana Pancakes.png" TargetMode="External" Id="rId23"/><Relationship Type="http://schemas.openxmlformats.org/officeDocument/2006/relationships/hyperlink" Target="icons/BBQ Grill/Fish Skewer.png" TargetMode="External" Id="rId24"/><Relationship Type="http://schemas.openxmlformats.org/officeDocument/2006/relationships/hyperlink" Target="icons/BBQ Grill/Grilled Lamb Skewer.png" TargetMode="External" Id="rId25"/><Relationship Type="http://schemas.openxmlformats.org/officeDocument/2006/relationships/hyperlink" Target="icons/BBQ Grill/Steamed Mussels.png" TargetMode="External" Id="rId26"/><Relationship Type="http://schemas.openxmlformats.org/officeDocument/2006/relationships/hyperlink" Target="icons/BBQ Grill/Grilled Mussels.png" TargetMode="External" Id="rId27"/><Relationship Type="http://schemas.openxmlformats.org/officeDocument/2006/relationships/hyperlink" Target="icons/BBQ Grill/Grilled Asparagus.png" TargetMode="External" Id="rId28"/><Relationship Type="http://schemas.openxmlformats.org/officeDocument/2006/relationships/hyperlink" Target="icons/Bakery/Bread.png" TargetMode="External" Id="rId29"/><Relationship Type="http://schemas.openxmlformats.org/officeDocument/2006/relationships/hyperlink" Target="icons/Bakery/Corn Bread.png" TargetMode="External" Id="rId30"/><Relationship Type="http://schemas.openxmlformats.org/officeDocument/2006/relationships/hyperlink" Target="icons/Bakery/Cookie.png" TargetMode="External" Id="rId31"/><Relationship Type="http://schemas.openxmlformats.org/officeDocument/2006/relationships/hyperlink" Target="icons/Bakery/Raspberry Muffin.png" TargetMode="External" Id="rId32"/><Relationship Type="http://schemas.openxmlformats.org/officeDocument/2006/relationships/hyperlink" Target="icons/Bakery/Blackberry Muffin.png" TargetMode="External" Id="rId33"/><Relationship Type="http://schemas.openxmlformats.org/officeDocument/2006/relationships/hyperlink" Target="icons/Bakery/Pizza.png" TargetMode="External" Id="rId34"/><Relationship Type="http://schemas.openxmlformats.org/officeDocument/2006/relationships/hyperlink" Target="icons/Bakery/Spicy Pizza.png" TargetMode="External" Id="rId35"/><Relationship Type="http://schemas.openxmlformats.org/officeDocument/2006/relationships/hyperlink" Target="icons/Bakery/Potato Bread.png" TargetMode="External" Id="rId36"/><Relationship Type="http://schemas.openxmlformats.org/officeDocument/2006/relationships/hyperlink" Target="icons/Bakery/Frutti di Mare Pizza.png" TargetMode="External" Id="rId37"/><Relationship Type="http://schemas.openxmlformats.org/officeDocument/2006/relationships/hyperlink" Target="icons/Bakery/Gingerbread Cookie.png" TargetMode="External" Id="rId38"/><Relationship Type="http://schemas.openxmlformats.org/officeDocument/2006/relationships/hyperlink" Target="icons/Bakery/Banana Bread.png" TargetMode="External" Id="rId39"/><Relationship Type="http://schemas.openxmlformats.org/officeDocument/2006/relationships/hyperlink" Target="icons/Bakery/Macaroon.png" TargetMode="External" Id="rId40"/><Relationship Type="http://schemas.openxmlformats.org/officeDocument/2006/relationships/hyperlink" Target="icons/Bakery/Blueberry Muffin.png" TargetMode="External" Id="rId41"/><Relationship Type="http://schemas.openxmlformats.org/officeDocument/2006/relationships/hyperlink" Target="icons/Bakery/Pineapple Coconut Bars.png" TargetMode="External" Id="rId42"/><Relationship Type="http://schemas.openxmlformats.org/officeDocument/2006/relationships/hyperlink" Target="icons/Bath Kiosk/Honey Soap.png" TargetMode="External" Id="rId43"/><Relationship Type="http://schemas.openxmlformats.org/officeDocument/2006/relationships/hyperlink" Target="icons/Bath Kiosk/Lemon Lotion.png" TargetMode="External" Id="rId44"/><Relationship Type="http://schemas.openxmlformats.org/officeDocument/2006/relationships/hyperlink" Target="icons/Bath Kiosk/Exfoliating Soap.png" TargetMode="External" Id="rId45"/><Relationship Type="http://schemas.openxmlformats.org/officeDocument/2006/relationships/hyperlink" Target="icons/Bath Kiosk/Honey Face Mask.png" TargetMode="External" Id="rId46"/><Relationship Type="http://schemas.openxmlformats.org/officeDocument/2006/relationships/hyperlink" Target="icons/Bath Kiosk/Rich Soap.png" TargetMode="External" Id="rId47"/><Relationship Type="http://schemas.openxmlformats.org/officeDocument/2006/relationships/hyperlink" Target="icons/Cake Oven/Carrot Cake.png" TargetMode="External" Id="rId48"/><Relationship Type="http://schemas.openxmlformats.org/officeDocument/2006/relationships/hyperlink" Target="icons/Cake Oven/Cream Cake.png" TargetMode="External" Id="rId49"/><Relationship Type="http://schemas.openxmlformats.org/officeDocument/2006/relationships/hyperlink" Target="icons/Cake Oven/Red Berry Cake.png" TargetMode="External" Id="rId50"/><Relationship Type="http://schemas.openxmlformats.org/officeDocument/2006/relationships/hyperlink" Target="icons/Cake Oven/Cheesecake.png" TargetMode="External" Id="rId51"/><Relationship Type="http://schemas.openxmlformats.org/officeDocument/2006/relationships/hyperlink" Target="icons/Cake Oven/Strawberry Cake.png" TargetMode="External" Id="rId52"/><Relationship Type="http://schemas.openxmlformats.org/officeDocument/2006/relationships/hyperlink" Target="icons/Cake Oven/Chocolate Cake.png" TargetMode="External" Id="rId53"/><Relationship Type="http://schemas.openxmlformats.org/officeDocument/2006/relationships/hyperlink" Target="icons/Cake Oven/Potato Feta Cake.png" TargetMode="External" Id="rId54"/><Relationship Type="http://schemas.openxmlformats.org/officeDocument/2006/relationships/hyperlink" Target="icons/Cake Oven/Honey Apple Cake.png" TargetMode="External" Id="rId55"/><Relationship Type="http://schemas.openxmlformats.org/officeDocument/2006/relationships/hyperlink" Target="icons/Cake Oven/Fancy Cake.png" TargetMode="External" Id="rId56"/><Relationship Type="http://schemas.openxmlformats.org/officeDocument/2006/relationships/hyperlink" Target="icons/Cake Oven/Pineapple Cake.png" TargetMode="External" Id="rId57"/><Relationship Type="http://schemas.openxmlformats.org/officeDocument/2006/relationships/hyperlink" Target="icons/Cake Oven/Lemon Cake.png" TargetMode="External" Id="rId58"/><Relationship Type="http://schemas.openxmlformats.org/officeDocument/2006/relationships/hyperlink" Target="icons/Cake Oven/Fruit Cake.png" TargetMode="External" Id="rId59"/><Relationship Type="http://schemas.openxmlformats.org/officeDocument/2006/relationships/hyperlink" Target="icons/Cake Oven/Chocolate Roll.png" TargetMode="External" Id="rId60"/><Relationship Type="http://schemas.openxmlformats.org/officeDocument/2006/relationships/hyperlink" Target="icons/Cake Oven/Blueberry Cheesecake.png" TargetMode="External" Id="rId61"/><Relationship Type="http://schemas.openxmlformats.org/officeDocument/2006/relationships/hyperlink" Target="icons/Cake Oven/Pomegranate Cake.png" TargetMode="External" Id="rId62"/><Relationship Type="http://schemas.openxmlformats.org/officeDocument/2006/relationships/hyperlink" Target="icons/Candle Maker/Strawberry Candle.png" TargetMode="External" Id="rId63"/><Relationship Type="http://schemas.openxmlformats.org/officeDocument/2006/relationships/hyperlink" Target="icons/Candle Maker/Raspberry Candle.png" TargetMode="External" Id="rId64"/><Relationship Type="http://schemas.openxmlformats.org/officeDocument/2006/relationships/hyperlink" Target="icons/Candle Maker/Lemon Candle.png" TargetMode="External" Id="rId65"/><Relationship Type="http://schemas.openxmlformats.org/officeDocument/2006/relationships/hyperlink" Target="icons/Candle Maker/Colorful Candles.png" TargetMode="External" Id="rId66"/><Relationship Type="http://schemas.openxmlformats.org/officeDocument/2006/relationships/hyperlink" Target="icons/Candle Maker/Floral Candle.png" TargetMode="External" Id="rId67"/><Relationship Type="http://schemas.openxmlformats.org/officeDocument/2006/relationships/hyperlink" Target="icons/Candy Machine/Caramel Apple.png" TargetMode="External" Id="rId68"/><Relationship Type="http://schemas.openxmlformats.org/officeDocument/2006/relationships/hyperlink" Target="icons/Candy Machine/Toffee.png" TargetMode="External" Id="rId69"/><Relationship Type="http://schemas.openxmlformats.org/officeDocument/2006/relationships/hyperlink" Target="icons/Candy Machine/Chocolate.png" TargetMode="External" Id="rId70"/><Relationship Type="http://schemas.openxmlformats.org/officeDocument/2006/relationships/hyperlink" Target="icons/Candy Machine/Lollipop.png" TargetMode="External" Id="rId71"/><Relationship Type="http://schemas.openxmlformats.org/officeDocument/2006/relationships/hyperlink" Target="icons/Candy Machine/Jelly Beans.png" TargetMode="External" Id="rId72"/><Relationship Type="http://schemas.openxmlformats.org/officeDocument/2006/relationships/hyperlink" Target="icons/Candy Machine/Honey Peanuts.png" TargetMode="External" Id="rId73"/><Relationship Type="http://schemas.openxmlformats.org/officeDocument/2006/relationships/hyperlink" Target="icons/Candy Machine/Cotton Candy.png" TargetMode="External" Id="rId74"/><Relationship Type="http://schemas.openxmlformats.org/officeDocument/2006/relationships/hyperlink" Target="icons/Candy Machine/Sesame Brittle.png" TargetMode="External" Id="rId75"/><Relationship Type="http://schemas.openxmlformats.org/officeDocument/2006/relationships/hyperlink" Target="icons/Coffee Kiosk/Espresso.png" TargetMode="External" Id="rId76"/><Relationship Type="http://schemas.openxmlformats.org/officeDocument/2006/relationships/hyperlink" Target="icons/Coffee Kiosk/Caff&#232; Latte.png" TargetMode="External" Id="rId77"/><Relationship Type="http://schemas.openxmlformats.org/officeDocument/2006/relationships/hyperlink" Target="icons/Coffee Kiosk/Caff&#232; Mocha.png" TargetMode="External" Id="rId78"/><Relationship Type="http://schemas.openxmlformats.org/officeDocument/2006/relationships/hyperlink" Target="icons/Coffee Kiosk/Raspberry Mocha.png" TargetMode="External" Id="rId79"/><Relationship Type="http://schemas.openxmlformats.org/officeDocument/2006/relationships/hyperlink" Target="icons/Coffee Kiosk/Hot Chocolate.png" TargetMode="External" Id="rId80"/><Relationship Type="http://schemas.openxmlformats.org/officeDocument/2006/relationships/hyperlink" Target="icons/Coffee Kiosk/Caramel Latte.png" TargetMode="External" Id="rId81"/><Relationship Type="http://schemas.openxmlformats.org/officeDocument/2006/relationships/hyperlink" Target="icons/Coffee Kiosk/Iced Banana Latte.png" TargetMode="External" Id="rId82"/><Relationship Type="http://schemas.openxmlformats.org/officeDocument/2006/relationships/hyperlink" Target="icons/Crops/Wheat.png" TargetMode="External" Id="rId83"/><Relationship Type="http://schemas.openxmlformats.org/officeDocument/2006/relationships/hyperlink" Target="icons/Crops/Corn.png" TargetMode="External" Id="rId84"/><Relationship Type="http://schemas.openxmlformats.org/officeDocument/2006/relationships/hyperlink" Target="icons/Crops/Soybean.png" TargetMode="External" Id="rId85"/><Relationship Type="http://schemas.openxmlformats.org/officeDocument/2006/relationships/hyperlink" Target="icons/Crops/Sugarcane.png" TargetMode="External" Id="rId86"/><Relationship Type="http://schemas.openxmlformats.org/officeDocument/2006/relationships/hyperlink" Target="icons/Crops/Carrot.png" TargetMode="External" Id="rId87"/><Relationship Type="http://schemas.openxmlformats.org/officeDocument/2006/relationships/hyperlink" Target="icons/Crops/Indigo.png" TargetMode="External" Id="rId88"/><Relationship Type="http://schemas.openxmlformats.org/officeDocument/2006/relationships/hyperlink" Target="icons/Crops/Pumpkin.png" TargetMode="External" Id="rId89"/><Relationship Type="http://schemas.openxmlformats.org/officeDocument/2006/relationships/hyperlink" Target="icons/Crops/Cotton.png" TargetMode="External" Id="rId90"/><Relationship Type="http://schemas.openxmlformats.org/officeDocument/2006/relationships/hyperlink" Target="icons/Crops/Chili Pepper.png" TargetMode="External" Id="rId91"/><Relationship Type="http://schemas.openxmlformats.org/officeDocument/2006/relationships/hyperlink" Target="icons/Crops/Tomato.png" TargetMode="External" Id="rId92"/><Relationship Type="http://schemas.openxmlformats.org/officeDocument/2006/relationships/hyperlink" Target="icons/Crops/Strawberry.png" TargetMode="External" Id="rId93"/><Relationship Type="http://schemas.openxmlformats.org/officeDocument/2006/relationships/hyperlink" Target="icons/Crops/Potato.png" TargetMode="External" Id="rId94"/><Relationship Type="http://schemas.openxmlformats.org/officeDocument/2006/relationships/hyperlink" Target="icons/Crops/Sesame.png" TargetMode="External" Id="rId95"/><Relationship Type="http://schemas.openxmlformats.org/officeDocument/2006/relationships/hyperlink" Target="icons/Crops/Pineapple.png" TargetMode="External" Id="rId96"/><Relationship Type="http://schemas.openxmlformats.org/officeDocument/2006/relationships/hyperlink" Target="icons/Crops/Lily.png" TargetMode="External" Id="rId97"/><Relationship Type="http://schemas.openxmlformats.org/officeDocument/2006/relationships/hyperlink" Target="icons/Crops/Rice.png" TargetMode="External" Id="rId98"/><Relationship Type="http://schemas.openxmlformats.org/officeDocument/2006/relationships/hyperlink" Target="icons/Crops/Lettuce.png" TargetMode="External" Id="rId99"/><Relationship Type="http://schemas.openxmlformats.org/officeDocument/2006/relationships/hyperlink" Target="icons/Crops/Garlic.png" TargetMode="External" Id="rId100"/><Relationship Type="http://schemas.openxmlformats.org/officeDocument/2006/relationships/hyperlink" Target="icons/Crops/Sunflower.png" TargetMode="External" Id="rId101"/><Relationship Type="http://schemas.openxmlformats.org/officeDocument/2006/relationships/hyperlink" Target="icons/Crops/Cabbage.png" TargetMode="External" Id="rId102"/><Relationship Type="http://schemas.openxmlformats.org/officeDocument/2006/relationships/hyperlink" Target="icons/Crops/Onion.png" TargetMode="External" Id="rId103"/><Relationship Type="http://schemas.openxmlformats.org/officeDocument/2006/relationships/hyperlink" Target="icons/Crops/Cucumber.png" TargetMode="External" Id="rId104"/><Relationship Type="http://schemas.openxmlformats.org/officeDocument/2006/relationships/hyperlink" Target="icons/Crops/Beetroot.png" TargetMode="External" Id="rId105"/><Relationship Type="http://schemas.openxmlformats.org/officeDocument/2006/relationships/hyperlink" Target="icons/Crops/Bell Pepper.png" TargetMode="External" Id="rId106"/><Relationship Type="http://schemas.openxmlformats.org/officeDocument/2006/relationships/hyperlink" Target="icons/Crops/Ginger.png" TargetMode="External" Id="rId107"/><Relationship Type="http://schemas.openxmlformats.org/officeDocument/2006/relationships/hyperlink" Target="icons/Crops/Tea Leaf.png" TargetMode="External" Id="rId108"/><Relationship Type="http://schemas.openxmlformats.org/officeDocument/2006/relationships/hyperlink" Target="icons/Crops/Peony.png" TargetMode="External" Id="rId109"/><Relationship Type="http://schemas.openxmlformats.org/officeDocument/2006/relationships/hyperlink" Target="icons/Crops/Broccoli.png" TargetMode="External" Id="rId110"/><Relationship Type="http://schemas.openxmlformats.org/officeDocument/2006/relationships/hyperlink" Target="icons/Crops/Grapes.png" TargetMode="External" Id="rId111"/><Relationship Type="http://schemas.openxmlformats.org/officeDocument/2006/relationships/hyperlink" Target="icons/Crops/Mint.png" TargetMode="External" Id="rId112"/><Relationship Type="http://schemas.openxmlformats.org/officeDocument/2006/relationships/hyperlink" Target="icons/Crops/Passion Fruit.png" TargetMode="External" Id="rId113"/><Relationship Type="http://schemas.openxmlformats.org/officeDocument/2006/relationships/hyperlink" Target="icons/Crops/Mushroom.png" TargetMode="External" Id="rId114"/><Relationship Type="http://schemas.openxmlformats.org/officeDocument/2006/relationships/hyperlink" Target="icons/Crops/Eggplant.png" TargetMode="External" Id="rId115"/><Relationship Type="http://schemas.openxmlformats.org/officeDocument/2006/relationships/hyperlink" Target="icons/Crops/Watermelon.png" TargetMode="External" Id="rId116"/><Relationship Type="http://schemas.openxmlformats.org/officeDocument/2006/relationships/hyperlink" Target="icons/Crops/Clay.png" TargetMode="External" Id="rId117"/><Relationship Type="http://schemas.openxmlformats.org/officeDocument/2006/relationships/hyperlink" Target="icons/Crops/Chickpea.png" TargetMode="External" Id="rId118"/><Relationship Type="http://schemas.openxmlformats.org/officeDocument/2006/relationships/hyperlink" Target="icons/Crops/Black Bean.png" TargetMode="External" Id="rId119"/><Relationship Type="http://schemas.openxmlformats.org/officeDocument/2006/relationships/hyperlink" Target="icons/Crops/Chamomile.png" TargetMode="External" Id="rId120"/><Relationship Type="http://schemas.openxmlformats.org/officeDocument/2006/relationships/hyperlink" Target="icons/Crops/Asparagus.png" TargetMode="External" Id="rId121"/><Relationship Type="http://schemas.openxmlformats.org/officeDocument/2006/relationships/hyperlink" Target="icons/Crops/Oats.png" TargetMode="External" Id="rId122"/><Relationship Type="http://schemas.openxmlformats.org/officeDocument/2006/relationships/hyperlink" Target="icons/Cupcake Maker/Guava Cupcake.png" TargetMode="External" Id="rId123"/><Relationship Type="http://schemas.openxmlformats.org/officeDocument/2006/relationships/hyperlink" Target="icons/Cupcake Maker/Plain Cupcake.png" TargetMode="External" Id="rId124"/><Relationship Type="http://schemas.openxmlformats.org/officeDocument/2006/relationships/hyperlink" Target="icons/Cupcake Maker/Tropical Cupcake.png" TargetMode="External" Id="rId125"/><Relationship Type="http://schemas.openxmlformats.org/officeDocument/2006/relationships/hyperlink" Target="icons/Cupcake Maker/Cookie Cupcake.png" TargetMode="External" Id="rId126"/><Relationship Type="http://schemas.openxmlformats.org/officeDocument/2006/relationships/hyperlink" Target="icons/Dairy/Cream.png" TargetMode="External" Id="rId127"/><Relationship Type="http://schemas.openxmlformats.org/officeDocument/2006/relationships/hyperlink" Target="icons/Dairy/Butter.png" TargetMode="External" Id="rId128"/><Relationship Type="http://schemas.openxmlformats.org/officeDocument/2006/relationships/hyperlink" Target="icons/Dairy/Cheese.png" TargetMode="External" Id="rId129"/><Relationship Type="http://schemas.openxmlformats.org/officeDocument/2006/relationships/hyperlink" Target="icons/Dairy/Goat Cheese.png" TargetMode="External" Id="rId130"/><Relationship Type="http://schemas.openxmlformats.org/officeDocument/2006/relationships/hyperlink" Target="icons/Deep Fryer/Bacon Fries.png" TargetMode="External" Id="rId131"/><Relationship Type="http://schemas.openxmlformats.org/officeDocument/2006/relationships/hyperlink" Target="icons/Deep Fryer/Hand Pies.png" TargetMode="External" Id="rId132"/><Relationship Type="http://schemas.openxmlformats.org/officeDocument/2006/relationships/hyperlink" Target="icons/Deep Fryer/Chili Poppers.png" TargetMode="External" Id="rId133"/><Relationship Type="http://schemas.openxmlformats.org/officeDocument/2006/relationships/hyperlink" Target="icons/Deep Fryer/Falafel.png" TargetMode="External" Id="rId134"/><Relationship Type="http://schemas.openxmlformats.org/officeDocument/2006/relationships/hyperlink" Target="icons/Deep Fryer/Fried Candy Bar.png" TargetMode="External" Id="rId135"/><Relationship Type="http://schemas.openxmlformats.org/officeDocument/2006/relationships/hyperlink" Target="icons/Deep Fryer/Samosa.png" TargetMode="External" Id="rId136"/><Relationship Type="http://schemas.openxmlformats.org/officeDocument/2006/relationships/hyperlink" Target="icons/Donut Maker/Plain Donut.png" TargetMode="External" Id="rId137"/><Relationship Type="http://schemas.openxmlformats.org/officeDocument/2006/relationships/hyperlink" Target="icons/Donut Maker/Sprinkled Donut.png" TargetMode="External" Id="rId138"/><Relationship Type="http://schemas.openxmlformats.org/officeDocument/2006/relationships/hyperlink" Target="icons/Donut Maker/Crunchy Donut.png" TargetMode="External" Id="rId139"/><Relationship Type="http://schemas.openxmlformats.org/officeDocument/2006/relationships/hyperlink" Target="icons/Donut Maker/Cream Donut.png" TargetMode="External" Id="rId140"/><Relationship Type="http://schemas.openxmlformats.org/officeDocument/2006/relationships/hyperlink" Target="icons/Donut Maker/Bacon Donut.png" TargetMode="External" Id="rId141"/><Relationship Type="http://schemas.openxmlformats.org/officeDocument/2006/relationships/hyperlink" Target="icons/Donut Maker/Filled Donut.png" TargetMode="External" Id="rId142"/><Relationship Type="http://schemas.openxmlformats.org/officeDocument/2006/relationships/hyperlink" Target="icons/Duck Salon/Duck Feather.png" TargetMode="External" Id="rId143"/><Relationship Type="http://schemas.openxmlformats.org/officeDocument/2006/relationships/hyperlink" Target="icons/Feed Mill/Chicken Feed.png" TargetMode="External" Id="rId144"/><Relationship Type="http://schemas.openxmlformats.org/officeDocument/2006/relationships/hyperlink" Target="icons/Feed Mill/Cow Feed.png" TargetMode="External" Id="rId145"/><Relationship Type="http://schemas.openxmlformats.org/officeDocument/2006/relationships/hyperlink" Target="icons/Feed Mill/Pig Feed.png" TargetMode="External" Id="rId146"/><Relationship Type="http://schemas.openxmlformats.org/officeDocument/2006/relationships/hyperlink" Target="icons/Feed Mill/Sheep Feed.png" TargetMode="External" Id="rId147"/><Relationship Type="http://schemas.openxmlformats.org/officeDocument/2006/relationships/hyperlink" Target="icons/Feed Mill/Goat Feed.png" TargetMode="External" Id="rId148"/><Relationship Type="http://schemas.openxmlformats.org/officeDocument/2006/relationships/hyperlink" Target="icons/Feed Mill/Meat Bucket.png" TargetMode="External" Id="rId149"/><Relationship Type="http://schemas.openxmlformats.org/officeDocument/2006/relationships/hyperlink" Target="icons/Feed Mill/Wheat Bundle.png" TargetMode="External" Id="rId150"/><Relationship Type="http://schemas.openxmlformats.org/officeDocument/2006/relationships/hyperlink" Target="icons/Feed Mill/Lamb Feed.png" TargetMode="External" Id="rId151"/><Relationship Type="http://schemas.openxmlformats.org/officeDocument/2006/relationships/hyperlink" Target="icons/Flower Shop/Rustic Bouquet.png" TargetMode="External" Id="rId152"/><Relationship Type="http://schemas.openxmlformats.org/officeDocument/2006/relationships/hyperlink" Target="icons/Flower Shop/Bright Bouquet.png" TargetMode="External" Id="rId153"/><Relationship Type="http://schemas.openxmlformats.org/officeDocument/2006/relationships/hyperlink" Target="icons/Flower Shop/Gracious Bouquet.png" TargetMode="External" Id="rId154"/><Relationship Type="http://schemas.openxmlformats.org/officeDocument/2006/relationships/hyperlink" Target="icons/Flower Shop/Candy Bouquet.png" TargetMode="External" Id="rId155"/><Relationship Type="http://schemas.openxmlformats.org/officeDocument/2006/relationships/hyperlink" Target="icons/Flower Shop/Birthday Bouquet.png" TargetMode="External" Id="rId156"/><Relationship Type="http://schemas.openxmlformats.org/officeDocument/2006/relationships/hyperlink" Target="icons/Flower Shop/Soft Bouquet.png" TargetMode="External" Id="rId157"/><Relationship Type="http://schemas.openxmlformats.org/officeDocument/2006/relationships/hyperlink" Target="icons/Flower Shop/Veggie Bouquet.png" TargetMode="External" Id="rId158"/><Relationship Type="http://schemas.openxmlformats.org/officeDocument/2006/relationships/hyperlink" Target="icons/Fondue Pot/Chocolate Fondue.png" TargetMode="External" Id="rId159"/><Relationship Type="http://schemas.openxmlformats.org/officeDocument/2006/relationships/hyperlink" Target="icons/Fondue Pot/Bacon Fondue.png" TargetMode="External" Id="rId160"/><Relationship Type="http://schemas.openxmlformats.org/officeDocument/2006/relationships/hyperlink" Target="icons/Fondue Pot/Cheese Fondue.png" TargetMode="External" Id="rId161"/><Relationship Type="http://schemas.openxmlformats.org/officeDocument/2006/relationships/hyperlink" Target="icons/Fondue Pot/Tropical Fondue.png" TargetMode="External" Id="rId162"/><Relationship Type="http://schemas.openxmlformats.org/officeDocument/2006/relationships/hyperlink" Target="icons/Fudge Shop/Rich Fudge.png" TargetMode="External" Id="rId163"/><Relationship Type="http://schemas.openxmlformats.org/officeDocument/2006/relationships/hyperlink" Target="icons/Fudge Shop/Mint Fudge.png" TargetMode="External" Id="rId164"/><Relationship Type="http://schemas.openxmlformats.org/officeDocument/2006/relationships/hyperlink" Target="icons/Fudge Shop/Chili Fudge.png" TargetMode="External" Id="rId165"/><Relationship Type="http://schemas.openxmlformats.org/officeDocument/2006/relationships/hyperlink" Target="icons/Fudge Shop/Lemon Fudge.png" TargetMode="External" Id="rId166"/><Relationship Type="http://schemas.openxmlformats.org/officeDocument/2006/relationships/hyperlink" Target="icons/Fudge Shop/Peanut Fudge.png" TargetMode="External" Id="rId167"/><Relationship Type="http://schemas.openxmlformats.org/officeDocument/2006/relationships/hyperlink" Target="icons/Hat Maker/Cloche Hat.png" TargetMode="External" Id="rId168"/><Relationship Type="http://schemas.openxmlformats.org/officeDocument/2006/relationships/hyperlink" Target="icons/Hat Maker/Top Hat.png" TargetMode="External" Id="rId169"/><Relationship Type="http://schemas.openxmlformats.org/officeDocument/2006/relationships/hyperlink" Target="icons/Hat Maker/Sun Hat.png" TargetMode="External" Id="rId170"/><Relationship Type="http://schemas.openxmlformats.org/officeDocument/2006/relationships/hyperlink" Target="icons/Hat Maker/Flower Crown.png" TargetMode="External" Id="rId171"/><Relationship Type="http://schemas.openxmlformats.org/officeDocument/2006/relationships/hyperlink" Target="icons/Honey Extractor/Honey.png" TargetMode="External" Id="rId172"/><Relationship Type="http://schemas.openxmlformats.org/officeDocument/2006/relationships/hyperlink" Target="icons/Honey Extractor/Beeswax.png" TargetMode="External" Id="rId173"/><Relationship Type="http://schemas.openxmlformats.org/officeDocument/2006/relationships/hyperlink" Target="icons/Hot Dog Stand/Hot Dog.png" TargetMode="External" Id="rId174"/><Relationship Type="http://schemas.openxmlformats.org/officeDocument/2006/relationships/hyperlink" Target="icons/Hot Dog Stand/Tofu Dog.png" TargetMode="External" Id="rId175"/><Relationship Type="http://schemas.openxmlformats.org/officeDocument/2006/relationships/hyperlink" Target="icons/Hot Dog Stand/Corn Dog.png" TargetMode="External" Id="rId176"/><Relationship Type="http://schemas.openxmlformats.org/officeDocument/2006/relationships/hyperlink" Target="icons/Hot Dog Stand/Onion Dog.png" TargetMode="External" Id="rId177"/><Relationship Type="http://schemas.openxmlformats.org/officeDocument/2006/relationships/hyperlink" Target="icons/Ice Cream Maker/Vanilla Ice Cream.png" TargetMode="External" Id="rId178"/><Relationship Type="http://schemas.openxmlformats.org/officeDocument/2006/relationships/hyperlink" Target="icons/Ice Cream Maker/Cherry Popsicle.png" TargetMode="External" Id="rId179"/><Relationship Type="http://schemas.openxmlformats.org/officeDocument/2006/relationships/hyperlink" Target="icons/Ice Cream Maker/Strawberry Ice Cream.png" TargetMode="External" Id="rId180"/><Relationship Type="http://schemas.openxmlformats.org/officeDocument/2006/relationships/hyperlink" Target="icons/Ice Cream Maker/Chocolate Ice Cream.png" TargetMode="External" Id="rId181"/><Relationship Type="http://schemas.openxmlformats.org/officeDocument/2006/relationships/hyperlink" Target="icons/Ice Cream Maker/Sesame Ice Cream.png" TargetMode="External" Id="rId182"/><Relationship Type="http://schemas.openxmlformats.org/officeDocument/2006/relationships/hyperlink" Target="icons/Ice Cream Maker/Peanut Butter Milkshake.png" TargetMode="External" Id="rId183"/><Relationship Type="http://schemas.openxmlformats.org/officeDocument/2006/relationships/hyperlink" Target="icons/Ice Cream Maker/Affogato.png" TargetMode="External" Id="rId184"/><Relationship Type="http://schemas.openxmlformats.org/officeDocument/2006/relationships/hyperlink" Target="icons/Ice Cream Maker/Orange Sorbet.png" TargetMode="External" Id="rId185"/><Relationship Type="http://schemas.openxmlformats.org/officeDocument/2006/relationships/hyperlink" Target="icons/Ice Cream Maker/Peach Ice Cream.png" TargetMode="External" Id="rId186"/><Relationship Type="http://schemas.openxmlformats.org/officeDocument/2006/relationships/hyperlink" Target="icons/Ice Cream Maker/Mint Ice Cream.png" TargetMode="External" Id="rId187"/><Relationship Type="http://schemas.openxmlformats.org/officeDocument/2006/relationships/hyperlink" Target="icons/Ice Cream Maker/Banana Split.png" TargetMode="External" Id="rId188"/><Relationship Type="http://schemas.openxmlformats.org/officeDocument/2006/relationships/hyperlink" Target="icons/Ice Cream Maker/Coconut Ice Cream.png" TargetMode="External" Id="rId189"/><Relationship Type="http://schemas.openxmlformats.org/officeDocument/2006/relationships/hyperlink" Target="icons/Ice Cream Maker/Fruit Sorbet.png" TargetMode="External" Id="rId190"/><Relationship Type="http://schemas.openxmlformats.org/officeDocument/2006/relationships/hyperlink" Target="icons/Jam Maker/Apple Jam.png" TargetMode="External" Id="rId191"/><Relationship Type="http://schemas.openxmlformats.org/officeDocument/2006/relationships/hyperlink" Target="icons/Jam Maker/Raspberry Jam.png" TargetMode="External" Id="rId192"/><Relationship Type="http://schemas.openxmlformats.org/officeDocument/2006/relationships/hyperlink" Target="icons/Jam Maker/Blackberry Jam.png" TargetMode="External" Id="rId193"/><Relationship Type="http://schemas.openxmlformats.org/officeDocument/2006/relationships/hyperlink" Target="icons/Jam Maker/Cherry Jam.png" TargetMode="External" Id="rId194"/><Relationship Type="http://schemas.openxmlformats.org/officeDocument/2006/relationships/hyperlink" Target="icons/Jam Maker/Strawberry Jam.png" TargetMode="External" Id="rId195"/><Relationship Type="http://schemas.openxmlformats.org/officeDocument/2006/relationships/hyperlink" Target="icons/Jam Maker/Marmalade.png" TargetMode="External" Id="rId196"/><Relationship Type="http://schemas.openxmlformats.org/officeDocument/2006/relationships/hyperlink" Target="icons/Jam Maker/Peach Jam.png" TargetMode="External" Id="rId197"/><Relationship Type="http://schemas.openxmlformats.org/officeDocument/2006/relationships/hyperlink" Target="icons/Jam Maker/Grape Jam.png" TargetMode="External" Id="rId198"/><Relationship Type="http://schemas.openxmlformats.org/officeDocument/2006/relationships/hyperlink" Target="icons/Jam Maker/Plum Jam.png" TargetMode="External" Id="rId199"/><Relationship Type="http://schemas.openxmlformats.org/officeDocument/2006/relationships/hyperlink" Target="icons/Jam Maker/Passion Fruit Jam.png" TargetMode="External" Id="rId200"/><Relationship Type="http://schemas.openxmlformats.org/officeDocument/2006/relationships/hyperlink" Target="icons/Jam Maker/Blueberry Chutney.png" TargetMode="External" Id="rId201"/><Relationship Type="http://schemas.openxmlformats.org/officeDocument/2006/relationships/hyperlink" Target="icons/Jeweler/Bracelet.png" TargetMode="External" Id="rId202"/><Relationship Type="http://schemas.openxmlformats.org/officeDocument/2006/relationships/hyperlink" Target="icons/Jeweler/Necklace.png" TargetMode="External" Id="rId203"/><Relationship Type="http://schemas.openxmlformats.org/officeDocument/2006/relationships/hyperlink" Target="icons/Jeweler/Diamond Ring.png" TargetMode="External" Id="rId204"/><Relationship Type="http://schemas.openxmlformats.org/officeDocument/2006/relationships/hyperlink" Target="icons/Jeweler/Iron Bracelet.png" TargetMode="External" Id="rId205"/><Relationship Type="http://schemas.openxmlformats.org/officeDocument/2006/relationships/hyperlink" Target="icons/Jeweler/Flower Pendant.png" TargetMode="External" Id="rId206"/><Relationship Type="http://schemas.openxmlformats.org/officeDocument/2006/relationships/hyperlink" Target="icons/Juice Press/Carrot Juice.png" TargetMode="External" Id="rId207"/><Relationship Type="http://schemas.openxmlformats.org/officeDocument/2006/relationships/hyperlink" Target="icons/Juice Press/Apple Juice.png" TargetMode="External" Id="rId208"/><Relationship Type="http://schemas.openxmlformats.org/officeDocument/2006/relationships/hyperlink" Target="icons/Juice Press/Cherry Juice.png" TargetMode="External" Id="rId209"/><Relationship Type="http://schemas.openxmlformats.org/officeDocument/2006/relationships/hyperlink" Target="icons/Juice Press/Berry Juice.png" TargetMode="External" Id="rId210"/><Relationship Type="http://schemas.openxmlformats.org/officeDocument/2006/relationships/hyperlink" Target="icons/Juice Press/Tomato Juice.png" TargetMode="External" Id="rId211"/><Relationship Type="http://schemas.openxmlformats.org/officeDocument/2006/relationships/hyperlink" Target="icons/Juice Press/Pineapple Juice.png" TargetMode="External" Id="rId212"/><Relationship Type="http://schemas.openxmlformats.org/officeDocument/2006/relationships/hyperlink" Target="icons/Juice Press/Orange Juice.png" TargetMode="External" Id="rId213"/><Relationship Type="http://schemas.openxmlformats.org/officeDocument/2006/relationships/hyperlink" Target="icons/Juice Press/Grape Juice.png" TargetMode="External" Id="rId214"/><Relationship Type="http://schemas.openxmlformats.org/officeDocument/2006/relationships/hyperlink" Target="icons/Juice Press/Passion Fruit Juice.png" TargetMode="External" Id="rId215"/><Relationship Type="http://schemas.openxmlformats.org/officeDocument/2006/relationships/hyperlink" Target="icons/Juice Press/Watermelon Juice.png" TargetMode="External" Id="rId216"/><Relationship Type="http://schemas.openxmlformats.org/officeDocument/2006/relationships/hyperlink" Target="icons/Juice Press/Mango Juice.png" TargetMode="External" Id="rId217"/><Relationship Type="http://schemas.openxmlformats.org/officeDocument/2006/relationships/hyperlink" Target="icons/Juice Press/Guava Juice.png" TargetMode="External" Id="rId218"/><Relationship Type="http://schemas.openxmlformats.org/officeDocument/2006/relationships/hyperlink" Target="icons/Lobster Pool/Lobster Tail.png" TargetMode="External" Id="rId219"/><Relationship Type="http://schemas.openxmlformats.org/officeDocument/2006/relationships/hyperlink" Target="icons/Loom/Sweater.png" TargetMode="External" Id="rId220"/><Relationship Type="http://schemas.openxmlformats.org/officeDocument/2006/relationships/hyperlink" Target="icons/Loom/Cotton Fabric.png" TargetMode="External" Id="rId221"/><Relationship Type="http://schemas.openxmlformats.org/officeDocument/2006/relationships/hyperlink" Target="icons/Loom/Blue Woolly Hat.png" TargetMode="External" Id="rId222"/><Relationship Type="http://schemas.openxmlformats.org/officeDocument/2006/relationships/hyperlink" Target="icons/Loom/Blue Sweater.png" TargetMode="External" Id="rId223"/><Relationship Type="http://schemas.openxmlformats.org/officeDocument/2006/relationships/hyperlink" Target="icons/Loom/Red Scarf.png" TargetMode="External" Id="rId224"/><Relationship Type="http://schemas.openxmlformats.org/officeDocument/2006/relationships/hyperlink" Target="icons/Loom/Flower Shawl.png" TargetMode="External" Id="rId225"/><Relationship Type="http://schemas.openxmlformats.org/officeDocument/2006/relationships/hyperlink" Target="icons/Mine/Gold Ore.png" TargetMode="External" Id="rId226"/><Relationship Type="http://schemas.openxmlformats.org/officeDocument/2006/relationships/hyperlink" Target="icons/Mine/Platinum Ore.png" TargetMode="External" Id="rId227"/><Relationship Type="http://schemas.openxmlformats.org/officeDocument/2006/relationships/hyperlink" Target="icons/Mine/Silver Ore.png" TargetMode="External" Id="rId228"/><Relationship Type="http://schemas.openxmlformats.org/officeDocument/2006/relationships/hyperlink" Target="icons/Mine/Coal.png" TargetMode="External" Id="rId229"/><Relationship Type="http://schemas.openxmlformats.org/officeDocument/2006/relationships/hyperlink" Target="icons/Mine/Iron Ore.png" TargetMode="External" Id="rId230"/><Relationship Type="http://schemas.openxmlformats.org/officeDocument/2006/relationships/hyperlink" Target="icons/Pasta Kitchen/Gnocchi.png" TargetMode="External" Id="rId231"/><Relationship Type="http://schemas.openxmlformats.org/officeDocument/2006/relationships/hyperlink" Target="icons/Pasta Kitchen/Veggie Lasagna.png" TargetMode="External" Id="rId232"/><Relationship Type="http://schemas.openxmlformats.org/officeDocument/2006/relationships/hyperlink" Target="icons/Pasta Kitchen/Lobster Pasta.png" TargetMode="External" Id="rId233"/><Relationship Type="http://schemas.openxmlformats.org/officeDocument/2006/relationships/hyperlink" Target="icons/Pasta Kitchen/Broccoli Pasta.png" TargetMode="External" Id="rId234"/><Relationship Type="http://schemas.openxmlformats.org/officeDocument/2006/relationships/hyperlink" Target="icons/Pasta Kitchen/Pasta Carbonara.png" TargetMode="External" Id="rId235"/><Relationship Type="http://schemas.openxmlformats.org/officeDocument/2006/relationships/hyperlink" Target="icons/Pasta Kitchen/Spicy Pasta.png" TargetMode="External" Id="rId236"/><Relationship Type="http://schemas.openxmlformats.org/officeDocument/2006/relationships/hyperlink" Target="icons/Pasta Kitchen/Mushroom Pasta.png" TargetMode="External" Id="rId237"/><Relationship Type="http://schemas.openxmlformats.org/officeDocument/2006/relationships/hyperlink" Target="icons/Pasta Kitchen/Mussel Linguine.png" TargetMode="External" Id="rId238"/><Relationship Type="http://schemas.openxmlformats.org/officeDocument/2006/relationships/hyperlink" Target="icons/Pasta Maker/Fresh Pasta.png" TargetMode="External" Id="rId239"/><Relationship Type="http://schemas.openxmlformats.org/officeDocument/2006/relationships/hyperlink" Target="icons/Pasta Maker/Rice Noodles.png" TargetMode="External" Id="rId240"/><Relationship Type="http://schemas.openxmlformats.org/officeDocument/2006/relationships/hyperlink" Target="icons/Pie Oven/Carrot Pie.png" TargetMode="External" Id="rId241"/><Relationship Type="http://schemas.openxmlformats.org/officeDocument/2006/relationships/hyperlink" Target="icons/Pie Oven/Pumpkin Pie.png" TargetMode="External" Id="rId242"/><Relationship Type="http://schemas.openxmlformats.org/officeDocument/2006/relationships/hyperlink" Target="icons/Pie Oven/Bacon Pie.png" TargetMode="External" Id="rId243"/><Relationship Type="http://schemas.openxmlformats.org/officeDocument/2006/relationships/hyperlink" Target="icons/Pie Oven/Apple Pie.png" TargetMode="External" Id="rId244"/><Relationship Type="http://schemas.openxmlformats.org/officeDocument/2006/relationships/hyperlink" Target="icons/Pie Oven/Fish Pie.png" TargetMode="External" Id="rId245"/><Relationship Type="http://schemas.openxmlformats.org/officeDocument/2006/relationships/hyperlink" Target="icons/Pie Oven/Feta Pie.png" TargetMode="External" Id="rId246"/><Relationship Type="http://schemas.openxmlformats.org/officeDocument/2006/relationships/hyperlink" Target="icons/Pie Oven/Casserole.png" TargetMode="External" Id="rId247"/><Relationship Type="http://schemas.openxmlformats.org/officeDocument/2006/relationships/hyperlink" Target="icons/Pie Oven/Shepherd's Pie.png" TargetMode="External" Id="rId248"/><Relationship Type="http://schemas.openxmlformats.org/officeDocument/2006/relationships/hyperlink" Target="icons/Pie Oven/Chocolate Pie.png" TargetMode="External" Id="rId249"/><Relationship Type="http://schemas.openxmlformats.org/officeDocument/2006/relationships/hyperlink" Target="icons/Pie Oven/Lemon Pie.png" TargetMode="External" Id="rId250"/><Relationship Type="http://schemas.openxmlformats.org/officeDocument/2006/relationships/hyperlink" Target="icons/Pie Oven/Peach Tart.png" TargetMode="External" Id="rId251"/><Relationship Type="http://schemas.openxmlformats.org/officeDocument/2006/relationships/hyperlink" Target="icons/Pie Oven/Passion Fruit Pie.png" TargetMode="External" Id="rId252"/><Relationship Type="http://schemas.openxmlformats.org/officeDocument/2006/relationships/hyperlink" Target="icons/Pie Oven/Mushroom Pot Pie.png" TargetMode="External" Id="rId253"/><Relationship Type="http://schemas.openxmlformats.org/officeDocument/2006/relationships/hyperlink" Target="icons/Pie Oven/Eggplant Parmesan.png" TargetMode="External" Id="rId254"/><Relationship Type="http://schemas.openxmlformats.org/officeDocument/2006/relationships/hyperlink" Target="icons/Pie Oven/Asparagus Quiche.png" TargetMode="External" Id="rId255"/><Relationship Type="http://schemas.openxmlformats.org/officeDocument/2006/relationships/hyperlink" Target="icons/Popcorn Pot/Popcorn.png" TargetMode="External" Id="rId256"/><Relationship Type="http://schemas.openxmlformats.org/officeDocument/2006/relationships/hyperlink" Target="icons/Popcorn Pot/Buttered Popcorn.png" TargetMode="External" Id="rId257"/><Relationship Type="http://schemas.openxmlformats.org/officeDocument/2006/relationships/hyperlink" Target="icons/Popcorn Pot/Chili Popcorn.png" TargetMode="External" Id="rId258"/><Relationship Type="http://schemas.openxmlformats.org/officeDocument/2006/relationships/hyperlink" Target="icons/Popcorn Pot/Honey Popcorn.png" TargetMode="External" Id="rId259"/><Relationship Type="http://schemas.openxmlformats.org/officeDocument/2006/relationships/hyperlink" Target="icons/Popcorn Pot/Chocolate Popcorn.png" TargetMode="External" Id="rId260"/><Relationship Type="http://schemas.openxmlformats.org/officeDocument/2006/relationships/hyperlink" Target="icons/Popcorn Pot/Snack Mix.png" TargetMode="External" Id="rId261"/><Relationship Type="http://schemas.openxmlformats.org/officeDocument/2006/relationships/hyperlink" Target="icons/Pottery Studio/Tea Pot.png" TargetMode="External" Id="rId262"/><Relationship Type="http://schemas.openxmlformats.org/officeDocument/2006/relationships/hyperlink" Target="icons/Pottery Studio/Potted Plant.png" TargetMode="External" Id="rId263"/><Relationship Type="http://schemas.openxmlformats.org/officeDocument/2006/relationships/hyperlink" Target="icons/Pottery Studio/Clay Mug.png" TargetMode="External" Id="rId264"/><Relationship Type="http://schemas.openxmlformats.org/officeDocument/2006/relationships/hyperlink" Target="icons/Preservation Station/Pickles.png" TargetMode="External" Id="rId265"/><Relationship Type="http://schemas.openxmlformats.org/officeDocument/2006/relationships/hyperlink" Target="icons/Preservation Station/Canned Fish.png" TargetMode="External" Id="rId266"/><Relationship Type="http://schemas.openxmlformats.org/officeDocument/2006/relationships/hyperlink" Target="icons/Preservation Station/Kimchi.png" TargetMode="External" Id="rId267"/><Relationship Type="http://schemas.openxmlformats.org/officeDocument/2006/relationships/hyperlink" Target="icons/Preservation Station/Dried Fruit.png" TargetMode="External" Id="rId268"/><Relationship Type="http://schemas.openxmlformats.org/officeDocument/2006/relationships/hyperlink" Target="icons/Preservation Station/Guava Compote.png" TargetMode="External" Id="rId269"/><Relationship Type="http://schemas.openxmlformats.org/officeDocument/2006/relationships/hyperlink" Target="icons/Salad Bar/Feta Salad.png" TargetMode="External" Id="rId270"/><Relationship Type="http://schemas.openxmlformats.org/officeDocument/2006/relationships/hyperlink" Target="icons/Salad Bar/BLT Salad.png" TargetMode="External" Id="rId271"/><Relationship Type="http://schemas.openxmlformats.org/officeDocument/2006/relationships/hyperlink" Target="icons/Salad Bar/Seafood Salad.png" TargetMode="External" Id="rId272"/><Relationship Type="http://schemas.openxmlformats.org/officeDocument/2006/relationships/hyperlink" Target="icons/Salad Bar/Pasta Salad.png" TargetMode="External" Id="rId273"/><Relationship Type="http://schemas.openxmlformats.org/officeDocument/2006/relationships/hyperlink" Target="icons/Salad Bar/Veggie Platter.png" TargetMode="External" Id="rId274"/><Relationship Type="http://schemas.openxmlformats.org/officeDocument/2006/relationships/hyperlink" Target="icons/Salad Bar/Coleslaw.png" TargetMode="External" Id="rId275"/><Relationship Type="http://schemas.openxmlformats.org/officeDocument/2006/relationships/hyperlink" Target="icons/Salad Bar/Beetroot Salad.png" TargetMode="External" Id="rId276"/><Relationship Type="http://schemas.openxmlformats.org/officeDocument/2006/relationships/hyperlink" Target="icons/Salad Bar/Summer Rolls.png" TargetMode="External" Id="rId277"/><Relationship Type="http://schemas.openxmlformats.org/officeDocument/2006/relationships/hyperlink" Target="icons/Salad Bar/Fruit Salad.png" TargetMode="External" Id="rId278"/><Relationship Type="http://schemas.openxmlformats.org/officeDocument/2006/relationships/hyperlink" Target="icons/Salad Bar/Summer Salad.png" TargetMode="External" Id="rId279"/><Relationship Type="http://schemas.openxmlformats.org/officeDocument/2006/relationships/hyperlink" Target="icons/Salad Bar/Mushroom Salad.png" TargetMode="External" Id="rId280"/><Relationship Type="http://schemas.openxmlformats.org/officeDocument/2006/relationships/hyperlink" Target="icons/Salad Bar/Bean Salad.png" TargetMode="External" Id="rId281"/><Relationship Type="http://schemas.openxmlformats.org/officeDocument/2006/relationships/hyperlink" Target="icons/Salad Bar/Orange Salad.png" TargetMode="External" Id="rId282"/><Relationship Type="http://schemas.openxmlformats.org/officeDocument/2006/relationships/hyperlink" Target="icons/Sandwich Bar/Veggie Bagel.png" TargetMode="External" Id="rId283"/><Relationship Type="http://schemas.openxmlformats.org/officeDocument/2006/relationships/hyperlink" Target="icons/Sandwich Bar/Bacon Toast.png" TargetMode="External" Id="rId284"/><Relationship Type="http://schemas.openxmlformats.org/officeDocument/2006/relationships/hyperlink" Target="icons/Sandwich Bar/Egg Sandwich.png" TargetMode="External" Id="rId285"/><Relationship Type="http://schemas.openxmlformats.org/officeDocument/2006/relationships/hyperlink" Target="icons/Sandwich Bar/Honey Toast.png" TargetMode="External" Id="rId286"/><Relationship Type="http://schemas.openxmlformats.org/officeDocument/2006/relationships/hyperlink" Target="icons/Sandwich Bar/Peanut Butter and Jelly Sandwich.png" TargetMode="External" Id="rId287"/><Relationship Type="http://schemas.openxmlformats.org/officeDocument/2006/relationships/hyperlink" Target="icons/Sandwich Bar/Cucumber Sandwich.png" TargetMode="External" Id="rId288"/><Relationship Type="http://schemas.openxmlformats.org/officeDocument/2006/relationships/hyperlink" Target="icons/Sandwich Bar/Onion Melt.png" TargetMode="External" Id="rId289"/><Relationship Type="http://schemas.openxmlformats.org/officeDocument/2006/relationships/hyperlink" Target="icons/Sandwich Bar/Goat Cheese Toast.png" TargetMode="External" Id="rId290"/><Relationship Type="http://schemas.openxmlformats.org/officeDocument/2006/relationships/hyperlink" Target="icons/Sandwich Bar/Hummus Wrap.png" TargetMode="External" Id="rId291"/><Relationship Type="http://schemas.openxmlformats.org/officeDocument/2006/relationships/hyperlink" Target="icons/Sauce Maker/Soy Sauce.png" TargetMode="External" Id="rId292"/><Relationship Type="http://schemas.openxmlformats.org/officeDocument/2006/relationships/hyperlink" Target="icons/Sauce Maker/Olive Oil.png" TargetMode="External" Id="rId293"/><Relationship Type="http://schemas.openxmlformats.org/officeDocument/2006/relationships/hyperlink" Target="icons/Sauce Maker/Mayonnaise.png" TargetMode="External" Id="rId294"/><Relationship Type="http://schemas.openxmlformats.org/officeDocument/2006/relationships/hyperlink" Target="icons/Sauce Maker/Lemon Curd.png" TargetMode="External" Id="rId295"/><Relationship Type="http://schemas.openxmlformats.org/officeDocument/2006/relationships/hyperlink" Target="icons/Sauce Maker/Olive Dip.png" TargetMode="External" Id="rId296"/><Relationship Type="http://schemas.openxmlformats.org/officeDocument/2006/relationships/hyperlink" Target="icons/Sauce Maker/Tomato Sauce.png" TargetMode="External" Id="rId297"/><Relationship Type="http://schemas.openxmlformats.org/officeDocument/2006/relationships/hyperlink" Target="icons/Sauce Maker/Salsa.png" TargetMode="External" Id="rId298"/><Relationship Type="http://schemas.openxmlformats.org/officeDocument/2006/relationships/hyperlink" Target="icons/Sauce Maker/Hummus.png" TargetMode="External" Id="rId299"/><Relationship Type="http://schemas.openxmlformats.org/officeDocument/2006/relationships/hyperlink" Target="icons/Sauce Maker/Tart Dressing.png" TargetMode="External" Id="rId300"/><Relationship Type="http://schemas.openxmlformats.org/officeDocument/2006/relationships/hyperlink" Target="icons/Sauce Maker/Bean Dip.png" TargetMode="External" Id="rId301"/><Relationship Type="http://schemas.openxmlformats.org/officeDocument/2006/relationships/hyperlink" Target="icons/Sewing Machine/Cotton Shirt.png" TargetMode="External" Id="rId302"/><Relationship Type="http://schemas.openxmlformats.org/officeDocument/2006/relationships/hyperlink" Target="icons/Sewing Machine/Wooly Chaps.png" TargetMode="External" Id="rId303"/><Relationship Type="http://schemas.openxmlformats.org/officeDocument/2006/relationships/hyperlink" Target="icons/Sewing Machine/Violet Dress.png" TargetMode="External" Id="rId304"/><Relationship Type="http://schemas.openxmlformats.org/officeDocument/2006/relationships/hyperlink" Target="icons/Sewing Machine/Pillow.png" TargetMode="External" Id="rId305"/><Relationship Type="http://schemas.openxmlformats.org/officeDocument/2006/relationships/hyperlink" Target="icons/Sewing Machine/Blanket.png" TargetMode="External" Id="rId306"/><Relationship Type="http://schemas.openxmlformats.org/officeDocument/2006/relationships/hyperlink" Target="icons/Sewing Machine/Soothing Pad.png" TargetMode="External" Id="rId307"/><Relationship Type="http://schemas.openxmlformats.org/officeDocument/2006/relationships/hyperlink" Target="icons/Smelter/Silver Bar.png" TargetMode="External" Id="rId308"/><Relationship Type="http://schemas.openxmlformats.org/officeDocument/2006/relationships/hyperlink" Target="icons/Smelter/Gold Bar.png" TargetMode="External" Id="rId309"/><Relationship Type="http://schemas.openxmlformats.org/officeDocument/2006/relationships/hyperlink" Target="icons/Smelter/Platinum Bar.png" TargetMode="External" Id="rId310"/><Relationship Type="http://schemas.openxmlformats.org/officeDocument/2006/relationships/hyperlink" Target="icons/Smelter/Refined Coal.png" TargetMode="External" Id="rId311"/><Relationship Type="http://schemas.openxmlformats.org/officeDocument/2006/relationships/hyperlink" Target="icons/Smelter/Iron Bar.png" TargetMode="External" Id="rId312"/><Relationship Type="http://schemas.openxmlformats.org/officeDocument/2006/relationships/hyperlink" Target="icons/Smoothie Mixer/Berry Smoothie.png" TargetMode="External" Id="rId313"/><Relationship Type="http://schemas.openxmlformats.org/officeDocument/2006/relationships/hyperlink" Target="icons/Smoothie Mixer/Green Smoothie.png" TargetMode="External" Id="rId314"/><Relationship Type="http://schemas.openxmlformats.org/officeDocument/2006/relationships/hyperlink" Target="icons/Smoothie Mixer/Cucumber Smoothie.png" TargetMode="External" Id="rId315"/><Relationship Type="http://schemas.openxmlformats.org/officeDocument/2006/relationships/hyperlink" Target="icons/Smoothie Mixer/Yogurt Smoothie.png" TargetMode="External" Id="rId316"/><Relationship Type="http://schemas.openxmlformats.org/officeDocument/2006/relationships/hyperlink" Target="icons/Smoothie Mixer/Mixed Smoothie.png" TargetMode="External" Id="rId317"/><Relationship Type="http://schemas.openxmlformats.org/officeDocument/2006/relationships/hyperlink" Target="icons/Smoothie Mixer/Black Sesame Smoothie.png" TargetMode="External" Id="rId318"/><Relationship Type="http://schemas.openxmlformats.org/officeDocument/2006/relationships/hyperlink" Target="icons/Smoothie Mixer/Cocoa Smoothie.png" TargetMode="External" Id="rId319"/><Relationship Type="http://schemas.openxmlformats.org/officeDocument/2006/relationships/hyperlink" Target="icons/Smoothie Mixer/Plum Smoothie.png" TargetMode="External" Id="rId320"/><Relationship Type="http://schemas.openxmlformats.org/officeDocument/2006/relationships/hyperlink" Target="icons/Smoothie Mixer/Tropical Smoothie.png" TargetMode="External" Id="rId321"/><Relationship Type="http://schemas.openxmlformats.org/officeDocument/2006/relationships/hyperlink" Target="icons/Soup Kitchen/Lobster Soup.png" TargetMode="External" Id="rId322"/><Relationship Type="http://schemas.openxmlformats.org/officeDocument/2006/relationships/hyperlink" Target="icons/Soup Kitchen/Tomato Soup.png" TargetMode="External" Id="rId323"/><Relationship Type="http://schemas.openxmlformats.org/officeDocument/2006/relationships/hyperlink" Target="icons/Soup Kitchen/Pumpkin Soup.png" TargetMode="External" Id="rId324"/><Relationship Type="http://schemas.openxmlformats.org/officeDocument/2006/relationships/hyperlink" Target="icons/Soup Kitchen/Fish Soup.png" TargetMode="External" Id="rId325"/><Relationship Type="http://schemas.openxmlformats.org/officeDocument/2006/relationships/hyperlink" Target="icons/Soup Kitchen/Cabbage Soup.png" TargetMode="External" Id="rId326"/><Relationship Type="http://schemas.openxmlformats.org/officeDocument/2006/relationships/hyperlink" Target="icons/Soup Kitchen/Onion Soup.png" TargetMode="External" Id="rId327"/><Relationship Type="http://schemas.openxmlformats.org/officeDocument/2006/relationships/hyperlink" Target="icons/Soup Kitchen/Noodle Soup.png" TargetMode="External" Id="rId328"/><Relationship Type="http://schemas.openxmlformats.org/officeDocument/2006/relationships/hyperlink" Target="icons/Soup Kitchen/Potato Soup.png" TargetMode="External" Id="rId329"/><Relationship Type="http://schemas.openxmlformats.org/officeDocument/2006/relationships/hyperlink" Target="icons/Soup Kitchen/Bell Pepper Soup.png" TargetMode="External" Id="rId330"/><Relationship Type="http://schemas.openxmlformats.org/officeDocument/2006/relationships/hyperlink" Target="icons/Soup Kitchen/Broccoli Soup.png" TargetMode="External" Id="rId331"/><Relationship Type="http://schemas.openxmlformats.org/officeDocument/2006/relationships/hyperlink" Target="icons/Soup Kitchen/Mushroom Soup.png" TargetMode="External" Id="rId332"/><Relationship Type="http://schemas.openxmlformats.org/officeDocument/2006/relationships/hyperlink" Target="icons/Soup Kitchen/Lamb Soup.png" TargetMode="External" Id="rId333"/><Relationship Type="http://schemas.openxmlformats.org/officeDocument/2006/relationships/hyperlink" Target="icons/Soup Kitchen/Mussel Chowder.png" TargetMode="External" Id="rId334"/><Relationship Type="http://schemas.openxmlformats.org/officeDocument/2006/relationships/hyperlink" Target="icons/Soup Kitchen/Asparagus Soup.png" TargetMode="External" Id="rId335"/><Relationship Type="http://schemas.openxmlformats.org/officeDocument/2006/relationships/hyperlink" Target="icons/Stew Pot/Chickpea Stew.png" TargetMode="External" Id="rId336"/><Relationship Type="http://schemas.openxmlformats.org/officeDocument/2006/relationships/hyperlink" Target="icons/Stew Pot/Chili Stew.png" TargetMode="External" Id="rId337"/><Relationship Type="http://schemas.openxmlformats.org/officeDocument/2006/relationships/hyperlink" Target="icons/Stew Pot/Winter Stew.png" TargetMode="External" Id="rId338"/><Relationship Type="http://schemas.openxmlformats.org/officeDocument/2006/relationships/hyperlink" Target="icons/Sugar Mill/Brown Sugar.png" TargetMode="External" Id="rId339"/><Relationship Type="http://schemas.openxmlformats.org/officeDocument/2006/relationships/hyperlink" Target="icons/Sugar Mill/White Sugar.png" TargetMode="External" Id="rId340"/><Relationship Type="http://schemas.openxmlformats.org/officeDocument/2006/relationships/hyperlink" Target="icons/Sugar Mill/Syrup.png" TargetMode="External" Id="rId341"/><Relationship Type="http://schemas.openxmlformats.org/officeDocument/2006/relationships/hyperlink" Target="icons/Sushi Bar/Sushi Roll.png" TargetMode="External" Id="rId342"/><Relationship Type="http://schemas.openxmlformats.org/officeDocument/2006/relationships/hyperlink" Target="icons/Sushi Bar/Lobster Sushi.png" TargetMode="External" Id="rId343"/><Relationship Type="http://schemas.openxmlformats.org/officeDocument/2006/relationships/hyperlink" Target="icons/Sushi Bar/Egg Sushi.png" TargetMode="External" Id="rId344"/><Relationship Type="http://schemas.openxmlformats.org/officeDocument/2006/relationships/hyperlink" Target="icons/Sushi Bar/Big Sushi Roll.png" TargetMode="External" Id="rId345"/><Relationship Type="http://schemas.openxmlformats.org/officeDocument/2006/relationships/hyperlink" Target="icons/Sushi Bar/Rice Ball.png" TargetMode="External" Id="rId346"/><Relationship Type="http://schemas.openxmlformats.org/officeDocument/2006/relationships/hyperlink" Target="icons/Sushi Bar/Mussel Nigiri.png" TargetMode="External" Id="rId347"/><Relationship Type="http://schemas.openxmlformats.org/officeDocument/2006/relationships/hyperlink" Target="icons/Taco Kitchen/Taco.png" TargetMode="External" Id="rId348"/><Relationship Type="http://schemas.openxmlformats.org/officeDocument/2006/relationships/hyperlink" Target="icons/Taco Kitchen/Fish Taco.png" TargetMode="External" Id="rId349"/><Relationship Type="http://schemas.openxmlformats.org/officeDocument/2006/relationships/hyperlink" Target="icons/Taco Kitchen/Quesadilla.png" TargetMode="External" Id="rId350"/><Relationship Type="http://schemas.openxmlformats.org/officeDocument/2006/relationships/hyperlink" Target="icons/Taco Kitchen/Nachos.png" TargetMode="External" Id="rId351"/><Relationship Type="http://schemas.openxmlformats.org/officeDocument/2006/relationships/hyperlink" Target="icons/Taco Kitchen/Spicy Bean Taco.png" TargetMode="External" Id="rId352"/><Relationship Type="http://schemas.openxmlformats.org/officeDocument/2006/relationships/hyperlink" Target="icons/Tea Stand/Green Tea.png" TargetMode="External" Id="rId353"/><Relationship Type="http://schemas.openxmlformats.org/officeDocument/2006/relationships/hyperlink" Target="icons/Tea Stand/Milk Tea.png" TargetMode="External" Id="rId354"/><Relationship Type="http://schemas.openxmlformats.org/officeDocument/2006/relationships/hyperlink" Target="icons/Tea Stand/Honey Tea.png" TargetMode="External" Id="rId355"/><Relationship Type="http://schemas.openxmlformats.org/officeDocument/2006/relationships/hyperlink" Target="icons/Tea Stand/Lemon Tea.png" TargetMode="External" Id="rId356"/><Relationship Type="http://schemas.openxmlformats.org/officeDocument/2006/relationships/hyperlink" Target="icons/Tea Stand/Apple Ginger Tea.png" TargetMode="External" Id="rId357"/><Relationship Type="http://schemas.openxmlformats.org/officeDocument/2006/relationships/hyperlink" Target="icons/Tea Stand/Orange Tea.png" TargetMode="External" Id="rId358"/><Relationship Type="http://schemas.openxmlformats.org/officeDocument/2006/relationships/hyperlink" Target="icons/Tea Stand/Iced Tea.png" TargetMode="External" Id="rId359"/><Relationship Type="http://schemas.openxmlformats.org/officeDocument/2006/relationships/hyperlink" Target="icons/Tea Stand/Mint Tea.png" TargetMode="External" Id="rId360"/><Relationship Type="http://schemas.openxmlformats.org/officeDocument/2006/relationships/hyperlink" Target="icons/Tea Stand/Chamomile Tea.png" TargetMode="External" Id="rId361"/><Relationship Type="http://schemas.openxmlformats.org/officeDocument/2006/relationships/hyperlink" Target="icons/Tea Stand/Pomegranate Tea.png" TargetMode="External" Id="rId362"/><Relationship Type="http://schemas.openxmlformats.org/officeDocument/2006/relationships/hyperlink" Target="icons/Trees &amp; Bushes/Apple.png" TargetMode="External" Id="rId363"/><Relationship Type="http://schemas.openxmlformats.org/officeDocument/2006/relationships/hyperlink" Target="icons/Trees &amp; Bushes/Raspberry.png" TargetMode="External" Id="rId364"/><Relationship Type="http://schemas.openxmlformats.org/officeDocument/2006/relationships/hyperlink" Target="icons/Trees &amp; Bushes/Cherry.png" TargetMode="External" Id="rId365"/><Relationship Type="http://schemas.openxmlformats.org/officeDocument/2006/relationships/hyperlink" Target="icons/Trees &amp; Bushes/Blackberry.png" TargetMode="External" Id="rId366"/><Relationship Type="http://schemas.openxmlformats.org/officeDocument/2006/relationships/hyperlink" Target="icons/Trees &amp; Bushes/Cacao.png" TargetMode="External" Id="rId367"/><Relationship Type="http://schemas.openxmlformats.org/officeDocument/2006/relationships/hyperlink" Target="icons/Trees &amp; Bushes/Honeycomb.png" TargetMode="External" Id="rId368"/><Relationship Type="http://schemas.openxmlformats.org/officeDocument/2006/relationships/hyperlink" Target="icons/Trees &amp; Bushes/Coffee Bean.png" TargetMode="External" Id="rId369"/><Relationship Type="http://schemas.openxmlformats.org/officeDocument/2006/relationships/hyperlink" Target="icons/Trees &amp; Bushes/Olive.png" TargetMode="External" Id="rId370"/><Relationship Type="http://schemas.openxmlformats.org/officeDocument/2006/relationships/hyperlink" Target="icons/Trees &amp; Bushes/Lemon.png" TargetMode="External" Id="rId371"/><Relationship Type="http://schemas.openxmlformats.org/officeDocument/2006/relationships/hyperlink" Target="icons/Trees &amp; Bushes/Orange.png" TargetMode="External" Id="rId372"/><Relationship Type="http://schemas.openxmlformats.org/officeDocument/2006/relationships/hyperlink" Target="icons/Trees &amp; Bushes/Peach.png" TargetMode="External" Id="rId373"/><Relationship Type="http://schemas.openxmlformats.org/officeDocument/2006/relationships/hyperlink" Target="icons/Trees &amp; Bushes/Banana.png" TargetMode="External" Id="rId374"/><Relationship Type="http://schemas.openxmlformats.org/officeDocument/2006/relationships/hyperlink" Target="icons/Trees &amp; Bushes/Plum.png" TargetMode="External" Id="rId375"/><Relationship Type="http://schemas.openxmlformats.org/officeDocument/2006/relationships/hyperlink" Target="icons/Trees &amp; Bushes/Mango.png" TargetMode="External" Id="rId376"/><Relationship Type="http://schemas.openxmlformats.org/officeDocument/2006/relationships/hyperlink" Target="icons/Trees &amp; Bushes/Coconut.png" TargetMode="External" Id="rId377"/><Relationship Type="http://schemas.openxmlformats.org/officeDocument/2006/relationships/hyperlink" Target="icons/Trees &amp; Bushes/Guava.png" TargetMode="External" Id="rId378"/><Relationship Type="http://schemas.openxmlformats.org/officeDocument/2006/relationships/hyperlink" Target="icons/Trees &amp; Bushes/Blueberries.png" TargetMode="External" Id="rId379"/><Relationship Type="http://schemas.openxmlformats.org/officeDocument/2006/relationships/hyperlink" Target="icons/Trees &amp; Bushes/Pomegranate.png" TargetMode="External" Id="rId380"/><Relationship Type="http://schemas.openxmlformats.org/officeDocument/2006/relationships/hyperlink" Target="icons/Wok Kitchen/Fried Rice.png" TargetMode="External" Id="rId381"/><Relationship Type="http://schemas.openxmlformats.org/officeDocument/2006/relationships/hyperlink" Target="icons/Wok Kitchen/Spicy Fish.png" TargetMode="External" Id="rId382"/><Relationship Type="http://schemas.openxmlformats.org/officeDocument/2006/relationships/hyperlink" Target="icons/Wok Kitchen/Peanut Noodles.png" TargetMode="External" Id="rId383"/><Relationship Type="http://schemas.openxmlformats.org/officeDocument/2006/relationships/hyperlink" Target="icons/Wok Kitchen/Tofu Stir Fry.png" TargetMode="External" Id="rId384"/><Relationship Type="http://schemas.openxmlformats.org/officeDocument/2006/relationships/hyperlink" Target="icons/Wok Kitchen/Lamb Stir Fry.png" TargetMode="External" Id="rId385"/><Relationship Type="http://schemas.openxmlformats.org/officeDocument/2006/relationships/hyperlink" Target="icons/Yogurt Maker/Plain Yogurt.png" TargetMode="External" Id="rId386"/><Relationship Type="http://schemas.openxmlformats.org/officeDocument/2006/relationships/hyperlink" Target="icons/Yogurt Maker/Strawberry Yogurt.png" TargetMode="External" Id="rId387"/><Relationship Type="http://schemas.openxmlformats.org/officeDocument/2006/relationships/hyperlink" Target="icons/Yogurt Maker/Tropical Yogurt.png" TargetMode="External" Id="rId388"/><Relationship Type="http://schemas.openxmlformats.org/officeDocument/2006/relationships/hyperlink" Target="icons/Yogurt Maker/Breakfast Bowl.png" TargetMode="External" Id="rId389"/></Relationships>
</file>

<file path=xl/worksheets/sheet1.xml><?xml version="1.0" encoding="utf-8"?>
<worksheet xmlns="http://schemas.openxmlformats.org/spreadsheetml/2006/main">
  <sheetPr>
    <outlinePr summaryBelow="1" summaryRight="1"/>
    <pageSetUpPr/>
  </sheetPr>
  <dimension ref="A1:AC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29" min="1" max="1"/>
    <col width="14" customWidth="1" style="29" min="2" max="2"/>
    <col width="14" customWidth="1" style="29" min="3" max="3"/>
    <col width="14" customWidth="1" style="29" min="4" max="4"/>
    <col width="14" customWidth="1" style="29" min="5" max="5"/>
    <col width="14" customWidth="1" style="29" min="6" max="6"/>
    <col width="14" customWidth="1" style="29" min="7" max="7"/>
    <col width="14" customWidth="1" style="29" min="8" max="8"/>
    <col width="14" customWidth="1" style="29" min="9" max="9"/>
    <col width="14" customWidth="1" style="29" min="10" max="10"/>
    <col width="14" customWidth="1" style="29" min="11" max="11"/>
    <col width="14" customWidth="1" style="29" min="12" max="12"/>
    <col width="14" customWidth="1" style="29" min="13" max="13"/>
    <col width="14" customWidth="1" style="29" min="14" max="14"/>
    <col width="14" customWidth="1" style="29" min="15" max="15"/>
    <col width="14" customWidth="1" style="29" min="16" max="16"/>
    <col width="14" customWidth="1" style="29" min="17" max="17"/>
    <col width="14" customWidth="1" style="29" min="18" max="18"/>
    <col width="14" customWidth="1" style="29" min="19" max="19"/>
    <col width="14" customWidth="1" style="29" min="20" max="20"/>
    <col width="14" customWidth="1" style="29" min="21" max="21"/>
    <col width="14" customWidth="1" style="29" min="22" max="22"/>
    <col width="40" customWidth="1" style="29" min="23" max="23"/>
    <col width="50" customWidth="1" style="29" min="24" max="24"/>
    <col width="14" customWidth="1" style="29" min="25" max="25"/>
    <col width="14" customWidth="1" style="29" min="26" max="26"/>
    <col width="40" customWidth="1" style="29" min="27" max="27"/>
    <col width="45" customWidth="1" style="29" min="28" max="28"/>
    <col width="14" customWidth="1" style="29" min="29" max="29"/>
  </cols>
  <sheetData>
    <row r="1">
      <c r="A1" s="48" t="inlineStr">
        <is>
          <t>Product</t>
        </is>
      </c>
      <c r="B1" s="48" t="inlineStr">
        <is>
          <t>Machine</t>
        </is>
      </c>
      <c r="C1" s="48" t="inlineStr">
        <is>
          <t>Kind (Fandom)</t>
        </is>
      </c>
      <c r="D1" s="49" t="inlineStr">
        <is>
          <t>Level</t>
        </is>
      </c>
      <c r="E1" s="48" t="inlineStr">
        <is>
          <t>Level (hayday.info)</t>
        </is>
      </c>
      <c r="F1" s="48" t="inlineStr">
        <is>
          <t>Level (Fandom)</t>
        </is>
      </c>
      <c r="G1" s="48" t="inlineStr">
        <is>
          <t>Time hayday.info (min)</t>
        </is>
      </c>
      <c r="H1" s="48" t="inlineStr">
        <is>
          <t>Time normal (Fandom, min)</t>
        </is>
      </c>
      <c r="I1" s="48" t="inlineStr">
        <is>
          <t>Time mastered (Fandom, min)</t>
        </is>
      </c>
      <c r="J1" s="49" t="inlineStr">
        <is>
          <t>hayday.info time basis</t>
        </is>
      </c>
      <c r="K1" s="49" t="inlineStr">
        <is>
          <t>Sell price</t>
        </is>
      </c>
      <c r="L1" s="48" t="inlineStr">
        <is>
          <t>Sell price (hayday.info)</t>
        </is>
      </c>
      <c r="M1" s="48" t="inlineStr">
        <is>
          <t>Sell price (Fandom)</t>
        </is>
      </c>
      <c r="N1" s="49" t="inlineStr">
        <is>
          <t>XP</t>
        </is>
      </c>
      <c r="O1" s="48" t="inlineStr">
        <is>
          <t>XP (hayday.info)</t>
        </is>
      </c>
      <c r="P1" s="48" t="inlineStr">
        <is>
          <t>XP (Fandom)</t>
        </is>
      </c>
      <c r="Q1" s="48" t="inlineStr">
        <is>
          <t>Profit/hr (site)</t>
        </is>
      </c>
      <c r="R1" s="48" t="inlineStr">
        <is>
          <t>XP/hr (site)</t>
        </is>
      </c>
      <c r="S1" s="49" t="inlineStr">
        <is>
          <t>Flag</t>
        </is>
      </c>
      <c r="T1" s="48" t="inlineStr">
        <is>
          <t>Found in</t>
        </is>
      </c>
      <c r="U1" s="49" t="inlineStr">
        <is>
          <t>Status</t>
        </is>
      </c>
      <c r="V1" s="49" t="inlineStr">
        <is>
          <t>Conflict fields</t>
        </is>
      </c>
      <c r="W1" s="48" t="inlineStr">
        <is>
          <t>Fandom internal conflict</t>
        </is>
      </c>
      <c r="X1" s="48" t="inlineStr">
        <is>
          <t>Ingredients (Fandom)</t>
        </is>
      </c>
      <c r="Y1" s="48" t="inlineStr">
        <is>
          <t>Icon file (Fandom)</t>
        </is>
      </c>
      <c r="Z1" s="48" t="inlineStr">
        <is>
          <t>Icon (local)</t>
        </is>
      </c>
      <c r="AA1" s="48" t="inlineStr">
        <is>
          <t>Source</t>
        </is>
      </c>
      <c r="AB1" s="48" t="inlineStr">
        <is>
          <t>Fandom page</t>
        </is>
      </c>
      <c r="AC1" s="48" t="inlineStr">
        <is>
          <t>hayday.info name</t>
        </is>
      </c>
    </row>
    <row r="2">
      <c r="A2" s="28" t="inlineStr">
        <is>
          <t>Egg</t>
        </is>
      </c>
      <c r="B2" s="28" t="inlineStr">
        <is>
          <t>Animal Products</t>
        </is>
      </c>
      <c r="C2" s="50" t="inlineStr">
        <is>
          <t>Animal good</t>
        </is>
      </c>
      <c r="D2" s="28">
        <f>IF(E2&lt;&gt;"",E2,IF(F2&lt;&gt;"",F2,""))</f>
        <v/>
      </c>
      <c r="E2" s="50" t="n">
        <v>1</v>
      </c>
      <c r="F2" s="50" t="n">
        <v>1</v>
      </c>
      <c r="G2" s="50" t="n">
        <v>20</v>
      </c>
      <c r="H2" s="50" t="n">
        <v>20</v>
      </c>
      <c r="I2" s="50" t="n"/>
      <c r="J2" s="28">
        <f>IF(OR(G2="",AND(H2="",I2="")),"n/a",IF(G2=I2,"mastered",IF(G2=H2,"normal","differs")))</f>
        <v/>
      </c>
      <c r="K2" s="28">
        <f>IF(L2&lt;&gt;"",L2,IF(M2&lt;&gt;"",M2,""))</f>
        <v/>
      </c>
      <c r="L2" s="50" t="n">
        <v>18</v>
      </c>
      <c r="M2" s="50" t="n">
        <v>18</v>
      </c>
      <c r="N2" s="28">
        <f>IF(O2&lt;&gt;"",O2,IF(P2&lt;&gt;"",P2,""))</f>
        <v/>
      </c>
      <c r="O2" s="50" t="n">
        <v>2</v>
      </c>
      <c r="P2" s="50" t="n">
        <v>2</v>
      </c>
      <c r="Q2" s="50" t="n">
        <v>33</v>
      </c>
      <c r="R2" s="50" t="n">
        <v>6</v>
      </c>
      <c r="S2" s="28">
        <f>IF(Q2="","",IF(Q2&lt;0,"negative profit",IF(Q2&gt;Notes!$B$4,"unusually high - verify","")))</f>
        <v/>
      </c>
      <c r="T2" s="28" t="inlineStr">
        <is>
          <t>both</t>
        </is>
      </c>
      <c r="U2" s="28">
        <f>IF(T2&lt;&gt;"both",T2&amp;" only",IF(V2="","agree","conflict"))</f>
        <v/>
      </c>
      <c r="V2" s="28">
        <f>IF(T2="both",TRIM(IF(AND(E2&lt;&gt;"",F2&lt;&gt;"",E2&lt;&gt;F2),"level ","")&amp;IF(AND(L2&lt;&gt;"",M2&lt;&gt;"",L2&lt;&gt;M2),"price ","")&amp;IF(AND(O2&lt;&gt;"",P2&lt;&gt;"",O2&lt;&gt;P2),"xp ","")&amp;IF(J2="differs","time","")),"")</f>
        <v/>
      </c>
      <c r="X2" s="50" t="n"/>
      <c r="Y2" s="50" t="inlineStr">
        <is>
          <t>Egg.png</t>
        </is>
      </c>
      <c r="Z2" s="50" t="inlineStr">
        <is>
          <t>icons/Animal Products/Egg.png</t>
        </is>
      </c>
      <c r="AA2" s="28" t="inlineStr">
        <is>
          <t>hayday.info /api/production-data (2026-10-13) + Hay Day Wiki infobox via MediaWiki API (2026-10-13)</t>
        </is>
      </c>
      <c r="AB2" s="28" t="inlineStr">
        <is>
          <t>https://hayday.fandom.com/wiki/Egg</t>
        </is>
      </c>
      <c r="AC2" s="50" t="inlineStr">
        <is>
          <t>Egg</t>
        </is>
      </c>
    </row>
    <row r="3">
      <c r="A3" s="28" t="inlineStr">
        <is>
          <t>Milk</t>
        </is>
      </c>
      <c r="B3" s="28" t="inlineStr">
        <is>
          <t>Animal Products</t>
        </is>
      </c>
      <c r="C3" s="50" t="inlineStr">
        <is>
          <t>Animal good</t>
        </is>
      </c>
      <c r="D3" s="28">
        <f>IF(E3&lt;&gt;"",E3,IF(F3&lt;&gt;"",F3,""))</f>
        <v/>
      </c>
      <c r="E3" s="50" t="n">
        <v>6</v>
      </c>
      <c r="F3" s="50" t="n">
        <v>6</v>
      </c>
      <c r="G3" s="50" t="n">
        <v>60</v>
      </c>
      <c r="H3" s="50" t="n">
        <v>60</v>
      </c>
      <c r="I3" s="50" t="n"/>
      <c r="J3" s="28">
        <f>IF(OR(G3="",AND(H3="",I3="")),"n/a",IF(G3=I3,"mastered",IF(G3=H3,"normal","differs")))</f>
        <v/>
      </c>
      <c r="K3" s="28">
        <f>IF(L3&lt;&gt;"",L3,IF(M3&lt;&gt;"",M3,""))</f>
        <v/>
      </c>
      <c r="L3" s="50" t="n">
        <v>32</v>
      </c>
      <c r="M3" s="50" t="n">
        <v>32</v>
      </c>
      <c r="N3" s="28">
        <f>IF(O3&lt;&gt;"",O3,IF(P3&lt;&gt;"",P3,""))</f>
        <v/>
      </c>
      <c r="O3" s="50" t="n">
        <v>3</v>
      </c>
      <c r="P3" s="50" t="n">
        <v>3</v>
      </c>
      <c r="Q3" s="50" t="n">
        <v>18</v>
      </c>
      <c r="R3" s="50" t="n">
        <v>3</v>
      </c>
      <c r="S3" s="28">
        <f>IF(Q3="","",IF(Q3&lt;0,"negative profit",IF(Q3&gt;Notes!$B$4,"unusually high - verify","")))</f>
        <v/>
      </c>
      <c r="T3" s="28" t="inlineStr">
        <is>
          <t>both</t>
        </is>
      </c>
      <c r="U3" s="28">
        <f>IF(T3&lt;&gt;"both",T3&amp;" only",IF(V3="","agree","conflict"))</f>
        <v/>
      </c>
      <c r="V3" s="28">
        <f>IF(T3="both",TRIM(IF(AND(E3&lt;&gt;"",F3&lt;&gt;"",E3&lt;&gt;F3),"level ","")&amp;IF(AND(L3&lt;&gt;"",M3&lt;&gt;"",L3&lt;&gt;M3),"price ","")&amp;IF(AND(O3&lt;&gt;"",P3&lt;&gt;"",O3&lt;&gt;P3),"xp ","")&amp;IF(J3="differs","time","")),"")</f>
        <v/>
      </c>
      <c r="X3" s="50" t="n"/>
      <c r="Y3" s="50" t="inlineStr">
        <is>
          <t>Milk.png</t>
        </is>
      </c>
      <c r="Z3" s="50" t="inlineStr">
        <is>
          <t>icons/Animal Products/Milk.png</t>
        </is>
      </c>
      <c r="AA3" s="28" t="inlineStr">
        <is>
          <t>hayday.info /api/production-data (2026-10-13) + Hay Day Wiki infobox via MediaWiki API (2026-10-13)</t>
        </is>
      </c>
      <c r="AB3" s="28" t="inlineStr">
        <is>
          <t>https://hayday.fandom.com/wiki/Milk</t>
        </is>
      </c>
      <c r="AC3" s="50" t="inlineStr">
        <is>
          <t>Milk</t>
        </is>
      </c>
    </row>
    <row r="4">
      <c r="A4" s="28" t="inlineStr">
        <is>
          <t>Bacon</t>
        </is>
      </c>
      <c r="B4" s="28" t="inlineStr">
        <is>
          <t>Animal Products</t>
        </is>
      </c>
      <c r="C4" s="50" t="inlineStr">
        <is>
          <t>Animal good</t>
        </is>
      </c>
      <c r="D4" s="28">
        <f>IF(E4&lt;&gt;"",E4,IF(F4&lt;&gt;"",F4,""))</f>
        <v/>
      </c>
      <c r="E4" s="50" t="n">
        <v>10</v>
      </c>
      <c r="F4" s="50" t="n">
        <v>10</v>
      </c>
      <c r="G4" s="50" t="n">
        <v>240</v>
      </c>
      <c r="H4" s="50" t="n">
        <v>240</v>
      </c>
      <c r="I4" s="50" t="n"/>
      <c r="J4" s="28">
        <f>IF(OR(G4="",AND(H4="",I4="")),"n/a",IF(G4=I4,"mastered",IF(G4=H4,"normal","differs")))</f>
        <v/>
      </c>
      <c r="K4" s="28">
        <f>IF(L4&lt;&gt;"",L4,IF(M4&lt;&gt;"",M4,""))</f>
        <v/>
      </c>
      <c r="L4" s="50" t="n">
        <v>50</v>
      </c>
      <c r="M4" s="50" t="n">
        <v>50</v>
      </c>
      <c r="N4" s="28">
        <f>IF(O4&lt;&gt;"",O4,IF(P4&lt;&gt;"",P4,""))</f>
        <v/>
      </c>
      <c r="O4" s="50" t="n">
        <v>5</v>
      </c>
      <c r="P4" s="50" t="n">
        <v>5</v>
      </c>
      <c r="Q4" s="50" t="n">
        <v>-2.5</v>
      </c>
      <c r="R4" s="50" t="n">
        <v>1.25</v>
      </c>
      <c r="S4" s="28">
        <f>IF(Q4="","",IF(Q4&lt;0,"negative profit",IF(Q4&gt;Notes!$B$4,"unusually high - verify","")))</f>
        <v/>
      </c>
      <c r="T4" s="28" t="inlineStr">
        <is>
          <t>both</t>
        </is>
      </c>
      <c r="U4" s="28">
        <f>IF(T4&lt;&gt;"both",T4&amp;" only",IF(V4="","agree","conflict"))</f>
        <v/>
      </c>
      <c r="V4" s="28">
        <f>IF(T4="both",TRIM(IF(AND(E4&lt;&gt;"",F4&lt;&gt;"",E4&lt;&gt;F4),"level ","")&amp;IF(AND(L4&lt;&gt;"",M4&lt;&gt;"",L4&lt;&gt;M4),"price ","")&amp;IF(AND(O4&lt;&gt;"",P4&lt;&gt;"",O4&lt;&gt;P4),"xp ","")&amp;IF(J4="differs","time","")),"")</f>
        <v/>
      </c>
      <c r="X4" s="50" t="n"/>
      <c r="Y4" s="50" t="inlineStr">
        <is>
          <t>Bacon.png</t>
        </is>
      </c>
      <c r="Z4" s="50" t="inlineStr">
        <is>
          <t>icons/Animal Products/Bacon.png</t>
        </is>
      </c>
      <c r="AA4" s="28" t="inlineStr">
        <is>
          <t>hayday.info /api/production-data (2026-10-13) + Hay Day Wiki infobox via MediaWiki API (2026-10-13)</t>
        </is>
      </c>
      <c r="AB4" s="28" t="inlineStr">
        <is>
          <t>https://hayday.fandom.com/wiki/Bacon</t>
        </is>
      </c>
      <c r="AC4" s="50" t="inlineStr">
        <is>
          <t>Bacon</t>
        </is>
      </c>
    </row>
    <row r="5">
      <c r="A5" s="28" t="inlineStr">
        <is>
          <t>Wool</t>
        </is>
      </c>
      <c r="B5" s="28" t="inlineStr">
        <is>
          <t>Animal Products</t>
        </is>
      </c>
      <c r="C5" s="50" t="inlineStr">
        <is>
          <t>Animal good</t>
        </is>
      </c>
      <c r="D5" s="28">
        <f>IF(E5&lt;&gt;"",E5,IF(F5&lt;&gt;"",F5,""))</f>
        <v/>
      </c>
      <c r="E5" s="50" t="n">
        <v>16</v>
      </c>
      <c r="F5" s="50" t="n">
        <v>16</v>
      </c>
      <c r="G5" s="50" t="n">
        <v>360</v>
      </c>
      <c r="H5" s="50" t="n">
        <v>360</v>
      </c>
      <c r="I5" s="50" t="n"/>
      <c r="J5" s="28">
        <f>IF(OR(G5="",AND(H5="",I5="")),"n/a",IF(G5=I5,"mastered",IF(G5=H5,"normal","differs")))</f>
        <v/>
      </c>
      <c r="K5" s="28">
        <f>IF(L5&lt;&gt;"",L5,IF(M5&lt;&gt;"",M5,""))</f>
        <v/>
      </c>
      <c r="L5" s="50" t="n">
        <v>54</v>
      </c>
      <c r="M5" s="50" t="n">
        <v>54</v>
      </c>
      <c r="N5" s="28">
        <f>IF(O5&lt;&gt;"",O5,IF(P5&lt;&gt;"",P5,""))</f>
        <v/>
      </c>
      <c r="O5" s="50" t="n">
        <v>5</v>
      </c>
      <c r="P5" s="50" t="n">
        <v>5</v>
      </c>
      <c r="Q5" s="50" t="n">
        <v>-0.83</v>
      </c>
      <c r="R5" s="50" t="n">
        <v>0.83</v>
      </c>
      <c r="S5" s="28">
        <f>IF(Q5="","",IF(Q5&lt;0,"negative profit",IF(Q5&gt;Notes!$B$4,"unusually high - verify","")))</f>
        <v/>
      </c>
      <c r="T5" s="28" t="inlineStr">
        <is>
          <t>both</t>
        </is>
      </c>
      <c r="U5" s="28">
        <f>IF(T5&lt;&gt;"both",T5&amp;" only",IF(V5="","agree","conflict"))</f>
        <v/>
      </c>
      <c r="V5" s="28">
        <f>IF(T5="both",TRIM(IF(AND(E5&lt;&gt;"",F5&lt;&gt;"",E5&lt;&gt;F5),"level ","")&amp;IF(AND(L5&lt;&gt;"",M5&lt;&gt;"",L5&lt;&gt;M5),"price ","")&amp;IF(AND(O5&lt;&gt;"",P5&lt;&gt;"",O5&lt;&gt;P5),"xp ","")&amp;IF(J5="differs","time","")),"")</f>
        <v/>
      </c>
      <c r="X5" s="50" t="n"/>
      <c r="Y5" s="50" t="inlineStr">
        <is>
          <t>Wool.png</t>
        </is>
      </c>
      <c r="Z5" s="50" t="inlineStr">
        <is>
          <t>icons/Animal Products/Wool.png</t>
        </is>
      </c>
      <c r="AA5" s="28" t="inlineStr">
        <is>
          <t>hayday.info /api/production-data (2026-10-13) + Hay Day Wiki infobox via MediaWiki API (2026-10-13)</t>
        </is>
      </c>
      <c r="AB5" s="28" t="inlineStr">
        <is>
          <t>https://hayday.fandom.com/wiki/Wool</t>
        </is>
      </c>
      <c r="AC5" s="50" t="inlineStr">
        <is>
          <t>Wool</t>
        </is>
      </c>
    </row>
    <row r="6">
      <c r="A6" s="28" t="inlineStr">
        <is>
          <t>Goat Milk</t>
        </is>
      </c>
      <c r="B6" s="28" t="inlineStr">
        <is>
          <t>Animal Products</t>
        </is>
      </c>
      <c r="C6" s="50" t="inlineStr">
        <is>
          <t>Animal good</t>
        </is>
      </c>
      <c r="D6" s="28">
        <f>IF(E6&lt;&gt;"",E6,IF(F6&lt;&gt;"",F6,""))</f>
        <v/>
      </c>
      <c r="E6" s="50" t="n">
        <v>32</v>
      </c>
      <c r="F6" s="50" t="n">
        <v>32</v>
      </c>
      <c r="G6" s="50" t="n">
        <v>480</v>
      </c>
      <c r="H6" s="50" t="n">
        <v>480</v>
      </c>
      <c r="I6" s="50" t="n"/>
      <c r="J6" s="28">
        <f>IF(OR(G6="",AND(H6="",I6="")),"n/a",IF(G6=I6,"mastered",IF(G6=H6,"normal","differs")))</f>
        <v/>
      </c>
      <c r="K6" s="28">
        <f>IF(L6&lt;&gt;"",L6,IF(M6&lt;&gt;"",M6,""))</f>
        <v/>
      </c>
      <c r="L6" s="50" t="n">
        <v>64</v>
      </c>
      <c r="M6" s="50" t="n">
        <v>64</v>
      </c>
      <c r="N6" s="28">
        <f>IF(O6&lt;&gt;"",O6,IF(P6&lt;&gt;"",P6,""))</f>
        <v/>
      </c>
      <c r="O6" s="50" t="n">
        <v>6</v>
      </c>
      <c r="P6" s="50" t="n">
        <v>6</v>
      </c>
      <c r="Q6" s="50" t="n">
        <v>-1.25</v>
      </c>
      <c r="R6" s="50" t="n">
        <v>0.75</v>
      </c>
      <c r="S6" s="28">
        <f>IF(Q6="","",IF(Q6&lt;0,"negative profit",IF(Q6&gt;Notes!$B$4,"unusually high - verify","")))</f>
        <v/>
      </c>
      <c r="T6" s="28" t="inlineStr">
        <is>
          <t>both</t>
        </is>
      </c>
      <c r="U6" s="28">
        <f>IF(T6&lt;&gt;"both",T6&amp;" only",IF(V6="","agree","conflict"))</f>
        <v/>
      </c>
      <c r="V6" s="28">
        <f>IF(T6="both",TRIM(IF(AND(E6&lt;&gt;"",F6&lt;&gt;"",E6&lt;&gt;F6),"level ","")&amp;IF(AND(L6&lt;&gt;"",M6&lt;&gt;"",L6&lt;&gt;M6),"price ","")&amp;IF(AND(O6&lt;&gt;"",P6&lt;&gt;"",O6&lt;&gt;P6),"xp ","")&amp;IF(J6="differs","time","")),"")</f>
        <v/>
      </c>
      <c r="X6" s="50" t="n"/>
      <c r="Y6" s="50" t="inlineStr">
        <is>
          <t>Goat Milk.png</t>
        </is>
      </c>
      <c r="Z6" s="50" t="inlineStr">
        <is>
          <t>icons/Animal Products/Goat Milk.png</t>
        </is>
      </c>
      <c r="AA6" s="28" t="inlineStr">
        <is>
          <t>hayday.info /api/production-data (2026-10-13) + Hay Day Wiki infobox via MediaWiki API (2026-10-13)</t>
        </is>
      </c>
      <c r="AB6" s="28" t="inlineStr">
        <is>
          <t>https://hayday.fandom.com/wiki/Goat_Milk</t>
        </is>
      </c>
      <c r="AC6" s="50" t="inlineStr">
        <is>
          <t>Goat milk</t>
        </is>
      </c>
    </row>
    <row r="7">
      <c r="A7" s="28" t="inlineStr">
        <is>
          <t>Lamb Chop</t>
        </is>
      </c>
      <c r="B7" s="28" t="inlineStr">
        <is>
          <t>Animal Products</t>
        </is>
      </c>
      <c r="C7" s="50" t="inlineStr">
        <is>
          <t>Animal good</t>
        </is>
      </c>
      <c r="D7" s="28">
        <f>IF(E7&lt;&gt;"",E7,IF(F7&lt;&gt;"",F7,""))</f>
        <v/>
      </c>
      <c r="E7" s="50" t="n"/>
      <c r="F7" s="50" t="n">
        <v>25</v>
      </c>
      <c r="G7" s="50" t="n"/>
      <c r="H7" s="50" t="n">
        <v>30</v>
      </c>
      <c r="I7" s="50" t="n"/>
      <c r="J7" s="28">
        <f>IF(OR(G7="",AND(H7="",I7="")),"n/a",IF(G7=I7,"mastered",IF(G7=H7,"normal","differs")))</f>
        <v/>
      </c>
      <c r="K7" s="28">
        <f>IF(L7&lt;&gt;"",L7,IF(M7&lt;&gt;"",M7,""))</f>
        <v/>
      </c>
      <c r="L7" s="50" t="n"/>
      <c r="M7" s="50" t="n">
        <v>36</v>
      </c>
      <c r="N7" s="28">
        <f>IF(O7&lt;&gt;"",O7,IF(P7&lt;&gt;"",P7,""))</f>
        <v/>
      </c>
      <c r="O7" s="50" t="n"/>
      <c r="P7" s="50" t="n">
        <v>4</v>
      </c>
      <c r="Q7" s="50" t="n"/>
      <c r="R7" s="50" t="n"/>
      <c r="S7" s="28">
        <f>IF(Q7="","",IF(Q7&lt;0,"negative profit",IF(Q7&gt;Notes!$B$4,"unusually high - verify","")))</f>
        <v/>
      </c>
      <c r="T7" s="28" t="inlineStr">
        <is>
          <t>Fandom</t>
        </is>
      </c>
      <c r="U7" s="28">
        <f>IF(T7&lt;&gt;"both",T7&amp;" only",IF(V7="","agree","conflict"))</f>
        <v/>
      </c>
      <c r="V7" s="28">
        <f>IF(T7="both",TRIM(IF(AND(E7&lt;&gt;"",F7&lt;&gt;"",E7&lt;&gt;F7),"level ","")&amp;IF(AND(L7&lt;&gt;"",M7&lt;&gt;"",L7&lt;&gt;M7),"price ","")&amp;IF(AND(O7&lt;&gt;"",P7&lt;&gt;"",O7&lt;&gt;P7),"xp ","")&amp;IF(J7="differs","time","")),"")</f>
        <v/>
      </c>
      <c r="X7" s="50" t="n"/>
      <c r="Y7" s="50" t="inlineStr">
        <is>
          <t>Lamb Chop.png</t>
        </is>
      </c>
      <c r="Z7" s="50" t="inlineStr">
        <is>
          <t>icons/Animal Products/Lamb Chop.png</t>
        </is>
      </c>
      <c r="AA7" s="28" t="inlineStr">
        <is>
          <t>Hay Day Wiki infobox via MediaWiki API (2026-10-13)</t>
        </is>
      </c>
      <c r="AB7" s="28" t="inlineStr">
        <is>
          <t>https://hayday.fandom.com/wiki/Lamb_Chop</t>
        </is>
      </c>
      <c r="AC7" s="50" t="n"/>
    </row>
    <row r="8">
      <c r="A8" s="28" t="inlineStr">
        <is>
          <t>Fish Fillet</t>
        </is>
      </c>
      <c r="B8" s="28" t="inlineStr">
        <is>
          <t>Animal Products</t>
        </is>
      </c>
      <c r="C8" s="50" t="inlineStr">
        <is>
          <t>Animal good</t>
        </is>
      </c>
      <c r="D8" s="28">
        <f>IF(E8&lt;&gt;"",E8,IF(F8&lt;&gt;"",F8,""))</f>
        <v/>
      </c>
      <c r="E8" s="50" t="n"/>
      <c r="F8" s="50" t="n">
        <v>27</v>
      </c>
      <c r="G8" s="50" t="n"/>
      <c r="H8" s="50" t="n"/>
      <c r="I8" s="50" t="n"/>
      <c r="J8" s="28">
        <f>IF(OR(G8="",AND(H8="",I8="")),"n/a",IF(G8=I8,"mastered",IF(G8=H8,"normal","differs")))</f>
        <v/>
      </c>
      <c r="K8" s="28">
        <f>IF(L8&lt;&gt;"",L8,IF(M8&lt;&gt;"",M8,""))</f>
        <v/>
      </c>
      <c r="L8" s="50" t="n"/>
      <c r="M8" s="50" t="n">
        <v>54</v>
      </c>
      <c r="N8" s="28">
        <f>IF(O8&lt;&gt;"",O8,IF(P8&lt;&gt;"",P8,""))</f>
        <v/>
      </c>
      <c r="O8" s="50" t="n"/>
      <c r="P8" s="50" t="n">
        <v>4</v>
      </c>
      <c r="Q8" s="50" t="n"/>
      <c r="R8" s="50" t="n"/>
      <c r="S8" s="28">
        <f>IF(Q8="","",IF(Q8&lt;0,"negative profit",IF(Q8&gt;Notes!$B$4,"unusually high - verify","")))</f>
        <v/>
      </c>
      <c r="T8" s="28" t="inlineStr">
        <is>
          <t>Fandom</t>
        </is>
      </c>
      <c r="U8" s="28">
        <f>IF(T8&lt;&gt;"both",T8&amp;" only",IF(V8="","agree","conflict"))</f>
        <v/>
      </c>
      <c r="V8" s="28">
        <f>IF(T8="both",TRIM(IF(AND(E8&lt;&gt;"",F8&lt;&gt;"",E8&lt;&gt;F8),"level ","")&amp;IF(AND(L8&lt;&gt;"",M8&lt;&gt;"",L8&lt;&gt;M8),"price ","")&amp;IF(AND(O8&lt;&gt;"",P8&lt;&gt;"",O8&lt;&gt;P8),"xp ","")&amp;IF(J8="differs","time","")),"")</f>
        <v/>
      </c>
      <c r="X8" s="50" t="n"/>
      <c r="Y8" s="50" t="inlineStr">
        <is>
          <t>Fish Fillet.png</t>
        </is>
      </c>
      <c r="Z8" s="50" t="inlineStr">
        <is>
          <t>icons/Animal Products/Fish Fillet.png</t>
        </is>
      </c>
      <c r="AA8" s="28" t="inlineStr">
        <is>
          <t>Hay Day Wiki infobox via MediaWiki API (2026-10-13)</t>
        </is>
      </c>
      <c r="AB8" s="28" t="inlineStr">
        <is>
          <t>https://hayday.fandom.com/wiki/Fish_Fillet</t>
        </is>
      </c>
      <c r="AC8" s="50" t="n"/>
    </row>
    <row r="9">
      <c r="A9" s="28" t="inlineStr">
        <is>
          <t>Mussel Meat</t>
        </is>
      </c>
      <c r="B9" s="28" t="inlineStr">
        <is>
          <t>Animal Products</t>
        </is>
      </c>
      <c r="C9" s="50" t="inlineStr">
        <is>
          <t>Animal good</t>
        </is>
      </c>
      <c r="D9" s="28">
        <f>IF(E9&lt;&gt;"",E9,IF(F9&lt;&gt;"",F9,""))</f>
        <v/>
      </c>
      <c r="E9" s="50" t="n"/>
      <c r="F9" s="50" t="n">
        <v>27</v>
      </c>
      <c r="G9" s="50" t="n"/>
      <c r="H9" s="50" t="n">
        <v>360</v>
      </c>
      <c r="I9" s="50" t="n"/>
      <c r="J9" s="28">
        <f>IF(OR(G9="",AND(H9="",I9="")),"n/a",IF(G9=I9,"mastered",IF(G9=H9,"normal","differs")))</f>
        <v/>
      </c>
      <c r="K9" s="28">
        <f>IF(L9&lt;&gt;"",L9,IF(M9&lt;&gt;"",M9,""))</f>
        <v/>
      </c>
      <c r="L9" s="50" t="n"/>
      <c r="M9" s="50" t="n">
        <v>28</v>
      </c>
      <c r="N9" s="28">
        <f>IF(O9&lt;&gt;"",O9,IF(P9&lt;&gt;"",P9,""))</f>
        <v/>
      </c>
      <c r="O9" s="50" t="n"/>
      <c r="P9" s="50" t="n">
        <v>8</v>
      </c>
      <c r="Q9" s="50" t="n"/>
      <c r="R9" s="50" t="n"/>
      <c r="S9" s="28">
        <f>IF(Q9="","",IF(Q9&lt;0,"negative profit",IF(Q9&gt;Notes!$B$4,"unusually high - verify","")))</f>
        <v/>
      </c>
      <c r="T9" s="28" t="inlineStr">
        <is>
          <t>Fandom</t>
        </is>
      </c>
      <c r="U9" s="28">
        <f>IF(T9&lt;&gt;"both",T9&amp;" only",IF(V9="","agree","conflict"))</f>
        <v/>
      </c>
      <c r="V9" s="28">
        <f>IF(T9="both",TRIM(IF(AND(E9&lt;&gt;"",F9&lt;&gt;"",E9&lt;&gt;F9),"level ","")&amp;IF(AND(L9&lt;&gt;"",M9&lt;&gt;"",L9&lt;&gt;M9),"price ","")&amp;IF(AND(O9&lt;&gt;"",P9&lt;&gt;"",O9&lt;&gt;P9),"xp ","")&amp;IF(J9="differs","time","")),"")</f>
        <v/>
      </c>
      <c r="X9" s="50" t="n"/>
      <c r="Y9" s="50" t="inlineStr">
        <is>
          <t>Mussel Meat.png</t>
        </is>
      </c>
      <c r="Z9" s="50" t="inlineStr">
        <is>
          <t>icons/Animal Products/Mussel Meat.png</t>
        </is>
      </c>
      <c r="AA9" s="28" t="inlineStr">
        <is>
          <t>Hay Day Wiki infobox via MediaWiki API (2026-10-13)</t>
        </is>
      </c>
      <c r="AB9" s="28" t="inlineStr">
        <is>
          <t>https://hayday.fandom.com/wiki/Mussel_Meat</t>
        </is>
      </c>
      <c r="AC9" s="50" t="n"/>
    </row>
    <row r="10">
      <c r="A10" s="28" t="inlineStr">
        <is>
          <t>Peanuts</t>
        </is>
      </c>
      <c r="B10" s="28" t="inlineStr">
        <is>
          <t>Animal Products</t>
        </is>
      </c>
      <c r="C10" s="50" t="inlineStr">
        <is>
          <t>Animal good</t>
        </is>
      </c>
      <c r="D10" s="28">
        <f>IF(E10&lt;&gt;"",E10,IF(F10&lt;&gt;"",F10,""))</f>
        <v/>
      </c>
      <c r="E10" s="50" t="n"/>
      <c r="F10" s="50" t="n">
        <v>62</v>
      </c>
      <c r="G10" s="50" t="n"/>
      <c r="H10" s="50" t="n">
        <v>300</v>
      </c>
      <c r="I10" s="50" t="n"/>
      <c r="J10" s="28">
        <f>IF(OR(G10="",AND(H10="",I10="")),"n/a",IF(G10=I10,"mastered",IF(G10=H10,"normal","differs")))</f>
        <v/>
      </c>
      <c r="K10" s="28">
        <f>IF(L10&lt;&gt;"",L10,IF(M10&lt;&gt;"",M10,""))</f>
        <v/>
      </c>
      <c r="L10" s="50" t="n"/>
      <c r="M10" s="50" t="n">
        <v>234</v>
      </c>
      <c r="N10" s="28">
        <f>IF(O10&lt;&gt;"",O10,IF(P10&lt;&gt;"",P10,""))</f>
        <v/>
      </c>
      <c r="O10" s="50" t="n"/>
      <c r="P10" s="50" t="n">
        <v>43</v>
      </c>
      <c r="Q10" s="50" t="n"/>
      <c r="R10" s="50" t="n"/>
      <c r="S10" s="28">
        <f>IF(Q10="","",IF(Q10&lt;0,"negative profit",IF(Q10&gt;Notes!$B$4,"unusually high - verify","")))</f>
        <v/>
      </c>
      <c r="T10" s="28" t="inlineStr">
        <is>
          <t>Fandom</t>
        </is>
      </c>
      <c r="U10" s="28">
        <f>IF(T10&lt;&gt;"both",T10&amp;" only",IF(V10="","agree","conflict"))</f>
        <v/>
      </c>
      <c r="V10" s="28">
        <f>IF(T10="both",TRIM(IF(AND(E10&lt;&gt;"",F10&lt;&gt;"",E10&lt;&gt;F10),"level ","")&amp;IF(AND(L10&lt;&gt;"",M10&lt;&gt;"",L10&lt;&gt;M10),"price ","")&amp;IF(AND(O10&lt;&gt;"",P10&lt;&gt;"",O10&lt;&gt;P10),"xp ","")&amp;IF(J10="differs","time","")),"")</f>
        <v/>
      </c>
      <c r="X10" s="50" t="n"/>
      <c r="Y10" s="50" t="inlineStr">
        <is>
          <t>Peanuts.png</t>
        </is>
      </c>
      <c r="Z10" s="50" t="inlineStr">
        <is>
          <t>icons/Animal Products/Peanuts.png</t>
        </is>
      </c>
      <c r="AA10" s="28" t="inlineStr">
        <is>
          <t>Hay Day Wiki infobox via MediaWiki API (2026-10-13)</t>
        </is>
      </c>
      <c r="AB10" s="28" t="inlineStr">
        <is>
          <t>https://hayday.fandom.com/wiki/Peanuts</t>
        </is>
      </c>
      <c r="AC10" s="50" t="n"/>
    </row>
    <row r="11">
      <c r="A11" s="28" t="inlineStr">
        <is>
          <t>Pancake</t>
        </is>
      </c>
      <c r="B11" s="28" t="inlineStr">
        <is>
          <t>BBQ Grill</t>
        </is>
      </c>
      <c r="C11" s="50" t="inlineStr">
        <is>
          <t>Product</t>
        </is>
      </c>
      <c r="D11" s="28">
        <f>IF(E11&lt;&gt;"",E11,IF(F11&lt;&gt;"",F11,""))</f>
        <v/>
      </c>
      <c r="E11" s="50" t="n">
        <v>9</v>
      </c>
      <c r="F11" s="50" t="n">
        <v>9</v>
      </c>
      <c r="G11" s="50" t="n">
        <v>25</v>
      </c>
      <c r="H11" s="50" t="n">
        <v>30</v>
      </c>
      <c r="I11" s="50" t="n">
        <v>25</v>
      </c>
      <c r="J11" s="28">
        <f>IF(OR(G11="",AND(H11="",I11="")),"n/a",IF(G11=I11,"mastered",IF(G11=H11,"normal","differs")))</f>
        <v/>
      </c>
      <c r="K11" s="28">
        <f>IF(L11&lt;&gt;"",L11,IF(M11&lt;&gt;"",M11,""))</f>
        <v/>
      </c>
      <c r="L11" s="50" t="n">
        <v>108</v>
      </c>
      <c r="M11" s="50" t="n">
        <v>108</v>
      </c>
      <c r="N11" s="28">
        <f>IF(O11&lt;&gt;"",O11,IF(P11&lt;&gt;"",P11,""))</f>
        <v/>
      </c>
      <c r="O11" s="50" t="n">
        <v>13</v>
      </c>
      <c r="P11" s="50" t="n">
        <v>13</v>
      </c>
      <c r="Q11" s="50" t="n">
        <v>51.76</v>
      </c>
      <c r="R11" s="50" t="n">
        <v>30.59</v>
      </c>
      <c r="S11" s="28">
        <f>IF(Q11="","",IF(Q11&lt;0,"negative profit",IF(Q11&gt;Notes!$B$4,"unusually high - verify","")))</f>
        <v/>
      </c>
      <c r="T11" s="28" t="inlineStr">
        <is>
          <t>both</t>
        </is>
      </c>
      <c r="U11" s="28">
        <f>IF(T11&lt;&gt;"both",T11&amp;" only",IF(V11="","agree","conflict"))</f>
        <v/>
      </c>
      <c r="V11" s="28">
        <f>IF(T11="both",TRIM(IF(AND(E11&lt;&gt;"",F11&lt;&gt;"",E11&lt;&gt;F11),"level ","")&amp;IF(AND(L11&lt;&gt;"",M11&lt;&gt;"",L11&lt;&gt;M11),"price ","")&amp;IF(AND(O11&lt;&gt;"",P11&lt;&gt;"",O11&lt;&gt;P11),"xp ","")&amp;IF(J11="differs","time","")),"")</f>
        <v/>
      </c>
      <c r="X11" s="50" t="inlineStr">
        <is>
          <t>Egg x3; Brown Sugar x1</t>
        </is>
      </c>
      <c r="Y11" s="50" t="inlineStr">
        <is>
          <t>Pancake.png</t>
        </is>
      </c>
      <c r="Z11" s="50" t="inlineStr">
        <is>
          <t>icons/BBQ Grill/Pancake.png</t>
        </is>
      </c>
      <c r="AA11" s="28" t="inlineStr">
        <is>
          <t>hayday.info /api/production-data (2026-10-13) + Hay Day Wiki infobox via MediaWiki API (2026-10-13)</t>
        </is>
      </c>
      <c r="AB11" s="28" t="inlineStr">
        <is>
          <t>https://hayday.fandom.com/wiki/Pancake</t>
        </is>
      </c>
      <c r="AC11" s="50" t="inlineStr">
        <is>
          <t>Pancake</t>
        </is>
      </c>
    </row>
    <row r="12">
      <c r="A12" s="28" t="inlineStr">
        <is>
          <t>Bacon and Eggs</t>
        </is>
      </c>
      <c r="B12" s="28" t="inlineStr">
        <is>
          <t>BBQ Grill</t>
        </is>
      </c>
      <c r="C12" s="50" t="inlineStr">
        <is>
          <t>Product</t>
        </is>
      </c>
      <c r="D12" s="28">
        <f>IF(E12&lt;&gt;"",E12,IF(F12&lt;&gt;"",F12,""))</f>
        <v/>
      </c>
      <c r="E12" s="50" t="n">
        <v>11</v>
      </c>
      <c r="F12" s="50" t="n">
        <v>11</v>
      </c>
      <c r="G12" s="50" t="n">
        <v>51</v>
      </c>
      <c r="H12" s="50" t="n">
        <v>60</v>
      </c>
      <c r="I12" s="50" t="n">
        <v>51</v>
      </c>
      <c r="J12" s="28">
        <f>IF(OR(G12="",AND(H12="",I12="")),"n/a",IF(G12=I12,"mastered",IF(G12=H12,"normal","differs")))</f>
        <v/>
      </c>
      <c r="K12" s="28">
        <f>IF(L12&lt;&gt;"",L12,IF(M12&lt;&gt;"",M12,""))</f>
        <v/>
      </c>
      <c r="L12" s="50" t="n">
        <v>201</v>
      </c>
      <c r="M12" s="50" t="n">
        <v>201</v>
      </c>
      <c r="N12" s="28">
        <f>IF(O12&lt;&gt;"",O12,IF(P12&lt;&gt;"",P12,""))</f>
        <v/>
      </c>
      <c r="O12" s="50" t="n">
        <v>24</v>
      </c>
      <c r="P12" s="50" t="n">
        <v>24</v>
      </c>
      <c r="Q12" s="50" t="n">
        <v>34.12</v>
      </c>
      <c r="R12" s="50" t="n">
        <v>28.24</v>
      </c>
      <c r="S12" s="28">
        <f>IF(Q12="","",IF(Q12&lt;0,"negative profit",IF(Q12&gt;Notes!$B$4,"unusually high - verify","")))</f>
        <v/>
      </c>
      <c r="T12" s="28" t="inlineStr">
        <is>
          <t>both</t>
        </is>
      </c>
      <c r="U12" s="28">
        <f>IF(T12&lt;&gt;"both",T12&amp;" only",IF(V12="","agree","conflict"))</f>
        <v/>
      </c>
      <c r="V12" s="28">
        <f>IF(T12="both",TRIM(IF(AND(E12&lt;&gt;"",F12&lt;&gt;"",E12&lt;&gt;F12),"level ","")&amp;IF(AND(L12&lt;&gt;"",M12&lt;&gt;"",L12&lt;&gt;M12),"price ","")&amp;IF(AND(O12&lt;&gt;"",P12&lt;&gt;"",O12&lt;&gt;P12),"xp ","")&amp;IF(J12="differs","time","")),"")</f>
        <v/>
      </c>
      <c r="X12" s="50" t="inlineStr">
        <is>
          <t>Egg x4; Bacon x2</t>
        </is>
      </c>
      <c r="Y12" s="50" t="inlineStr">
        <is>
          <t>Bacon_and_Eggs.png</t>
        </is>
      </c>
      <c r="Z12" s="50" t="inlineStr">
        <is>
          <t>icons/BBQ Grill/Bacon and Eggs.png</t>
        </is>
      </c>
      <c r="AA12" s="28" t="inlineStr">
        <is>
          <t>hayday.info /api/production-data (2026-10-13) + Hay Day Wiki infobox via MediaWiki API (2026-10-13)</t>
        </is>
      </c>
      <c r="AB12" s="28" t="inlineStr">
        <is>
          <t>https://hayday.fandom.com/wiki/Bacon_and_Eggs</t>
        </is>
      </c>
      <c r="AC12" s="50" t="inlineStr">
        <is>
          <t>Bacon and eggs</t>
        </is>
      </c>
    </row>
    <row r="13">
      <c r="A13" s="28" t="inlineStr">
        <is>
          <t>Hamburger</t>
        </is>
      </c>
      <c r="B13" s="28" t="inlineStr">
        <is>
          <t>BBQ Grill</t>
        </is>
      </c>
      <c r="C13" s="50" t="inlineStr">
        <is>
          <t>Product</t>
        </is>
      </c>
      <c r="D13" s="28">
        <f>IF(E13&lt;&gt;"",E13,IF(F13&lt;&gt;"",F13,""))</f>
        <v/>
      </c>
      <c r="E13" s="50" t="n">
        <v>18</v>
      </c>
      <c r="F13" s="50" t="n">
        <v>18</v>
      </c>
      <c r="G13" s="50" t="n">
        <v>102</v>
      </c>
      <c r="H13" s="50" t="n">
        <v>120</v>
      </c>
      <c r="I13" s="50" t="n">
        <v>102</v>
      </c>
      <c r="J13" s="28">
        <f>IF(OR(G13="",AND(H13="",I13="")),"n/a",IF(G13=I13,"mastered",IF(G13=H13,"normal","differs")))</f>
        <v/>
      </c>
      <c r="K13" s="28">
        <f>IF(L13&lt;&gt;"",L13,IF(M13&lt;&gt;"",M13,""))</f>
        <v/>
      </c>
      <c r="L13" s="50" t="n">
        <v>180</v>
      </c>
      <c r="M13" s="50" t="n">
        <v>180</v>
      </c>
      <c r="N13" s="28">
        <f>IF(O13&lt;&gt;"",O13,IF(P13&lt;&gt;"",P13,""))</f>
        <v/>
      </c>
      <c r="O13" s="50" t="n">
        <v>22</v>
      </c>
      <c r="P13" s="50" t="n">
        <v>22</v>
      </c>
      <c r="Q13" s="50" t="n">
        <v>22.35</v>
      </c>
      <c r="R13" s="50" t="n">
        <v>12.94</v>
      </c>
      <c r="S13" s="28">
        <f>IF(Q13="","",IF(Q13&lt;0,"negative profit",IF(Q13&gt;Notes!$B$4,"unusually high - verify","")))</f>
        <v/>
      </c>
      <c r="T13" s="28" t="inlineStr">
        <is>
          <t>both</t>
        </is>
      </c>
      <c r="U13" s="28">
        <f>IF(T13&lt;&gt;"both",T13&amp;" only",IF(V13="","agree","conflict"))</f>
        <v/>
      </c>
      <c r="V13" s="28">
        <f>IF(T13="both",TRIM(IF(AND(E13&lt;&gt;"",F13&lt;&gt;"",E13&lt;&gt;F13),"level ","")&amp;IF(AND(L13&lt;&gt;"",M13&lt;&gt;"",L13&lt;&gt;M13),"price ","")&amp;IF(AND(O13&lt;&gt;"",P13&lt;&gt;"",O13&lt;&gt;P13),"xp ","")&amp;IF(J13="differs","time","")),"")</f>
        <v/>
      </c>
      <c r="X13" s="50" t="inlineStr">
        <is>
          <t>Bread x2; Bacon x2</t>
        </is>
      </c>
      <c r="Y13" s="50" t="inlineStr">
        <is>
          <t>Hamburger.png</t>
        </is>
      </c>
      <c r="Z13" s="50" t="inlineStr">
        <is>
          <t>icons/BBQ Grill/Hamburger.png</t>
        </is>
      </c>
      <c r="AA13" s="28" t="inlineStr">
        <is>
          <t>hayday.info /api/production-data (2026-10-13) + Hay Day Wiki infobox via MediaWiki API (2026-10-13)</t>
        </is>
      </c>
      <c r="AB13" s="28" t="inlineStr">
        <is>
          <t>https://hayday.fandom.com/wiki/Hamburger</t>
        </is>
      </c>
      <c r="AC13" s="50" t="inlineStr">
        <is>
          <t>Hamburger</t>
        </is>
      </c>
    </row>
    <row r="14">
      <c r="A14" s="28" t="inlineStr">
        <is>
          <t>Fish Burger</t>
        </is>
      </c>
      <c r="B14" s="28" t="inlineStr">
        <is>
          <t>BBQ Grill</t>
        </is>
      </c>
      <c r="C14" s="50" t="inlineStr">
        <is>
          <t>Product</t>
        </is>
      </c>
      <c r="D14" s="28">
        <f>IF(E14&lt;&gt;"",E14,IF(F14&lt;&gt;"",F14,""))</f>
        <v/>
      </c>
      <c r="E14" s="50" t="n">
        <v>27</v>
      </c>
      <c r="F14" s="50" t="n">
        <v>27</v>
      </c>
      <c r="G14" s="50" t="n">
        <v>102</v>
      </c>
      <c r="H14" s="50" t="n">
        <v>120</v>
      </c>
      <c r="I14" s="50" t="n">
        <v>102</v>
      </c>
      <c r="J14" s="28">
        <f>IF(OR(G14="",AND(H14="",I14="")),"n/a",IF(G14=I14,"mastered",IF(G14=H14,"normal","differs")))</f>
        <v/>
      </c>
      <c r="K14" s="28">
        <f>IF(L14&lt;&gt;"",L14,IF(M14&lt;&gt;"",M14,""))</f>
        <v/>
      </c>
      <c r="L14" s="50" t="n">
        <v>226</v>
      </c>
      <c r="M14" s="50" t="n">
        <v>226</v>
      </c>
      <c r="N14" s="28">
        <f>IF(O14&lt;&gt;"",O14,IF(P14&lt;&gt;"",P14,""))</f>
        <v/>
      </c>
      <c r="O14" s="50" t="n">
        <v>27</v>
      </c>
      <c r="P14" s="50" t="n">
        <v>27</v>
      </c>
      <c r="Q14" s="50" t="n">
        <v>23.53</v>
      </c>
      <c r="R14" s="50" t="n">
        <v>15.88</v>
      </c>
      <c r="S14" s="28">
        <f>IF(Q14="","",IF(Q14&lt;0,"negative profit",IF(Q14&gt;Notes!$B$4,"unusually high - verify","")))</f>
        <v/>
      </c>
      <c r="T14" s="28" t="inlineStr">
        <is>
          <t>both</t>
        </is>
      </c>
      <c r="U14" s="28">
        <f>IF(T14&lt;&gt;"both",T14&amp;" only",IF(V14="","agree","conflict"))</f>
        <v/>
      </c>
      <c r="V14" s="28">
        <f>IF(T14="both",TRIM(IF(AND(E14&lt;&gt;"",F14&lt;&gt;"",E14&lt;&gt;F14),"level ","")&amp;IF(AND(L14&lt;&gt;"",M14&lt;&gt;"",L14&lt;&gt;M14),"price ","")&amp;IF(AND(O14&lt;&gt;"",P14&lt;&gt;"",O14&lt;&gt;P14),"xp ","")&amp;IF(J14="differs","time","")),"")</f>
        <v/>
      </c>
      <c r="X14" s="50" t="inlineStr">
        <is>
          <t>Fish Fillet x2; Chili Pepper x1; Bread x2</t>
        </is>
      </c>
      <c r="Y14" s="50" t="inlineStr">
        <is>
          <t>Fish Burger.png</t>
        </is>
      </c>
      <c r="Z14" s="50" t="inlineStr">
        <is>
          <t>icons/BBQ Grill/Fish Burger.png</t>
        </is>
      </c>
      <c r="AA14" s="28" t="inlineStr">
        <is>
          <t>hayday.info /api/production-data (2026-10-13) + Hay Day Wiki infobox via MediaWiki API (2026-10-13)</t>
        </is>
      </c>
      <c r="AB14" s="28" t="inlineStr">
        <is>
          <t>https://hayday.fandom.com/wiki/Fish_Burger</t>
        </is>
      </c>
      <c r="AC14" s="50" t="inlineStr">
        <is>
          <t>Fish burger</t>
        </is>
      </c>
    </row>
    <row r="15">
      <c r="A15" s="28" t="inlineStr">
        <is>
          <t>Roasted Tomatoes</t>
        </is>
      </c>
      <c r="B15" s="28" t="inlineStr">
        <is>
          <t>BBQ Grill</t>
        </is>
      </c>
      <c r="C15" s="50" t="inlineStr">
        <is>
          <t>Product</t>
        </is>
      </c>
      <c r="D15" s="28">
        <f>IF(E15&lt;&gt;"",E15,IF(F15&lt;&gt;"",F15,""))</f>
        <v/>
      </c>
      <c r="E15" s="50" t="n">
        <v>30</v>
      </c>
      <c r="F15" s="50" t="n">
        <v>30</v>
      </c>
      <c r="G15" s="50" t="n">
        <v>76</v>
      </c>
      <c r="H15" s="50" t="n">
        <v>90</v>
      </c>
      <c r="I15" s="50" t="n">
        <v>76</v>
      </c>
      <c r="J15" s="28">
        <f>IF(OR(G15="",AND(H15="",I15="")),"n/a",IF(G15=I15,"mastered",IF(G15=H15,"normal","differs")))</f>
        <v/>
      </c>
      <c r="K15" s="28">
        <f>IF(L15&lt;&gt;"",L15,IF(M15&lt;&gt;"",M15,""))</f>
        <v/>
      </c>
      <c r="L15" s="50" t="n">
        <v>118</v>
      </c>
      <c r="M15" s="50" t="n">
        <v>118</v>
      </c>
      <c r="N15" s="28">
        <f>IF(O15&lt;&gt;"",O15,IF(P15&lt;&gt;"",P15,""))</f>
        <v/>
      </c>
      <c r="O15" s="50" t="n">
        <v>14</v>
      </c>
      <c r="P15" s="50" t="n">
        <v>14</v>
      </c>
      <c r="Q15" s="50" t="n">
        <v>25.1</v>
      </c>
      <c r="R15" s="50" t="n">
        <v>10.98</v>
      </c>
      <c r="S15" s="28">
        <f>IF(Q15="","",IF(Q15&lt;0,"negative profit",IF(Q15&gt;Notes!$B$4,"unusually high - verify","")))</f>
        <v/>
      </c>
      <c r="T15" s="28" t="inlineStr">
        <is>
          <t>both</t>
        </is>
      </c>
      <c r="U15" s="28">
        <f>IF(T15&lt;&gt;"both",T15&amp;" only",IF(V15="","agree","conflict"))</f>
        <v/>
      </c>
      <c r="V15" s="28">
        <f>IF(T15="both",TRIM(IF(AND(E15&lt;&gt;"",F15&lt;&gt;"",E15&lt;&gt;F15),"level ","")&amp;IF(AND(L15&lt;&gt;"",M15&lt;&gt;"",L15&lt;&gt;M15),"price ","")&amp;IF(AND(O15&lt;&gt;"",P15&lt;&gt;"",O15&lt;&gt;P15),"xp ","")&amp;IF(J15="differs","time","")),"")</f>
        <v/>
      </c>
      <c r="X15" s="50" t="inlineStr">
        <is>
          <t>Tomato x2</t>
        </is>
      </c>
      <c r="Y15" s="50" t="inlineStr">
        <is>
          <t>Roasted Tomatoes.png</t>
        </is>
      </c>
      <c r="Z15" s="50" t="inlineStr">
        <is>
          <t>icons/BBQ Grill/Roasted Tomatoes.png</t>
        </is>
      </c>
      <c r="AA15" s="28" t="inlineStr">
        <is>
          <t>hayday.info /api/production-data (2026-10-13) + Hay Day Wiki infobox via MediaWiki API (2026-10-13)</t>
        </is>
      </c>
      <c r="AB15" s="28" t="inlineStr">
        <is>
          <t>https://hayday.fandom.com/wiki/Roasted_Tomatoes</t>
        </is>
      </c>
      <c r="AC15" s="50" t="inlineStr">
        <is>
          <t>Roasted tomatoes</t>
        </is>
      </c>
    </row>
    <row r="16">
      <c r="A16" s="28" t="inlineStr">
        <is>
          <t>Baked Potato</t>
        </is>
      </c>
      <c r="B16" s="28" t="inlineStr">
        <is>
          <t>BBQ Grill</t>
        </is>
      </c>
      <c r="C16" s="50" t="inlineStr">
        <is>
          <t>Product</t>
        </is>
      </c>
      <c r="D16" s="28">
        <f>IF(E16&lt;&gt;"",E16,IF(F16&lt;&gt;"",F16,""))</f>
        <v/>
      </c>
      <c r="E16" s="50" t="n">
        <v>35</v>
      </c>
      <c r="F16" s="50" t="n">
        <v>35</v>
      </c>
      <c r="G16" s="50" t="n">
        <v>29</v>
      </c>
      <c r="H16" s="50" t="n">
        <v>35</v>
      </c>
      <c r="I16" s="50" t="n">
        <v>29</v>
      </c>
      <c r="J16" s="28">
        <f>IF(OR(G16="",AND(H16="",I16="")),"n/a",IF(G16=I16,"mastered",IF(G16=H16,"normal","differs")))</f>
        <v/>
      </c>
      <c r="K16" s="28">
        <f>IF(L16&lt;&gt;"",L16,IF(M16&lt;&gt;"",M16,""))</f>
        <v/>
      </c>
      <c r="L16" s="50" t="n">
        <v>298</v>
      </c>
      <c r="M16" s="50" t="n">
        <v>298</v>
      </c>
      <c r="N16" s="28">
        <f>IF(O16&lt;&gt;"",O16,IF(P16&lt;&gt;"",P16,""))</f>
        <v/>
      </c>
      <c r="O16" s="50" t="n">
        <v>36</v>
      </c>
      <c r="P16" s="50" t="n">
        <v>36</v>
      </c>
      <c r="Q16" s="50" t="n">
        <v>36.3</v>
      </c>
      <c r="R16" s="50" t="n">
        <v>72.61</v>
      </c>
      <c r="S16" s="28">
        <f>IF(Q16="","",IF(Q16&lt;0,"negative profit",IF(Q16&gt;Notes!$B$4,"unusually high - verify","")))</f>
        <v/>
      </c>
      <c r="T16" s="28" t="inlineStr">
        <is>
          <t>both</t>
        </is>
      </c>
      <c r="U16" s="28">
        <f>IF(T16&lt;&gt;"both",T16&amp;" only",IF(V16="","agree","conflict"))</f>
        <v/>
      </c>
      <c r="V16" s="28">
        <f>IF(T16="both",TRIM(IF(AND(E16&lt;&gt;"",F16&lt;&gt;"",E16&lt;&gt;F16),"level ","")&amp;IF(AND(L16&lt;&gt;"",M16&lt;&gt;"",L16&lt;&gt;M16),"price ","")&amp;IF(AND(O16&lt;&gt;"",P16&lt;&gt;"",O16&lt;&gt;P16),"xp ","")&amp;IF(J16="differs","time","")),"")</f>
        <v/>
      </c>
      <c r="X16" s="50" t="inlineStr">
        <is>
          <t>Potato x2; Chili Pepper x1; Cream x1; Cheese x1</t>
        </is>
      </c>
      <c r="Y16" s="50" t="inlineStr">
        <is>
          <t>Baked Potato.png</t>
        </is>
      </c>
      <c r="Z16" s="50" t="inlineStr">
        <is>
          <t>icons/BBQ Grill/Baked Potato.png</t>
        </is>
      </c>
      <c r="AA16" s="28" t="inlineStr">
        <is>
          <t>hayday.info /api/production-data (2026-10-13) + Hay Day Wiki infobox via MediaWiki API (2026-10-13)</t>
        </is>
      </c>
      <c r="AB16" s="28" t="inlineStr">
        <is>
          <t>https://hayday.fandom.com/wiki/Baked_Potato</t>
        </is>
      </c>
      <c r="AC16" s="50" t="inlineStr">
        <is>
          <t>Baked potato</t>
        </is>
      </c>
    </row>
    <row r="17">
      <c r="A17" s="28" t="inlineStr">
        <is>
          <t>Fish and Chips</t>
        </is>
      </c>
      <c r="B17" s="28" t="inlineStr">
        <is>
          <t>BBQ Grill</t>
        </is>
      </c>
      <c r="C17" s="50" t="inlineStr">
        <is>
          <t>Product</t>
        </is>
      </c>
      <c r="D17" s="28">
        <f>IF(E17&lt;&gt;"",E17,IF(F17&lt;&gt;"",F17,""))</f>
        <v/>
      </c>
      <c r="E17" s="50" t="n">
        <v>41</v>
      </c>
      <c r="F17" s="50" t="n">
        <v>41</v>
      </c>
      <c r="G17" s="50" t="n">
        <v>76</v>
      </c>
      <c r="H17" s="50" t="n">
        <v>90</v>
      </c>
      <c r="I17" s="50" t="n">
        <v>76</v>
      </c>
      <c r="J17" s="28">
        <f>IF(OR(G17="",AND(H17="",I17="")),"n/a",IF(G17=I17,"mastered",IF(G17=H17,"normal","differs")))</f>
        <v/>
      </c>
      <c r="K17" s="28">
        <f>IF(L17&lt;&gt;"",L17,IF(M17&lt;&gt;"",M17,""))</f>
        <v/>
      </c>
      <c r="L17" s="50" t="n">
        <v>244</v>
      </c>
      <c r="M17" s="50" t="n">
        <v>244</v>
      </c>
      <c r="N17" s="28">
        <f>IF(O17&lt;&gt;"",O17,IF(P17&lt;&gt;"",P17,""))</f>
        <v/>
      </c>
      <c r="O17" s="50" t="n">
        <v>29</v>
      </c>
      <c r="P17" s="50" t="n">
        <v>29</v>
      </c>
      <c r="Q17" s="50" t="n">
        <v>21.96</v>
      </c>
      <c r="R17" s="50" t="n">
        <v>22.75</v>
      </c>
      <c r="S17" s="28">
        <f>IF(Q17="","",IF(Q17&lt;0,"negative profit",IF(Q17&gt;Notes!$B$4,"unusually high - verify","")))</f>
        <v/>
      </c>
      <c r="T17" s="28" t="inlineStr">
        <is>
          <t>both</t>
        </is>
      </c>
      <c r="U17" s="28">
        <f>IF(T17&lt;&gt;"both",T17&amp;" only",IF(V17="","agree","conflict"))</f>
        <v/>
      </c>
      <c r="V17" s="28">
        <f>IF(T17="both",TRIM(IF(AND(E17&lt;&gt;"",F17&lt;&gt;"",E17&lt;&gt;F17),"level ","")&amp;IF(AND(L17&lt;&gt;"",M17&lt;&gt;"",L17&lt;&gt;M17),"price ","")&amp;IF(AND(O17&lt;&gt;"",P17&lt;&gt;"",O17&lt;&gt;P17),"xp ","")&amp;IF(J17="differs","time","")),"")</f>
        <v/>
      </c>
      <c r="X17" s="50" t="inlineStr">
        <is>
          <t>Fish Fillet x2; Potato x3</t>
        </is>
      </c>
      <c r="Y17" s="50" t="inlineStr">
        <is>
          <t>Fish and Chips.png</t>
        </is>
      </c>
      <c r="Z17" s="50" t="inlineStr">
        <is>
          <t>icons/BBQ Grill/Fish and Chips.png</t>
        </is>
      </c>
      <c r="AA17" s="28" t="inlineStr">
        <is>
          <t>hayday.info /api/production-data (2026-10-13) + Hay Day Wiki infobox via MediaWiki API (2026-10-13)</t>
        </is>
      </c>
      <c r="AB17" s="28" t="inlineStr">
        <is>
          <t>https://hayday.fandom.com/wiki/Fish_and_Chips</t>
        </is>
      </c>
      <c r="AC17" s="50" t="inlineStr">
        <is>
          <t>Fish and chips</t>
        </is>
      </c>
    </row>
    <row r="18">
      <c r="A18" s="28" t="inlineStr">
        <is>
          <t>Lobster Skewer</t>
        </is>
      </c>
      <c r="B18" s="28" t="inlineStr">
        <is>
          <t>BBQ Grill</t>
        </is>
      </c>
      <c r="C18" s="50" t="inlineStr">
        <is>
          <t>Product</t>
        </is>
      </c>
      <c r="D18" s="28">
        <f>IF(E18&lt;&gt;"",E18,IF(F18&lt;&gt;"",F18,""))</f>
        <v/>
      </c>
      <c r="E18" s="50" t="n">
        <v>48</v>
      </c>
      <c r="F18" s="50" t="n">
        <v>48</v>
      </c>
      <c r="G18" s="50" t="n">
        <v>34</v>
      </c>
      <c r="H18" s="50" t="n">
        <v>40</v>
      </c>
      <c r="I18" s="50" t="n">
        <v>34</v>
      </c>
      <c r="J18" s="28">
        <f>IF(OR(G18="",AND(H18="",I18="")),"n/a",IF(G18=I18,"mastered",IF(G18=H18,"normal","differs")))</f>
        <v/>
      </c>
      <c r="K18" s="28">
        <f>IF(L18&lt;&gt;"",L18,IF(M18&lt;&gt;"",M18,""))</f>
        <v/>
      </c>
      <c r="L18" s="50" t="n">
        <v>417</v>
      </c>
      <c r="M18" s="50" t="n">
        <v>417</v>
      </c>
      <c r="N18" s="28">
        <f>IF(O18&lt;&gt;"",O18,IF(P18&lt;&gt;"",P18,""))</f>
        <v/>
      </c>
      <c r="O18" s="50" t="n">
        <v>50</v>
      </c>
      <c r="P18" s="50" t="n">
        <v>50</v>
      </c>
      <c r="Q18" s="50" t="n">
        <v>45.88</v>
      </c>
      <c r="R18" s="50" t="n">
        <v>88.23999999999999</v>
      </c>
      <c r="S18" s="28">
        <f>IF(Q18="","",IF(Q18&lt;0,"negative profit",IF(Q18&gt;Notes!$B$4,"unusually high - verify","")))</f>
        <v/>
      </c>
      <c r="T18" s="28" t="inlineStr">
        <is>
          <t>both</t>
        </is>
      </c>
      <c r="U18" s="28">
        <f>IF(T18&lt;&gt;"both",T18&amp;" only",IF(V18="","agree","conflict"))</f>
        <v/>
      </c>
      <c r="V18" s="28">
        <f>IF(T18="both",TRIM(IF(AND(E18&lt;&gt;"",F18&lt;&gt;"",E18&lt;&gt;F18),"level ","")&amp;IF(AND(L18&lt;&gt;"",M18&lt;&gt;"",L18&lt;&gt;M18),"price ","")&amp;IF(AND(O18&lt;&gt;"",P18&lt;&gt;"",O18&lt;&gt;P18),"xp ","")&amp;IF(J18="differs","time","")),"")</f>
        <v/>
      </c>
      <c r="X18" s="50" t="inlineStr">
        <is>
          <t>Lobster Tail x1; Chili Pepper x1; Honey x1</t>
        </is>
      </c>
      <c r="Y18" s="50" t="inlineStr">
        <is>
          <t>Lobster Skewer.png</t>
        </is>
      </c>
      <c r="Z18" s="50" t="inlineStr">
        <is>
          <t>icons/BBQ Grill/Lobster Skewer.png</t>
        </is>
      </c>
      <c r="AA18" s="28" t="inlineStr">
        <is>
          <t>hayday.info /api/production-data (2026-10-13) + Hay Day Wiki infobox via MediaWiki API (2026-10-13)</t>
        </is>
      </c>
      <c r="AB18" s="28" t="inlineStr">
        <is>
          <t>https://hayday.fandom.com/wiki/Lobster_Skewer</t>
        </is>
      </c>
      <c r="AC18" s="50" t="inlineStr">
        <is>
          <t>Lobster skewer</t>
        </is>
      </c>
    </row>
    <row r="19">
      <c r="A19" s="28" t="inlineStr">
        <is>
          <t>Garlic Bread</t>
        </is>
      </c>
      <c r="B19" s="28" t="inlineStr">
        <is>
          <t>BBQ Grill</t>
        </is>
      </c>
      <c r="C19" s="50" t="inlineStr">
        <is>
          <t>product</t>
        </is>
      </c>
      <c r="D19" s="28">
        <f>IF(E19&lt;&gt;"",E19,IF(F19&lt;&gt;"",F19,""))</f>
        <v/>
      </c>
      <c r="E19" s="50" t="n">
        <v>60</v>
      </c>
      <c r="F19" s="50" t="n">
        <v>60</v>
      </c>
      <c r="G19" s="50" t="n">
        <v>12</v>
      </c>
      <c r="H19" s="50" t="n">
        <v>15</v>
      </c>
      <c r="I19" s="50" t="n">
        <v>12</v>
      </c>
      <c r="J19" s="28">
        <f>IF(OR(G19="",AND(H19="",I19="")),"n/a",IF(G19=I19,"mastered",IF(G19=H19,"normal","differs")))</f>
        <v/>
      </c>
      <c r="K19" s="28">
        <f>IF(L19&lt;&gt;"",L19,IF(M19&lt;&gt;"",M19,""))</f>
        <v/>
      </c>
      <c r="L19" s="50" t="n">
        <v>198</v>
      </c>
      <c r="M19" s="50" t="n">
        <v>198</v>
      </c>
      <c r="N19" s="28">
        <f>IF(O19&lt;&gt;"",O19,IF(P19&lt;&gt;"",P19,""))</f>
        <v/>
      </c>
      <c r="O19" s="50" t="n">
        <v>24</v>
      </c>
      <c r="P19" s="50" t="n">
        <v>24</v>
      </c>
      <c r="Q19" s="50" t="n">
        <v>84.70999999999999</v>
      </c>
      <c r="R19" s="50" t="n">
        <v>112.94</v>
      </c>
      <c r="S19" s="28">
        <f>IF(Q19="","",IF(Q19&lt;0,"negative profit",IF(Q19&gt;Notes!$B$4,"unusually high - verify","")))</f>
        <v/>
      </c>
      <c r="T19" s="28" t="inlineStr">
        <is>
          <t>both</t>
        </is>
      </c>
      <c r="U19" s="28">
        <f>IF(T19&lt;&gt;"both",T19&amp;" only",IF(V19="","agree","conflict"))</f>
        <v/>
      </c>
      <c r="V19" s="28">
        <f>IF(T19="both",TRIM(IF(AND(E19&lt;&gt;"",F19&lt;&gt;"",E19&lt;&gt;F19),"level ","")&amp;IF(AND(L19&lt;&gt;"",M19&lt;&gt;"",L19&lt;&gt;M19),"price ","")&amp;IF(AND(O19&lt;&gt;"",P19&lt;&gt;"",O19&lt;&gt;P19),"xp ","")&amp;IF(J19="differs","time","")),"")</f>
        <v/>
      </c>
      <c r="X19" s="50" t="inlineStr">
        <is>
          <t>Bread x2; Butter x1; Garlic x4</t>
        </is>
      </c>
      <c r="Y19" s="50" t="inlineStr">
        <is>
          <t>Garlic Bread.png</t>
        </is>
      </c>
      <c r="Z19" s="50" t="inlineStr">
        <is>
          <t>icons/BBQ Grill/Garlic Bread.png</t>
        </is>
      </c>
      <c r="AA19" s="28" t="inlineStr">
        <is>
          <t>hayday.info /api/production-data (2026-10-13) + Hay Day Wiki infobox via MediaWiki API (2026-10-13)</t>
        </is>
      </c>
      <c r="AB19" s="28" t="inlineStr">
        <is>
          <t>https://hayday.fandom.com/wiki/Garlic_Bread</t>
        </is>
      </c>
      <c r="AC19" s="50" t="inlineStr">
        <is>
          <t>Garlic bread</t>
        </is>
      </c>
    </row>
    <row r="20">
      <c r="A20" s="28" t="inlineStr">
        <is>
          <t>Grilled Onion</t>
        </is>
      </c>
      <c r="B20" s="28" t="inlineStr">
        <is>
          <t>BBQ Grill</t>
        </is>
      </c>
      <c r="C20" s="50" t="inlineStr">
        <is>
          <t>Product</t>
        </is>
      </c>
      <c r="D20" s="28">
        <f>IF(E20&lt;&gt;"",E20,IF(F20&lt;&gt;"",F20,""))</f>
        <v/>
      </c>
      <c r="E20" s="50" t="n">
        <v>68</v>
      </c>
      <c r="F20" s="50" t="n">
        <v>68</v>
      </c>
      <c r="G20" s="50" t="n">
        <v>51</v>
      </c>
      <c r="H20" s="50" t="n">
        <v>60</v>
      </c>
      <c r="I20" s="50" t="n">
        <v>51</v>
      </c>
      <c r="J20" s="28">
        <f>IF(OR(G20="",AND(H20="",I20="")),"n/a",IF(G20=I20,"mastered",IF(G20=H20,"normal","differs")))</f>
        <v/>
      </c>
      <c r="K20" s="28">
        <f>IF(L20&lt;&gt;"",L20,IF(M20&lt;&gt;"",M20,""))</f>
        <v/>
      </c>
      <c r="L20" s="50" t="n">
        <v>190</v>
      </c>
      <c r="M20" s="50" t="n">
        <v>190</v>
      </c>
      <c r="N20" s="28">
        <f>IF(O20&lt;&gt;"",O20,IF(P20&lt;&gt;"",P20,""))</f>
        <v/>
      </c>
      <c r="O20" s="50" t="n">
        <v>23</v>
      </c>
      <c r="P20" s="50" t="n">
        <v>23</v>
      </c>
      <c r="Q20" s="50" t="n">
        <v>35.29</v>
      </c>
      <c r="R20" s="50" t="n">
        <v>27.06</v>
      </c>
      <c r="S20" s="28">
        <f>IF(Q20="","",IF(Q20&lt;0,"negative profit",IF(Q20&gt;Notes!$B$4,"unusually high - verify","")))</f>
        <v/>
      </c>
      <c r="T20" s="28" t="inlineStr">
        <is>
          <t>both</t>
        </is>
      </c>
      <c r="U20" s="28">
        <f>IF(T20&lt;&gt;"both",T20&amp;" only",IF(V20="","agree","conflict"))</f>
        <v/>
      </c>
      <c r="V20" s="28">
        <f>IF(T20="both",TRIM(IF(AND(E20&lt;&gt;"",F20&lt;&gt;"",E20&lt;&gt;F20),"level ","")&amp;IF(AND(L20&lt;&gt;"",M20&lt;&gt;"",L20&lt;&gt;M20),"price ","")&amp;IF(AND(O20&lt;&gt;"",P20&lt;&gt;"",O20&lt;&gt;P20),"xp ","")&amp;IF(J20="differs","time","")),"")</f>
        <v/>
      </c>
      <c r="X20" s="50" t="inlineStr">
        <is>
          <t>Butter x1; Onion x2</t>
        </is>
      </c>
      <c r="Y20" s="50" t="inlineStr">
        <is>
          <t>Grilled Onion.png</t>
        </is>
      </c>
      <c r="Z20" s="50" t="inlineStr">
        <is>
          <t>icons/BBQ Grill/Grilled Onion.png</t>
        </is>
      </c>
      <c r="AA20" s="28" t="inlineStr">
        <is>
          <t>hayday.info /api/production-data (2026-10-13) + Hay Day Wiki infobox via MediaWiki API (2026-10-13)</t>
        </is>
      </c>
      <c r="AB20" s="28" t="inlineStr">
        <is>
          <t>https://hayday.fandom.com/wiki/Grilled_Onion</t>
        </is>
      </c>
      <c r="AC20" s="50" t="inlineStr">
        <is>
          <t>Grilled onion</t>
        </is>
      </c>
    </row>
    <row r="21">
      <c r="A21" s="28" t="inlineStr">
        <is>
          <t>Winter Veggies</t>
        </is>
      </c>
      <c r="B21" s="28" t="inlineStr">
        <is>
          <t>BBQ Grill</t>
        </is>
      </c>
      <c r="C21" s="50" t="inlineStr">
        <is>
          <t>product</t>
        </is>
      </c>
      <c r="D21" s="28">
        <f>IF(E21&lt;&gt;"",E21,IF(F21&lt;&gt;"",F21,""))</f>
        <v/>
      </c>
      <c r="E21" s="50" t="n">
        <v>72</v>
      </c>
      <c r="F21" s="50" t="n">
        <v>72</v>
      </c>
      <c r="G21" s="50" t="n">
        <v>21</v>
      </c>
      <c r="H21" s="50" t="n">
        <v>25</v>
      </c>
      <c r="I21" s="50" t="n">
        <v>21</v>
      </c>
      <c r="J21" s="28">
        <f>IF(OR(G21="",AND(H21="",I21="")),"n/a",IF(G21=I21,"mastered",IF(G21=H21,"normal","differs")))</f>
        <v/>
      </c>
      <c r="K21" s="28">
        <f>IF(L21&lt;&gt;"",L21,IF(M21&lt;&gt;"",M21,""))</f>
        <v/>
      </c>
      <c r="L21" s="50" t="n">
        <v>198</v>
      </c>
      <c r="M21" s="50" t="n">
        <v>198</v>
      </c>
      <c r="N21" s="28">
        <f>IF(O21&lt;&gt;"",O21,IF(P21&lt;&gt;"",P21,""))</f>
        <v/>
      </c>
      <c r="O21" s="50" t="n">
        <v>24</v>
      </c>
      <c r="P21" s="50" t="n">
        <v>24</v>
      </c>
      <c r="Q21" s="50" t="n">
        <v>36.71</v>
      </c>
      <c r="R21" s="50" t="n">
        <v>67.76000000000001</v>
      </c>
      <c r="S21" s="28">
        <f>IF(Q21="","",IF(Q21&lt;0,"negative profit",IF(Q21&gt;Notes!$B$4,"unusually high - verify","")))</f>
        <v/>
      </c>
      <c r="T21" s="28" t="inlineStr">
        <is>
          <t>both</t>
        </is>
      </c>
      <c r="U21" s="28">
        <f>IF(T21&lt;&gt;"both",T21&amp;" only",IF(V21="","agree","conflict"))</f>
        <v/>
      </c>
      <c r="V21" s="28">
        <f>IF(T21="both",TRIM(IF(AND(E21&lt;&gt;"",F21&lt;&gt;"",E21&lt;&gt;F21),"level ","")&amp;IF(AND(L21&lt;&gt;"",M21&lt;&gt;"",L21&lt;&gt;M21),"price ","")&amp;IF(AND(O21&lt;&gt;"",P21&lt;&gt;"",O21&lt;&gt;P21),"xp ","")&amp;IF(J21="differs","time","")),"")</f>
        <v/>
      </c>
      <c r="X21" s="50" t="inlineStr">
        <is>
          <t>Beetroot x2; Carrot x2; Potato x2; Pumpkin x2</t>
        </is>
      </c>
      <c r="Y21" s="50" t="inlineStr">
        <is>
          <t>Winter Veggies.png</t>
        </is>
      </c>
      <c r="Z21" s="50" t="inlineStr">
        <is>
          <t>icons/BBQ Grill/Winter Veggies.png</t>
        </is>
      </c>
      <c r="AA21" s="28" t="inlineStr">
        <is>
          <t>hayday.info /api/production-data (2026-10-13) + Hay Day Wiki infobox via MediaWiki API (2026-10-13)</t>
        </is>
      </c>
      <c r="AB21" s="28" t="inlineStr">
        <is>
          <t>https://hayday.fandom.com/wiki/Winter_Veggies</t>
        </is>
      </c>
      <c r="AC21" s="50" t="inlineStr">
        <is>
          <t>Winter veggies</t>
        </is>
      </c>
    </row>
    <row r="22">
      <c r="A22" s="28" t="inlineStr">
        <is>
          <t>Stuffed Peppers</t>
        </is>
      </c>
      <c r="B22" s="28" t="inlineStr">
        <is>
          <t>BBQ Grill</t>
        </is>
      </c>
      <c r="C22" s="50" t="inlineStr">
        <is>
          <t>product</t>
        </is>
      </c>
      <c r="D22" s="28">
        <f>IF(E22&lt;&gt;"",E22,IF(F22&lt;&gt;"",F22,""))</f>
        <v/>
      </c>
      <c r="E22" s="50" t="n">
        <v>80</v>
      </c>
      <c r="F22" s="50" t="n">
        <v>80</v>
      </c>
      <c r="G22" s="50" t="n">
        <v>17</v>
      </c>
      <c r="H22" s="50" t="n">
        <v>20</v>
      </c>
      <c r="I22" s="50" t="n">
        <v>17</v>
      </c>
      <c r="J22" s="28">
        <f>IF(OR(G22="",AND(H22="",I22="")),"n/a",IF(G22=I22,"mastered",IF(G22=H22,"normal","differs")))</f>
        <v/>
      </c>
      <c r="K22" s="28">
        <f>IF(L22&lt;&gt;"",L22,IF(M22&lt;&gt;"",M22,""))</f>
        <v/>
      </c>
      <c r="L22" s="50" t="n">
        <v>352</v>
      </c>
      <c r="M22" s="50" t="n">
        <v>352</v>
      </c>
      <c r="N22" s="28">
        <f>IF(O22&lt;&gt;"",O22,IF(P22&lt;&gt;"",P22,""))</f>
        <v/>
      </c>
      <c r="O22" s="50" t="n">
        <v>42</v>
      </c>
      <c r="P22" s="50" t="n">
        <v>42</v>
      </c>
      <c r="Q22" s="50" t="n">
        <v>63.53</v>
      </c>
      <c r="R22" s="50" t="n">
        <v>148.24</v>
      </c>
      <c r="S22" s="28">
        <f>IF(Q22="","",IF(Q22&lt;0,"negative profit",IF(Q22&gt;Notes!$B$4,"unusually high - verify","")))</f>
        <v/>
      </c>
      <c r="T22" s="28" t="inlineStr">
        <is>
          <t>both</t>
        </is>
      </c>
      <c r="U22" s="28">
        <f>IF(T22&lt;&gt;"both",T22&amp;" only",IF(V22="","agree","conflict"))</f>
        <v/>
      </c>
      <c r="V22" s="28">
        <f>IF(T22="both",TRIM(IF(AND(E22&lt;&gt;"",F22&lt;&gt;"",E22&lt;&gt;F22),"level ","")&amp;IF(AND(L22&lt;&gt;"",M22&lt;&gt;"",L22&lt;&gt;M22),"price ","")&amp;IF(AND(O22&lt;&gt;"",P22&lt;&gt;"",O22&lt;&gt;P22),"xp ","")&amp;IF(J22="differs","time","")),"")</f>
        <v/>
      </c>
      <c r="X22" s="50" t="inlineStr">
        <is>
          <t>Bell Pepper x3; Bacon x1; Rice x3; Cheese x1</t>
        </is>
      </c>
      <c r="Y22" s="50" t="inlineStr">
        <is>
          <t>Stuffed Peppers.png</t>
        </is>
      </c>
      <c r="Z22" s="50" t="inlineStr">
        <is>
          <t>icons/BBQ Grill/Stuffed Peppers.png</t>
        </is>
      </c>
      <c r="AA22" s="28" t="inlineStr">
        <is>
          <t>hayday.info /api/production-data (2026-10-13) + Hay Day Wiki infobox via MediaWiki API (2026-10-13)</t>
        </is>
      </c>
      <c r="AB22" s="28" t="inlineStr">
        <is>
          <t>https://hayday.fandom.com/wiki/Stuffed_Peppers</t>
        </is>
      </c>
      <c r="AC22" s="50" t="inlineStr">
        <is>
          <t>Stuffed peppers</t>
        </is>
      </c>
    </row>
    <row r="23">
      <c r="A23" s="28" t="inlineStr">
        <is>
          <t>Grilled Eggplant</t>
        </is>
      </c>
      <c r="B23" s="28" t="inlineStr">
        <is>
          <t>BBQ Grill</t>
        </is>
      </c>
      <c r="C23" s="50" t="inlineStr">
        <is>
          <t>Product</t>
        </is>
      </c>
      <c r="D23" s="28">
        <f>IF(E23&lt;&gt;"",E23,IF(F23&lt;&gt;"",F23,""))</f>
        <v/>
      </c>
      <c r="E23" s="50" t="n">
        <v>90</v>
      </c>
      <c r="F23" s="50" t="n">
        <v>90</v>
      </c>
      <c r="G23" s="50" t="n">
        <v>34</v>
      </c>
      <c r="H23" s="50" t="n">
        <v>40</v>
      </c>
      <c r="I23" s="50" t="n">
        <v>34</v>
      </c>
      <c r="J23" s="28">
        <f>IF(OR(G23="",AND(H23="",I23="")),"n/a",IF(G23=I23,"mastered",IF(G23=H23,"normal","differs")))</f>
        <v/>
      </c>
      <c r="K23" s="28">
        <f>IF(L23&lt;&gt;"",L23,IF(M23&lt;&gt;"",M23,""))</f>
        <v/>
      </c>
      <c r="L23" s="50" t="n">
        <v>324</v>
      </c>
      <c r="M23" s="50" t="n">
        <v>324</v>
      </c>
      <c r="N23" s="28">
        <f>IF(O23&lt;&gt;"",O23,IF(P23&lt;&gt;"",P23,""))</f>
        <v/>
      </c>
      <c r="O23" s="50" t="n">
        <v>39</v>
      </c>
      <c r="P23" s="50" t="n">
        <v>39</v>
      </c>
      <c r="Q23" s="50" t="n">
        <v>52.94</v>
      </c>
      <c r="R23" s="50" t="n">
        <v>68.81999999999999</v>
      </c>
      <c r="S23" s="28">
        <f>IF(Q23="","",IF(Q23&lt;0,"negative profit",IF(Q23&gt;Notes!$B$4,"unusually high - verify","")))</f>
        <v/>
      </c>
      <c r="T23" s="28" t="inlineStr">
        <is>
          <t>both</t>
        </is>
      </c>
      <c r="U23" s="28">
        <f>IF(T23&lt;&gt;"both",T23&amp;" only",IF(V23="","agree","conflict"))</f>
        <v/>
      </c>
      <c r="V23" s="28">
        <f>IF(T23="both",TRIM(IF(AND(E23&lt;&gt;"",F23&lt;&gt;"",E23&lt;&gt;F23),"level ","")&amp;IF(AND(L23&lt;&gt;"",M23&lt;&gt;"",L23&lt;&gt;M23),"price ","")&amp;IF(AND(O23&lt;&gt;"",P23&lt;&gt;"",O23&lt;&gt;P23),"xp ","")&amp;IF(J23="differs","time","")),"")</f>
        <v/>
      </c>
      <c r="X23" s="50" t="inlineStr">
        <is>
          <t>Eggplant x3; Salsa x1</t>
        </is>
      </c>
      <c r="Y23" s="50" t="inlineStr">
        <is>
          <t>Grilled Eggplant.png</t>
        </is>
      </c>
      <c r="Z23" s="50" t="inlineStr">
        <is>
          <t>icons/BBQ Grill/Grilled Eggplant.png</t>
        </is>
      </c>
      <c r="AA23" s="28" t="inlineStr">
        <is>
          <t>hayday.info /api/production-data (2026-10-13) + Hay Day Wiki infobox via MediaWiki API (2026-10-13)</t>
        </is>
      </c>
      <c r="AB23" s="28" t="inlineStr">
        <is>
          <t>https://hayday.fandom.com/wiki/Grilled_Eggplant</t>
        </is>
      </c>
      <c r="AC23" s="50" t="inlineStr">
        <is>
          <t>Grilled eggplant</t>
        </is>
      </c>
    </row>
    <row r="24">
      <c r="A24" s="28" t="inlineStr">
        <is>
          <t>Banana Pancakes</t>
        </is>
      </c>
      <c r="B24" s="28" t="inlineStr">
        <is>
          <t>BBQ Grill</t>
        </is>
      </c>
      <c r="C24" s="50" t="inlineStr">
        <is>
          <t>Product</t>
        </is>
      </c>
      <c r="D24" s="28">
        <f>IF(E24&lt;&gt;"",E24,IF(F24&lt;&gt;"",F24,""))</f>
        <v/>
      </c>
      <c r="E24" s="50" t="n">
        <v>94</v>
      </c>
      <c r="F24" s="50" t="n">
        <v>94</v>
      </c>
      <c r="G24" s="50" t="n">
        <v>51</v>
      </c>
      <c r="H24" s="50" t="n">
        <v>60</v>
      </c>
      <c r="I24" s="50" t="n">
        <v>51</v>
      </c>
      <c r="J24" s="28">
        <f>IF(OR(G24="",AND(H24="",I24="")),"n/a",IF(G24=I24,"mastered",IF(G24=H24,"normal","differs")))</f>
        <v/>
      </c>
      <c r="K24" s="28">
        <f>IF(L24&lt;&gt;"",L24,IF(M24&lt;&gt;"",M24,""))</f>
        <v/>
      </c>
      <c r="L24" s="50" t="n">
        <v>352</v>
      </c>
      <c r="M24" s="50" t="n">
        <v>352</v>
      </c>
      <c r="N24" s="28">
        <f>IF(O24&lt;&gt;"",O24,IF(P24&lt;&gt;"",P24,""))</f>
        <v/>
      </c>
      <c r="O24" s="50" t="n">
        <v>42</v>
      </c>
      <c r="P24" s="50" t="n">
        <v>42</v>
      </c>
      <c r="Q24" s="50" t="n">
        <v>29.41</v>
      </c>
      <c r="R24" s="50" t="n">
        <v>49.41</v>
      </c>
      <c r="S24" s="28">
        <f>IF(Q24="","",IF(Q24&lt;0,"negative profit",IF(Q24&gt;Notes!$B$4,"unusually high - verify","")))</f>
        <v/>
      </c>
      <c r="T24" s="28" t="inlineStr">
        <is>
          <t>both</t>
        </is>
      </c>
      <c r="U24" s="28">
        <f>IF(T24&lt;&gt;"both",T24&amp;" only",IF(V24="","agree","conflict"))</f>
        <v/>
      </c>
      <c r="V24" s="28">
        <f>IF(T24="both",TRIM(IF(AND(E24&lt;&gt;"",F24&lt;&gt;"",E24&lt;&gt;F24),"level ","")&amp;IF(AND(L24&lt;&gt;"",M24&lt;&gt;"",L24&lt;&gt;M24),"price ","")&amp;IF(AND(O24&lt;&gt;"",P24&lt;&gt;"",O24&lt;&gt;P24),"xp ","")&amp;IF(J24="differs","time","")),"")</f>
        <v/>
      </c>
      <c r="X24" s="50" t="inlineStr">
        <is>
          <t>Banana x1; Blackberry x2; Wheat x3; Cream x1</t>
        </is>
      </c>
      <c r="Y24" s="50" t="inlineStr">
        <is>
          <t>Banana Pancakes.png</t>
        </is>
      </c>
      <c r="Z24" s="50" t="inlineStr">
        <is>
          <t>icons/BBQ Grill/Banana Pancakes.png</t>
        </is>
      </c>
      <c r="AA24" s="28" t="inlineStr">
        <is>
          <t>hayday.info /api/production-data (2026-10-13) + Hay Day Wiki infobox via MediaWiki API (2026-10-13)</t>
        </is>
      </c>
      <c r="AB24" s="28" t="inlineStr">
        <is>
          <t>https://hayday.fandom.com/wiki/Banana_Pancakes</t>
        </is>
      </c>
      <c r="AC24" s="50" t="inlineStr">
        <is>
          <t>Banana pancakes</t>
        </is>
      </c>
    </row>
    <row r="25">
      <c r="A25" s="28" t="inlineStr">
        <is>
          <t>Fish Skewer</t>
        </is>
      </c>
      <c r="B25" s="28" t="inlineStr">
        <is>
          <t>BBQ Grill</t>
        </is>
      </c>
      <c r="C25" s="50" t="inlineStr">
        <is>
          <t>Product</t>
        </is>
      </c>
      <c r="D25" s="28">
        <f>IF(E25&lt;&gt;"",E25,IF(F25&lt;&gt;"",F25,""))</f>
        <v/>
      </c>
      <c r="E25" s="50" t="n">
        <v>96</v>
      </c>
      <c r="F25" s="50" t="n">
        <v>96</v>
      </c>
      <c r="G25" s="50" t="n">
        <v>25</v>
      </c>
      <c r="H25" s="50" t="n">
        <v>30</v>
      </c>
      <c r="I25" s="50" t="n">
        <v>25</v>
      </c>
      <c r="J25" s="28">
        <f>IF(OR(G25="",AND(H25="",I25="")),"n/a",IF(G25=I25,"mastered",IF(G25=H25,"normal","differs")))</f>
        <v/>
      </c>
      <c r="K25" s="28">
        <f>IF(L25&lt;&gt;"",L25,IF(M25&lt;&gt;"",M25,""))</f>
        <v/>
      </c>
      <c r="L25" s="50" t="n">
        <v>176</v>
      </c>
      <c r="M25" s="50" t="n">
        <v>176</v>
      </c>
      <c r="N25" s="28">
        <f>IF(O25&lt;&gt;"",O25,IF(P25&lt;&gt;"",P25,""))</f>
        <v/>
      </c>
      <c r="O25" s="50" t="n">
        <v>21</v>
      </c>
      <c r="P25" s="50" t="n">
        <v>21</v>
      </c>
      <c r="Q25" s="50" t="n">
        <v>65.88</v>
      </c>
      <c r="R25" s="50" t="n">
        <v>49.41</v>
      </c>
      <c r="S25" s="28">
        <f>IF(Q25="","",IF(Q25&lt;0,"negative profit",IF(Q25&gt;Notes!$B$4,"unusually high - verify","")))</f>
        <v/>
      </c>
      <c r="T25" s="28" t="inlineStr">
        <is>
          <t>both</t>
        </is>
      </c>
      <c r="U25" s="28">
        <f>IF(T25&lt;&gt;"both",T25&amp;" only",IF(V25="","agree","conflict"))</f>
        <v/>
      </c>
      <c r="V25" s="28">
        <f>IF(T25="both",TRIM(IF(AND(E25&lt;&gt;"",F25&lt;&gt;"",E25&lt;&gt;F25),"level ","")&amp;IF(AND(L25&lt;&gt;"",M25&lt;&gt;"",L25&lt;&gt;M25),"price ","")&amp;IF(AND(O25&lt;&gt;"",P25&lt;&gt;"",O25&lt;&gt;P25),"xp ","")&amp;IF(J25="differs","time","")),"")</f>
        <v/>
      </c>
      <c r="X25" s="50" t="inlineStr">
        <is>
          <t>Fish Fillet x1; Mushroom x3; Ginger x1; Sesame x2</t>
        </is>
      </c>
      <c r="Y25" s="50" t="inlineStr">
        <is>
          <t>Fish Skewer.png</t>
        </is>
      </c>
      <c r="Z25" s="50" t="inlineStr">
        <is>
          <t>icons/BBQ Grill/Fish Skewer.png</t>
        </is>
      </c>
      <c r="AA25" s="28" t="inlineStr">
        <is>
          <t>hayday.info /api/production-data (2026-10-13) + Hay Day Wiki infobox via MediaWiki API (2026-10-13)</t>
        </is>
      </c>
      <c r="AB25" s="28" t="inlineStr">
        <is>
          <t>https://hayday.fandom.com/wiki/Fish_Skewer</t>
        </is>
      </c>
      <c r="AC25" s="50" t="inlineStr">
        <is>
          <t>Fish skewer</t>
        </is>
      </c>
    </row>
    <row r="26">
      <c r="A26" s="28" t="inlineStr">
        <is>
          <t>Grilled Lamb Skewer</t>
        </is>
      </c>
      <c r="B26" s="28" t="inlineStr">
        <is>
          <t>BBQ Grill</t>
        </is>
      </c>
      <c r="C26" s="50" t="inlineStr">
        <is>
          <t>Product</t>
        </is>
      </c>
      <c r="D26" s="28">
        <f>IF(E26&lt;&gt;"",E26,IF(F26&lt;&gt;"",F26,""))</f>
        <v/>
      </c>
      <c r="E26" s="50" t="n"/>
      <c r="F26" s="50" t="n">
        <v>25</v>
      </c>
      <c r="G26" s="50" t="n"/>
      <c r="H26" s="50" t="n">
        <v>20</v>
      </c>
      <c r="I26" s="50" t="n">
        <v>17</v>
      </c>
      <c r="J26" s="28">
        <f>IF(OR(G26="",AND(H26="",I26="")),"n/a",IF(G26=I26,"mastered",IF(G26=H26,"normal","differs")))</f>
        <v/>
      </c>
      <c r="K26" s="28">
        <f>IF(L26&lt;&gt;"",L26,IF(M26&lt;&gt;"",M26,""))</f>
        <v/>
      </c>
      <c r="L26" s="50" t="n"/>
      <c r="M26" s="50" t="n">
        <v>90</v>
      </c>
      <c r="N26" s="28">
        <f>IF(O26&lt;&gt;"",O26,IF(P26&lt;&gt;"",P26,""))</f>
        <v/>
      </c>
      <c r="O26" s="50" t="n"/>
      <c r="P26" s="50" t="n">
        <v>11</v>
      </c>
      <c r="Q26" s="50" t="n"/>
      <c r="R26" s="50" t="n"/>
      <c r="S26" s="28">
        <f>IF(Q26="","",IF(Q26&lt;0,"negative profit",IF(Q26&gt;Notes!$B$4,"unusually high - verify","")))</f>
        <v/>
      </c>
      <c r="T26" s="28" t="inlineStr">
        <is>
          <t>Fandom</t>
        </is>
      </c>
      <c r="U26" s="28">
        <f>IF(T26&lt;&gt;"both",T26&amp;" only",IF(V26="","agree","conflict"))</f>
        <v/>
      </c>
      <c r="V26" s="28">
        <f>IF(T26="both",TRIM(IF(AND(E26&lt;&gt;"",F26&lt;&gt;"",E26&lt;&gt;F26),"level ","")&amp;IF(AND(L26&lt;&gt;"",M26&lt;&gt;"",L26&lt;&gt;M26),"price ","")&amp;IF(AND(O26&lt;&gt;"",P26&lt;&gt;"",O26&lt;&gt;P26),"xp ","")&amp;IF(J26="differs","time","")),"")</f>
        <v/>
      </c>
      <c r="X26" s="50" t="inlineStr">
        <is>
          <t>Lamb Chop x2</t>
        </is>
      </c>
      <c r="Y26" s="50" t="inlineStr">
        <is>
          <t>Grilled Lamb Skewer.png</t>
        </is>
      </c>
      <c r="Z26" s="50" t="inlineStr">
        <is>
          <t>icons/BBQ Grill/Grilled Lamb Skewer.png</t>
        </is>
      </c>
      <c r="AA26" s="28" t="inlineStr">
        <is>
          <t>Hay Day Wiki infobox via MediaWiki API (2026-10-13)</t>
        </is>
      </c>
      <c r="AB26" s="28" t="inlineStr">
        <is>
          <t>https://hayday.fandom.com/wiki/Grilled_Lamb_Skewer</t>
        </is>
      </c>
      <c r="AC26" s="50" t="n"/>
    </row>
    <row r="27">
      <c r="A27" s="28" t="inlineStr">
        <is>
          <t>Steamed Mussels</t>
        </is>
      </c>
      <c r="B27" s="28" t="inlineStr">
        <is>
          <t>BBQ Grill</t>
        </is>
      </c>
      <c r="C27" s="50" t="inlineStr">
        <is>
          <t>Product</t>
        </is>
      </c>
      <c r="D27" s="28">
        <f>IF(E27&lt;&gt;"",E27,IF(F27&lt;&gt;"",F27,""))</f>
        <v/>
      </c>
      <c r="E27" s="50" t="n"/>
      <c r="F27" s="50" t="n">
        <v>27</v>
      </c>
      <c r="G27" s="50" t="n"/>
      <c r="H27" s="50" t="n">
        <v>15</v>
      </c>
      <c r="I27" s="50" t="n">
        <v>12</v>
      </c>
      <c r="J27" s="28">
        <f>IF(OR(G27="",AND(H27="",I27="")),"n/a",IF(G27=I27,"mastered",IF(G27=H27,"normal","differs")))</f>
        <v/>
      </c>
      <c r="K27" s="28">
        <f>IF(L27&lt;&gt;"",L27,IF(M27&lt;&gt;"",M27,""))</f>
        <v/>
      </c>
      <c r="L27" s="50" t="n"/>
      <c r="M27" s="50" t="n">
        <v>284</v>
      </c>
      <c r="N27" s="28">
        <f>IF(O27&lt;&gt;"",O27,IF(P27&lt;&gt;"",P27,""))</f>
        <v/>
      </c>
      <c r="O27" s="50" t="n"/>
      <c r="P27" s="50" t="n">
        <v>34</v>
      </c>
      <c r="Q27" s="50" t="n"/>
      <c r="R27" s="50" t="n"/>
      <c r="S27" s="28">
        <f>IF(Q27="","",IF(Q27&lt;0,"negative profit",IF(Q27&gt;Notes!$B$4,"unusually high - verify","")))</f>
        <v/>
      </c>
      <c r="T27" s="28" t="inlineStr">
        <is>
          <t>Fandom</t>
        </is>
      </c>
      <c r="U27" s="28">
        <f>IF(T27&lt;&gt;"both",T27&amp;" only",IF(V27="","agree","conflict"))</f>
        <v/>
      </c>
      <c r="V27" s="28">
        <f>IF(T27="both",TRIM(IF(AND(E27&lt;&gt;"",F27&lt;&gt;"",E27&lt;&gt;F27),"level ","")&amp;IF(AND(L27&lt;&gt;"",M27&lt;&gt;"",L27&lt;&gt;M27),"price ","")&amp;IF(AND(O27&lt;&gt;"",P27&lt;&gt;"",O27&lt;&gt;P27),"xp ","")&amp;IF(J27="differs","time","")),"")</f>
        <v/>
      </c>
      <c r="X27" s="50" t="inlineStr">
        <is>
          <t>Mussel Meat x4; Butter x2</t>
        </is>
      </c>
      <c r="Y27" s="50" t="inlineStr">
        <is>
          <t>Steamed Mussels.png</t>
        </is>
      </c>
      <c r="Z27" s="50" t="inlineStr">
        <is>
          <t>icons/BBQ Grill/Steamed Mussels.png</t>
        </is>
      </c>
      <c r="AA27" s="28" t="inlineStr">
        <is>
          <t>Hay Day Wiki infobox via MediaWiki API (2026-10-13)</t>
        </is>
      </c>
      <c r="AB27" s="28" t="inlineStr">
        <is>
          <t>https://hayday.fandom.com/wiki/Steamed_Mussels</t>
        </is>
      </c>
      <c r="AC27" s="50" t="n"/>
    </row>
    <row r="28">
      <c r="A28" s="28" t="inlineStr">
        <is>
          <t>Grilled Mussels</t>
        </is>
      </c>
      <c r="B28" s="28" t="inlineStr">
        <is>
          <t>BBQ Grill</t>
        </is>
      </c>
      <c r="C28" s="50" t="inlineStr">
        <is>
          <t>Product</t>
        </is>
      </c>
      <c r="D28" s="28">
        <f>IF(E28&lt;&gt;"",E28,IF(F28&lt;&gt;"",F28,""))</f>
        <v/>
      </c>
      <c r="E28" s="50" t="n"/>
      <c r="F28" s="50" t="n">
        <v>32</v>
      </c>
      <c r="G28" s="50" t="n"/>
      <c r="H28" s="50" t="n">
        <v>80</v>
      </c>
      <c r="I28" s="50" t="n">
        <v>68</v>
      </c>
      <c r="J28" s="28">
        <f>IF(OR(G28="",AND(H28="",I28="")),"n/a",IF(G28=I28,"mastered",IF(G28=H28,"normal","differs")))</f>
        <v/>
      </c>
      <c r="K28" s="28">
        <f>IF(L28&lt;&gt;"",L28,IF(M28&lt;&gt;"",M28,""))</f>
        <v/>
      </c>
      <c r="L28" s="50" t="n"/>
      <c r="M28" s="50" t="n">
        <v>370</v>
      </c>
      <c r="N28" s="28">
        <f>IF(O28&lt;&gt;"",O28,IF(P28&lt;&gt;"",P28,""))</f>
        <v/>
      </c>
      <c r="O28" s="50" t="n"/>
      <c r="P28" s="50" t="n">
        <v>44</v>
      </c>
      <c r="Q28" s="50" t="n"/>
      <c r="R28" s="50" t="n"/>
      <c r="S28" s="28">
        <f>IF(Q28="","",IF(Q28&lt;0,"negative profit",IF(Q28&gt;Notes!$B$4,"unusually high - verify","")))</f>
        <v/>
      </c>
      <c r="T28" s="28" t="inlineStr">
        <is>
          <t>Fandom</t>
        </is>
      </c>
      <c r="U28" s="28">
        <f>IF(T28&lt;&gt;"both",T28&amp;" only",IF(V28="","agree","conflict"))</f>
        <v/>
      </c>
      <c r="V28" s="28">
        <f>IF(T28="both",TRIM(IF(AND(E28&lt;&gt;"",F28&lt;&gt;"",E28&lt;&gt;F28),"level ","")&amp;IF(AND(L28&lt;&gt;"",M28&lt;&gt;"",L28&lt;&gt;M28),"price ","")&amp;IF(AND(O28&lt;&gt;"",P28&lt;&gt;"",O28&lt;&gt;P28),"xp ","")&amp;IF(J28="differs","time","")),"")</f>
        <v/>
      </c>
      <c r="X28" s="50" t="inlineStr">
        <is>
          <t>Mussel Meat x3; Butter x1; Chili Pepper x3; Corn Bread x1</t>
        </is>
      </c>
      <c r="Y28" s="50" t="inlineStr">
        <is>
          <t>Grilled Mussels.png</t>
        </is>
      </c>
      <c r="Z28" s="50" t="inlineStr">
        <is>
          <t>icons/BBQ Grill/Grilled Mussels.png</t>
        </is>
      </c>
      <c r="AA28" s="28" t="inlineStr">
        <is>
          <t>Hay Day Wiki infobox via MediaWiki API (2026-10-13)</t>
        </is>
      </c>
      <c r="AB28" s="28" t="inlineStr">
        <is>
          <t>https://hayday.fandom.com/wiki/Grilled_Mussels</t>
        </is>
      </c>
      <c r="AC28" s="50" t="n"/>
    </row>
    <row r="29">
      <c r="A29" s="28" t="inlineStr">
        <is>
          <t>Grilled Asparagus</t>
        </is>
      </c>
      <c r="B29" s="28" t="inlineStr">
        <is>
          <t>BBQ Grill</t>
        </is>
      </c>
      <c r="C29" s="50" t="inlineStr">
        <is>
          <t>Product</t>
        </is>
      </c>
      <c r="D29" s="28">
        <f>IF(E29&lt;&gt;"",E29,IF(F29&lt;&gt;"",F29,""))</f>
        <v/>
      </c>
      <c r="E29" s="50" t="n"/>
      <c r="F29" s="50" t="n">
        <v>67</v>
      </c>
      <c r="G29" s="50" t="n"/>
      <c r="H29" s="50" t="n">
        <v>75</v>
      </c>
      <c r="I29" s="50" t="n">
        <v>63</v>
      </c>
      <c r="J29" s="28">
        <f>IF(OR(G29="",AND(H29="",I29="")),"n/a",IF(G29=I29,"mastered",IF(G29=H29,"normal","differs")))</f>
        <v/>
      </c>
      <c r="K29" s="28">
        <f>IF(L29&lt;&gt;"",L29,IF(M29&lt;&gt;"",M29,""))</f>
        <v/>
      </c>
      <c r="L29" s="50" t="n"/>
      <c r="M29" s="50" t="n">
        <v>486</v>
      </c>
      <c r="N29" s="28">
        <f>IF(O29&lt;&gt;"",O29,IF(P29&lt;&gt;"",P29,""))</f>
        <v/>
      </c>
      <c r="O29" s="50" t="n"/>
      <c r="P29" s="50" t="n">
        <v>58</v>
      </c>
      <c r="Q29" s="50" t="n"/>
      <c r="R29" s="50" t="n"/>
      <c r="S29" s="28">
        <f>IF(Q29="","",IF(Q29&lt;0,"negative profit",IF(Q29&gt;Notes!$B$4,"unusually high - verify","")))</f>
        <v/>
      </c>
      <c r="T29" s="28" t="inlineStr">
        <is>
          <t>Fandom</t>
        </is>
      </c>
      <c r="U29" s="28">
        <f>IF(T29&lt;&gt;"both",T29&amp;" only",IF(V29="","agree","conflict"))</f>
        <v/>
      </c>
      <c r="V29" s="28">
        <f>IF(T29="both",TRIM(IF(AND(E29&lt;&gt;"",F29&lt;&gt;"",E29&lt;&gt;F29),"level ","")&amp;IF(AND(L29&lt;&gt;"",M29&lt;&gt;"",L29&lt;&gt;M29),"price ","")&amp;IF(AND(O29&lt;&gt;"",P29&lt;&gt;"",O29&lt;&gt;P29),"xp ","")&amp;IF(J29="differs","time","")),"")</f>
        <v/>
      </c>
      <c r="X29" s="50" t="inlineStr">
        <is>
          <t>Asparagus x5; Bacon x3; Lemon x1</t>
        </is>
      </c>
      <c r="Y29" s="50" t="inlineStr">
        <is>
          <t>Grilled Asparagus.png</t>
        </is>
      </c>
      <c r="Z29" s="50" t="inlineStr">
        <is>
          <t>icons/BBQ Grill/Grilled Asparagus.png</t>
        </is>
      </c>
      <c r="AA29" s="28" t="inlineStr">
        <is>
          <t>Hay Day Wiki infobox via MediaWiki API (2026-10-13)</t>
        </is>
      </c>
      <c r="AB29" s="28" t="inlineStr">
        <is>
          <t>https://hayday.fandom.com/wiki/Grilled_Asparagus</t>
        </is>
      </c>
      <c r="AC29" s="50" t="n"/>
    </row>
    <row r="30">
      <c r="A30" s="28" t="inlineStr">
        <is>
          <t>Bread</t>
        </is>
      </c>
      <c r="B30" s="28" t="inlineStr">
        <is>
          <t>Bakery</t>
        </is>
      </c>
      <c r="C30" s="50" t="inlineStr">
        <is>
          <t>Product</t>
        </is>
      </c>
      <c r="D30" s="28">
        <f>IF(E30&lt;&gt;"",E30,IF(F30&lt;&gt;"",F30,""))</f>
        <v/>
      </c>
      <c r="E30" s="50" t="n">
        <v>2</v>
      </c>
      <c r="F30" s="50" t="n">
        <v>4</v>
      </c>
      <c r="G30" s="50" t="n">
        <v>4</v>
      </c>
      <c r="H30" s="50" t="n">
        <v>5</v>
      </c>
      <c r="I30" s="50" t="n">
        <v>4</v>
      </c>
      <c r="J30" s="28">
        <f>IF(OR(G30="",AND(H30="",I30="")),"n/a",IF(G30=I30,"mastered",IF(G30=H30,"normal","differs")))</f>
        <v/>
      </c>
      <c r="K30" s="28">
        <f>IF(L30&lt;&gt;"",L30,IF(M30&lt;&gt;"",M30,""))</f>
        <v/>
      </c>
      <c r="L30" s="50" t="n">
        <v>21</v>
      </c>
      <c r="M30" s="50" t="n">
        <v>21</v>
      </c>
      <c r="N30" s="28">
        <f>IF(O30&lt;&gt;"",O30,IF(P30&lt;&gt;"",P30,""))</f>
        <v/>
      </c>
      <c r="O30" s="50" t="n">
        <v>3</v>
      </c>
      <c r="P30" s="50" t="n">
        <v>3</v>
      </c>
      <c r="Q30" s="50" t="n">
        <v>169.41</v>
      </c>
      <c r="R30" s="50" t="n">
        <v>42.35</v>
      </c>
      <c r="S30" s="28">
        <f>IF(Q30="","",IF(Q30&lt;0,"negative profit",IF(Q30&gt;Notes!$B$4,"unusually high - verify","")))</f>
        <v/>
      </c>
      <c r="T30" s="28" t="inlineStr">
        <is>
          <t>both</t>
        </is>
      </c>
      <c r="U30" s="28">
        <f>IF(T30&lt;&gt;"both",T30&amp;" only",IF(V30="","agree","conflict"))</f>
        <v/>
      </c>
      <c r="V30" s="28">
        <f>IF(T30="both",TRIM(IF(AND(E30&lt;&gt;"",F30&lt;&gt;"",E30&lt;&gt;F30),"level ","")&amp;IF(AND(L30&lt;&gt;"",M30&lt;&gt;"",L30&lt;&gt;M30),"price ","")&amp;IF(AND(O30&lt;&gt;"",P30&lt;&gt;"",O30&lt;&gt;P30),"xp ","")&amp;IF(J30="differs","time","")),"")</f>
        <v/>
      </c>
      <c r="X30" s="50" t="inlineStr">
        <is>
          <t>Wheat x3</t>
        </is>
      </c>
      <c r="Y30" s="50" t="inlineStr">
        <is>
          <t>Bread.png</t>
        </is>
      </c>
      <c r="Z30" s="50" t="inlineStr">
        <is>
          <t>icons/Bakery/Bread.png</t>
        </is>
      </c>
      <c r="AA30" s="28" t="inlineStr">
        <is>
          <t>hayday.info /api/production-data (2026-10-13) + Hay Day Wiki infobox via MediaWiki API (2026-10-13)</t>
        </is>
      </c>
      <c r="AB30" s="28" t="inlineStr">
        <is>
          <t>https://hayday.fandom.com/wiki/Bread</t>
        </is>
      </c>
      <c r="AC30" s="50" t="inlineStr">
        <is>
          <t>Bread</t>
        </is>
      </c>
    </row>
    <row r="31">
      <c r="A31" s="28" t="inlineStr">
        <is>
          <t>Corn Bread</t>
        </is>
      </c>
      <c r="B31" s="28" t="inlineStr">
        <is>
          <t>Bakery</t>
        </is>
      </c>
      <c r="C31" s="50" t="inlineStr">
        <is>
          <t>Product</t>
        </is>
      </c>
      <c r="D31" s="28">
        <f>IF(E31&lt;&gt;"",E31,IF(F31&lt;&gt;"",F31,""))</f>
        <v/>
      </c>
      <c r="E31" s="50" t="n">
        <v>7</v>
      </c>
      <c r="F31" s="50" t="n">
        <v>7</v>
      </c>
      <c r="G31" s="50" t="n">
        <v>25</v>
      </c>
      <c r="H31" s="50" t="n">
        <v>30</v>
      </c>
      <c r="I31" s="50" t="n">
        <v>25</v>
      </c>
      <c r="J31" s="28">
        <f>IF(OR(G31="",AND(H31="",I31="")),"n/a",IF(G31=I31,"mastered",IF(G31=H31,"normal","differs")))</f>
        <v/>
      </c>
      <c r="K31" s="28">
        <f>IF(L31&lt;&gt;"",L31,IF(M31&lt;&gt;"",M31,""))</f>
        <v/>
      </c>
      <c r="L31" s="50" t="n">
        <v>72</v>
      </c>
      <c r="M31" s="50" t="n">
        <v>72</v>
      </c>
      <c r="N31" s="28">
        <f>IF(O31&lt;&gt;"",O31,IF(P31&lt;&gt;"",P31,""))</f>
        <v/>
      </c>
      <c r="O31" s="50" t="n">
        <v>8</v>
      </c>
      <c r="P31" s="50" t="n">
        <v>8</v>
      </c>
      <c r="Q31" s="50" t="n">
        <v>51.76</v>
      </c>
      <c r="R31" s="50" t="n">
        <v>18.82</v>
      </c>
      <c r="S31" s="28">
        <f>IF(Q31="","",IF(Q31&lt;0,"negative profit",IF(Q31&gt;Notes!$B$4,"unusually high - verify","")))</f>
        <v/>
      </c>
      <c r="T31" s="28" t="inlineStr">
        <is>
          <t>both</t>
        </is>
      </c>
      <c r="U31" s="28">
        <f>IF(T31&lt;&gt;"both",T31&amp;" only",IF(V31="","agree","conflict"))</f>
        <v/>
      </c>
      <c r="V31" s="28">
        <f>IF(T31="both",TRIM(IF(AND(E31&lt;&gt;"",F31&lt;&gt;"",E31&lt;&gt;F31),"level ","")&amp;IF(AND(L31&lt;&gt;"",M31&lt;&gt;"",L31&lt;&gt;M31),"price ","")&amp;IF(AND(O31&lt;&gt;"",P31&lt;&gt;"",O31&lt;&gt;P31),"xp ","")&amp;IF(J31="differs","time","")),"")</f>
        <v/>
      </c>
      <c r="X31" s="50" t="inlineStr">
        <is>
          <t>Corn x2; Egg x2</t>
        </is>
      </c>
      <c r="Y31" s="50" t="inlineStr">
        <is>
          <t>Corn_Bread.png</t>
        </is>
      </c>
      <c r="Z31" s="50" t="inlineStr">
        <is>
          <t>icons/Bakery/Corn Bread.png</t>
        </is>
      </c>
      <c r="AA31" s="28" t="inlineStr">
        <is>
          <t>hayday.info /api/production-data (2026-10-13) + Hay Day Wiki infobox via MediaWiki API (2026-10-13)</t>
        </is>
      </c>
      <c r="AB31" s="28" t="inlineStr">
        <is>
          <t>https://hayday.fandom.com/wiki/Corn_Bread</t>
        </is>
      </c>
      <c r="AC31" s="50" t="inlineStr">
        <is>
          <t>Corn bread</t>
        </is>
      </c>
    </row>
    <row r="32">
      <c r="A32" s="28" t="inlineStr">
        <is>
          <t>Cookie</t>
        </is>
      </c>
      <c r="B32" s="28" t="inlineStr">
        <is>
          <t>Bakery</t>
        </is>
      </c>
      <c r="C32" s="50" t="inlineStr">
        <is>
          <t>Product</t>
        </is>
      </c>
      <c r="D32" s="28">
        <f>IF(E32&lt;&gt;"",E32,IF(F32&lt;&gt;"",F32,""))</f>
        <v/>
      </c>
      <c r="E32" s="50" t="n">
        <v>10</v>
      </c>
      <c r="F32" s="50" t="n">
        <v>10</v>
      </c>
      <c r="G32" s="50" t="n">
        <v>51</v>
      </c>
      <c r="H32" s="50" t="n">
        <v>60</v>
      </c>
      <c r="I32" s="50" t="n">
        <v>51</v>
      </c>
      <c r="J32" s="28">
        <f>IF(OR(G32="",AND(H32="",I32="")),"n/a",IF(G32=I32,"mastered",IF(G32=H32,"normal","differs")))</f>
        <v/>
      </c>
      <c r="K32" s="28">
        <f>IF(L32&lt;&gt;"",L32,IF(M32&lt;&gt;"",M32,""))</f>
        <v/>
      </c>
      <c r="L32" s="50" t="n">
        <v>104</v>
      </c>
      <c r="M32" s="50" t="n">
        <v>104</v>
      </c>
      <c r="N32" s="28">
        <f>IF(O32&lt;&gt;"",O32,IF(P32&lt;&gt;"",P32,""))</f>
        <v/>
      </c>
      <c r="O32" s="50" t="n">
        <v>13</v>
      </c>
      <c r="P32" s="50" t="n">
        <v>13</v>
      </c>
      <c r="Q32" s="50" t="n">
        <v>35.29</v>
      </c>
      <c r="R32" s="50" t="n">
        <v>15.29</v>
      </c>
      <c r="S32" s="28">
        <f>IF(Q32="","",IF(Q32&lt;0,"negative profit",IF(Q32&gt;Notes!$B$4,"unusually high - verify","")))</f>
        <v/>
      </c>
      <c r="T32" s="28" t="inlineStr">
        <is>
          <t>both</t>
        </is>
      </c>
      <c r="U32" s="28">
        <f>IF(T32&lt;&gt;"both",T32&amp;" only",IF(V32="","agree","conflict"))</f>
        <v/>
      </c>
      <c r="V32" s="28">
        <f>IF(T32="both",TRIM(IF(AND(E32&lt;&gt;"",F32&lt;&gt;"",E32&lt;&gt;F32),"level ","")&amp;IF(AND(L32&lt;&gt;"",M32&lt;&gt;"",L32&lt;&gt;M32),"price ","")&amp;IF(AND(O32&lt;&gt;"",P32&lt;&gt;"",O32&lt;&gt;P32),"xp ","")&amp;IF(J32="differs","time","")),"")</f>
        <v/>
      </c>
      <c r="X32" s="50" t="inlineStr">
        <is>
          <t>Wheat x2; Egg x2; Brown Sugar x1</t>
        </is>
      </c>
      <c r="Y32" s="50" t="inlineStr">
        <is>
          <t>Cookie.png</t>
        </is>
      </c>
      <c r="Z32" s="50" t="inlineStr">
        <is>
          <t>icons/Bakery/Cookie.png</t>
        </is>
      </c>
      <c r="AA32" s="28" t="inlineStr">
        <is>
          <t>hayday.info /api/production-data (2026-10-13) + Hay Day Wiki infobox via MediaWiki API (2026-10-13)</t>
        </is>
      </c>
      <c r="AB32" s="28" t="inlineStr">
        <is>
          <t>https://hayday.fandom.com/wiki/Cookie</t>
        </is>
      </c>
      <c r="AC32" s="50" t="inlineStr">
        <is>
          <t>Cookie</t>
        </is>
      </c>
    </row>
    <row r="33">
      <c r="A33" s="28" t="inlineStr">
        <is>
          <t>Raspberry Muffin</t>
        </is>
      </c>
      <c r="B33" s="28" t="inlineStr">
        <is>
          <t>Bakery</t>
        </is>
      </c>
      <c r="C33" s="50" t="inlineStr">
        <is>
          <t>Product</t>
        </is>
      </c>
      <c r="D33" s="28">
        <f>IF(E33&lt;&gt;"",E33,IF(F33&lt;&gt;"",F33,""))</f>
        <v/>
      </c>
      <c r="E33" s="50" t="n">
        <v>19</v>
      </c>
      <c r="F33" s="50" t="n">
        <v>19</v>
      </c>
      <c r="G33" s="50" t="n">
        <v>38</v>
      </c>
      <c r="H33" s="50" t="n">
        <v>45</v>
      </c>
      <c r="I33" s="50" t="n">
        <v>38</v>
      </c>
      <c r="J33" s="28">
        <f>IF(OR(G33="",AND(H33="",I33="")),"n/a",IF(G33=I33,"mastered",IF(G33=H33,"normal","differs")))</f>
        <v/>
      </c>
      <c r="K33" s="28">
        <f>IF(L33&lt;&gt;"",L33,IF(M33&lt;&gt;"",M33,""))</f>
        <v/>
      </c>
      <c r="L33" s="50" t="n">
        <v>140</v>
      </c>
      <c r="M33" s="50" t="n">
        <v>140</v>
      </c>
      <c r="N33" s="28">
        <f>IF(O33&lt;&gt;"",O33,IF(P33&lt;&gt;"",P33,""))</f>
        <v/>
      </c>
      <c r="O33" s="50" t="n">
        <v>17</v>
      </c>
      <c r="P33" s="50" t="n">
        <v>17</v>
      </c>
      <c r="Q33" s="50" t="n">
        <v>37.65</v>
      </c>
      <c r="R33" s="50" t="n">
        <v>26.67</v>
      </c>
      <c r="S33" s="28">
        <f>IF(Q33="","",IF(Q33&lt;0,"negative profit",IF(Q33&gt;Notes!$B$4,"unusually high - verify","")))</f>
        <v/>
      </c>
      <c r="T33" s="28" t="inlineStr">
        <is>
          <t>both</t>
        </is>
      </c>
      <c r="U33" s="28">
        <f>IF(T33&lt;&gt;"both",T33&amp;" only",IF(V33="","agree","conflict"))</f>
        <v/>
      </c>
      <c r="V33" s="28">
        <f>IF(T33="both",TRIM(IF(AND(E33&lt;&gt;"",F33&lt;&gt;"",E33&lt;&gt;F33),"level ","")&amp;IF(AND(L33&lt;&gt;"",M33&lt;&gt;"",L33&lt;&gt;M33),"price ","")&amp;IF(AND(O33&lt;&gt;"",P33&lt;&gt;"",O33&lt;&gt;P33),"xp ","")&amp;IF(J33="differs","time","")),"")</f>
        <v/>
      </c>
      <c r="X33" s="50" t="inlineStr">
        <is>
          <t>Wheat x2; Egg x1; Raspberry x2</t>
        </is>
      </c>
      <c r="Y33" s="50" t="inlineStr">
        <is>
          <t>Raspberry_Muffin.png</t>
        </is>
      </c>
      <c r="Z33" s="50" t="inlineStr">
        <is>
          <t>icons/Bakery/Raspberry Muffin.png</t>
        </is>
      </c>
      <c r="AA33" s="28" t="inlineStr">
        <is>
          <t>hayday.info /api/production-data (2026-10-13) + Hay Day Wiki infobox via MediaWiki API (2026-10-13)</t>
        </is>
      </c>
      <c r="AB33" s="28" t="inlineStr">
        <is>
          <t>https://hayday.fandom.com/wiki/Raspberry_Muffin</t>
        </is>
      </c>
      <c r="AC33" s="50" t="inlineStr">
        <is>
          <t>Raspberry muffin</t>
        </is>
      </c>
    </row>
    <row r="34">
      <c r="A34" s="28" t="inlineStr">
        <is>
          <t>Blackberry Muffin</t>
        </is>
      </c>
      <c r="B34" s="28" t="inlineStr">
        <is>
          <t>Bakery</t>
        </is>
      </c>
      <c r="C34" s="50" t="inlineStr">
        <is>
          <t>Product</t>
        </is>
      </c>
      <c r="D34" s="28">
        <f>IF(E34&lt;&gt;"",E34,IF(F34&lt;&gt;"",F34,""))</f>
        <v/>
      </c>
      <c r="E34" s="50" t="n">
        <v>26</v>
      </c>
      <c r="F34" s="50" t="n">
        <v>26</v>
      </c>
      <c r="G34" s="50" t="n">
        <v>38</v>
      </c>
      <c r="H34" s="50" t="n">
        <v>45</v>
      </c>
      <c r="I34" s="50" t="n">
        <v>38</v>
      </c>
      <c r="J34" s="28">
        <f>IF(OR(G34="",AND(H34="",I34="")),"n/a",IF(G34=I34,"mastered",IF(G34=H34,"normal","differs")))</f>
        <v/>
      </c>
      <c r="K34" s="28">
        <f>IF(L34&lt;&gt;"",L34,IF(M34&lt;&gt;"",M34,""))</f>
        <v/>
      </c>
      <c r="L34" s="50" t="n">
        <v>226</v>
      </c>
      <c r="M34" s="50" t="n">
        <v>226</v>
      </c>
      <c r="N34" s="28">
        <f>IF(O34&lt;&gt;"",O34,IF(P34&lt;&gt;"",P34,""))</f>
        <v/>
      </c>
      <c r="O34" s="50" t="n">
        <v>27</v>
      </c>
      <c r="P34" s="50" t="n">
        <v>27</v>
      </c>
      <c r="Q34" s="50" t="n">
        <v>36.08</v>
      </c>
      <c r="R34" s="50" t="n">
        <v>42.35</v>
      </c>
      <c r="S34" s="28">
        <f>IF(Q34="","",IF(Q34&lt;0,"negative profit",IF(Q34&gt;Notes!$B$4,"unusually high - verify","")))</f>
        <v/>
      </c>
      <c r="T34" s="28" t="inlineStr">
        <is>
          <t>both</t>
        </is>
      </c>
      <c r="U34" s="28">
        <f>IF(T34&lt;&gt;"both",T34&amp;" only",IF(V34="","agree","conflict"))</f>
        <v/>
      </c>
      <c r="V34" s="28">
        <f>IF(T34="both",TRIM(IF(AND(E34&lt;&gt;"",F34&lt;&gt;"",E34&lt;&gt;F34),"level ","")&amp;IF(AND(L34&lt;&gt;"",M34&lt;&gt;"",L34&lt;&gt;M34),"price ","")&amp;IF(AND(O34&lt;&gt;"",P34&lt;&gt;"",O34&lt;&gt;P34),"xp ","")&amp;IF(J34="differs","time","")),"")</f>
        <v/>
      </c>
      <c r="X34" s="50" t="inlineStr">
        <is>
          <t>Wheat x1; Egg x2; Blackberry x2</t>
        </is>
      </c>
      <c r="Y34" s="50" t="inlineStr">
        <is>
          <t>Blackberry_Muffin.png</t>
        </is>
      </c>
      <c r="Z34" s="50" t="inlineStr">
        <is>
          <t>icons/Bakery/Blackberry Muffin.png</t>
        </is>
      </c>
      <c r="AA34" s="28" t="inlineStr">
        <is>
          <t>hayday.info /api/production-data (2026-10-13) + Hay Day Wiki infobox via MediaWiki API (2026-10-13)</t>
        </is>
      </c>
      <c r="AB34" s="28" t="inlineStr">
        <is>
          <t>https://hayday.fandom.com/wiki/Blackberry_Muffin</t>
        </is>
      </c>
      <c r="AC34" s="50" t="inlineStr">
        <is>
          <t>Blackberry muffin</t>
        </is>
      </c>
    </row>
    <row r="35">
      <c r="A35" s="28" t="inlineStr">
        <is>
          <t>Pizza</t>
        </is>
      </c>
      <c r="B35" s="28" t="inlineStr">
        <is>
          <t>Bakery</t>
        </is>
      </c>
      <c r="C35" s="50" t="inlineStr">
        <is>
          <t>Product</t>
        </is>
      </c>
      <c r="D35" s="28">
        <f>IF(E35&lt;&gt;"",E35,IF(F35&lt;&gt;"",F35,""))</f>
        <v/>
      </c>
      <c r="E35" s="50" t="n">
        <v>33</v>
      </c>
      <c r="F35" s="50" t="n">
        <v>33</v>
      </c>
      <c r="G35" s="50" t="n">
        <v>12</v>
      </c>
      <c r="H35" s="50" t="n">
        <v>15</v>
      </c>
      <c r="I35" s="50" t="n">
        <v>12</v>
      </c>
      <c r="J35" s="28">
        <f>IF(OR(G35="",AND(H35="",I35="")),"n/a",IF(G35=I35,"mastered",IF(G35=H35,"normal","differs")))</f>
        <v/>
      </c>
      <c r="K35" s="28">
        <f>IF(L35&lt;&gt;"",L35,IF(M35&lt;&gt;"",M35,""))</f>
        <v/>
      </c>
      <c r="L35" s="50" t="n">
        <v>190</v>
      </c>
      <c r="M35" s="50" t="n">
        <v>190</v>
      </c>
      <c r="N35" s="28">
        <f>IF(O35&lt;&gt;"",O35,IF(P35&lt;&gt;"",P35,""))</f>
        <v/>
      </c>
      <c r="O35" s="50" t="n">
        <v>23</v>
      </c>
      <c r="P35" s="50" t="n">
        <v>23</v>
      </c>
      <c r="Q35" s="50" t="n">
        <v>89.41</v>
      </c>
      <c r="R35" s="50" t="n">
        <v>108.24</v>
      </c>
      <c r="S35" s="28">
        <f>IF(Q35="","",IF(Q35&lt;0,"negative profit",IF(Q35&gt;Notes!$B$4,"unusually high - verify","")))</f>
        <v/>
      </c>
      <c r="T35" s="28" t="inlineStr">
        <is>
          <t>both</t>
        </is>
      </c>
      <c r="U35" s="28">
        <f>IF(T35&lt;&gt;"both",T35&amp;" only",IF(V35="","agree","conflict"))</f>
        <v/>
      </c>
      <c r="V35" s="28">
        <f>IF(T35="both",TRIM(IF(AND(E35&lt;&gt;"",F35&lt;&gt;"",E35&lt;&gt;F35),"level ","")&amp;IF(AND(L35&lt;&gt;"",M35&lt;&gt;"",L35&lt;&gt;M35),"price ","")&amp;IF(AND(O35&lt;&gt;"",P35&lt;&gt;"",O35&lt;&gt;P35),"xp ","")&amp;IF(J35="differs","time","")),"")</f>
        <v/>
      </c>
      <c r="X35" s="50" t="inlineStr">
        <is>
          <t>Wheat x2; Tomato x1; Cheese x1</t>
        </is>
      </c>
      <c r="Y35" s="50" t="inlineStr">
        <is>
          <t>Pizza.png</t>
        </is>
      </c>
      <c r="Z35" s="50" t="inlineStr">
        <is>
          <t>icons/Bakery/Pizza.png</t>
        </is>
      </c>
      <c r="AA35" s="28" t="inlineStr">
        <is>
          <t>hayday.info /api/production-data (2026-10-13) + Hay Day Wiki infobox via MediaWiki API (2026-10-13)</t>
        </is>
      </c>
      <c r="AB35" s="28" t="inlineStr">
        <is>
          <t>https://hayday.fandom.com/wiki/Pizza</t>
        </is>
      </c>
      <c r="AC35" s="50" t="inlineStr">
        <is>
          <t>Pizza</t>
        </is>
      </c>
    </row>
    <row r="36">
      <c r="A36" s="28" t="inlineStr">
        <is>
          <t>Spicy Pizza</t>
        </is>
      </c>
      <c r="B36" s="28" t="inlineStr">
        <is>
          <t>Bakery</t>
        </is>
      </c>
      <c r="C36" s="50" t="inlineStr">
        <is>
          <t>Product</t>
        </is>
      </c>
      <c r="D36" s="28">
        <f>IF(E36&lt;&gt;"",E36,IF(F36&lt;&gt;"",F36,""))</f>
        <v/>
      </c>
      <c r="E36" s="50" t="n">
        <v>37</v>
      </c>
      <c r="F36" s="50" t="n">
        <v>37</v>
      </c>
      <c r="G36" s="50" t="n">
        <v>12</v>
      </c>
      <c r="H36" s="50" t="n">
        <v>15</v>
      </c>
      <c r="I36" s="50" t="n">
        <v>12</v>
      </c>
      <c r="J36" s="28">
        <f>IF(OR(G36="",AND(H36="",I36="")),"n/a",IF(G36=I36,"mastered",IF(G36=H36,"normal","differs")))</f>
        <v/>
      </c>
      <c r="K36" s="28">
        <f>IF(L36&lt;&gt;"",L36,IF(M36&lt;&gt;"",M36,""))</f>
        <v/>
      </c>
      <c r="L36" s="50" t="n">
        <v>226</v>
      </c>
      <c r="M36" s="50" t="n">
        <v>226</v>
      </c>
      <c r="N36" s="28">
        <f>IF(O36&lt;&gt;"",O36,IF(P36&lt;&gt;"",P36,""))</f>
        <v/>
      </c>
      <c r="O36" s="50" t="n">
        <v>27</v>
      </c>
      <c r="P36" s="50" t="n">
        <v>27</v>
      </c>
      <c r="Q36" s="50" t="n">
        <v>89.41</v>
      </c>
      <c r="R36" s="50" t="n">
        <v>127.06</v>
      </c>
      <c r="S36" s="28">
        <f>IF(Q36="","",IF(Q36&lt;0,"negative profit",IF(Q36&gt;Notes!$B$4,"unusually high - verify","")))</f>
        <v/>
      </c>
      <c r="T36" s="28" t="inlineStr">
        <is>
          <t>both</t>
        </is>
      </c>
      <c r="U36" s="28">
        <f>IF(T36&lt;&gt;"both",T36&amp;" only",IF(V36="","agree","conflict"))</f>
        <v/>
      </c>
      <c r="V36" s="28">
        <f>IF(T36="both",TRIM(IF(AND(E36&lt;&gt;"",F36&lt;&gt;"",E36&lt;&gt;F36),"level ","")&amp;IF(AND(L36&lt;&gt;"",M36&lt;&gt;"",L36&lt;&gt;M36),"price ","")&amp;IF(AND(O36&lt;&gt;"",P36&lt;&gt;"",O36&lt;&gt;P36),"xp ","")&amp;IF(J36="differs","time","")),"")</f>
        <v/>
      </c>
      <c r="X36" s="50" t="inlineStr">
        <is>
          <t>Wheat x2; Tomato x1; Cheese x1; Chili Pepper x1</t>
        </is>
      </c>
      <c r="Y36" s="50" t="inlineStr">
        <is>
          <t>Spicy Pizza.png</t>
        </is>
      </c>
      <c r="Z36" s="50" t="inlineStr">
        <is>
          <t>icons/Bakery/Spicy Pizza.png</t>
        </is>
      </c>
      <c r="AA36" s="28" t="inlineStr">
        <is>
          <t>hayday.info /api/production-data (2026-10-13) + Hay Day Wiki infobox via MediaWiki API (2026-10-13)</t>
        </is>
      </c>
      <c r="AB36" s="28" t="inlineStr">
        <is>
          <t>https://hayday.fandom.com/wiki/Spicy_Pizza</t>
        </is>
      </c>
      <c r="AC36" s="50" t="inlineStr">
        <is>
          <t>Spicy pizza</t>
        </is>
      </c>
    </row>
    <row r="37">
      <c r="A37" s="28" t="inlineStr">
        <is>
          <t>Potato Bread</t>
        </is>
      </c>
      <c r="B37" s="28" t="inlineStr">
        <is>
          <t>Bakery</t>
        </is>
      </c>
      <c r="C37" s="50" t="inlineStr">
        <is>
          <t>Product</t>
        </is>
      </c>
      <c r="D37" s="28">
        <f>IF(E37&lt;&gt;"",E37,IF(F37&lt;&gt;"",F37,""))</f>
        <v/>
      </c>
      <c r="E37" s="50" t="n">
        <v>39</v>
      </c>
      <c r="F37" s="50" t="n">
        <v>39</v>
      </c>
      <c r="G37" s="50" t="n">
        <v>38</v>
      </c>
      <c r="H37" s="50" t="n">
        <v>45</v>
      </c>
      <c r="I37" s="50" t="n">
        <v>38</v>
      </c>
      <c r="J37" s="28">
        <f>IF(OR(G37="",AND(H37="",I37="")),"n/a",IF(G37=I37,"mastered",IF(G37=H37,"normal","differs")))</f>
        <v/>
      </c>
      <c r="K37" s="28">
        <f>IF(L37&lt;&gt;"",L37,IF(M37&lt;&gt;"",M37,""))</f>
        <v/>
      </c>
      <c r="L37" s="50" t="n">
        <v>284</v>
      </c>
      <c r="M37" s="50" t="n">
        <v>284</v>
      </c>
      <c r="N37" s="28">
        <f>IF(O37&lt;&gt;"",O37,IF(P37&lt;&gt;"",P37,""))</f>
        <v/>
      </c>
      <c r="O37" s="50" t="n">
        <v>34</v>
      </c>
      <c r="P37" s="50" t="n">
        <v>34</v>
      </c>
      <c r="Q37" s="50" t="n">
        <v>40.78</v>
      </c>
      <c r="R37" s="50" t="n">
        <v>53.33</v>
      </c>
      <c r="S37" s="28">
        <f>IF(Q37="","",IF(Q37&lt;0,"negative profit",IF(Q37&gt;Notes!$B$4,"unusually high - verify","")))</f>
        <v/>
      </c>
      <c r="T37" s="28" t="inlineStr">
        <is>
          <t>both</t>
        </is>
      </c>
      <c r="U37" s="28">
        <f>IF(T37&lt;&gt;"both",T37&amp;" only",IF(V37="","agree","conflict"))</f>
        <v/>
      </c>
      <c r="V37" s="28">
        <f>IF(T37="both",TRIM(IF(AND(E37&lt;&gt;"",F37&lt;&gt;"",E37&lt;&gt;F37),"level ","")&amp;IF(AND(L37&lt;&gt;"",M37&lt;&gt;"",L37&lt;&gt;M37),"price ","")&amp;IF(AND(O37&lt;&gt;"",P37&lt;&gt;"",O37&lt;&gt;P37),"xp ","")&amp;IF(J37="differs","time","")),"")</f>
        <v/>
      </c>
      <c r="X37" s="50" t="inlineStr">
        <is>
          <t>Potato x2; White Sugar x1; Egg x3; Butter x1</t>
        </is>
      </c>
      <c r="Y37" s="50" t="inlineStr">
        <is>
          <t>Potato Bread.png</t>
        </is>
      </c>
      <c r="Z37" s="50" t="inlineStr">
        <is>
          <t>icons/Bakery/Potato Bread.png</t>
        </is>
      </c>
      <c r="AA37" s="28" t="inlineStr">
        <is>
          <t>hayday.info /api/production-data (2026-10-13) + Hay Day Wiki infobox via MediaWiki API (2026-10-13)</t>
        </is>
      </c>
      <c r="AB37" s="28" t="inlineStr">
        <is>
          <t>https://hayday.fandom.com/wiki/Potato_Bread</t>
        </is>
      </c>
      <c r="AC37" s="50" t="inlineStr">
        <is>
          <t>Potato bread</t>
        </is>
      </c>
    </row>
    <row r="38">
      <c r="A38" s="28" t="inlineStr">
        <is>
          <t>Frutti di Mare Pizza</t>
        </is>
      </c>
      <c r="B38" s="28" t="inlineStr">
        <is>
          <t>Bakery</t>
        </is>
      </c>
      <c r="C38" s="50" t="inlineStr">
        <is>
          <t>Product</t>
        </is>
      </c>
      <c r="D38" s="28">
        <f>IF(E38&lt;&gt;"",E38,IF(F38&lt;&gt;"",F38,""))</f>
        <v/>
      </c>
      <c r="E38" s="50" t="n">
        <v>45</v>
      </c>
      <c r="F38" s="50" t="n">
        <v>45</v>
      </c>
      <c r="G38" s="50" t="n">
        <v>12</v>
      </c>
      <c r="H38" s="50" t="n">
        <v>15</v>
      </c>
      <c r="I38" s="50" t="n">
        <v>12</v>
      </c>
      <c r="J38" s="28">
        <f>IF(OR(G38="",AND(H38="",I38="")),"n/a",IF(G38=I38,"mastered",IF(G38=H38,"normal","differs")))</f>
        <v/>
      </c>
      <c r="K38" s="28">
        <f>IF(L38&lt;&gt;"",L38,IF(M38&lt;&gt;"",M38,""))</f>
        <v/>
      </c>
      <c r="L38" s="50" t="n">
        <v>403</v>
      </c>
      <c r="M38" s="50" t="n">
        <v>403</v>
      </c>
      <c r="N38" s="28">
        <f>IF(O38&lt;&gt;"",O38,IF(P38&lt;&gt;"",P38,""))</f>
        <v/>
      </c>
      <c r="O38" s="50" t="n">
        <v>48</v>
      </c>
      <c r="P38" s="50" t="n">
        <v>48</v>
      </c>
      <c r="Q38" s="50" t="n">
        <v>94.12</v>
      </c>
      <c r="R38" s="50" t="n">
        <v>225.88</v>
      </c>
      <c r="S38" s="28">
        <f>IF(Q38="","",IF(Q38&lt;0,"negative profit",IF(Q38&gt;Notes!$B$4,"unusually high - verify","")))</f>
        <v/>
      </c>
      <c r="T38" s="28" t="inlineStr">
        <is>
          <t>both</t>
        </is>
      </c>
      <c r="U38" s="28">
        <f>IF(T38&lt;&gt;"both",T38&amp;" only",IF(V38="","agree","conflict"))</f>
        <v/>
      </c>
      <c r="V38" s="28">
        <f>IF(T38="both",TRIM(IF(AND(E38&lt;&gt;"",F38&lt;&gt;"",E38&lt;&gt;F38),"level ","")&amp;IF(AND(L38&lt;&gt;"",M38&lt;&gt;"",L38&lt;&gt;M38),"price ","")&amp;IF(AND(O38&lt;&gt;"",P38&lt;&gt;"",O38&lt;&gt;P38),"xp ","")&amp;IF(J38="differs","time","")),"")</f>
        <v/>
      </c>
      <c r="X38" s="50" t="inlineStr">
        <is>
          <t>Wheat x2; Fish Fillet x1; Lobster Tail x1; Cheese x1</t>
        </is>
      </c>
      <c r="Y38" s="50" t="inlineStr">
        <is>
          <t>Frutti_di_Mare_Pizza.png</t>
        </is>
      </c>
      <c r="Z38" s="50" t="inlineStr">
        <is>
          <t>icons/Bakery/Frutti di Mare Pizza.png</t>
        </is>
      </c>
      <c r="AA38" s="28" t="inlineStr">
        <is>
          <t>hayday.info /api/production-data (2026-10-13) + Hay Day Wiki infobox via MediaWiki API (2026-10-13)</t>
        </is>
      </c>
      <c r="AB38" s="28" t="inlineStr">
        <is>
          <t>https://hayday.fandom.com/wiki/Frutti_di_Mare_Pizza</t>
        </is>
      </c>
      <c r="AC38" s="50" t="inlineStr">
        <is>
          <t>Frutti di Mare pizza</t>
        </is>
      </c>
    </row>
    <row r="39">
      <c r="A39" s="28" t="inlineStr">
        <is>
          <t>Gingerbread Cookie</t>
        </is>
      </c>
      <c r="B39" s="28" t="inlineStr">
        <is>
          <t>Bakery</t>
        </is>
      </c>
      <c r="C39" s="50" t="inlineStr">
        <is>
          <t>Product</t>
        </is>
      </c>
      <c r="D39" s="28">
        <f>IF(E39&lt;&gt;"",E39,IF(F39&lt;&gt;"",F39,""))</f>
        <v/>
      </c>
      <c r="E39" s="50" t="n">
        <v>86</v>
      </c>
      <c r="F39" s="50" t="n">
        <v>86</v>
      </c>
      <c r="G39" s="50" t="n">
        <v>25</v>
      </c>
      <c r="H39" s="50" t="n">
        <v>30</v>
      </c>
      <c r="I39" s="50" t="n">
        <v>25</v>
      </c>
      <c r="J39" s="28">
        <f>IF(OR(G39="",AND(H39="",I39="")),"n/a",IF(G39=I39,"mastered",IF(G39=H39,"normal","differs")))</f>
        <v/>
      </c>
      <c r="K39" s="28">
        <f>IF(L39&lt;&gt;"",L39,IF(M39&lt;&gt;"",M39,""))</f>
        <v/>
      </c>
      <c r="L39" s="50" t="n">
        <v>273</v>
      </c>
      <c r="M39" s="50" t="n">
        <v>273</v>
      </c>
      <c r="N39" s="28">
        <f>IF(O39&lt;&gt;"",O39,IF(P39&lt;&gt;"",P39,""))</f>
        <v/>
      </c>
      <c r="O39" s="50" t="n">
        <v>33</v>
      </c>
      <c r="P39" s="50" t="n">
        <v>33</v>
      </c>
      <c r="Q39" s="50" t="n">
        <v>70.59</v>
      </c>
      <c r="R39" s="50" t="n">
        <v>77.65000000000001</v>
      </c>
      <c r="S39" s="28">
        <f>IF(Q39="","",IF(Q39&lt;0,"negative profit",IF(Q39&gt;Notes!$B$4,"unusually high - verify","")))</f>
        <v/>
      </c>
      <c r="T39" s="28" t="inlineStr">
        <is>
          <t>both</t>
        </is>
      </c>
      <c r="U39" s="28">
        <f>IF(T39&lt;&gt;"both",T39&amp;" only",IF(V39="","agree","conflict"))</f>
        <v/>
      </c>
      <c r="V39" s="28">
        <f>IF(T39="both",TRIM(IF(AND(E39&lt;&gt;"",F39&lt;&gt;"",E39&lt;&gt;F39),"level ","")&amp;IF(AND(L39&lt;&gt;"",M39&lt;&gt;"",L39&lt;&gt;M39),"price ","")&amp;IF(AND(O39&lt;&gt;"",P39&lt;&gt;"",O39&lt;&gt;P39),"xp ","")&amp;IF(J39="differs","time","")),"")</f>
        <v/>
      </c>
      <c r="X39" s="50" t="inlineStr">
        <is>
          <t>Wheat x5; Butter x1; Syrup x1; Ginger x2</t>
        </is>
      </c>
      <c r="Y39" s="50" t="inlineStr">
        <is>
          <t>Gingerbread Cookie.png</t>
        </is>
      </c>
      <c r="Z39" s="50" t="inlineStr">
        <is>
          <t>icons/Bakery/Gingerbread Cookie.png</t>
        </is>
      </c>
      <c r="AA39" s="28" t="inlineStr">
        <is>
          <t>hayday.info /api/production-data (2026-10-13) + Hay Day Wiki infobox via MediaWiki API (2026-10-13)</t>
        </is>
      </c>
      <c r="AB39" s="28" t="inlineStr">
        <is>
          <t>https://hayday.fandom.com/wiki/Gingerbread_Cookie</t>
        </is>
      </c>
      <c r="AC39" s="50" t="inlineStr">
        <is>
          <t>Gingerbread cookie</t>
        </is>
      </c>
    </row>
    <row r="40">
      <c r="A40" s="28" t="inlineStr">
        <is>
          <t>Banana Bread</t>
        </is>
      </c>
      <c r="B40" s="28" t="inlineStr">
        <is>
          <t>Bakery</t>
        </is>
      </c>
      <c r="C40" s="50" t="inlineStr">
        <is>
          <t>Product</t>
        </is>
      </c>
      <c r="D40" s="28">
        <f>IF(E40&lt;&gt;"",E40,IF(F40&lt;&gt;"",F40,""))</f>
        <v/>
      </c>
      <c r="E40" s="50" t="n">
        <v>91</v>
      </c>
      <c r="F40" s="50" t="n">
        <v>91</v>
      </c>
      <c r="G40" s="50" t="n">
        <v>25</v>
      </c>
      <c r="H40" s="50" t="n">
        <v>30</v>
      </c>
      <c r="I40" s="50" t="n">
        <v>25</v>
      </c>
      <c r="J40" s="28">
        <f>IF(OR(G40="",AND(H40="",I40="")),"n/a",IF(G40=I40,"mastered",IF(G40=H40,"normal","differs")))</f>
        <v/>
      </c>
      <c r="K40" s="28">
        <f>IF(L40&lt;&gt;"",L40,IF(M40&lt;&gt;"",M40,""))</f>
        <v/>
      </c>
      <c r="L40" s="50" t="n">
        <v>424</v>
      </c>
      <c r="M40" s="50" t="n">
        <v>424</v>
      </c>
      <c r="N40" s="28">
        <f>IF(O40&lt;&gt;"",O40,IF(P40&lt;&gt;"",P40,""))</f>
        <v/>
      </c>
      <c r="O40" s="50" t="n">
        <v>50</v>
      </c>
      <c r="P40" s="50" t="n">
        <v>50</v>
      </c>
      <c r="Q40" s="50" t="n">
        <v>49.41</v>
      </c>
      <c r="R40" s="50" t="n">
        <v>117.65</v>
      </c>
      <c r="S40" s="28">
        <f>IF(Q40="","",IF(Q40&lt;0,"negative profit",IF(Q40&gt;Notes!$B$4,"unusually high - verify","")))</f>
        <v/>
      </c>
      <c r="T40" s="28" t="inlineStr">
        <is>
          <t>both</t>
        </is>
      </c>
      <c r="U40" s="28">
        <f>IF(T40&lt;&gt;"both",T40&amp;" only",IF(V40="","agree","conflict"))</f>
        <v/>
      </c>
      <c r="V40" s="28">
        <f>IF(T40="both",TRIM(IF(AND(E40&lt;&gt;"",F40&lt;&gt;"",E40&lt;&gt;F40),"level ","")&amp;IF(AND(L40&lt;&gt;"",M40&lt;&gt;"",L40&lt;&gt;M40),"price ","")&amp;IF(AND(O40&lt;&gt;"",P40&lt;&gt;"",O40&lt;&gt;P40),"xp ","")&amp;IF(J40="differs","time","")),"")</f>
        <v/>
      </c>
      <c r="X40" s="50" t="inlineStr">
        <is>
          <t>Banana x3; Grapes x2; Wheat x3; Egg x1</t>
        </is>
      </c>
      <c r="Y40" s="50" t="inlineStr">
        <is>
          <t>Banana Bread.png</t>
        </is>
      </c>
      <c r="Z40" s="50" t="inlineStr">
        <is>
          <t>icons/Bakery/Banana Bread.png</t>
        </is>
      </c>
      <c r="AA40" s="28" t="inlineStr">
        <is>
          <t>hayday.info /api/production-data (2026-10-13) + Hay Day Wiki infobox via MediaWiki API (2026-10-13)</t>
        </is>
      </c>
      <c r="AB40" s="28" t="inlineStr">
        <is>
          <t>https://hayday.fandom.com/wiki/Banana_Bread</t>
        </is>
      </c>
      <c r="AC40" s="50" t="inlineStr">
        <is>
          <t>Banana bread</t>
        </is>
      </c>
    </row>
    <row r="41">
      <c r="A41" s="28" t="inlineStr">
        <is>
          <t>Macaroon</t>
        </is>
      </c>
      <c r="B41" s="28" t="inlineStr">
        <is>
          <t>Bakery</t>
        </is>
      </c>
      <c r="C41" s="50" t="inlineStr">
        <is>
          <t>Product</t>
        </is>
      </c>
      <c r="D41" s="28">
        <f>IF(E41&lt;&gt;"",E41,IF(F41&lt;&gt;"",F41,""))</f>
        <v/>
      </c>
      <c r="E41" s="50" t="n">
        <v>101</v>
      </c>
      <c r="F41" s="50" t="n">
        <v>101</v>
      </c>
      <c r="G41" s="50" t="n">
        <v>30</v>
      </c>
      <c r="H41" s="50" t="n">
        <v>30</v>
      </c>
      <c r="I41" s="50" t="n">
        <v>25</v>
      </c>
      <c r="J41" s="28">
        <f>IF(OR(G41="",AND(H41="",I41="")),"n/a",IF(G41=I41,"mastered",IF(G41=H41,"normal","differs")))</f>
        <v/>
      </c>
      <c r="K41" s="28">
        <f>IF(L41&lt;&gt;"",L41,IF(M41&lt;&gt;"",M41,""))</f>
        <v/>
      </c>
      <c r="L41" s="50" t="n">
        <v>421</v>
      </c>
      <c r="M41" s="50" t="n">
        <v>421</v>
      </c>
      <c r="N41" s="28">
        <f>IF(O41&lt;&gt;"",O41,IF(P41&lt;&gt;"",P41,""))</f>
        <v/>
      </c>
      <c r="O41" s="50" t="n">
        <v>50</v>
      </c>
      <c r="P41" s="50" t="n">
        <v>50</v>
      </c>
      <c r="Q41" s="50" t="n">
        <v>38</v>
      </c>
      <c r="R41" s="50" t="n">
        <v>100</v>
      </c>
      <c r="S41" s="28">
        <f>IF(Q41="","",IF(Q41&lt;0,"negative profit",IF(Q41&gt;Notes!$B$4,"unusually high - verify","")))</f>
        <v/>
      </c>
      <c r="T41" s="28" t="inlineStr">
        <is>
          <t>both</t>
        </is>
      </c>
      <c r="U41" s="28">
        <f>IF(T41&lt;&gt;"both",T41&amp;" only",IF(V41="","agree","conflict"))</f>
        <v/>
      </c>
      <c r="V41" s="28">
        <f>IF(T41="both",TRIM(IF(AND(E41&lt;&gt;"",F41&lt;&gt;"",E41&lt;&gt;F41),"level ","")&amp;IF(AND(L41&lt;&gt;"",M41&lt;&gt;"",L41&lt;&gt;M41),"price ","")&amp;IF(AND(O41&lt;&gt;"",P41&lt;&gt;"",O41&lt;&gt;P41),"xp ","")&amp;IF(J41="differs","time","")),"")</f>
        <v/>
      </c>
      <c r="X41" s="50" t="inlineStr">
        <is>
          <t>Cacao x1; Coconut x2; White Sugar x2</t>
        </is>
      </c>
      <c r="Y41" s="50" t="inlineStr">
        <is>
          <t>Macaroon.png</t>
        </is>
      </c>
      <c r="Z41" s="50" t="inlineStr">
        <is>
          <t>icons/Bakery/Macaroon.png</t>
        </is>
      </c>
      <c r="AA41" s="28" t="inlineStr">
        <is>
          <t>hayday.info /api/production-data (2026-10-13) + Hay Day Wiki infobox via MediaWiki API (2026-10-13)</t>
        </is>
      </c>
      <c r="AB41" s="28" t="inlineStr">
        <is>
          <t>https://hayday.fandom.com/wiki/Macaroon</t>
        </is>
      </c>
      <c r="AC41" s="50" t="inlineStr">
        <is>
          <t>Macaroon</t>
        </is>
      </c>
    </row>
    <row r="42">
      <c r="A42" s="28" t="inlineStr">
        <is>
          <t>Blueberry Muffin</t>
        </is>
      </c>
      <c r="B42" s="28" t="inlineStr">
        <is>
          <t>Bakery</t>
        </is>
      </c>
      <c r="C42" s="50" t="inlineStr">
        <is>
          <t>Product</t>
        </is>
      </c>
      <c r="D42" s="28">
        <f>IF(E42&lt;&gt;"",E42,IF(F42&lt;&gt;"",F42,""))</f>
        <v/>
      </c>
      <c r="E42" s="50" t="n"/>
      <c r="F42" s="50" t="n">
        <v>33</v>
      </c>
      <c r="G42" s="50" t="n"/>
      <c r="H42" s="50" t="n">
        <v>45</v>
      </c>
      <c r="I42" s="50" t="n">
        <v>38</v>
      </c>
      <c r="J42" s="28">
        <f>IF(OR(G42="",AND(H42="",I42="")),"n/a",IF(G42=I42,"mastered",IF(G42=H42,"normal","differs")))</f>
        <v/>
      </c>
      <c r="K42" s="28">
        <f>IF(L42&lt;&gt;"",L42,IF(M42&lt;&gt;"",M42,""))</f>
        <v/>
      </c>
      <c r="L42" s="50" t="n"/>
      <c r="M42" s="50" t="n">
        <v>230</v>
      </c>
      <c r="N42" s="28">
        <f>IF(O42&lt;&gt;"",O42,IF(P42&lt;&gt;"",P42,""))</f>
        <v/>
      </c>
      <c r="O42" s="50" t="n"/>
      <c r="P42" s="50" t="n">
        <v>28</v>
      </c>
      <c r="Q42" s="50" t="n"/>
      <c r="R42" s="50" t="n"/>
      <c r="S42" s="28">
        <f>IF(Q42="","",IF(Q42&lt;0,"negative profit",IF(Q42&gt;Notes!$B$4,"unusually high - verify","")))</f>
        <v/>
      </c>
      <c r="T42" s="28" t="inlineStr">
        <is>
          <t>Fandom</t>
        </is>
      </c>
      <c r="U42" s="28">
        <f>IF(T42&lt;&gt;"both",T42&amp;" only",IF(V42="","agree","conflict"))</f>
        <v/>
      </c>
      <c r="V42" s="28">
        <f>IF(T42="both",TRIM(IF(AND(E42&lt;&gt;"",F42&lt;&gt;"",E42&lt;&gt;F42),"level ","")&amp;IF(AND(L42&lt;&gt;"",M42&lt;&gt;"",L42&lt;&gt;M42),"price ","")&amp;IF(AND(O42&lt;&gt;"",P42&lt;&gt;"",O42&lt;&gt;P42),"xp ","")&amp;IF(J42="differs","time","")),"")</f>
        <v/>
      </c>
      <c r="X42" s="50" t="inlineStr">
        <is>
          <t>Wheat x1; Egg x2; Blueberries x2</t>
        </is>
      </c>
      <c r="Y42" s="50" t="inlineStr">
        <is>
          <t>Blueberry_Muffin.png</t>
        </is>
      </c>
      <c r="Z42" s="50" t="inlineStr">
        <is>
          <t>icons/Bakery/Blueberry Muffin.png</t>
        </is>
      </c>
      <c r="AA42" s="28" t="inlineStr">
        <is>
          <t>Hay Day Wiki infobox via MediaWiki API (2026-10-13)</t>
        </is>
      </c>
      <c r="AB42" s="28" t="inlineStr">
        <is>
          <t>https://hayday.fandom.com/wiki/Blueberry_Muffin</t>
        </is>
      </c>
      <c r="AC42" s="50" t="n"/>
    </row>
    <row r="43">
      <c r="A43" s="28" t="inlineStr">
        <is>
          <t>Pineapple Coconut Bars</t>
        </is>
      </c>
      <c r="B43" s="28" t="inlineStr">
        <is>
          <t>Bakery</t>
        </is>
      </c>
      <c r="C43" s="50" t="inlineStr">
        <is>
          <t>Product</t>
        </is>
      </c>
      <c r="D43" s="28">
        <f>IF(E43&lt;&gt;"",E43,IF(F43&lt;&gt;"",F43,""))</f>
        <v/>
      </c>
      <c r="E43" s="50" t="n"/>
      <c r="F43" s="50" t="n">
        <v>120</v>
      </c>
      <c r="G43" s="50" t="n"/>
      <c r="H43" s="50" t="n">
        <v>40</v>
      </c>
      <c r="I43" s="50" t="n">
        <v>34</v>
      </c>
      <c r="J43" s="28">
        <f>IF(OR(G43="",AND(H43="",I43="")),"n/a",IF(G43=I43,"mastered",IF(G43=H43,"normal","differs")))</f>
        <v/>
      </c>
      <c r="K43" s="28">
        <f>IF(L43&lt;&gt;"",L43,IF(M43&lt;&gt;"",M43,""))</f>
        <v/>
      </c>
      <c r="L43" s="50" t="n"/>
      <c r="M43" s="50" t="n">
        <v>284</v>
      </c>
      <c r="N43" s="28">
        <f>IF(O43&lt;&gt;"",O43,IF(P43&lt;&gt;"",P43,""))</f>
        <v/>
      </c>
      <c r="O43" s="50" t="n"/>
      <c r="P43" s="50" t="n">
        <v>34</v>
      </c>
      <c r="Q43" s="50" t="n"/>
      <c r="R43" s="50" t="n"/>
      <c r="S43" s="28">
        <f>IF(Q43="","",IF(Q43&lt;0,"negative profit",IF(Q43&gt;Notes!$B$4,"unusually high - verify","")))</f>
        <v/>
      </c>
      <c r="T43" s="28" t="inlineStr">
        <is>
          <t>Fandom</t>
        </is>
      </c>
      <c r="U43" s="28">
        <f>IF(T43&lt;&gt;"both",T43&amp;" only",IF(V43="","agree","conflict"))</f>
        <v/>
      </c>
      <c r="V43" s="28">
        <f>IF(T43="both",TRIM(IF(AND(E43&lt;&gt;"",F43&lt;&gt;"",E43&lt;&gt;F43),"level ","")&amp;IF(AND(L43&lt;&gt;"",M43&lt;&gt;"",L43&lt;&gt;M43),"price ","")&amp;IF(AND(O43&lt;&gt;"",P43&lt;&gt;"",O43&lt;&gt;P43),"xp ","")&amp;IF(J43="differs","time","")),"")</f>
        <v/>
      </c>
      <c r="X43" s="50" t="inlineStr">
        <is>
          <t>Coconut x1; White Sugar x2; Oats x3; Pineapple x2</t>
        </is>
      </c>
      <c r="Y43" s="50" t="inlineStr">
        <is>
          <t>Pineapple Coconut Bars.png</t>
        </is>
      </c>
      <c r="Z43" s="50" t="inlineStr">
        <is>
          <t>icons/Bakery/Pineapple Coconut Bars.png</t>
        </is>
      </c>
      <c r="AA43" s="28" t="inlineStr">
        <is>
          <t>Hay Day Wiki infobox via MediaWiki API (2026-10-13)</t>
        </is>
      </c>
      <c r="AB43" s="28" t="inlineStr">
        <is>
          <t>https://hayday.fandom.com/wiki/Pineapple_Coconut_Bars</t>
        </is>
      </c>
      <c r="AC43" s="50" t="n"/>
    </row>
    <row r="44">
      <c r="A44" s="28" t="inlineStr">
        <is>
          <t>Honey Soap</t>
        </is>
      </c>
      <c r="B44" s="28" t="inlineStr">
        <is>
          <t>Bath Kiosk</t>
        </is>
      </c>
      <c r="C44" s="50" t="inlineStr">
        <is>
          <t>Product</t>
        </is>
      </c>
      <c r="D44" s="28">
        <f>IF(E44&lt;&gt;"",E44,IF(F44&lt;&gt;"",F44,""))</f>
        <v/>
      </c>
      <c r="E44" s="50" t="n">
        <v>84</v>
      </c>
      <c r="F44" s="50" t="n">
        <v>84</v>
      </c>
      <c r="G44" s="50" t="n">
        <v>51</v>
      </c>
      <c r="H44" s="50" t="n">
        <v>60</v>
      </c>
      <c r="I44" s="50" t="n">
        <v>51</v>
      </c>
      <c r="J44" s="28">
        <f>IF(OR(G44="",AND(H44="",I44="")),"n/a",IF(G44=I44,"mastered",IF(G44=H44,"normal","differs")))</f>
        <v/>
      </c>
      <c r="K44" s="28">
        <f>IF(L44&lt;&gt;"",L44,IF(M44&lt;&gt;"",M44,""))</f>
        <v/>
      </c>
      <c r="L44" s="50" t="n">
        <v>327</v>
      </c>
      <c r="M44" s="50" t="n">
        <v>327</v>
      </c>
      <c r="N44" s="28">
        <f>IF(O44&lt;&gt;"",O44,IF(P44&lt;&gt;"",P44,""))</f>
        <v/>
      </c>
      <c r="O44" s="50" t="n">
        <v>39</v>
      </c>
      <c r="P44" s="50" t="n">
        <v>39</v>
      </c>
      <c r="Q44" s="50" t="n">
        <v>27.06</v>
      </c>
      <c r="R44" s="50" t="n">
        <v>45.88</v>
      </c>
      <c r="S44" s="28">
        <f>IF(Q44="","",IF(Q44&lt;0,"negative profit",IF(Q44&gt;Notes!$B$4,"unusually high - verify","")))</f>
        <v/>
      </c>
      <c r="T44" s="28" t="inlineStr">
        <is>
          <t>both</t>
        </is>
      </c>
      <c r="U44" s="28">
        <f>IF(T44&lt;&gt;"both",T44&amp;" only",IF(V44="","agree","conflict"))</f>
        <v/>
      </c>
      <c r="V44" s="28">
        <f>IF(T44="both",TRIM(IF(AND(E44&lt;&gt;"",F44&lt;&gt;"",E44&lt;&gt;F44),"level ","")&amp;IF(AND(L44&lt;&gt;"",M44&lt;&gt;"",L44&lt;&gt;M44),"price ","")&amp;IF(AND(O44&lt;&gt;"",P44&lt;&gt;"",O44&lt;&gt;P44),"xp ","")&amp;IF(J44="differs","time","")),"")</f>
        <v/>
      </c>
      <c r="X44" s="50" t="inlineStr">
        <is>
          <t>Goat Milk x1; Cacao x2; Honeycomb x1</t>
        </is>
      </c>
      <c r="Y44" s="50" t="inlineStr">
        <is>
          <t>Honey Soap.png</t>
        </is>
      </c>
      <c r="Z44" s="50" t="inlineStr">
        <is>
          <t>icons/Bath Kiosk/Honey Soap.png</t>
        </is>
      </c>
      <c r="AA44" s="28" t="inlineStr">
        <is>
          <t>hayday.info /api/production-data (2026-10-13) + Hay Day Wiki infobox via MediaWiki API (2026-10-13)</t>
        </is>
      </c>
      <c r="AB44" s="28" t="inlineStr">
        <is>
          <t>https://hayday.fandom.com/wiki/Honey_Soap</t>
        </is>
      </c>
      <c r="AC44" s="50" t="inlineStr">
        <is>
          <t>Honey soap</t>
        </is>
      </c>
    </row>
    <row r="45">
      <c r="A45" s="28" t="inlineStr">
        <is>
          <t>Lemon Lotion</t>
        </is>
      </c>
      <c r="B45" s="28" t="inlineStr">
        <is>
          <t>Bath Kiosk</t>
        </is>
      </c>
      <c r="C45" s="50" t="inlineStr">
        <is>
          <t>Product</t>
        </is>
      </c>
      <c r="D45" s="28">
        <f>IF(E45&lt;&gt;"",E45,IF(F45&lt;&gt;"",F45,""))</f>
        <v/>
      </c>
      <c r="E45" s="50" t="n">
        <v>84</v>
      </c>
      <c r="F45" s="50" t="n">
        <v>84</v>
      </c>
      <c r="G45" s="50" t="n">
        <v>63</v>
      </c>
      <c r="H45" s="50" t="n">
        <v>75</v>
      </c>
      <c r="I45" s="50" t="n">
        <v>63</v>
      </c>
      <c r="J45" s="28">
        <f>IF(OR(G45="",AND(H45="",I45="")),"n/a",IF(G45=I45,"mastered",IF(G45=H45,"normal","differs")))</f>
        <v/>
      </c>
      <c r="K45" s="28">
        <f>IF(L45&lt;&gt;"",L45,IF(M45&lt;&gt;"",M45,""))</f>
        <v/>
      </c>
      <c r="L45" s="50" t="n">
        <v>403</v>
      </c>
      <c r="M45" s="50" t="n">
        <v>403</v>
      </c>
      <c r="N45" s="28">
        <f>IF(O45&lt;&gt;"",O45,IF(P45&lt;&gt;"",P45,""))</f>
        <v/>
      </c>
      <c r="O45" s="50" t="n">
        <v>48</v>
      </c>
      <c r="P45" s="50" t="n">
        <v>48</v>
      </c>
      <c r="Q45" s="50" t="n">
        <v>31.06</v>
      </c>
      <c r="R45" s="50" t="n">
        <v>45.18</v>
      </c>
      <c r="S45" s="28">
        <f>IF(Q45="","",IF(Q45&lt;0,"negative profit",IF(Q45&gt;Notes!$B$4,"unusually high - verify","")))</f>
        <v/>
      </c>
      <c r="T45" s="28" t="inlineStr">
        <is>
          <t>both</t>
        </is>
      </c>
      <c r="U45" s="28">
        <f>IF(T45&lt;&gt;"both",T45&amp;" only",IF(V45="","agree","conflict"))</f>
        <v/>
      </c>
      <c r="V45" s="28">
        <f>IF(T45="both",TRIM(IF(AND(E45&lt;&gt;"",F45&lt;&gt;"",E45&lt;&gt;F45),"level ","")&amp;IF(AND(L45&lt;&gt;"",M45&lt;&gt;"",L45&lt;&gt;M45),"price ","")&amp;IF(AND(O45&lt;&gt;"",P45&lt;&gt;"",O45&lt;&gt;P45),"xp ","")&amp;IF(J45="differs","time","")),"")</f>
        <v/>
      </c>
      <c r="X45" s="50" t="inlineStr">
        <is>
          <t>Olive Oil x1; Lemon x1</t>
        </is>
      </c>
      <c r="Y45" s="50" t="inlineStr">
        <is>
          <t>Lemon Lotion.png</t>
        </is>
      </c>
      <c r="Z45" s="50" t="inlineStr">
        <is>
          <t>icons/Bath Kiosk/Lemon Lotion.png</t>
        </is>
      </c>
      <c r="AA45" s="28" t="inlineStr">
        <is>
          <t>hayday.info /api/production-data (2026-10-13) + Hay Day Wiki infobox via MediaWiki API (2026-10-13)</t>
        </is>
      </c>
      <c r="AB45" s="28" t="inlineStr">
        <is>
          <t>https://hayday.fandom.com/wiki/Lemon_Lotion</t>
        </is>
      </c>
      <c r="AC45" s="50" t="inlineStr">
        <is>
          <t>Lemon lotion</t>
        </is>
      </c>
    </row>
    <row r="46">
      <c r="A46" s="28" t="inlineStr">
        <is>
          <t>Exfoliating Soap</t>
        </is>
      </c>
      <c r="B46" s="28" t="inlineStr">
        <is>
          <t>Bath Kiosk</t>
        </is>
      </c>
      <c r="C46" s="50" t="inlineStr">
        <is>
          <t>Product</t>
        </is>
      </c>
      <c r="D46" s="28">
        <f>IF(E46&lt;&gt;"",E46,IF(F46&lt;&gt;"",F46,""))</f>
        <v/>
      </c>
      <c r="E46" s="50" t="n">
        <v>93</v>
      </c>
      <c r="F46" s="50" t="n">
        <v>93</v>
      </c>
      <c r="G46" s="50" t="n">
        <v>51</v>
      </c>
      <c r="H46" s="50" t="n">
        <v>60</v>
      </c>
      <c r="I46" s="50" t="n">
        <v>51</v>
      </c>
      <c r="J46" s="28">
        <f>IF(OR(G46="",AND(H46="",I46="")),"n/a",IF(G46=I46,"mastered",IF(G46=H46,"normal","differs")))</f>
        <v/>
      </c>
      <c r="K46" s="28">
        <f>IF(L46&lt;&gt;"",L46,IF(M46&lt;&gt;"",M46,""))</f>
        <v/>
      </c>
      <c r="L46" s="50" t="n">
        <v>363</v>
      </c>
      <c r="M46" s="50" t="n">
        <v>363</v>
      </c>
      <c r="N46" s="28">
        <f>IF(O46&lt;&gt;"",O46,IF(P46&lt;&gt;"",P46,""))</f>
        <v/>
      </c>
      <c r="O46" s="50" t="n">
        <v>43</v>
      </c>
      <c r="P46" s="50" t="n">
        <v>43</v>
      </c>
      <c r="Q46" s="50" t="n">
        <v>20</v>
      </c>
      <c r="R46" s="50" t="n">
        <v>50.59</v>
      </c>
      <c r="S46" s="28">
        <f>IF(Q46="","",IF(Q46&lt;0,"negative profit",IF(Q46&gt;Notes!$B$4,"unusually high - verify","")))</f>
        <v/>
      </c>
      <c r="T46" s="28" t="inlineStr">
        <is>
          <t>both</t>
        </is>
      </c>
      <c r="U46" s="28">
        <f>IF(T46&lt;&gt;"both",T46&amp;" only",IF(V46="","agree","conflict"))</f>
        <v/>
      </c>
      <c r="V46" s="28">
        <f>IF(T46="both",TRIM(IF(AND(E46&lt;&gt;"",F46&lt;&gt;"",E46&lt;&gt;F46),"level ","")&amp;IF(AND(L46&lt;&gt;"",M46&lt;&gt;"",L46&lt;&gt;M46),"price ","")&amp;IF(AND(O46&lt;&gt;"",P46&lt;&gt;"",O46&lt;&gt;P46),"xp ","")&amp;IF(J46="differs","time","")),"")</f>
        <v/>
      </c>
      <c r="X46" s="50" t="inlineStr">
        <is>
          <t>Cacao x2; Coffee Bean x2; Raspberry x1</t>
        </is>
      </c>
      <c r="Y46" s="50" t="inlineStr">
        <is>
          <t>Exfoliating Soap.png</t>
        </is>
      </c>
      <c r="Z46" s="50" t="inlineStr">
        <is>
          <t>icons/Bath Kiosk/Exfoliating Soap.png</t>
        </is>
      </c>
      <c r="AA46" s="28" t="inlineStr">
        <is>
          <t>hayday.info /api/production-data (2026-10-13) + Hay Day Wiki infobox via MediaWiki API (2026-10-13)</t>
        </is>
      </c>
      <c r="AB46" s="28" t="inlineStr">
        <is>
          <t>https://hayday.fandom.com/wiki/Exfoliating_Soap</t>
        </is>
      </c>
      <c r="AC46" s="50" t="inlineStr">
        <is>
          <t>Exfoliating soap</t>
        </is>
      </c>
    </row>
    <row r="47">
      <c r="A47" s="28" t="inlineStr">
        <is>
          <t>Honey Face Mask</t>
        </is>
      </c>
      <c r="B47" s="28" t="inlineStr">
        <is>
          <t>Bath Kiosk</t>
        </is>
      </c>
      <c r="C47" s="50" t="inlineStr">
        <is>
          <t>Product</t>
        </is>
      </c>
      <c r="D47" s="28">
        <f>IF(E47&lt;&gt;"",E47,IF(F47&lt;&gt;"",F47,""))</f>
        <v/>
      </c>
      <c r="E47" s="50" t="n">
        <v>99</v>
      </c>
      <c r="F47" s="50" t="n">
        <v>99</v>
      </c>
      <c r="G47" s="50" t="n">
        <v>76</v>
      </c>
      <c r="H47" s="50" t="n">
        <v>90</v>
      </c>
      <c r="I47" s="50" t="n">
        <v>77</v>
      </c>
      <c r="J47" s="28">
        <f>IF(OR(G47="",AND(H47="",I47="")),"n/a",IF(G47=I47,"mastered",IF(G47=H47,"normal","differs")))</f>
        <v/>
      </c>
      <c r="K47" s="28">
        <f>IF(L47&lt;&gt;"",L47,IF(M47&lt;&gt;"",M47,""))</f>
        <v/>
      </c>
      <c r="L47" s="50" t="n">
        <v>320</v>
      </c>
      <c r="M47" s="50" t="n">
        <v>320</v>
      </c>
      <c r="N47" s="28">
        <f>IF(O47&lt;&gt;"",O47,IF(P47&lt;&gt;"",P47,""))</f>
        <v/>
      </c>
      <c r="O47" s="50" t="n">
        <v>38</v>
      </c>
      <c r="P47" s="50" t="n">
        <v>38</v>
      </c>
      <c r="Q47" s="50" t="n">
        <v>29.02</v>
      </c>
      <c r="R47" s="50" t="n">
        <v>29.8</v>
      </c>
      <c r="S47" s="28">
        <f>IF(Q47="","",IF(Q47&lt;0,"negative profit",IF(Q47&gt;Notes!$B$4,"unusually high - verify","")))</f>
        <v/>
      </c>
      <c r="T47" s="28" t="inlineStr">
        <is>
          <t>both</t>
        </is>
      </c>
      <c r="U47" s="28">
        <f>IF(T47&lt;&gt;"both",T47&amp;" only",IF(V47="","agree","conflict"))</f>
        <v/>
      </c>
      <c r="V47" s="28">
        <f>IF(T47="both",TRIM(IF(AND(E47&lt;&gt;"",F47&lt;&gt;"",E47&lt;&gt;F47),"level ","")&amp;IF(AND(L47&lt;&gt;"",M47&lt;&gt;"",L47&lt;&gt;M47),"price ","")&amp;IF(AND(O47&lt;&gt;"",P47&lt;&gt;"",O47&lt;&gt;P47),"xp ","")&amp;IF(J47="differs","time","")),"")</f>
        <v/>
      </c>
      <c r="X47" s="50" t="inlineStr">
        <is>
          <t>Egg x2; Honey x1; Lemon x1</t>
        </is>
      </c>
      <c r="Y47" s="50" t="inlineStr">
        <is>
          <t>Honey Face Mask.png</t>
        </is>
      </c>
      <c r="Z47" s="50" t="inlineStr">
        <is>
          <t>icons/Bath Kiosk/Honey Face Mask.png</t>
        </is>
      </c>
      <c r="AA47" s="28" t="inlineStr">
        <is>
          <t>hayday.info /api/production-data (2026-10-13) + Hay Day Wiki infobox via MediaWiki API (2026-10-13)</t>
        </is>
      </c>
      <c r="AB47" s="28" t="inlineStr">
        <is>
          <t>https://hayday.fandom.com/wiki/Honey_Face_Mask</t>
        </is>
      </c>
      <c r="AC47" s="50" t="inlineStr">
        <is>
          <t>Honey face mask</t>
        </is>
      </c>
    </row>
    <row r="48">
      <c r="A48" s="28" t="inlineStr">
        <is>
          <t>Rich Soap</t>
        </is>
      </c>
      <c r="B48" s="28" t="inlineStr">
        <is>
          <t>Bath Kiosk</t>
        </is>
      </c>
      <c r="C48" s="50" t="inlineStr">
        <is>
          <t>Product</t>
        </is>
      </c>
      <c r="D48" s="28">
        <f>IF(E48&lt;&gt;"",E48,IF(F48&lt;&gt;"",F48,""))</f>
        <v/>
      </c>
      <c r="E48" s="50" t="n"/>
      <c r="F48" s="50" t="n">
        <v>121</v>
      </c>
      <c r="G48" s="50" t="n"/>
      <c r="H48" s="50" t="n">
        <v>70</v>
      </c>
      <c r="I48" s="50" t="n">
        <v>59</v>
      </c>
      <c r="J48" s="28">
        <f>IF(OR(G48="",AND(H48="",I48="")),"n/a",IF(G48=I48,"mastered",IF(G48=H48,"normal","differs")))</f>
        <v/>
      </c>
      <c r="K48" s="28">
        <f>IF(L48&lt;&gt;"",L48,IF(M48&lt;&gt;"",M48,""))</f>
        <v/>
      </c>
      <c r="L48" s="50" t="n"/>
      <c r="M48" s="50" t="n">
        <v>266</v>
      </c>
      <c r="N48" s="28">
        <f>IF(O48&lt;&gt;"",O48,IF(P48&lt;&gt;"",P48,""))</f>
        <v/>
      </c>
      <c r="O48" s="50" t="n"/>
      <c r="P48" s="50" t="n">
        <v>32</v>
      </c>
      <c r="Q48" s="50" t="n"/>
      <c r="R48" s="50" t="n"/>
      <c r="S48" s="28">
        <f>IF(Q48="","",IF(Q48&lt;0,"negative profit",IF(Q48&gt;Notes!$B$4,"unusually high - verify","")))</f>
        <v/>
      </c>
      <c r="T48" s="28" t="inlineStr">
        <is>
          <t>Fandom</t>
        </is>
      </c>
      <c r="U48" s="28">
        <f>IF(T48&lt;&gt;"both",T48&amp;" only",IF(V48="","agree","conflict"))</f>
        <v/>
      </c>
      <c r="V48" s="28">
        <f>IF(T48="both",TRIM(IF(AND(E48&lt;&gt;"",F48&lt;&gt;"",E48&lt;&gt;F48),"level ","")&amp;IF(AND(L48&lt;&gt;"",M48&lt;&gt;"",L48&lt;&gt;M48),"price ","")&amp;IF(AND(O48&lt;&gt;"",P48&lt;&gt;"",O48&lt;&gt;P48),"xp ","")&amp;IF(J48="differs","time","")),"")</f>
        <v/>
      </c>
      <c r="X48" s="50" t="inlineStr">
        <is>
          <t>Oats x2; Pomegranate x1; Coconut x1</t>
        </is>
      </c>
      <c r="Y48" s="50" t="inlineStr">
        <is>
          <t>Rich Soap.png</t>
        </is>
      </c>
      <c r="Z48" s="50" t="inlineStr">
        <is>
          <t>icons/Bath Kiosk/Rich Soap.png</t>
        </is>
      </c>
      <c r="AA48" s="28" t="inlineStr">
        <is>
          <t>Hay Day Wiki infobox via MediaWiki API (2026-10-13)</t>
        </is>
      </c>
      <c r="AB48" s="28" t="inlineStr">
        <is>
          <t>https://hayday.fandom.com/wiki/Rich_Soap</t>
        </is>
      </c>
      <c r="AC48" s="50" t="n"/>
    </row>
    <row r="49">
      <c r="A49" s="28" t="inlineStr">
        <is>
          <t>Carrot Cake</t>
        </is>
      </c>
      <c r="B49" s="28" t="inlineStr">
        <is>
          <t>Cake Oven</t>
        </is>
      </c>
      <c r="C49" s="50" t="inlineStr">
        <is>
          <t>Product</t>
        </is>
      </c>
      <c r="D49" s="28">
        <f>IF(E49&lt;&gt;"",E49,IF(F49&lt;&gt;"",F49,""))</f>
        <v/>
      </c>
      <c r="E49" s="50" t="n">
        <v>21</v>
      </c>
      <c r="F49" s="50" t="n">
        <v>21</v>
      </c>
      <c r="G49" s="50" t="n">
        <v>76</v>
      </c>
      <c r="H49" s="50" t="n">
        <v>90</v>
      </c>
      <c r="I49" s="50" t="n">
        <v>76</v>
      </c>
      <c r="J49" s="28">
        <f>IF(OR(G49="",AND(H49="",I49="")),"n/a",IF(G49=I49,"mastered",IF(G49=H49,"normal","differs")))</f>
        <v/>
      </c>
      <c r="K49" s="28">
        <f>IF(L49&lt;&gt;"",L49,IF(M49&lt;&gt;"",M49,""))</f>
        <v/>
      </c>
      <c r="L49" s="50" t="n">
        <v>165</v>
      </c>
      <c r="M49" s="50" t="n">
        <v>165</v>
      </c>
      <c r="N49" s="28">
        <f>IF(O49&lt;&gt;"",O49,IF(P49&lt;&gt;"",P49,""))</f>
        <v/>
      </c>
      <c r="O49" s="50" t="n">
        <v>20</v>
      </c>
      <c r="P49" s="50" t="n">
        <v>20</v>
      </c>
      <c r="Q49" s="50" t="n">
        <v>29.02</v>
      </c>
      <c r="R49" s="50" t="n">
        <v>15.69</v>
      </c>
      <c r="S49" s="28">
        <f>IF(Q49="","",IF(Q49&lt;0,"negative profit",IF(Q49&gt;Notes!$B$4,"unusually high - verify","")))</f>
        <v/>
      </c>
      <c r="T49" s="28" t="inlineStr">
        <is>
          <t>both</t>
        </is>
      </c>
      <c r="U49" s="28">
        <f>IF(T49&lt;&gt;"both",T49&amp;" only",IF(V49="","agree","conflict"))</f>
        <v/>
      </c>
      <c r="V49" s="28">
        <f>IF(T49="both",TRIM(IF(AND(E49&lt;&gt;"",F49&lt;&gt;"",E49&lt;&gt;F49),"level ","")&amp;IF(AND(L49&lt;&gt;"",M49&lt;&gt;"",L49&lt;&gt;M49),"price ","")&amp;IF(AND(O49&lt;&gt;"",P49&lt;&gt;"",O49&lt;&gt;P49),"xp ","")&amp;IF(J49="differs","time","")),"")</f>
        <v/>
      </c>
      <c r="X49" s="50" t="inlineStr">
        <is>
          <t>Carrot x2; Butter x1; Brown Sugar x1</t>
        </is>
      </c>
      <c r="Y49" s="50" t="inlineStr">
        <is>
          <t>Carrot Cake.png</t>
        </is>
      </c>
      <c r="Z49" s="50" t="inlineStr">
        <is>
          <t>icons/Cake Oven/Carrot Cake.png</t>
        </is>
      </c>
      <c r="AA49" s="28" t="inlineStr">
        <is>
          <t>hayday.info /api/production-data (2026-10-13) + Hay Day Wiki infobox via MediaWiki API (2026-10-13)</t>
        </is>
      </c>
      <c r="AB49" s="28" t="inlineStr">
        <is>
          <t>https://hayday.fandom.com/wiki/Carrot_Cake</t>
        </is>
      </c>
      <c r="AC49" s="50" t="inlineStr">
        <is>
          <t>Carrot cake</t>
        </is>
      </c>
    </row>
    <row r="50">
      <c r="A50" s="28" t="inlineStr">
        <is>
          <t>Cream Cake</t>
        </is>
      </c>
      <c r="B50" s="28" t="inlineStr">
        <is>
          <t>Cake Oven</t>
        </is>
      </c>
      <c r="C50" s="50" t="inlineStr">
        <is>
          <t>Product</t>
        </is>
      </c>
      <c r="D50" s="28">
        <f>IF(E50&lt;&gt;"",E50,IF(F50&lt;&gt;"",F50,""))</f>
        <v/>
      </c>
      <c r="E50" s="50" t="n">
        <v>23</v>
      </c>
      <c r="F50" s="50" t="n">
        <v>23</v>
      </c>
      <c r="G50" s="50" t="n">
        <v>153</v>
      </c>
      <c r="H50" s="50" t="n">
        <v>180</v>
      </c>
      <c r="I50" s="50" t="n">
        <v>153</v>
      </c>
      <c r="J50" s="28">
        <f>IF(OR(G50="",AND(H50="",I50="")),"n/a",IF(G50=I50,"mastered",IF(G50=H50,"normal","differs")))</f>
        <v/>
      </c>
      <c r="K50" s="28">
        <f>IF(L50&lt;&gt;"",L50,IF(M50&lt;&gt;"",M50,""))</f>
        <v/>
      </c>
      <c r="L50" s="50" t="n">
        <v>219</v>
      </c>
      <c r="M50" s="50" t="n">
        <v>219</v>
      </c>
      <c r="N50" s="28">
        <f>IF(O50&lt;&gt;"",O50,IF(P50&lt;&gt;"",P50,""))</f>
        <v/>
      </c>
      <c r="O50" s="50" t="n">
        <v>26</v>
      </c>
      <c r="P50" s="50" t="n">
        <v>26</v>
      </c>
      <c r="Q50" s="50" t="n">
        <v>40.78</v>
      </c>
      <c r="R50" s="50" t="n">
        <v>10.2</v>
      </c>
      <c r="S50" s="28">
        <f>IF(Q50="","",IF(Q50&lt;0,"negative profit",IF(Q50&gt;Notes!$B$4,"unusually high - verify","")))</f>
        <v/>
      </c>
      <c r="T50" s="28" t="inlineStr">
        <is>
          <t>both</t>
        </is>
      </c>
      <c r="U50" s="28">
        <f>IF(T50&lt;&gt;"both",T50&amp;" only",IF(V50="","agree","conflict"))</f>
        <v/>
      </c>
      <c r="V50" s="28">
        <f>IF(T50="both",TRIM(IF(AND(E50&lt;&gt;"",F50&lt;&gt;"",E50&lt;&gt;F50),"level ","")&amp;IF(AND(L50&lt;&gt;"",M50&lt;&gt;"",L50&lt;&gt;M50),"price ","")&amp;IF(AND(O50&lt;&gt;"",P50&lt;&gt;"",O50&lt;&gt;P50),"xp ","")&amp;IF(J50="differs","time","")),"")</f>
        <v/>
      </c>
      <c r="X50" s="50" t="inlineStr">
        <is>
          <t>Wheat x5; Cream x1; White Sugar x1</t>
        </is>
      </c>
      <c r="Y50" s="50" t="inlineStr">
        <is>
          <t>Cream Cake.png</t>
        </is>
      </c>
      <c r="Z50" s="50" t="inlineStr">
        <is>
          <t>icons/Cake Oven/Cream Cake.png</t>
        </is>
      </c>
      <c r="AA50" s="28" t="inlineStr">
        <is>
          <t>hayday.info /api/production-data (2026-10-13) + Hay Day Wiki infobox via MediaWiki API (2026-10-13)</t>
        </is>
      </c>
      <c r="AB50" s="28" t="inlineStr">
        <is>
          <t>https://hayday.fandom.com/wiki/Cream_Cake</t>
        </is>
      </c>
      <c r="AC50" s="50" t="inlineStr">
        <is>
          <t>Cream cake</t>
        </is>
      </c>
    </row>
    <row r="51">
      <c r="A51" s="28" t="inlineStr">
        <is>
          <t>Red Berry Cake</t>
        </is>
      </c>
      <c r="B51" s="28" t="inlineStr">
        <is>
          <t>Cake Oven</t>
        </is>
      </c>
      <c r="C51" s="50" t="inlineStr">
        <is>
          <t>Product</t>
        </is>
      </c>
      <c r="D51" s="28">
        <f>IF(E51&lt;&gt;"",E51,IF(F51&lt;&gt;"",F51,""))</f>
        <v/>
      </c>
      <c r="E51" s="50" t="n">
        <v>23</v>
      </c>
      <c r="F51" s="50" t="n">
        <v>23</v>
      </c>
      <c r="G51" s="50" t="n">
        <v>51</v>
      </c>
      <c r="H51" s="50" t="n">
        <v>60</v>
      </c>
      <c r="I51" s="50" t="n">
        <v>51</v>
      </c>
      <c r="J51" s="28">
        <f>IF(OR(G51="",AND(H51="",I51="")),"n/a",IF(G51=I51,"mastered",IF(G51=H51,"normal","differs")))</f>
        <v/>
      </c>
      <c r="K51" s="28">
        <f>IF(L51&lt;&gt;"",L51,IF(M51&lt;&gt;"",M51,""))</f>
        <v/>
      </c>
      <c r="L51" s="50" t="n">
        <v>255</v>
      </c>
      <c r="M51" s="50" t="n">
        <v>255</v>
      </c>
      <c r="N51" s="28">
        <f>IF(O51&lt;&gt;"",O51,IF(P51&lt;&gt;"",P51,""))</f>
        <v/>
      </c>
      <c r="O51" s="50" t="n">
        <v>31</v>
      </c>
      <c r="P51" s="50" t="n">
        <v>31</v>
      </c>
      <c r="Q51" s="50" t="n">
        <v>27.06</v>
      </c>
      <c r="R51" s="50" t="n">
        <v>36.47</v>
      </c>
      <c r="S51" s="28">
        <f>IF(Q51="","",IF(Q51&lt;0,"negative profit",IF(Q51&gt;Notes!$B$4,"unusually high - verify","")))</f>
        <v/>
      </c>
      <c r="T51" s="28" t="inlineStr">
        <is>
          <t>both</t>
        </is>
      </c>
      <c r="U51" s="28">
        <f>IF(T51&lt;&gt;"both",T51&amp;" only",IF(V51="","agree","conflict"))</f>
        <v/>
      </c>
      <c r="V51" s="28">
        <f>IF(T51="both",TRIM(IF(AND(E51&lt;&gt;"",F51&lt;&gt;"",E51&lt;&gt;F51),"level ","")&amp;IF(AND(L51&lt;&gt;"",M51&lt;&gt;"",L51&lt;&gt;M51),"price ","")&amp;IF(AND(O51&lt;&gt;"",P51&lt;&gt;"",O51&lt;&gt;P51),"xp ","")&amp;IF(J51="differs","time","")),"")</f>
        <v/>
      </c>
      <c r="X51" s="50" t="inlineStr">
        <is>
          <t>Raspberry x1; Cherry x2; Milk x1; Egg x1</t>
        </is>
      </c>
      <c r="Y51" s="50" t="inlineStr">
        <is>
          <t>Red Berry Cake.png</t>
        </is>
      </c>
      <c r="Z51" s="50" t="inlineStr">
        <is>
          <t>icons/Cake Oven/Red Berry Cake.png</t>
        </is>
      </c>
      <c r="AA51" s="28" t="inlineStr">
        <is>
          <t>hayday.info /api/production-data (2026-10-13) + Hay Day Wiki infobox via MediaWiki API (2026-10-13)</t>
        </is>
      </c>
      <c r="AB51" s="28" t="inlineStr">
        <is>
          <t>https://hayday.fandom.com/wiki/Red_Berry_Cake</t>
        </is>
      </c>
      <c r="AC51" s="50" t="inlineStr">
        <is>
          <t>Red berry cake</t>
        </is>
      </c>
    </row>
    <row r="52">
      <c r="A52" s="28" t="inlineStr">
        <is>
          <t>Cheesecake</t>
        </is>
      </c>
      <c r="B52" s="28" t="inlineStr">
        <is>
          <t>Cake Oven</t>
        </is>
      </c>
      <c r="C52" s="50" t="inlineStr">
        <is>
          <t>Product</t>
        </is>
      </c>
      <c r="D52" s="28">
        <f>IF(E52&lt;&gt;"",E52,IF(F52&lt;&gt;"",F52,""))</f>
        <v/>
      </c>
      <c r="E52" s="50" t="n">
        <v>24</v>
      </c>
      <c r="F52" s="50" t="n">
        <v>24</v>
      </c>
      <c r="G52" s="50" t="n">
        <v>204</v>
      </c>
      <c r="H52" s="50" t="n">
        <v>240</v>
      </c>
      <c r="I52" s="50" t="n">
        <v>204</v>
      </c>
      <c r="J52" s="28">
        <f>IF(OR(G52="",AND(H52="",I52="")),"n/a",IF(G52=I52,"mastered",IF(G52=H52,"normal","differs")))</f>
        <v/>
      </c>
      <c r="K52" s="28">
        <f>IF(L52&lt;&gt;"",L52,IF(M52&lt;&gt;"",M52,""))</f>
        <v/>
      </c>
      <c r="L52" s="50" t="n">
        <v>284</v>
      </c>
      <c r="M52" s="50" t="n">
        <v>284</v>
      </c>
      <c r="N52" s="28">
        <f>IF(O52&lt;&gt;"",O52,IF(P52&lt;&gt;"",P52,""))</f>
        <v/>
      </c>
      <c r="O52" s="50" t="n">
        <v>34</v>
      </c>
      <c r="P52" s="50" t="n">
        <v>34</v>
      </c>
      <c r="Q52" s="50" t="n">
        <v>17.06</v>
      </c>
      <c r="R52" s="50" t="n">
        <v>10</v>
      </c>
      <c r="S52" s="28">
        <f>IF(Q52="","",IF(Q52&lt;0,"negative profit",IF(Q52&gt;Notes!$B$4,"unusually high - verify","")))</f>
        <v/>
      </c>
      <c r="T52" s="28" t="inlineStr">
        <is>
          <t>both</t>
        </is>
      </c>
      <c r="U52" s="28">
        <f>IF(T52&lt;&gt;"both",T52&amp;" only",IF(V52="","agree","conflict"))</f>
        <v/>
      </c>
      <c r="V52" s="28">
        <f>IF(T52="both",TRIM(IF(AND(E52&lt;&gt;"",F52&lt;&gt;"",E52&lt;&gt;F52),"level ","")&amp;IF(AND(L52&lt;&gt;"",M52&lt;&gt;"",L52&lt;&gt;M52),"price ","")&amp;IF(AND(O52&lt;&gt;"",P52&lt;&gt;"",O52&lt;&gt;P52),"xp ","")&amp;IF(J52="differs","time","")),"")</f>
        <v/>
      </c>
      <c r="X52" s="50" t="inlineStr">
        <is>
          <t>Cheese x1; Cookie x1</t>
        </is>
      </c>
      <c r="Y52" s="50" t="inlineStr">
        <is>
          <t>Cheesecake.png</t>
        </is>
      </c>
      <c r="Z52" s="50" t="inlineStr">
        <is>
          <t>icons/Cake Oven/Cheesecake.png</t>
        </is>
      </c>
      <c r="AA52" s="28" t="inlineStr">
        <is>
          <t>hayday.info /api/production-data (2026-10-13) + Hay Day Wiki infobox via MediaWiki API (2026-10-13)</t>
        </is>
      </c>
      <c r="AB52" s="28" t="inlineStr">
        <is>
          <t>https://hayday.fandom.com/wiki/Cheesecake</t>
        </is>
      </c>
      <c r="AC52" s="50" t="inlineStr">
        <is>
          <t>Cheesecake</t>
        </is>
      </c>
    </row>
    <row r="53">
      <c r="A53" s="28" t="inlineStr">
        <is>
          <t>Strawberry Cake</t>
        </is>
      </c>
      <c r="B53" s="28" t="inlineStr">
        <is>
          <t>Cake Oven</t>
        </is>
      </c>
      <c r="C53" s="50" t="inlineStr">
        <is>
          <t>Product</t>
        </is>
      </c>
      <c r="D53" s="28">
        <f>IF(E53&lt;&gt;"",E53,IF(F53&lt;&gt;"",F53,""))</f>
        <v/>
      </c>
      <c r="E53" s="50" t="n">
        <v>35</v>
      </c>
      <c r="F53" s="50" t="n">
        <v>35</v>
      </c>
      <c r="G53" s="50" t="n">
        <v>153</v>
      </c>
      <c r="H53" s="50" t="n">
        <v>180</v>
      </c>
      <c r="I53" s="50" t="n">
        <v>153</v>
      </c>
      <c r="J53" s="28">
        <f>IF(OR(G53="",AND(H53="",I53="")),"n/a",IF(G53=I53,"mastered",IF(G53=H53,"normal","differs")))</f>
        <v/>
      </c>
      <c r="K53" s="28">
        <f>IF(L53&lt;&gt;"",L53,IF(M53&lt;&gt;"",M53,""))</f>
        <v/>
      </c>
      <c r="L53" s="50" t="n">
        <v>316</v>
      </c>
      <c r="M53" s="50" t="n">
        <v>316</v>
      </c>
      <c r="N53" s="28">
        <f>IF(O53&lt;&gt;"",O53,IF(P53&lt;&gt;"",P53,""))</f>
        <v/>
      </c>
      <c r="O53" s="50" t="n">
        <v>38</v>
      </c>
      <c r="P53" s="50" t="n">
        <v>38</v>
      </c>
      <c r="Q53" s="50" t="n">
        <v>41.96</v>
      </c>
      <c r="R53" s="50" t="n">
        <v>14.9</v>
      </c>
      <c r="S53" s="28">
        <f>IF(Q53="","",IF(Q53&lt;0,"negative profit",IF(Q53&gt;Notes!$B$4,"unusually high - verify","")))</f>
        <v/>
      </c>
      <c r="T53" s="28" t="inlineStr">
        <is>
          <t>both</t>
        </is>
      </c>
      <c r="U53" s="28">
        <f>IF(T53&lt;&gt;"both",T53&amp;" only",IF(V53="","agree","conflict"))</f>
        <v/>
      </c>
      <c r="V53" s="28">
        <f>IF(T53="both",TRIM(IF(AND(E53&lt;&gt;"",F53&lt;&gt;"",E53&lt;&gt;F53),"level ","")&amp;IF(AND(L53&lt;&gt;"",M53&lt;&gt;"",L53&lt;&gt;M53),"price ","")&amp;IF(AND(O53&lt;&gt;"",P53&lt;&gt;"",O53&lt;&gt;P53),"xp ","")&amp;IF(J53="differs","time","")),"")</f>
        <v/>
      </c>
      <c r="X53" s="50" t="inlineStr">
        <is>
          <t>Wheat x3; Strawberry x2; Cream x1; White Sugar x1</t>
        </is>
      </c>
      <c r="Y53" s="50" t="inlineStr">
        <is>
          <t>Strawberry Cake.png</t>
        </is>
      </c>
      <c r="Z53" s="50" t="inlineStr">
        <is>
          <t>icons/Cake Oven/Strawberry Cake.png</t>
        </is>
      </c>
      <c r="AA53" s="28" t="inlineStr">
        <is>
          <t>hayday.info /api/production-data (2026-10-13) + Hay Day Wiki infobox via MediaWiki API (2026-10-13)</t>
        </is>
      </c>
      <c r="AB53" s="28" t="inlineStr">
        <is>
          <t>https://hayday.fandom.com/wiki/Strawberry_Cake</t>
        </is>
      </c>
      <c r="AC53" s="50" t="inlineStr">
        <is>
          <t>Strawberry cake</t>
        </is>
      </c>
    </row>
    <row r="54">
      <c r="A54" s="28" t="inlineStr">
        <is>
          <t>Chocolate Cake</t>
        </is>
      </c>
      <c r="B54" s="28" t="inlineStr">
        <is>
          <t>Cake Oven</t>
        </is>
      </c>
      <c r="C54" s="50" t="inlineStr">
        <is>
          <t>Product</t>
        </is>
      </c>
      <c r="D54" s="28">
        <f>IF(E54&lt;&gt;"",E54,IF(F54&lt;&gt;"",F54,""))</f>
        <v/>
      </c>
      <c r="E54" s="50" t="n">
        <v>36</v>
      </c>
      <c r="F54" s="50" t="n">
        <v>36</v>
      </c>
      <c r="G54" s="50" t="n">
        <v>102</v>
      </c>
      <c r="H54" s="50" t="n">
        <v>120</v>
      </c>
      <c r="I54" s="50" t="n">
        <v>102</v>
      </c>
      <c r="J54" s="28">
        <f>IF(OR(G54="",AND(H54="",I54="")),"n/a",IF(G54=I54,"mastered",IF(G54=H54,"normal","differs")))</f>
        <v/>
      </c>
      <c r="K54" s="28">
        <f>IF(L54&lt;&gt;"",L54,IF(M54&lt;&gt;"",M54,""))</f>
        <v/>
      </c>
      <c r="L54" s="50" t="n">
        <v>320</v>
      </c>
      <c r="M54" s="50" t="n">
        <v>320</v>
      </c>
      <c r="N54" s="28">
        <f>IF(O54&lt;&gt;"",O54,IF(P54&lt;&gt;"",P54,""))</f>
        <v/>
      </c>
      <c r="O54" s="50" t="n">
        <v>38</v>
      </c>
      <c r="P54" s="50" t="n">
        <v>38</v>
      </c>
      <c r="Q54" s="50" t="n">
        <v>20</v>
      </c>
      <c r="R54" s="50" t="n">
        <v>22.35</v>
      </c>
      <c r="S54" s="28">
        <f>IF(Q54="","",IF(Q54&lt;0,"negative profit",IF(Q54&gt;Notes!$B$4,"unusually high - verify","")))</f>
        <v/>
      </c>
      <c r="T54" s="28" t="inlineStr">
        <is>
          <t>both</t>
        </is>
      </c>
      <c r="U54" s="28">
        <f>IF(T54&lt;&gt;"both",T54&amp;" only",IF(V54="","agree","conflict"))</f>
        <v/>
      </c>
      <c r="V54" s="28">
        <f>IF(T54="both",TRIM(IF(AND(E54&lt;&gt;"",F54&lt;&gt;"",E54&lt;&gt;F54),"level ","")&amp;IF(AND(L54&lt;&gt;"",M54&lt;&gt;"",L54&lt;&gt;M54),"price ","")&amp;IF(AND(O54&lt;&gt;"",P54&lt;&gt;"",O54&lt;&gt;P54),"xp ","")&amp;IF(J54="differs","time","")),"")</f>
        <v/>
      </c>
      <c r="X54" s="50" t="inlineStr">
        <is>
          <t>Cacao x2; Brown Sugar x1; Butter x1</t>
        </is>
      </c>
      <c r="Y54" s="50" t="inlineStr">
        <is>
          <t>Chocolate_Cake.png</t>
        </is>
      </c>
      <c r="Z54" s="50" t="inlineStr">
        <is>
          <t>icons/Cake Oven/Chocolate Cake.png</t>
        </is>
      </c>
      <c r="AA54" s="28" t="inlineStr">
        <is>
          <t>hayday.info /api/production-data (2026-10-13) + Hay Day Wiki infobox via MediaWiki API (2026-10-13)</t>
        </is>
      </c>
      <c r="AB54" s="28" t="inlineStr">
        <is>
          <t>https://hayday.fandom.com/wiki/Chocolate_Cake</t>
        </is>
      </c>
      <c r="AC54" s="50" t="inlineStr">
        <is>
          <t>Chocolate cake</t>
        </is>
      </c>
    </row>
    <row r="55">
      <c r="A55" s="28" t="inlineStr">
        <is>
          <t>Potato Feta Cake</t>
        </is>
      </c>
      <c r="B55" s="28" t="inlineStr">
        <is>
          <t>Cake Oven</t>
        </is>
      </c>
      <c r="C55" s="50" t="inlineStr">
        <is>
          <t>Product</t>
        </is>
      </c>
      <c r="D55" s="28">
        <f>IF(E55&lt;&gt;"",E55,IF(F55&lt;&gt;"",F55,""))</f>
        <v/>
      </c>
      <c r="E55" s="50" t="n">
        <v>38</v>
      </c>
      <c r="F55" s="50" t="n">
        <v>38</v>
      </c>
      <c r="G55" s="50" t="n">
        <v>102</v>
      </c>
      <c r="H55" s="50" t="n">
        <v>120</v>
      </c>
      <c r="I55" s="50" t="n">
        <v>102</v>
      </c>
      <c r="J55" s="28">
        <f>IF(OR(G55="",AND(H55="",I55="")),"n/a",IF(G55=I55,"mastered",IF(G55=H55,"normal","differs")))</f>
        <v/>
      </c>
      <c r="K55" s="28">
        <f>IF(L55&lt;&gt;"",L55,IF(M55&lt;&gt;"",M55,""))</f>
        <v/>
      </c>
      <c r="L55" s="50" t="n">
        <v>309</v>
      </c>
      <c r="M55" s="50" t="n">
        <v>309</v>
      </c>
      <c r="N55" s="28">
        <f>IF(O55&lt;&gt;"",O55,IF(P55&lt;&gt;"",P55,""))</f>
        <v/>
      </c>
      <c r="O55" s="50" t="n">
        <v>37</v>
      </c>
      <c r="P55" s="50" t="n">
        <v>37</v>
      </c>
      <c r="Q55" s="50" t="n">
        <v>22.94</v>
      </c>
      <c r="R55" s="50" t="n">
        <v>21.76</v>
      </c>
      <c r="S55" s="28">
        <f>IF(Q55="","",IF(Q55&lt;0,"negative profit",IF(Q55&gt;Notes!$B$4,"unusually high - verify","")))</f>
        <v/>
      </c>
      <c r="T55" s="28" t="inlineStr">
        <is>
          <t>both</t>
        </is>
      </c>
      <c r="U55" s="28">
        <f>IF(T55&lt;&gt;"both",T55&amp;" only",IF(V55="","agree","conflict"))</f>
        <v/>
      </c>
      <c r="V55" s="28">
        <f>IF(T55="both",TRIM(IF(AND(E55&lt;&gt;"",F55&lt;&gt;"",E55&lt;&gt;F55),"level ","")&amp;IF(AND(L55&lt;&gt;"",M55&lt;&gt;"",L55&lt;&gt;M55),"price ","")&amp;IF(AND(O55&lt;&gt;"",P55&lt;&gt;"",O55&lt;&gt;P55),"xp ","")&amp;IF(J55="differs","time","")),"")</f>
        <v/>
      </c>
      <c r="X55" s="50" t="inlineStr">
        <is>
          <t>Potato x1; Egg x4; Goat Cheese x1</t>
        </is>
      </c>
      <c r="Y55" s="50" t="inlineStr">
        <is>
          <t>Potato_Feta_Cake.png</t>
        </is>
      </c>
      <c r="Z55" s="50" t="inlineStr">
        <is>
          <t>icons/Cake Oven/Potato Feta Cake.png</t>
        </is>
      </c>
      <c r="AA55" s="28" t="inlineStr">
        <is>
          <t>hayday.info /api/production-data (2026-10-13) + Hay Day Wiki infobox via MediaWiki API (2026-10-13)</t>
        </is>
      </c>
      <c r="AB55" s="28" t="inlineStr">
        <is>
          <t>https://hayday.fandom.com/wiki/Potato_Feta_Cake</t>
        </is>
      </c>
      <c r="AC55" s="50" t="inlineStr">
        <is>
          <t>Potato feta cake</t>
        </is>
      </c>
    </row>
    <row r="56">
      <c r="A56" s="28" t="inlineStr">
        <is>
          <t>Honey Apple Cake</t>
        </is>
      </c>
      <c r="B56" s="28" t="inlineStr">
        <is>
          <t>Cake Oven</t>
        </is>
      </c>
      <c r="C56" s="50" t="inlineStr">
        <is>
          <t>Product</t>
        </is>
      </c>
      <c r="D56" s="28">
        <f>IF(E56&lt;&gt;"",E56,IF(F56&lt;&gt;"",F56,""))</f>
        <v/>
      </c>
      <c r="E56" s="50" t="n">
        <v>42</v>
      </c>
      <c r="F56" s="50" t="n">
        <v>42</v>
      </c>
      <c r="G56" s="50" t="n">
        <v>170</v>
      </c>
      <c r="H56" s="50" t="n">
        <v>200</v>
      </c>
      <c r="I56" s="50" t="n">
        <v>170</v>
      </c>
      <c r="J56" s="28">
        <f>IF(OR(G56="",AND(H56="",I56="")),"n/a",IF(G56=I56,"mastered",IF(G56=H56,"normal","differs")))</f>
        <v/>
      </c>
      <c r="K56" s="28">
        <f>IF(L56&lt;&gt;"",L56,IF(M56&lt;&gt;"",M56,""))</f>
        <v/>
      </c>
      <c r="L56" s="50" t="n">
        <v>482</v>
      </c>
      <c r="M56" s="50" t="n">
        <v>482</v>
      </c>
      <c r="N56" s="28">
        <f>IF(O56&lt;&gt;"",O56,IF(P56&lt;&gt;"",P56,""))</f>
        <v/>
      </c>
      <c r="O56" s="50" t="n">
        <v>57</v>
      </c>
      <c r="P56" s="50" t="n">
        <v>57</v>
      </c>
      <c r="Q56" s="50" t="n">
        <v>19.06</v>
      </c>
      <c r="R56" s="50" t="n">
        <v>20.12</v>
      </c>
      <c r="S56" s="28">
        <f>IF(Q56="","",IF(Q56&lt;0,"negative profit",IF(Q56&gt;Notes!$B$4,"unusually high - verify","")))</f>
        <v/>
      </c>
      <c r="T56" s="28" t="inlineStr">
        <is>
          <t>both</t>
        </is>
      </c>
      <c r="U56" s="28">
        <f>IF(T56&lt;&gt;"both",T56&amp;" only",IF(V56="","agree","conflict"))</f>
        <v/>
      </c>
      <c r="V56" s="28">
        <f>IF(T56="both",TRIM(IF(AND(E56&lt;&gt;"",F56&lt;&gt;"",E56&lt;&gt;F56),"level ","")&amp;IF(AND(L56&lt;&gt;"",M56&lt;&gt;"",L56&lt;&gt;M56),"price ","")&amp;IF(AND(O56&lt;&gt;"",P56&lt;&gt;"",O56&lt;&gt;P56),"xp ","")&amp;IF(J56="differs","time","")),"")</f>
        <v/>
      </c>
      <c r="X56" s="50" t="inlineStr">
        <is>
          <t>Wheat x2; Egg x2; Apple x2; Honey x2</t>
        </is>
      </c>
      <c r="Y56" s="50" t="inlineStr">
        <is>
          <t>Honey Apple Cake.png</t>
        </is>
      </c>
      <c r="Z56" s="50" t="inlineStr">
        <is>
          <t>icons/Cake Oven/Honey Apple Cake.png</t>
        </is>
      </c>
      <c r="AA56" s="28" t="inlineStr">
        <is>
          <t>hayday.info /api/production-data (2026-10-13) + Hay Day Wiki infobox via MediaWiki API (2026-10-13)</t>
        </is>
      </c>
      <c r="AB56" s="28" t="inlineStr">
        <is>
          <t>https://hayday.fandom.com/wiki/Honey_Apple_Cake</t>
        </is>
      </c>
      <c r="AC56" s="50" t="inlineStr">
        <is>
          <t>Honey apple cake</t>
        </is>
      </c>
    </row>
    <row r="57">
      <c r="A57" s="28" t="inlineStr">
        <is>
          <t>Fancy Cake</t>
        </is>
      </c>
      <c r="B57" s="28" t="inlineStr">
        <is>
          <t>Cake Oven</t>
        </is>
      </c>
      <c r="C57" s="50" t="inlineStr">
        <is>
          <t>product</t>
        </is>
      </c>
      <c r="D57" s="28">
        <f>IF(E57&lt;&gt;"",E57,IF(F57&lt;&gt;"",F57,""))</f>
        <v/>
      </c>
      <c r="E57" s="50" t="n">
        <v>54</v>
      </c>
      <c r="F57" s="50" t="n">
        <v>54</v>
      </c>
      <c r="G57" s="50" t="n">
        <v>12</v>
      </c>
      <c r="H57" s="50" t="n">
        <v>15</v>
      </c>
      <c r="I57" s="50" t="n">
        <v>12</v>
      </c>
      <c r="J57" s="28">
        <f>IF(OR(G57="",AND(H57="",I57="")),"n/a",IF(G57=I57,"mastered",IF(G57=H57,"normal","differs")))</f>
        <v/>
      </c>
      <c r="K57" s="28">
        <f>IF(L57&lt;&gt;"",L57,IF(M57&lt;&gt;"",M57,""))</f>
        <v/>
      </c>
      <c r="L57" s="50" t="n">
        <v>450</v>
      </c>
      <c r="M57" s="50" t="n">
        <v>450</v>
      </c>
      <c r="N57" s="28">
        <f>IF(O57&lt;&gt;"",O57,IF(P57&lt;&gt;"",P57,""))</f>
        <v/>
      </c>
      <c r="O57" s="50" t="n">
        <v>49</v>
      </c>
      <c r="P57" s="50" t="n">
        <v>49</v>
      </c>
      <c r="Q57" s="50" t="n">
        <v>42.35</v>
      </c>
      <c r="R57" s="50" t="n">
        <v>230.59</v>
      </c>
      <c r="S57" s="28">
        <f>IF(Q57="","",IF(Q57&lt;0,"negative profit",IF(Q57&gt;Notes!$B$4,"unusually high - verify","")))</f>
        <v/>
      </c>
      <c r="T57" s="28" t="inlineStr">
        <is>
          <t>both</t>
        </is>
      </c>
      <c r="U57" s="28">
        <f>IF(T57&lt;&gt;"both",T57&amp;" only",IF(V57="","agree","conflict"))</f>
        <v/>
      </c>
      <c r="V57" s="28">
        <f>IF(T57="both",TRIM(IF(AND(E57&lt;&gt;"",F57&lt;&gt;"",E57&lt;&gt;F57),"level ","")&amp;IF(AND(L57&lt;&gt;"",M57&lt;&gt;"",L57&lt;&gt;M57),"price ","")&amp;IF(AND(O57&lt;&gt;"",P57&lt;&gt;"",O57&lt;&gt;P57),"xp ","")&amp;IF(J57="differs","time","")),"")</f>
        <v/>
      </c>
      <c r="X57" s="50" t="inlineStr">
        <is>
          <t>Cream Cake x1; Lily x3; Raspberry x3; Gold Ore x1</t>
        </is>
      </c>
      <c r="Y57" s="50" t="inlineStr">
        <is>
          <t>Fancy Cake.png</t>
        </is>
      </c>
      <c r="Z57" s="50" t="inlineStr">
        <is>
          <t>icons/Cake Oven/Fancy Cake.png</t>
        </is>
      </c>
      <c r="AA57" s="28" t="inlineStr">
        <is>
          <t>hayday.info /api/production-data (2026-10-13) + Hay Day Wiki infobox via MediaWiki API (2026-10-13)</t>
        </is>
      </c>
      <c r="AB57" s="28" t="inlineStr">
        <is>
          <t>https://hayday.fandom.com/wiki/Fancy_Cake</t>
        </is>
      </c>
      <c r="AC57" s="50" t="inlineStr">
        <is>
          <t>Fancy cake</t>
        </is>
      </c>
    </row>
    <row r="58">
      <c r="A58" s="28" t="inlineStr">
        <is>
          <t>Pineapple Cake</t>
        </is>
      </c>
      <c r="B58" s="28" t="inlineStr">
        <is>
          <t>Cake Oven</t>
        </is>
      </c>
      <c r="C58" s="50" t="inlineStr">
        <is>
          <t>Product</t>
        </is>
      </c>
      <c r="D58" s="28">
        <f>IF(E58&lt;&gt;"",E58,IF(F58&lt;&gt;"",F58,""))</f>
        <v/>
      </c>
      <c r="E58" s="50" t="n">
        <v>65</v>
      </c>
      <c r="F58" s="50" t="n">
        <v>65</v>
      </c>
      <c r="G58" s="50" t="n">
        <v>63</v>
      </c>
      <c r="H58" s="50" t="n">
        <v>75</v>
      </c>
      <c r="I58" s="50" t="n">
        <v>63</v>
      </c>
      <c r="J58" s="28">
        <f>IF(OR(G58="",AND(H58="",I58="")),"n/a",IF(G58=I58,"mastered",IF(G58=H58,"normal","differs")))</f>
        <v/>
      </c>
      <c r="K58" s="28">
        <f>IF(L58&lt;&gt;"",L58,IF(M58&lt;&gt;"",M58,""))</f>
        <v/>
      </c>
      <c r="L58" s="50" t="n">
        <v>259</v>
      </c>
      <c r="M58" s="50" t="n">
        <v>259</v>
      </c>
      <c r="N58" s="28">
        <f>IF(O58&lt;&gt;"",O58,IF(P58&lt;&gt;"",P58,""))</f>
        <v/>
      </c>
      <c r="O58" s="50" t="n">
        <v>31</v>
      </c>
      <c r="P58" s="50" t="n">
        <v>31</v>
      </c>
      <c r="Q58" s="50" t="n">
        <v>31.06</v>
      </c>
      <c r="R58" s="50" t="n">
        <v>29.18</v>
      </c>
      <c r="S58" s="28">
        <f>IF(Q58="","",IF(Q58&lt;0,"negative profit",IF(Q58&gt;Notes!$B$4,"unusually high - verify","")))</f>
        <v/>
      </c>
      <c r="T58" s="28" t="inlineStr">
        <is>
          <t>both</t>
        </is>
      </c>
      <c r="U58" s="28">
        <f>IF(T58&lt;&gt;"both",T58&amp;" only",IF(V58="","agree","conflict"))</f>
        <v/>
      </c>
      <c r="V58" s="28">
        <f>IF(T58="both",TRIM(IF(AND(E58&lt;&gt;"",F58&lt;&gt;"",E58&lt;&gt;F58),"level ","")&amp;IF(AND(L58&lt;&gt;"",M58&lt;&gt;"",L58&lt;&gt;M58),"price ","")&amp;IF(AND(O58&lt;&gt;"",P58&lt;&gt;"",O58&lt;&gt;P58),"xp ","")&amp;IF(J58="differs","time","")),"")</f>
        <v/>
      </c>
      <c r="X58" s="50" t="inlineStr">
        <is>
          <t>Pineapple x3; Egg x2; Cherry x2; Wheat x4</t>
        </is>
      </c>
      <c r="Y58" s="50" t="inlineStr">
        <is>
          <t>Pineapple Cake.png</t>
        </is>
      </c>
      <c r="Z58" s="50" t="inlineStr">
        <is>
          <t>icons/Cake Oven/Pineapple Cake.png</t>
        </is>
      </c>
      <c r="AA58" s="28" t="inlineStr">
        <is>
          <t>hayday.info /api/production-data (2026-10-13) + Hay Day Wiki infobox via MediaWiki API (2026-10-13)</t>
        </is>
      </c>
      <c r="AB58" s="28" t="inlineStr">
        <is>
          <t>https://hayday.fandom.com/wiki/Pineapple_Cake</t>
        </is>
      </c>
      <c r="AC58" s="50" t="inlineStr">
        <is>
          <t>Pineapple cake</t>
        </is>
      </c>
    </row>
    <row r="59">
      <c r="A59" s="28" t="inlineStr">
        <is>
          <t>Lemon Cake</t>
        </is>
      </c>
      <c r="B59" s="28" t="inlineStr">
        <is>
          <t>Cake Oven</t>
        </is>
      </c>
      <c r="C59" s="50" t="inlineStr">
        <is>
          <t>Product</t>
        </is>
      </c>
      <c r="D59" s="28">
        <f>IF(E59&lt;&gt;"",E59,IF(F59&lt;&gt;"",F59,""))</f>
        <v/>
      </c>
      <c r="E59" s="50" t="n">
        <v>68</v>
      </c>
      <c r="F59" s="50" t="n">
        <v>68</v>
      </c>
      <c r="G59" s="50" t="n">
        <v>127</v>
      </c>
      <c r="H59" s="50" t="n">
        <v>150</v>
      </c>
      <c r="I59" s="50" t="n">
        <v>127</v>
      </c>
      <c r="J59" s="28">
        <f>IF(OR(G59="",AND(H59="",I59="")),"n/a",IF(G59=I59,"mastered",IF(G59=H59,"normal","differs")))</f>
        <v/>
      </c>
      <c r="K59" s="28">
        <f>IF(L59&lt;&gt;"",L59,IF(M59&lt;&gt;"",M59,""))</f>
        <v/>
      </c>
      <c r="L59" s="50" t="n">
        <v>896</v>
      </c>
      <c r="M59" s="50" t="n">
        <v>896</v>
      </c>
      <c r="N59" s="28">
        <f>IF(O59&lt;&gt;"",O59,IF(P59&lt;&gt;"",P59,""))</f>
        <v/>
      </c>
      <c r="O59" s="50" t="n">
        <v>107</v>
      </c>
      <c r="P59" s="50" t="n">
        <v>107</v>
      </c>
      <c r="Q59" s="50" t="n">
        <v>21.18</v>
      </c>
      <c r="R59" s="50" t="n">
        <v>50.35</v>
      </c>
      <c r="S59" s="28">
        <f>IF(Q59="","",IF(Q59&lt;0,"negative profit",IF(Q59&gt;Notes!$B$4,"unusually high - verify","")))</f>
        <v/>
      </c>
      <c r="T59" s="28" t="inlineStr">
        <is>
          <t>both</t>
        </is>
      </c>
      <c r="U59" s="28">
        <f>IF(T59&lt;&gt;"both",T59&amp;" only",IF(V59="","agree","conflict"))</f>
        <v/>
      </c>
      <c r="V59" s="28">
        <f>IF(T59="both",TRIM(IF(AND(E59&lt;&gt;"",F59&lt;&gt;"",E59&lt;&gt;F59),"level ","")&amp;IF(AND(L59&lt;&gt;"",M59&lt;&gt;"",L59&lt;&gt;M59),"price ","")&amp;IF(AND(O59&lt;&gt;"",P59&lt;&gt;"",O59&lt;&gt;P59),"xp ","")&amp;IF(J59="differs","time","")),"")</f>
        <v/>
      </c>
      <c r="X59" s="50" t="inlineStr">
        <is>
          <t>Lemon Curd x2; Egg x2; Cream x1; Wheat x3</t>
        </is>
      </c>
      <c r="Y59" s="50" t="inlineStr">
        <is>
          <t>Lemon Cake.png</t>
        </is>
      </c>
      <c r="Z59" s="50" t="inlineStr">
        <is>
          <t>icons/Cake Oven/Lemon Cake.png</t>
        </is>
      </c>
      <c r="AA59" s="28" t="inlineStr">
        <is>
          <t>hayday.info /api/production-data (2026-10-13) + Hay Day Wiki infobox via MediaWiki API (2026-10-13)</t>
        </is>
      </c>
      <c r="AB59" s="28" t="inlineStr">
        <is>
          <t>https://hayday.fandom.com/wiki/Lemon_Cake</t>
        </is>
      </c>
      <c r="AC59" s="50" t="inlineStr">
        <is>
          <t>Lemon cake</t>
        </is>
      </c>
    </row>
    <row r="60">
      <c r="A60" s="28" t="inlineStr">
        <is>
          <t>Fruit Cake</t>
        </is>
      </c>
      <c r="B60" s="28" t="inlineStr">
        <is>
          <t>Cake Oven</t>
        </is>
      </c>
      <c r="C60" s="50" t="inlineStr">
        <is>
          <t>Product</t>
        </is>
      </c>
      <c r="D60" s="28">
        <f>IF(E60&lt;&gt;"",E60,IF(F60&lt;&gt;"",F60,""))</f>
        <v/>
      </c>
      <c r="E60" s="50" t="n">
        <v>89</v>
      </c>
      <c r="F60" s="50" t="n">
        <v>89</v>
      </c>
      <c r="G60" s="50" t="n">
        <v>153</v>
      </c>
      <c r="H60" s="50" t="n">
        <v>180</v>
      </c>
      <c r="I60" s="50" t="n">
        <v>153</v>
      </c>
      <c r="J60" s="28">
        <f>IF(OR(G60="",AND(H60="",I60="")),"n/a",IF(G60=I60,"mastered",IF(G60=H60,"normal","differs")))</f>
        <v/>
      </c>
      <c r="K60" s="28">
        <f>IF(L60&lt;&gt;"",L60,IF(M60&lt;&gt;"",M60,""))</f>
        <v/>
      </c>
      <c r="L60" s="50" t="n">
        <v>450</v>
      </c>
      <c r="M60" s="50" t="n">
        <v>450</v>
      </c>
      <c r="N60" s="28">
        <f>IF(O60&lt;&gt;"",O60,IF(P60&lt;&gt;"",P60,""))</f>
        <v/>
      </c>
      <c r="O60" s="50" t="n">
        <v>54</v>
      </c>
      <c r="P60" s="50" t="n">
        <v>54</v>
      </c>
      <c r="Q60" s="50" t="n">
        <v>18.43</v>
      </c>
      <c r="R60" s="50" t="n">
        <v>21.18</v>
      </c>
      <c r="S60" s="28">
        <f>IF(Q60="","",IF(Q60&lt;0,"negative profit",IF(Q60&gt;Notes!$B$4,"unusually high - verify","")))</f>
        <v/>
      </c>
      <c r="T60" s="28" t="inlineStr">
        <is>
          <t>both</t>
        </is>
      </c>
      <c r="U60" s="28">
        <f>IF(T60&lt;&gt;"both",T60&amp;" only",IF(V60="","agree","conflict"))</f>
        <v/>
      </c>
      <c r="V60" s="28">
        <f>IF(T60="both",TRIM(IF(AND(E60&lt;&gt;"",F60&lt;&gt;"",E60&lt;&gt;F60),"level ","")&amp;IF(AND(L60&lt;&gt;"",M60&lt;&gt;"",L60&lt;&gt;M60),"price ","")&amp;IF(AND(O60&lt;&gt;"",P60&lt;&gt;"",O60&lt;&gt;P60),"xp ","")&amp;IF(J60="differs","time","")),"")</f>
        <v/>
      </c>
      <c r="X60" s="50" t="inlineStr">
        <is>
          <t>Grapes x2; Orange x2; Cherry x2; Wheat x3</t>
        </is>
      </c>
      <c r="Y60" s="50" t="inlineStr">
        <is>
          <t>Fruit Cake.png</t>
        </is>
      </c>
      <c r="Z60" s="50" t="inlineStr">
        <is>
          <t>icons/Cake Oven/Fruit Cake.png</t>
        </is>
      </c>
      <c r="AA60" s="28" t="inlineStr">
        <is>
          <t>hayday.info /api/production-data (2026-10-13) + Hay Day Wiki infobox via MediaWiki API (2026-10-13)</t>
        </is>
      </c>
      <c r="AB60" s="28" t="inlineStr">
        <is>
          <t>https://hayday.fandom.com/wiki/Fruit_Cake</t>
        </is>
      </c>
      <c r="AC60" s="50" t="inlineStr">
        <is>
          <t>Fruit cake</t>
        </is>
      </c>
    </row>
    <row r="61">
      <c r="A61" s="28" t="inlineStr">
        <is>
          <t>Chocolate Roll</t>
        </is>
      </c>
      <c r="B61" s="28" t="inlineStr">
        <is>
          <t>Cake Oven</t>
        </is>
      </c>
      <c r="C61" s="50" t="inlineStr">
        <is>
          <t>Product</t>
        </is>
      </c>
      <c r="D61" s="28">
        <f>IF(E61&lt;&gt;"",E61,IF(F61&lt;&gt;"",F61,""))</f>
        <v/>
      </c>
      <c r="E61" s="50" t="n">
        <v>95</v>
      </c>
      <c r="F61" s="50" t="n">
        <v>95</v>
      </c>
      <c r="G61" s="50" t="n">
        <v>76</v>
      </c>
      <c r="H61" s="50" t="n">
        <v>90</v>
      </c>
      <c r="I61" s="50" t="n">
        <v>76</v>
      </c>
      <c r="J61" s="28">
        <f>IF(OR(G61="",AND(H61="",I61="")),"n/a",IF(G61=I61,"mastered",IF(G61=H61,"normal","differs")))</f>
        <v/>
      </c>
      <c r="K61" s="28">
        <f>IF(L61&lt;&gt;"",L61,IF(M61&lt;&gt;"",M61,""))</f>
        <v/>
      </c>
      <c r="L61" s="50" t="n">
        <v>604</v>
      </c>
      <c r="M61" s="50" t="n">
        <v>604</v>
      </c>
      <c r="N61" s="28">
        <f>IF(O61&lt;&gt;"",O61,IF(P61&lt;&gt;"",P61,""))</f>
        <v/>
      </c>
      <c r="O61" s="50" t="n">
        <v>72</v>
      </c>
      <c r="P61" s="50" t="n">
        <v>72</v>
      </c>
      <c r="Q61" s="50" t="n">
        <v>14.9</v>
      </c>
      <c r="R61" s="50" t="n">
        <v>56.47</v>
      </c>
      <c r="S61" s="28">
        <f>IF(Q61="","",IF(Q61&lt;0,"negative profit",IF(Q61&gt;Notes!$B$4,"unusually high - verify","")))</f>
        <v/>
      </c>
      <c r="T61" s="28" t="inlineStr">
        <is>
          <t>both</t>
        </is>
      </c>
      <c r="U61" s="28">
        <f>IF(T61&lt;&gt;"both",T61&amp;" only",IF(V61="","agree","conflict"))</f>
        <v/>
      </c>
      <c r="V61" s="28">
        <f>IF(T61="both",TRIM(IF(AND(E61&lt;&gt;"",F61&lt;&gt;"",E61&lt;&gt;F61),"level ","")&amp;IF(AND(L61&lt;&gt;"",M61&lt;&gt;"",L61&lt;&gt;M61),"price ","")&amp;IF(AND(O61&lt;&gt;"",P61&lt;&gt;"",O61&lt;&gt;P61),"xp ","")&amp;IF(J61="differs","time","")),"")</f>
        <v/>
      </c>
      <c r="X61" s="50" t="inlineStr">
        <is>
          <t>Cacao x5; Cream x1; Wheat x3; Mint x3</t>
        </is>
      </c>
      <c r="Y61" s="50" t="inlineStr">
        <is>
          <t>Chocolate Roll.png</t>
        </is>
      </c>
      <c r="Z61" s="50" t="inlineStr">
        <is>
          <t>icons/Cake Oven/Chocolate Roll.png</t>
        </is>
      </c>
      <c r="AA61" s="28" t="inlineStr">
        <is>
          <t>hayday.info /api/production-data (2026-10-13) + Hay Day Wiki infobox via MediaWiki API (2026-10-13)</t>
        </is>
      </c>
      <c r="AB61" s="28" t="inlineStr">
        <is>
          <t>https://hayday.fandom.com/wiki/Chocolate_Roll</t>
        </is>
      </c>
      <c r="AC61" s="50" t="inlineStr">
        <is>
          <t>Chocolate roll</t>
        </is>
      </c>
    </row>
    <row r="62">
      <c r="A62" s="28" t="inlineStr">
        <is>
          <t>Blueberry Cheesecake</t>
        </is>
      </c>
      <c r="B62" s="28" t="inlineStr">
        <is>
          <t>Cake Oven</t>
        </is>
      </c>
      <c r="C62" s="50" t="inlineStr">
        <is>
          <t>Product</t>
        </is>
      </c>
      <c r="D62" s="28">
        <f>IF(E62&lt;&gt;"",E62,IF(F62&lt;&gt;"",F62,""))</f>
        <v/>
      </c>
      <c r="E62" s="50" t="n"/>
      <c r="F62" s="50" t="n">
        <v>31</v>
      </c>
      <c r="G62" s="50" t="n"/>
      <c r="H62" s="50" t="n">
        <v>240</v>
      </c>
      <c r="I62" s="50" t="n">
        <v>204</v>
      </c>
      <c r="J62" s="28">
        <f>IF(OR(G62="",AND(H62="",I62="")),"n/a",IF(G62=I62,"mastered",IF(G62=H62,"normal","differs")))</f>
        <v/>
      </c>
      <c r="K62" s="28">
        <f>IF(L62&lt;&gt;"",L62,IF(M62&lt;&gt;"",M62,""))</f>
        <v/>
      </c>
      <c r="L62" s="50" t="n"/>
      <c r="M62" s="50" t="n">
        <v>500</v>
      </c>
      <c r="N62" s="28">
        <f>IF(O62&lt;&gt;"",O62,IF(P62&lt;&gt;"",P62,""))</f>
        <v/>
      </c>
      <c r="O62" s="50" t="n"/>
      <c r="P62" s="50" t="n">
        <v>60</v>
      </c>
      <c r="Q62" s="50" t="n"/>
      <c r="R62" s="50" t="n"/>
      <c r="S62" s="28">
        <f>IF(Q62="","",IF(Q62&lt;0,"negative profit",IF(Q62&gt;Notes!$B$4,"unusually high - verify","")))</f>
        <v/>
      </c>
      <c r="T62" s="28" t="inlineStr">
        <is>
          <t>Fandom</t>
        </is>
      </c>
      <c r="U62" s="28">
        <f>IF(T62&lt;&gt;"both",T62&amp;" only",IF(V62="","agree","conflict"))</f>
        <v/>
      </c>
      <c r="V62" s="28">
        <f>IF(T62="both",TRIM(IF(AND(E62&lt;&gt;"",F62&lt;&gt;"",E62&lt;&gt;F62),"level ","")&amp;IF(AND(L62&lt;&gt;"",M62&lt;&gt;"",L62&lt;&gt;M62),"price ","")&amp;IF(AND(O62&lt;&gt;"",P62&lt;&gt;"",O62&lt;&gt;P62),"xp ","")&amp;IF(J62="differs","time","")),"")</f>
        <v/>
      </c>
      <c r="X62" s="50" t="inlineStr">
        <is>
          <t>Cheesecake x1; Blueberries x2</t>
        </is>
      </c>
      <c r="Y62" s="50" t="inlineStr">
        <is>
          <t>Blueberry Cheesecake.png</t>
        </is>
      </c>
      <c r="Z62" s="50" t="inlineStr">
        <is>
          <t>icons/Cake Oven/Blueberry Cheesecake.png</t>
        </is>
      </c>
      <c r="AA62" s="28" t="inlineStr">
        <is>
          <t>Hay Day Wiki infobox via MediaWiki API (2026-10-13)</t>
        </is>
      </c>
      <c r="AB62" s="28" t="inlineStr">
        <is>
          <t>https://hayday.fandom.com/wiki/Blueberry_Cheesecake</t>
        </is>
      </c>
      <c r="AC62" s="50" t="n"/>
    </row>
    <row r="63">
      <c r="A63" s="28" t="inlineStr">
        <is>
          <t>Pomegranate Cake</t>
        </is>
      </c>
      <c r="B63" s="28" t="inlineStr">
        <is>
          <t>Cake Oven</t>
        </is>
      </c>
      <c r="C63" s="50" t="inlineStr">
        <is>
          <t>Product</t>
        </is>
      </c>
      <c r="D63" s="28">
        <f>IF(E63&lt;&gt;"",E63,IF(F63&lt;&gt;"",F63,""))</f>
        <v/>
      </c>
      <c r="E63" s="50" t="n"/>
      <c r="F63" s="50" t="n">
        <v>108</v>
      </c>
      <c r="G63" s="50" t="n"/>
      <c r="H63" s="50" t="n">
        <v>160</v>
      </c>
      <c r="I63" s="50" t="n">
        <v>136</v>
      </c>
      <c r="J63" s="28">
        <f>IF(OR(G63="",AND(H63="",I63="")),"n/a",IF(G63=I63,"mastered",IF(G63=H63,"normal","differs")))</f>
        <v/>
      </c>
      <c r="K63" s="28">
        <f>IF(L63&lt;&gt;"",L63,IF(M63&lt;&gt;"",M63,""))</f>
        <v/>
      </c>
      <c r="L63" s="50" t="n"/>
      <c r="M63" s="50" t="n">
        <v>316</v>
      </c>
      <c r="N63" s="28">
        <f>IF(O63&lt;&gt;"",O63,IF(P63&lt;&gt;"",P63,""))</f>
        <v/>
      </c>
      <c r="O63" s="50" t="n"/>
      <c r="P63" s="50" t="n">
        <v>38</v>
      </c>
      <c r="Q63" s="50" t="n"/>
      <c r="R63" s="50" t="n"/>
      <c r="S63" s="28">
        <f>IF(Q63="","",IF(Q63&lt;0,"negative profit",IF(Q63&gt;Notes!$B$4,"unusually high - verify","")))</f>
        <v/>
      </c>
      <c r="T63" s="28" t="inlineStr">
        <is>
          <t>Fandom</t>
        </is>
      </c>
      <c r="U63" s="28">
        <f>IF(T63&lt;&gt;"both",T63&amp;" only",IF(V63="","agree","conflict"))</f>
        <v/>
      </c>
      <c r="V63" s="28">
        <f>IF(T63="both",TRIM(IF(AND(E63&lt;&gt;"",F63&lt;&gt;"",E63&lt;&gt;F63),"level ","")&amp;IF(AND(L63&lt;&gt;"",M63&lt;&gt;"",L63&lt;&gt;M63),"price ","")&amp;IF(AND(O63&lt;&gt;"",P63&lt;&gt;"",O63&lt;&gt;P63),"xp ","")&amp;IF(J63="differs","time","")),"")</f>
        <v/>
      </c>
      <c r="X63" s="50" t="inlineStr">
        <is>
          <t>Pomegranate x1; Egg x2; Cream x2; Wheat x6</t>
        </is>
      </c>
      <c r="Y63" s="50" t="inlineStr">
        <is>
          <t>Pomegranate Cake.png</t>
        </is>
      </c>
      <c r="Z63" s="50" t="inlineStr">
        <is>
          <t>icons/Cake Oven/Pomegranate Cake.png</t>
        </is>
      </c>
      <c r="AA63" s="28" t="inlineStr">
        <is>
          <t>Hay Day Wiki infobox via MediaWiki API (2026-10-13)</t>
        </is>
      </c>
      <c r="AB63" s="28" t="inlineStr">
        <is>
          <t>https://hayday.fandom.com/wiki/Pomegranate_Cake</t>
        </is>
      </c>
      <c r="AC63" s="50" t="n"/>
    </row>
    <row r="64">
      <c r="A64" s="28" t="inlineStr">
        <is>
          <t>Strawberry Candle</t>
        </is>
      </c>
      <c r="B64" s="28" t="inlineStr">
        <is>
          <t>Candle Maker</t>
        </is>
      </c>
      <c r="C64" s="50" t="inlineStr">
        <is>
          <t>Product</t>
        </is>
      </c>
      <c r="D64" s="28">
        <f>IF(E64&lt;&gt;"",E64,IF(F64&lt;&gt;"",F64,""))</f>
        <v/>
      </c>
      <c r="E64" s="50" t="n">
        <v>48</v>
      </c>
      <c r="F64" s="50" t="n">
        <v>48</v>
      </c>
      <c r="G64" s="50" t="n">
        <v>102</v>
      </c>
      <c r="H64" s="50" t="n">
        <v>120</v>
      </c>
      <c r="I64" s="50" t="n">
        <v>102</v>
      </c>
      <c r="J64" s="28">
        <f>IF(OR(G64="",AND(H64="",I64="")),"n/a",IF(G64=I64,"mastered",IF(G64=H64,"normal","differs")))</f>
        <v/>
      </c>
      <c r="K64" s="28">
        <f>IF(L64&lt;&gt;"",L64,IF(M64&lt;&gt;"",M64,""))</f>
        <v/>
      </c>
      <c r="L64" s="50" t="n">
        <v>370</v>
      </c>
      <c r="M64" s="50" t="n">
        <v>370</v>
      </c>
      <c r="N64" s="28">
        <f>IF(O64&lt;&gt;"",O64,IF(P64&lt;&gt;"",P64,""))</f>
        <v/>
      </c>
      <c r="O64" s="50" t="n">
        <v>44</v>
      </c>
      <c r="P64" s="50" t="n">
        <v>44</v>
      </c>
      <c r="Q64" s="50" t="n">
        <v>21.18</v>
      </c>
      <c r="R64" s="50" t="n">
        <v>25.88</v>
      </c>
      <c r="S64" s="28">
        <f>IF(Q64="","",IF(Q64&lt;0,"negative profit",IF(Q64&gt;Notes!$B$4,"unusually high - verify","")))</f>
        <v/>
      </c>
      <c r="T64" s="28" t="inlineStr">
        <is>
          <t>both</t>
        </is>
      </c>
      <c r="U64" s="28">
        <f>IF(T64&lt;&gt;"both",T64&amp;" only",IF(V64="","agree","conflict"))</f>
        <v/>
      </c>
      <c r="V64" s="28">
        <f>IF(T64="both",TRIM(IF(AND(E64&lt;&gt;"",F64&lt;&gt;"",E64&lt;&gt;F64),"level ","")&amp;IF(AND(L64&lt;&gt;"",M64&lt;&gt;"",L64&lt;&gt;M64),"price ","")&amp;IF(AND(O64&lt;&gt;"",P64&lt;&gt;"",O64&lt;&gt;P64),"xp ","")&amp;IF(J64="differs","time","")),"")</f>
        <v/>
      </c>
      <c r="X64" s="50" t="inlineStr">
        <is>
          <t>Beeswax x1; Strawberry x2</t>
        </is>
      </c>
      <c r="Y64" s="50" t="inlineStr">
        <is>
          <t>Strawberry Candle.png</t>
        </is>
      </c>
      <c r="Z64" s="50" t="inlineStr">
        <is>
          <t>icons/Candle Maker/Strawberry Candle.png</t>
        </is>
      </c>
      <c r="AA64" s="28" t="inlineStr">
        <is>
          <t>hayday.info /api/production-data (2026-10-13) + Hay Day Wiki infobox via MediaWiki API (2026-10-13)</t>
        </is>
      </c>
      <c r="AB64" s="28" t="inlineStr">
        <is>
          <t>https://hayday.fandom.com/wiki/Strawberry_Candle</t>
        </is>
      </c>
      <c r="AC64" s="50" t="inlineStr">
        <is>
          <t>Strawberry candle</t>
        </is>
      </c>
    </row>
    <row r="65">
      <c r="A65" s="28" t="inlineStr">
        <is>
          <t>Raspberry Candle</t>
        </is>
      </c>
      <c r="B65" s="28" t="inlineStr">
        <is>
          <t>Candle Maker</t>
        </is>
      </c>
      <c r="C65" s="50" t="inlineStr">
        <is>
          <t>Product</t>
        </is>
      </c>
      <c r="D65" s="28">
        <f>IF(E65&lt;&gt;"",E65,IF(F65&lt;&gt;"",F65,""))</f>
        <v/>
      </c>
      <c r="E65" s="50" t="n">
        <v>52</v>
      </c>
      <c r="F65" s="50" t="n">
        <v>52</v>
      </c>
      <c r="G65" s="50" t="n">
        <v>89</v>
      </c>
      <c r="H65" s="50" t="n">
        <v>105</v>
      </c>
      <c r="I65" s="50" t="n">
        <v>89</v>
      </c>
      <c r="J65" s="28">
        <f>IF(OR(G65="",AND(H65="",I65="")),"n/a",IF(G65=I65,"mastered",IF(G65=H65,"normal","differs")))</f>
        <v/>
      </c>
      <c r="K65" s="28">
        <f>IF(L65&lt;&gt;"",L65,IF(M65&lt;&gt;"",M65,""))</f>
        <v/>
      </c>
      <c r="L65" s="50" t="n">
        <v>360</v>
      </c>
      <c r="M65" s="50" t="n">
        <v>360</v>
      </c>
      <c r="N65" s="28">
        <f>IF(O65&lt;&gt;"",O65,IF(P65&lt;&gt;"",P65,""))</f>
        <v/>
      </c>
      <c r="O65" s="50" t="n">
        <v>43</v>
      </c>
      <c r="P65" s="50" t="n">
        <v>43</v>
      </c>
      <c r="Q65" s="50" t="n">
        <v>22.86</v>
      </c>
      <c r="R65" s="50" t="n">
        <v>28.91</v>
      </c>
      <c r="S65" s="28">
        <f>IF(Q65="","",IF(Q65&lt;0,"negative profit",IF(Q65&gt;Notes!$B$4,"unusually high - verify","")))</f>
        <v/>
      </c>
      <c r="T65" s="28" t="inlineStr">
        <is>
          <t>both</t>
        </is>
      </c>
      <c r="U65" s="28">
        <f>IF(T65&lt;&gt;"both",T65&amp;" only",IF(V65="","agree","conflict"))</f>
        <v/>
      </c>
      <c r="V65" s="28">
        <f>IF(T65="both",TRIM(IF(AND(E65&lt;&gt;"",F65&lt;&gt;"",E65&lt;&gt;F65),"level ","")&amp;IF(AND(L65&lt;&gt;"",M65&lt;&gt;"",L65&lt;&gt;M65),"price ","")&amp;IF(AND(O65&lt;&gt;"",P65&lt;&gt;"",O65&lt;&gt;P65),"xp ","")&amp;IF(J65="differs","time","")),"")</f>
        <v/>
      </c>
      <c r="X65" s="50" t="inlineStr">
        <is>
          <t>Beeswax x1; Raspberry x2</t>
        </is>
      </c>
      <c r="Y65" s="50" t="inlineStr">
        <is>
          <t>Raspberry Candle.png</t>
        </is>
      </c>
      <c r="Z65" s="50" t="inlineStr">
        <is>
          <t>icons/Candle Maker/Raspberry Candle.png</t>
        </is>
      </c>
      <c r="AA65" s="28" t="inlineStr">
        <is>
          <t>hayday.info /api/production-data (2026-10-13) + Hay Day Wiki infobox via MediaWiki API (2026-10-13)</t>
        </is>
      </c>
      <c r="AB65" s="28" t="inlineStr">
        <is>
          <t>https://hayday.fandom.com/wiki/Raspberry_Candle</t>
        </is>
      </c>
      <c r="AC65" s="50" t="inlineStr">
        <is>
          <t>Raspberry candle</t>
        </is>
      </c>
    </row>
    <row r="66">
      <c r="A66" s="28" t="inlineStr">
        <is>
          <t>Lemon Candle</t>
        </is>
      </c>
      <c r="B66" s="28" t="inlineStr">
        <is>
          <t>Candle Maker</t>
        </is>
      </c>
      <c r="C66" s="50" t="inlineStr">
        <is>
          <t>Product</t>
        </is>
      </c>
      <c r="D66" s="28">
        <f>IF(E66&lt;&gt;"",E66,IF(F66&lt;&gt;"",F66,""))</f>
        <v/>
      </c>
      <c r="E66" s="50" t="n">
        <v>72</v>
      </c>
      <c r="F66" s="50" t="n">
        <v>72</v>
      </c>
      <c r="G66" s="50" t="n">
        <v>114</v>
      </c>
      <c r="H66" s="50" t="n">
        <v>135</v>
      </c>
      <c r="I66" s="50" t="n">
        <v>114</v>
      </c>
      <c r="J66" s="28">
        <f>IF(OR(G66="",AND(H66="",I66="")),"n/a",IF(G66=I66,"mastered",IF(G66=H66,"normal","differs")))</f>
        <v/>
      </c>
      <c r="K66" s="28">
        <f>IF(L66&lt;&gt;"",L66,IF(M66&lt;&gt;"",M66,""))</f>
        <v/>
      </c>
      <c r="L66" s="50" t="n">
        <v>457</v>
      </c>
      <c r="M66" s="50" t="n">
        <v>457</v>
      </c>
      <c r="N66" s="28">
        <f>IF(O66&lt;&gt;"",O66,IF(P66&lt;&gt;"",P66,""))</f>
        <v/>
      </c>
      <c r="O66" s="50" t="n">
        <v>55</v>
      </c>
      <c r="P66" s="50" t="n">
        <v>55</v>
      </c>
      <c r="Q66" s="50" t="n">
        <v>19.35</v>
      </c>
      <c r="R66" s="50" t="n">
        <v>28.76</v>
      </c>
      <c r="S66" s="28">
        <f>IF(Q66="","",IF(Q66&lt;0,"negative profit",IF(Q66&gt;Notes!$B$4,"unusually high - verify","")))</f>
        <v/>
      </c>
      <c r="T66" s="28" t="inlineStr">
        <is>
          <t>both</t>
        </is>
      </c>
      <c r="U66" s="28">
        <f>IF(T66&lt;&gt;"both",T66&amp;" only",IF(V66="","agree","conflict"))</f>
        <v/>
      </c>
      <c r="V66" s="28">
        <f>IF(T66="both",TRIM(IF(AND(E66&lt;&gt;"",F66&lt;&gt;"",E66&lt;&gt;F66),"level ","")&amp;IF(AND(L66&lt;&gt;"",M66&lt;&gt;"",L66&lt;&gt;M66),"price ","")&amp;IF(AND(O66&lt;&gt;"",P66&lt;&gt;"",O66&lt;&gt;P66),"xp ","")&amp;IF(J66="differs","time","")),"")</f>
        <v/>
      </c>
      <c r="X66" s="50" t="inlineStr">
        <is>
          <t>Beeswax x1; Lemon x2</t>
        </is>
      </c>
      <c r="Y66" s="50" t="inlineStr">
        <is>
          <t>Lemon Candle.png</t>
        </is>
      </c>
      <c r="Z66" s="50" t="inlineStr">
        <is>
          <t>icons/Candle Maker/Lemon Candle.png</t>
        </is>
      </c>
      <c r="AA66" s="28" t="inlineStr">
        <is>
          <t>hayday.info /api/production-data (2026-10-13) + Hay Day Wiki infobox via MediaWiki API (2026-10-13)</t>
        </is>
      </c>
      <c r="AB66" s="28" t="inlineStr">
        <is>
          <t>https://hayday.fandom.com/wiki/Lemon_Candle</t>
        </is>
      </c>
      <c r="AC66" s="50" t="inlineStr">
        <is>
          <t>Lemon candle</t>
        </is>
      </c>
    </row>
    <row r="67">
      <c r="A67" s="28" t="inlineStr">
        <is>
          <t>Colorful Candles</t>
        </is>
      </c>
      <c r="B67" s="28" t="inlineStr">
        <is>
          <t>Candle Maker</t>
        </is>
      </c>
      <c r="C67" s="50" t="inlineStr">
        <is>
          <t>Product</t>
        </is>
      </c>
      <c r="D67" s="28">
        <f>IF(E67&lt;&gt;"",E67,IF(F67&lt;&gt;"",F67,""))</f>
        <v/>
      </c>
      <c r="E67" s="50" t="n">
        <v>84</v>
      </c>
      <c r="F67" s="50" t="n">
        <v>84</v>
      </c>
      <c r="G67" s="50" t="n">
        <v>93</v>
      </c>
      <c r="H67" s="50" t="n">
        <v>110</v>
      </c>
      <c r="I67" s="50" t="n">
        <v>93</v>
      </c>
      <c r="J67" s="28">
        <f>IF(OR(G67="",AND(H67="",I67="")),"n/a",IF(G67=I67,"mastered",IF(G67=H67,"normal","differs")))</f>
        <v/>
      </c>
      <c r="K67" s="28">
        <f>IF(L67&lt;&gt;"",L67,IF(M67&lt;&gt;"",M67,""))</f>
        <v/>
      </c>
      <c r="L67" s="50" t="n">
        <v>324</v>
      </c>
      <c r="M67" s="50" t="n">
        <v>324</v>
      </c>
      <c r="N67" s="28">
        <f>IF(O67&lt;&gt;"",O67,IF(P67&lt;&gt;"",P67,""))</f>
        <v/>
      </c>
      <c r="O67" s="50" t="n">
        <v>39</v>
      </c>
      <c r="P67" s="50" t="n">
        <v>39</v>
      </c>
      <c r="Q67" s="50" t="n">
        <v>23.74</v>
      </c>
      <c r="R67" s="50" t="n">
        <v>25.03</v>
      </c>
      <c r="S67" s="28">
        <f>IF(Q67="","",IF(Q67&lt;0,"negative profit",IF(Q67&gt;Notes!$B$4,"unusually high - verify","")))</f>
        <v/>
      </c>
      <c r="T67" s="28" t="inlineStr">
        <is>
          <t>both</t>
        </is>
      </c>
      <c r="U67" s="28">
        <f>IF(T67&lt;&gt;"both",T67&amp;" only",IF(V67="","agree","conflict"))</f>
        <v/>
      </c>
      <c r="V67" s="28">
        <f>IF(T67="both",TRIM(IF(AND(E67&lt;&gt;"",F67&lt;&gt;"",E67&lt;&gt;F67),"level ","")&amp;IF(AND(L67&lt;&gt;"",M67&lt;&gt;"",L67&lt;&gt;M67),"price ","")&amp;IF(AND(O67&lt;&gt;"",P67&lt;&gt;"",O67&lt;&gt;P67),"xp ","")&amp;IF(J67="differs","time","")),"")</f>
        <v/>
      </c>
      <c r="X67" s="50" t="inlineStr">
        <is>
          <t>Beeswax x1; Raspberry x1; Carrot x1</t>
        </is>
      </c>
      <c r="Y67" s="50" t="inlineStr">
        <is>
          <t>Colorful Candles.png</t>
        </is>
      </c>
      <c r="Z67" s="50" t="inlineStr">
        <is>
          <t>icons/Candle Maker/Colorful Candles.png</t>
        </is>
      </c>
      <c r="AA67" s="28" t="inlineStr">
        <is>
          <t>hayday.info /api/production-data (2026-10-13) + Hay Day Wiki infobox via MediaWiki API (2026-10-13)</t>
        </is>
      </c>
      <c r="AB67" s="28" t="inlineStr">
        <is>
          <t>https://hayday.fandom.com/wiki/Colorful_Candles</t>
        </is>
      </c>
      <c r="AC67" s="50" t="inlineStr">
        <is>
          <t>Colorful Candles</t>
        </is>
      </c>
    </row>
    <row r="68">
      <c r="A68" s="28" t="inlineStr">
        <is>
          <t>Floral Candle</t>
        </is>
      </c>
      <c r="B68" s="28" t="inlineStr">
        <is>
          <t>Candle Maker</t>
        </is>
      </c>
      <c r="C68" s="50" t="inlineStr">
        <is>
          <t>Product</t>
        </is>
      </c>
      <c r="D68" s="28">
        <f>IF(E68&lt;&gt;"",E68,IF(F68&lt;&gt;"",F68,""))</f>
        <v/>
      </c>
      <c r="E68" s="50" t="n">
        <v>95</v>
      </c>
      <c r="F68" s="50" t="n">
        <v>95</v>
      </c>
      <c r="G68" s="50" t="n">
        <v>102</v>
      </c>
      <c r="H68" s="50" t="n">
        <v>120</v>
      </c>
      <c r="I68" s="50" t="n">
        <v>102</v>
      </c>
      <c r="J68" s="28">
        <f>IF(OR(G68="",AND(H68="",I68="")),"n/a",IF(G68=I68,"mastered",IF(G68=H68,"normal","differs")))</f>
        <v/>
      </c>
      <c r="K68" s="28">
        <f>IF(L68&lt;&gt;"",L68,IF(M68&lt;&gt;"",M68,""))</f>
        <v/>
      </c>
      <c r="L68" s="50" t="n">
        <v>442</v>
      </c>
      <c r="M68" s="50" t="n">
        <v>442</v>
      </c>
      <c r="N68" s="28">
        <f>IF(O68&lt;&gt;"",O68,IF(P68&lt;&gt;"",P68,""))</f>
        <v/>
      </c>
      <c r="O68" s="50" t="n">
        <v>53</v>
      </c>
      <c r="P68" s="50" t="n">
        <v>53</v>
      </c>
      <c r="Q68" s="50" t="n">
        <v>11.18</v>
      </c>
      <c r="R68" s="50" t="n">
        <v>31.18</v>
      </c>
      <c r="S68" s="28">
        <f>IF(Q68="","",IF(Q68&lt;0,"negative profit",IF(Q68&gt;Notes!$B$4,"unusually high - verify","")))</f>
        <v/>
      </c>
      <c r="T68" s="28" t="inlineStr">
        <is>
          <t>both</t>
        </is>
      </c>
      <c r="U68" s="28">
        <f>IF(T68&lt;&gt;"both",T68&amp;" only",IF(V68="","agree","conflict"))</f>
        <v/>
      </c>
      <c r="V68" s="28">
        <f>IF(T68="both",TRIM(IF(AND(E68&lt;&gt;"",F68&lt;&gt;"",E68&lt;&gt;F68),"level ","")&amp;IF(AND(L68&lt;&gt;"",M68&lt;&gt;"",L68&lt;&gt;M68),"price ","")&amp;IF(AND(O68&lt;&gt;"",P68&lt;&gt;"",O68&lt;&gt;P68),"xp ","")&amp;IF(J68="differs","time","")),"")</f>
        <v/>
      </c>
      <c r="X68" s="50" t="inlineStr">
        <is>
          <t>Beeswax x1; Peony x2; Sunflower x2; Indigo x2</t>
        </is>
      </c>
      <c r="Y68" s="50" t="inlineStr">
        <is>
          <t>Floral Candle.png</t>
        </is>
      </c>
      <c r="Z68" s="50" t="inlineStr">
        <is>
          <t>icons/Candle Maker/Floral Candle.png</t>
        </is>
      </c>
      <c r="AA68" s="28" t="inlineStr">
        <is>
          <t>hayday.info /api/production-data (2026-10-13) + Hay Day Wiki infobox via MediaWiki API (2026-10-13)</t>
        </is>
      </c>
      <c r="AB68" s="28" t="inlineStr">
        <is>
          <t>https://hayday.fandom.com/wiki/Floral_Candle</t>
        </is>
      </c>
      <c r="AC68" s="50" t="inlineStr">
        <is>
          <t>Floral candle</t>
        </is>
      </c>
    </row>
    <row r="69">
      <c r="A69" s="28" t="inlineStr">
        <is>
          <t>Caramel Apple</t>
        </is>
      </c>
      <c r="B69" s="28" t="inlineStr">
        <is>
          <t>Candy Machine</t>
        </is>
      </c>
      <c r="C69" s="50" t="inlineStr">
        <is>
          <t>Product</t>
        </is>
      </c>
      <c r="D69" s="28">
        <f>IF(E69&lt;&gt;"",E69,IF(F69&lt;&gt;"",F69,""))</f>
        <v/>
      </c>
      <c r="E69" s="50" t="n">
        <v>51</v>
      </c>
      <c r="F69" s="50" t="n">
        <v>51</v>
      </c>
      <c r="G69" s="50" t="n">
        <v>102</v>
      </c>
      <c r="H69" s="50" t="n">
        <v>120</v>
      </c>
      <c r="I69" s="50" t="n">
        <v>102</v>
      </c>
      <c r="J69" s="28">
        <f>IF(OR(G69="",AND(H69="",I69="")),"n/a",IF(G69=I69,"mastered",IF(G69=H69,"normal","differs")))</f>
        <v/>
      </c>
      <c r="K69" s="28">
        <f>IF(L69&lt;&gt;"",L69,IF(M69&lt;&gt;"",M69,""))</f>
        <v/>
      </c>
      <c r="L69" s="50" t="n">
        <v>255</v>
      </c>
      <c r="M69" s="50" t="n">
        <v>255</v>
      </c>
      <c r="N69" s="28">
        <f>IF(O69&lt;&gt;"",O69,IF(P69&lt;&gt;"",P69,""))</f>
        <v/>
      </c>
      <c r="O69" s="50" t="n">
        <v>31</v>
      </c>
      <c r="P69" s="50" t="n">
        <v>31</v>
      </c>
      <c r="Q69" s="50" t="n">
        <v>21.18</v>
      </c>
      <c r="R69" s="50" t="n">
        <v>18.24</v>
      </c>
      <c r="S69" s="28">
        <f>IF(Q69="","",IF(Q69&lt;0,"negative profit",IF(Q69&gt;Notes!$B$4,"unusually high - verify","")))</f>
        <v/>
      </c>
      <c r="T69" s="28" t="inlineStr">
        <is>
          <t>both</t>
        </is>
      </c>
      <c r="U69" s="28">
        <f>IF(T69&lt;&gt;"both",T69&amp;" only",IF(V69="","agree","conflict"))</f>
        <v/>
      </c>
      <c r="V69" s="28">
        <f>IF(T69="both",TRIM(IF(AND(E69&lt;&gt;"",F69&lt;&gt;"",E69&lt;&gt;F69),"level ","")&amp;IF(AND(L69&lt;&gt;"",M69&lt;&gt;"",L69&lt;&gt;M69),"price ","")&amp;IF(AND(O69&lt;&gt;"",P69&lt;&gt;"",O69&lt;&gt;P69),"xp ","")&amp;IF(J69="differs","time","")),"")</f>
        <v/>
      </c>
      <c r="X69" s="50" t="inlineStr">
        <is>
          <t>Syrup x2; Apple x1</t>
        </is>
      </c>
      <c r="Y69" s="50" t="inlineStr">
        <is>
          <t>Caramel Apple.png</t>
        </is>
      </c>
      <c r="Z69" s="50" t="inlineStr">
        <is>
          <t>icons/Candy Machine/Caramel Apple.png</t>
        </is>
      </c>
      <c r="AA69" s="28" t="inlineStr">
        <is>
          <t>hayday.info /api/production-data (2026-10-13) + Hay Day Wiki infobox via MediaWiki API (2026-10-13)</t>
        </is>
      </c>
      <c r="AB69" s="28" t="inlineStr">
        <is>
          <t>https://hayday.fandom.com/wiki/Caramel_Apple</t>
        </is>
      </c>
      <c r="AC69" s="50" t="inlineStr">
        <is>
          <t>Caramel apple</t>
        </is>
      </c>
    </row>
    <row r="70">
      <c r="A70" s="28" t="inlineStr">
        <is>
          <t>Toffee</t>
        </is>
      </c>
      <c r="B70" s="28" t="inlineStr">
        <is>
          <t>Candy Machine</t>
        </is>
      </c>
      <c r="C70" s="50" t="inlineStr">
        <is>
          <t>Product</t>
        </is>
      </c>
      <c r="D70" s="28">
        <f>IF(E70&lt;&gt;"",E70,IF(F70&lt;&gt;"",F70,""))</f>
        <v/>
      </c>
      <c r="E70" s="50" t="n">
        <v>52</v>
      </c>
      <c r="F70" s="50" t="n">
        <v>52</v>
      </c>
      <c r="G70" s="50" t="n">
        <v>76</v>
      </c>
      <c r="H70" s="50" t="n">
        <v>90</v>
      </c>
      <c r="I70" s="50" t="n">
        <v>76</v>
      </c>
      <c r="J70" s="28">
        <f>IF(OR(G70="",AND(H70="",I70="")),"n/a",IF(G70=I70,"mastered",IF(G70=H70,"normal","differs")))</f>
        <v/>
      </c>
      <c r="K70" s="28">
        <f>IF(L70&lt;&gt;"",L70,IF(M70&lt;&gt;"",M70,""))</f>
        <v/>
      </c>
      <c r="L70" s="50" t="n">
        <v>176</v>
      </c>
      <c r="M70" s="50" t="n">
        <v>176</v>
      </c>
      <c r="N70" s="28">
        <f>IF(O70&lt;&gt;"",O70,IF(P70&lt;&gt;"",P70,""))</f>
        <v/>
      </c>
      <c r="O70" s="50" t="n">
        <v>21</v>
      </c>
      <c r="P70" s="50" t="n">
        <v>21</v>
      </c>
      <c r="Q70" s="50" t="n">
        <v>32.16</v>
      </c>
      <c r="R70" s="50" t="n">
        <v>16.47</v>
      </c>
      <c r="S70" s="28">
        <f>IF(Q70="","",IF(Q70&lt;0,"negative profit",IF(Q70&gt;Notes!$B$4,"unusually high - verify","")))</f>
        <v/>
      </c>
      <c r="T70" s="28" t="inlineStr">
        <is>
          <t>both</t>
        </is>
      </c>
      <c r="U70" s="28">
        <f>IF(T70&lt;&gt;"both",T70&amp;" only",IF(V70="","agree","conflict"))</f>
        <v/>
      </c>
      <c r="V70" s="28">
        <f>IF(T70="both",TRIM(IF(AND(E70&lt;&gt;"",F70&lt;&gt;"",E70&lt;&gt;F70),"level ","")&amp;IF(AND(L70&lt;&gt;"",M70&lt;&gt;"",L70&lt;&gt;M70),"price ","")&amp;IF(AND(O70&lt;&gt;"",P70&lt;&gt;"",O70&lt;&gt;P70),"xp ","")&amp;IF(J70="differs","time","")),"")</f>
        <v/>
      </c>
      <c r="X70" s="50" t="inlineStr">
        <is>
          <t>Butter x1; Wheat x1; White Sugar x1</t>
        </is>
      </c>
      <c r="Y70" s="50" t="inlineStr">
        <is>
          <t>Toffee.png</t>
        </is>
      </c>
      <c r="Z70" s="50" t="inlineStr">
        <is>
          <t>icons/Candy Machine/Toffee.png</t>
        </is>
      </c>
      <c r="AA70" s="28" t="inlineStr">
        <is>
          <t>hayday.info /api/production-data (2026-10-13) + Hay Day Wiki infobox via MediaWiki API (2026-10-13)</t>
        </is>
      </c>
      <c r="AB70" s="28" t="inlineStr">
        <is>
          <t>https://hayday.fandom.com/wiki/Toffee</t>
        </is>
      </c>
      <c r="AC70" s="50" t="inlineStr">
        <is>
          <t>Toffee</t>
        </is>
      </c>
    </row>
    <row r="71">
      <c r="A71" s="28" t="inlineStr">
        <is>
          <t>Chocolate</t>
        </is>
      </c>
      <c r="B71" s="28" t="inlineStr">
        <is>
          <t>Candy Machine</t>
        </is>
      </c>
      <c r="C71" s="50" t="inlineStr">
        <is>
          <t>Product</t>
        </is>
      </c>
      <c r="D71" s="28">
        <f>IF(E71&lt;&gt;"",E71,IF(F71&lt;&gt;"",F71,""))</f>
        <v/>
      </c>
      <c r="E71" s="50" t="n">
        <v>54</v>
      </c>
      <c r="F71" s="50" t="n">
        <v>54</v>
      </c>
      <c r="G71" s="50" t="n">
        <v>1020</v>
      </c>
      <c r="H71" s="50" t="n">
        <v>1200</v>
      </c>
      <c r="I71" s="50" t="n">
        <v>1020</v>
      </c>
      <c r="J71" s="28">
        <f>IF(OR(G71="",AND(H71="",I71="")),"n/a",IF(G71=I71,"mastered",IF(G71=H71,"normal","differs")))</f>
        <v/>
      </c>
      <c r="K71" s="28">
        <f>IF(L71&lt;&gt;"",L71,IF(M71&lt;&gt;"",M71,""))</f>
        <v/>
      </c>
      <c r="L71" s="50" t="n">
        <v>460</v>
      </c>
      <c r="M71" s="50" t="n">
        <v>460</v>
      </c>
      <c r="N71" s="28">
        <f>IF(O71&lt;&gt;"",O71,IF(P71&lt;&gt;"",P71,""))</f>
        <v/>
      </c>
      <c r="O71" s="50" t="n">
        <v>55</v>
      </c>
      <c r="P71" s="50" t="n">
        <v>55</v>
      </c>
      <c r="Q71" s="50" t="n">
        <v>6</v>
      </c>
      <c r="R71" s="50" t="n">
        <v>3.24</v>
      </c>
      <c r="S71" s="28">
        <f>IF(Q71="","",IF(Q71&lt;0,"negative profit",IF(Q71&gt;Notes!$B$4,"unusually high - verify","")))</f>
        <v/>
      </c>
      <c r="T71" s="28" t="inlineStr">
        <is>
          <t>both</t>
        </is>
      </c>
      <c r="U71" s="28">
        <f>IF(T71&lt;&gt;"both",T71&amp;" only",IF(V71="","agree","conflict"))</f>
        <v/>
      </c>
      <c r="V71" s="28">
        <f>IF(T71="both",TRIM(IF(AND(E71&lt;&gt;"",F71&lt;&gt;"",E71&lt;&gt;F71),"level ","")&amp;IF(AND(L71&lt;&gt;"",M71&lt;&gt;"",L71&lt;&gt;M71),"price ","")&amp;IF(AND(O71&lt;&gt;"",P71&lt;&gt;"",O71&lt;&gt;P71),"xp ","")&amp;IF(J71="differs","time","")),"")</f>
        <v/>
      </c>
      <c r="X71" s="50" t="inlineStr">
        <is>
          <t>Cacao x3; Cream x1; White Sugar x1</t>
        </is>
      </c>
      <c r="Y71" s="50" t="inlineStr">
        <is>
          <t>Chocolate.png</t>
        </is>
      </c>
      <c r="Z71" s="50" t="inlineStr">
        <is>
          <t>icons/Candy Machine/Chocolate.png</t>
        </is>
      </c>
      <c r="AA71" s="28" t="inlineStr">
        <is>
          <t>hayday.info /api/production-data (2026-10-13) + Hay Day Wiki infobox via MediaWiki API (2026-10-13)</t>
        </is>
      </c>
      <c r="AB71" s="28" t="inlineStr">
        <is>
          <t>https://hayday.fandom.com/wiki/Chocolate</t>
        </is>
      </c>
      <c r="AC71" s="50" t="inlineStr">
        <is>
          <t>Chocolate</t>
        </is>
      </c>
    </row>
    <row r="72">
      <c r="A72" s="28" t="inlineStr">
        <is>
          <t>Lollipop</t>
        </is>
      </c>
      <c r="B72" s="28" t="inlineStr">
        <is>
          <t>Candy Machine</t>
        </is>
      </c>
      <c r="C72" s="50" t="inlineStr">
        <is>
          <t>Product</t>
        </is>
      </c>
      <c r="D72" s="28">
        <f>IF(E72&lt;&gt;"",E72,IF(F72&lt;&gt;"",F72,""))</f>
        <v/>
      </c>
      <c r="E72" s="50" t="n">
        <v>57</v>
      </c>
      <c r="F72" s="50" t="n">
        <v>57</v>
      </c>
      <c r="G72" s="50" t="n">
        <v>612</v>
      </c>
      <c r="H72" s="50" t="n">
        <v>720</v>
      </c>
      <c r="I72" s="50" t="n">
        <v>612</v>
      </c>
      <c r="J72" s="28">
        <f>IF(OR(G72="",AND(H72="",I72="")),"n/a",IF(G72=I72,"mastered",IF(G72=H72,"normal","differs")))</f>
        <v/>
      </c>
      <c r="K72" s="28">
        <f>IF(L72&lt;&gt;"",L72,IF(M72&lt;&gt;"",M72,""))</f>
        <v/>
      </c>
      <c r="L72" s="50" t="n">
        <v>342</v>
      </c>
      <c r="M72" s="50" t="n">
        <v>342</v>
      </c>
      <c r="N72" s="28">
        <f>IF(O72&lt;&gt;"",O72,IF(P72&lt;&gt;"",P72,""))</f>
        <v/>
      </c>
      <c r="O72" s="50" t="n">
        <v>41</v>
      </c>
      <c r="P72" s="50" t="n">
        <v>41</v>
      </c>
      <c r="Q72" s="50" t="n">
        <v>8.24</v>
      </c>
      <c r="R72" s="50" t="n">
        <v>4.02</v>
      </c>
      <c r="S72" s="28">
        <f>IF(Q72="","",IF(Q72&lt;0,"negative profit",IF(Q72&gt;Notes!$B$4,"unusually high - verify","")))</f>
        <v/>
      </c>
      <c r="T72" s="28" t="inlineStr">
        <is>
          <t>both</t>
        </is>
      </c>
      <c r="U72" s="28">
        <f>IF(T72&lt;&gt;"both",T72&amp;" only",IF(V72="","agree","conflict"))</f>
        <v/>
      </c>
      <c r="V72" s="28">
        <f>IF(T72="both",TRIM(IF(AND(E72&lt;&gt;"",F72&lt;&gt;"",E72&lt;&gt;F72),"level ","")&amp;IF(AND(L72&lt;&gt;"",M72&lt;&gt;"",L72&lt;&gt;M72),"price ","")&amp;IF(AND(O72&lt;&gt;"",P72&lt;&gt;"",O72&lt;&gt;P72),"xp ","")&amp;IF(J72="differs","time","")),"")</f>
        <v/>
      </c>
      <c r="X72" s="50" t="inlineStr">
        <is>
          <t>Syrup x1; Cherry x1; Strawberry x2</t>
        </is>
      </c>
      <c r="Y72" s="50" t="inlineStr">
        <is>
          <t>Lollipop.png</t>
        </is>
      </c>
      <c r="Z72" s="50" t="inlineStr">
        <is>
          <t>icons/Candy Machine/Lollipop.png</t>
        </is>
      </c>
      <c r="AA72" s="28" t="inlineStr">
        <is>
          <t>hayday.info /api/production-data (2026-10-13) + Hay Day Wiki infobox via MediaWiki API (2026-10-13)</t>
        </is>
      </c>
      <c r="AB72" s="28" t="inlineStr">
        <is>
          <t>https://hayday.fandom.com/wiki/Lollipop</t>
        </is>
      </c>
      <c r="AC72" s="50" t="inlineStr">
        <is>
          <t>Lollipop</t>
        </is>
      </c>
    </row>
    <row r="73">
      <c r="A73" s="28" t="inlineStr">
        <is>
          <t>Jelly Beans</t>
        </is>
      </c>
      <c r="B73" s="28" t="inlineStr">
        <is>
          <t>Candy Machine</t>
        </is>
      </c>
      <c r="C73" s="50" t="inlineStr">
        <is>
          <t>Product</t>
        </is>
      </c>
      <c r="D73" s="28">
        <f>IF(E73&lt;&gt;"",E73,IF(F73&lt;&gt;"",F73,""))</f>
        <v/>
      </c>
      <c r="E73" s="50" t="n">
        <v>60</v>
      </c>
      <c r="F73" s="50" t="n">
        <v>60</v>
      </c>
      <c r="G73" s="50" t="n">
        <v>1224</v>
      </c>
      <c r="H73" s="50" t="n">
        <v>1440</v>
      </c>
      <c r="I73" s="50" t="n">
        <v>1224</v>
      </c>
      <c r="J73" s="28">
        <f>IF(OR(G73="",AND(H73="",I73="")),"n/a",IF(G73=I73,"mastered",IF(G73=H73,"normal","differs")))</f>
        <v/>
      </c>
      <c r="K73" s="28">
        <f>IF(L73&lt;&gt;"",L73,IF(M73&lt;&gt;"",M73,""))</f>
        <v/>
      </c>
      <c r="L73" s="50" t="n">
        <v>684</v>
      </c>
      <c r="M73" s="50" t="n">
        <v>684</v>
      </c>
      <c r="N73" s="28">
        <f>IF(O73&lt;&gt;"",O73,IF(P73&lt;&gt;"",P73,""))</f>
        <v/>
      </c>
      <c r="O73" s="50" t="n">
        <v>81</v>
      </c>
      <c r="P73" s="50" t="n">
        <v>81</v>
      </c>
      <c r="Q73" s="50" t="n">
        <v>-0.29</v>
      </c>
      <c r="R73" s="50" t="n">
        <v>3.97</v>
      </c>
      <c r="S73" s="28">
        <f>IF(Q73="","",IF(Q73&lt;0,"negative profit",IF(Q73&gt;Notes!$B$4,"unusually high - verify","")))</f>
        <v/>
      </c>
      <c r="T73" s="28" t="inlineStr">
        <is>
          <t>both</t>
        </is>
      </c>
      <c r="U73" s="28">
        <f>IF(T73&lt;&gt;"both",T73&amp;" only",IF(V73="","agree","conflict"))</f>
        <v/>
      </c>
      <c r="V73" s="28">
        <f>IF(T73="both",TRIM(IF(AND(E73&lt;&gt;"",F73&lt;&gt;"",E73&lt;&gt;F73),"level ","")&amp;IF(AND(L73&lt;&gt;"",M73&lt;&gt;"",L73&lt;&gt;M73),"price ","")&amp;IF(AND(O73&lt;&gt;"",P73&lt;&gt;"",O73&lt;&gt;P73),"xp ","")&amp;IF(J73="differs","time","")),"")</f>
        <v/>
      </c>
      <c r="X73" s="50" t="inlineStr">
        <is>
          <t>Blackberry Jam x1; Raspberry Jam x1; White Sugar x1</t>
        </is>
      </c>
      <c r="Y73" s="50" t="inlineStr">
        <is>
          <t>Jelly Beans.png</t>
        </is>
      </c>
      <c r="Z73" s="50" t="inlineStr">
        <is>
          <t>icons/Candy Machine/Jelly Beans.png</t>
        </is>
      </c>
      <c r="AA73" s="28" t="inlineStr">
        <is>
          <t>hayday.info /api/production-data (2026-10-13) + Hay Day Wiki infobox via MediaWiki API (2026-10-13)</t>
        </is>
      </c>
      <c r="AB73" s="28" t="inlineStr">
        <is>
          <t>https://hayday.fandom.com/wiki/Jelly_Beans</t>
        </is>
      </c>
      <c r="AC73" s="50" t="inlineStr">
        <is>
          <t>Jelly beans</t>
        </is>
      </c>
    </row>
    <row r="74">
      <c r="A74" s="28" t="inlineStr">
        <is>
          <t>Honey Peanuts</t>
        </is>
      </c>
      <c r="B74" s="28" t="inlineStr">
        <is>
          <t>Candy Machine</t>
        </is>
      </c>
      <c r="C74" s="50" t="inlineStr">
        <is>
          <t>Product</t>
        </is>
      </c>
      <c r="D74" s="28">
        <f>IF(E74&lt;&gt;"",E74,IF(F74&lt;&gt;"",F74,""))</f>
        <v/>
      </c>
      <c r="E74" s="50" t="n">
        <v>63</v>
      </c>
      <c r="F74" s="50" t="n">
        <v>63</v>
      </c>
      <c r="G74" s="50" t="n">
        <v>34</v>
      </c>
      <c r="H74" s="50" t="n">
        <v>40</v>
      </c>
      <c r="I74" s="50" t="n">
        <v>34</v>
      </c>
      <c r="J74" s="28">
        <f>IF(OR(G74="",AND(H74="",I74="")),"n/a",IF(G74=I74,"mastered",IF(G74=H74,"normal","differs")))</f>
        <v/>
      </c>
      <c r="K74" s="28">
        <f>IF(L74&lt;&gt;"",L74,IF(M74&lt;&gt;"",M74,""))</f>
        <v/>
      </c>
      <c r="L74" s="50" t="n">
        <v>540</v>
      </c>
      <c r="M74" s="50" t="n">
        <v>468</v>
      </c>
      <c r="N74" s="28">
        <f>IF(O74&lt;&gt;"",O74,IF(P74&lt;&gt;"",P74,""))</f>
        <v/>
      </c>
      <c r="O74" s="50" t="n">
        <v>64</v>
      </c>
      <c r="P74" s="50" t="n">
        <v>64</v>
      </c>
      <c r="Q74" s="50" t="n">
        <v>268.24</v>
      </c>
      <c r="R74" s="50" t="n">
        <v>112.94</v>
      </c>
      <c r="S74" s="28">
        <f>IF(Q74="","",IF(Q74&lt;0,"negative profit",IF(Q74&gt;Notes!$B$4,"unusually high - verify","")))</f>
        <v/>
      </c>
      <c r="T74" s="28" t="inlineStr">
        <is>
          <t>both</t>
        </is>
      </c>
      <c r="U74" s="28">
        <f>IF(T74&lt;&gt;"both",T74&amp;" only",IF(V74="","agree","conflict"))</f>
        <v/>
      </c>
      <c r="V74" s="28">
        <f>IF(T74="both",TRIM(IF(AND(E74&lt;&gt;"",F74&lt;&gt;"",E74&lt;&gt;F74),"level ","")&amp;IF(AND(L74&lt;&gt;"",M74&lt;&gt;"",L74&lt;&gt;M74),"price ","")&amp;IF(AND(O74&lt;&gt;"",P74&lt;&gt;"",O74&lt;&gt;P74),"xp ","")&amp;IF(J74="differs","time","")),"")</f>
        <v/>
      </c>
      <c r="X74" s="50" t="inlineStr">
        <is>
          <t>Honey x1; Peanuts x1</t>
        </is>
      </c>
      <c r="Y74" s="50" t="inlineStr">
        <is>
          <t>Honey Peanuts.png</t>
        </is>
      </c>
      <c r="Z74" s="50" t="inlineStr">
        <is>
          <t>icons/Candy Machine/Honey Peanuts.png</t>
        </is>
      </c>
      <c r="AA74" s="28" t="inlineStr">
        <is>
          <t>hayday.info /api/production-data (2026-10-13) + Hay Day Wiki infobox via MediaWiki API (2026-10-13)</t>
        </is>
      </c>
      <c r="AB74" s="28" t="inlineStr">
        <is>
          <t>https://hayday.fandom.com/wiki/Honey_Peanuts</t>
        </is>
      </c>
      <c r="AC74" s="50" t="inlineStr">
        <is>
          <t>Honey peanuts</t>
        </is>
      </c>
    </row>
    <row r="75">
      <c r="A75" s="28" t="inlineStr">
        <is>
          <t>Cotton Candy</t>
        </is>
      </c>
      <c r="B75" s="28" t="inlineStr">
        <is>
          <t>Candy Machine</t>
        </is>
      </c>
      <c r="C75" s="50" t="inlineStr">
        <is>
          <t>Product</t>
        </is>
      </c>
      <c r="D75" s="28">
        <f>IF(E75&lt;&gt;"",E75,IF(F75&lt;&gt;"",F75,""))</f>
        <v/>
      </c>
      <c r="E75" s="50" t="n">
        <v>75</v>
      </c>
      <c r="F75" s="50" t="n">
        <v>75</v>
      </c>
      <c r="G75" s="50" t="n">
        <v>25</v>
      </c>
      <c r="H75" s="50" t="n">
        <v>30</v>
      </c>
      <c r="I75" s="50" t="n">
        <v>25</v>
      </c>
      <c r="J75" s="28">
        <f>IF(OR(G75="",AND(H75="",I75="")),"n/a",IF(G75=I75,"mastered",IF(G75=H75,"normal","differs")))</f>
        <v/>
      </c>
      <c r="K75" s="28">
        <f>IF(L75&lt;&gt;"",L75,IF(M75&lt;&gt;"",M75,""))</f>
        <v/>
      </c>
      <c r="L75" s="50" t="n">
        <v>226</v>
      </c>
      <c r="M75" s="50" t="n">
        <v>226</v>
      </c>
      <c r="N75" s="28">
        <f>IF(O75&lt;&gt;"",O75,IF(P75&lt;&gt;"",P75,""))</f>
        <v/>
      </c>
      <c r="O75" s="50" t="n">
        <v>27</v>
      </c>
      <c r="P75" s="50" t="n">
        <v>27</v>
      </c>
      <c r="Q75" s="50" t="n">
        <v>61.18</v>
      </c>
      <c r="R75" s="50" t="n">
        <v>63.53</v>
      </c>
      <c r="S75" s="28">
        <f>IF(Q75="","",IF(Q75&lt;0,"negative profit",IF(Q75&gt;Notes!$B$4,"unusually high - verify","")))</f>
        <v/>
      </c>
      <c r="T75" s="28" t="inlineStr">
        <is>
          <t>both</t>
        </is>
      </c>
      <c r="U75" s="28">
        <f>IF(T75&lt;&gt;"both",T75&amp;" only",IF(V75="","agree","conflict"))</f>
        <v/>
      </c>
      <c r="V75" s="28">
        <f>IF(T75="both",TRIM(IF(AND(E75&lt;&gt;"",F75&lt;&gt;"",E75&lt;&gt;F75),"level ","")&amp;IF(AND(L75&lt;&gt;"",M75&lt;&gt;"",L75&lt;&gt;M75),"price ","")&amp;IF(AND(O75&lt;&gt;"",P75&lt;&gt;"",O75&lt;&gt;P75),"xp ","")&amp;IF(J75="differs","time","")),"")</f>
        <v/>
      </c>
      <c r="X75" s="50" t="inlineStr">
        <is>
          <t>White Sugar x3; Strawberry x1</t>
        </is>
      </c>
      <c r="Y75" s="50" t="inlineStr">
        <is>
          <t>Cotton Candy.png</t>
        </is>
      </c>
      <c r="Z75" s="50" t="inlineStr">
        <is>
          <t>icons/Candy Machine/Cotton Candy.png</t>
        </is>
      </c>
      <c r="AA75" s="28" t="inlineStr">
        <is>
          <t>hayday.info /api/production-data (2026-10-13) + Hay Day Wiki infobox via MediaWiki API (2026-10-13)</t>
        </is>
      </c>
      <c r="AB75" s="28" t="inlineStr">
        <is>
          <t>https://hayday.fandom.com/wiki/Cotton_Candy</t>
        </is>
      </c>
      <c r="AC75" s="50" t="inlineStr">
        <is>
          <t>Cotton Candy</t>
        </is>
      </c>
    </row>
    <row r="76">
      <c r="A76" s="28" t="inlineStr">
        <is>
          <t>Sesame Brittle</t>
        </is>
      </c>
      <c r="B76" s="28" t="inlineStr">
        <is>
          <t>Candy Machine</t>
        </is>
      </c>
      <c r="C76" s="50" t="inlineStr">
        <is>
          <t>Product</t>
        </is>
      </c>
      <c r="D76" s="28">
        <f>IF(E76&lt;&gt;"",E76,IF(F76&lt;&gt;"",F76,""))</f>
        <v/>
      </c>
      <c r="E76" s="50" t="n">
        <v>78</v>
      </c>
      <c r="F76" s="50" t="n">
        <v>78</v>
      </c>
      <c r="G76" s="50" t="n">
        <v>51</v>
      </c>
      <c r="H76" s="50" t="n">
        <v>60</v>
      </c>
      <c r="I76" s="50" t="n">
        <v>51</v>
      </c>
      <c r="J76" s="28">
        <f>IF(OR(G76="",AND(H76="",I76="")),"n/a",IF(G76=I76,"mastered",IF(G76=H76,"normal","differs")))</f>
        <v/>
      </c>
      <c r="K76" s="28">
        <f>IF(L76&lt;&gt;"",L76,IF(M76&lt;&gt;"",M76,""))</f>
        <v/>
      </c>
      <c r="L76" s="50" t="n">
        <v>270</v>
      </c>
      <c r="M76" s="50" t="n">
        <v>270</v>
      </c>
      <c r="N76" s="28">
        <f>IF(O76&lt;&gt;"",O76,IF(P76&lt;&gt;"",P76,""))</f>
        <v/>
      </c>
      <c r="O76" s="50" t="n">
        <v>32</v>
      </c>
      <c r="P76" s="50" t="n">
        <v>32</v>
      </c>
      <c r="Q76" s="50" t="n">
        <v>40</v>
      </c>
      <c r="R76" s="50" t="n">
        <v>37.65</v>
      </c>
      <c r="S76" s="28">
        <f>IF(Q76="","",IF(Q76&lt;0,"negative profit",IF(Q76&gt;Notes!$B$4,"unusually high - verify","")))</f>
        <v/>
      </c>
      <c r="T76" s="28" t="inlineStr">
        <is>
          <t>both</t>
        </is>
      </c>
      <c r="U76" s="28">
        <f>IF(T76&lt;&gt;"both",T76&amp;" only",IF(V76="","agree","conflict"))</f>
        <v/>
      </c>
      <c r="V76" s="28">
        <f>IF(T76="both",TRIM(IF(AND(E76&lt;&gt;"",F76&lt;&gt;"",E76&lt;&gt;F76),"level ","")&amp;IF(AND(L76&lt;&gt;"",M76&lt;&gt;"",L76&lt;&gt;M76),"price ","")&amp;IF(AND(O76&lt;&gt;"",P76&lt;&gt;"",O76&lt;&gt;P76),"xp ","")&amp;IF(J76="differs","time","")),"")</f>
        <v/>
      </c>
      <c r="X76" s="50" t="inlineStr">
        <is>
          <t>Sesame x3; Ginger x1; Honey x1</t>
        </is>
      </c>
      <c r="Y76" s="50" t="inlineStr">
        <is>
          <t>Sesame_Brittle.png</t>
        </is>
      </c>
      <c r="Z76" s="50" t="inlineStr">
        <is>
          <t>icons/Candy Machine/Sesame Brittle.png</t>
        </is>
      </c>
      <c r="AA76" s="28" t="inlineStr">
        <is>
          <t>hayday.info /api/production-data (2026-10-13) + Hay Day Wiki infobox via MediaWiki API (2026-10-13)</t>
        </is>
      </c>
      <c r="AB76" s="28" t="inlineStr">
        <is>
          <t>https://hayday.fandom.com/wiki/Sesame_Brittle</t>
        </is>
      </c>
      <c r="AC76" s="50" t="inlineStr">
        <is>
          <t>Sesame brittle</t>
        </is>
      </c>
    </row>
    <row r="77">
      <c r="A77" s="28" t="inlineStr">
        <is>
          <t>Espresso</t>
        </is>
      </c>
      <c r="B77" s="28" t="inlineStr">
        <is>
          <t>Coffee Kiosk</t>
        </is>
      </c>
      <c r="C77" s="50" t="inlineStr">
        <is>
          <t>Product</t>
        </is>
      </c>
      <c r="D77" s="28">
        <f>IF(E77&lt;&gt;"",E77,IF(F77&lt;&gt;"",F77,""))</f>
        <v/>
      </c>
      <c r="E77" s="50" t="n">
        <v>42</v>
      </c>
      <c r="F77" s="50" t="n">
        <v>42</v>
      </c>
      <c r="G77" s="50" t="n">
        <v>4</v>
      </c>
      <c r="H77" s="50" t="n">
        <v>5</v>
      </c>
      <c r="I77" s="50" t="n">
        <v>4</v>
      </c>
      <c r="J77" s="28">
        <f>IF(OR(G77="",AND(H77="",I77="")),"n/a",IF(G77=I77,"mastered",IF(G77=H77,"normal","differs")))</f>
        <v/>
      </c>
      <c r="K77" s="28">
        <f>IF(L77&lt;&gt;"",L77,IF(M77&lt;&gt;"",M77,""))</f>
        <v/>
      </c>
      <c r="L77" s="50" t="n">
        <v>248</v>
      </c>
      <c r="M77" s="50" t="n">
        <v>248</v>
      </c>
      <c r="N77" s="28">
        <f>IF(O77&lt;&gt;"",O77,IF(P77&lt;&gt;"",P77,""))</f>
        <v/>
      </c>
      <c r="O77" s="50" t="n">
        <v>29</v>
      </c>
      <c r="P77" s="50" t="n">
        <v>29</v>
      </c>
      <c r="Q77" s="50" t="n">
        <v>84.70999999999999</v>
      </c>
      <c r="R77" s="50" t="n">
        <v>409.41</v>
      </c>
      <c r="S77" s="28">
        <f>IF(Q77="","",IF(Q77&lt;0,"negative profit",IF(Q77&gt;Notes!$B$4,"unusually high - verify","")))</f>
        <v/>
      </c>
      <c r="T77" s="28" t="inlineStr">
        <is>
          <t>both</t>
        </is>
      </c>
      <c r="U77" s="28">
        <f>IF(T77&lt;&gt;"both",T77&amp;" only",IF(V77="","agree","conflict"))</f>
        <v/>
      </c>
      <c r="V77" s="28">
        <f>IF(T77="both",TRIM(IF(AND(E77&lt;&gt;"",F77&lt;&gt;"",E77&lt;&gt;F77),"level ","")&amp;IF(AND(L77&lt;&gt;"",M77&lt;&gt;"",L77&lt;&gt;M77),"price ","")&amp;IF(AND(O77&lt;&gt;"",P77&lt;&gt;"",O77&lt;&gt;P77),"xp ","")&amp;IF(J77="differs","time","")),"")</f>
        <v/>
      </c>
      <c r="X77" s="50" t="inlineStr">
        <is>
          <t>Coffee Bean x3; White Sugar x1</t>
        </is>
      </c>
      <c r="Y77" s="50" t="inlineStr">
        <is>
          <t>Espresso.png</t>
        </is>
      </c>
      <c r="Z77" s="50" t="inlineStr">
        <is>
          <t>icons/Coffee Kiosk/Espresso.png</t>
        </is>
      </c>
      <c r="AA77" s="28" t="inlineStr">
        <is>
          <t>hayday.info /api/production-data (2026-10-13) + Hay Day Wiki infobox via MediaWiki API (2026-10-13)</t>
        </is>
      </c>
      <c r="AB77" s="28" t="inlineStr">
        <is>
          <t>https://hayday.fandom.com/wiki/Espresso</t>
        </is>
      </c>
      <c r="AC77" s="50" t="inlineStr">
        <is>
          <t>Espresso</t>
        </is>
      </c>
    </row>
    <row r="78">
      <c r="A78" s="28" t="inlineStr">
        <is>
          <t>Caffè Latte</t>
        </is>
      </c>
      <c r="B78" s="28" t="inlineStr">
        <is>
          <t>Coffee Kiosk</t>
        </is>
      </c>
      <c r="C78" s="50" t="inlineStr">
        <is>
          <t>Product</t>
        </is>
      </c>
      <c r="D78" s="28">
        <f>IF(E78&lt;&gt;"",E78,IF(F78&lt;&gt;"",F78,""))</f>
        <v/>
      </c>
      <c r="E78" s="50" t="n">
        <v>43</v>
      </c>
      <c r="F78" s="50" t="n">
        <v>43</v>
      </c>
      <c r="G78" s="50" t="n">
        <v>8</v>
      </c>
      <c r="H78" s="50" t="n">
        <v>10</v>
      </c>
      <c r="I78" s="50" t="n">
        <v>8</v>
      </c>
      <c r="J78" s="28">
        <f>IF(OR(G78="",AND(H78="",I78="")),"n/a",IF(G78=I78,"mastered",IF(G78=H78,"normal","differs")))</f>
        <v/>
      </c>
      <c r="K78" s="28">
        <f>IF(L78&lt;&gt;"",L78,IF(M78&lt;&gt;"",M78,""))</f>
        <v/>
      </c>
      <c r="L78" s="50" t="n">
        <v>219</v>
      </c>
      <c r="M78" s="50" t="n">
        <v>219</v>
      </c>
      <c r="N78" s="28">
        <f>IF(O78&lt;&gt;"",O78,IF(P78&lt;&gt;"",P78,""))</f>
        <v/>
      </c>
      <c r="O78" s="50" t="n">
        <v>26</v>
      </c>
      <c r="P78" s="50" t="n">
        <v>26</v>
      </c>
      <c r="Q78" s="50" t="n">
        <v>63.53</v>
      </c>
      <c r="R78" s="50" t="n">
        <v>183.53</v>
      </c>
      <c r="S78" s="28">
        <f>IF(Q78="","",IF(Q78&lt;0,"negative profit",IF(Q78&gt;Notes!$B$4,"unusually high - verify","")))</f>
        <v/>
      </c>
      <c r="T78" s="28" t="inlineStr">
        <is>
          <t>both</t>
        </is>
      </c>
      <c r="U78" s="28">
        <f>IF(T78&lt;&gt;"both",T78&amp;" only",IF(V78="","agree","conflict"))</f>
        <v/>
      </c>
      <c r="V78" s="28">
        <f>IF(T78="both",TRIM(IF(AND(E78&lt;&gt;"",F78&lt;&gt;"",E78&lt;&gt;F78),"level ","")&amp;IF(AND(L78&lt;&gt;"",M78&lt;&gt;"",L78&lt;&gt;M78),"price ","")&amp;IF(AND(O78&lt;&gt;"",P78&lt;&gt;"",O78&lt;&gt;P78),"xp ","")&amp;IF(J78="differs","time","")),"")</f>
        <v/>
      </c>
      <c r="X78" s="50" t="inlineStr">
        <is>
          <t>Coffee Bean x2; White Sugar x1; Milk x1</t>
        </is>
      </c>
      <c r="Y78" s="50" t="inlineStr">
        <is>
          <t>Caffe Latte.png</t>
        </is>
      </c>
      <c r="Z78" s="50" t="inlineStr">
        <is>
          <t>icons/Coffee Kiosk/Caffè Latte.png</t>
        </is>
      </c>
      <c r="AA78" s="28" t="inlineStr">
        <is>
          <t>hayday.info /api/production-data (2026-10-13) + Hay Day Wiki infobox via MediaWiki API (2026-10-13)</t>
        </is>
      </c>
      <c r="AB78" s="28" t="inlineStr">
        <is>
          <t>https://hayday.fandom.com/wiki/Caffè_Latte</t>
        </is>
      </c>
      <c r="AC78" s="50" t="inlineStr">
        <is>
          <t>Caffè latte</t>
        </is>
      </c>
    </row>
    <row r="79">
      <c r="A79" s="28" t="inlineStr">
        <is>
          <t>Caffè Mocha</t>
        </is>
      </c>
      <c r="B79" s="28" t="inlineStr">
        <is>
          <t>Coffee Kiosk</t>
        </is>
      </c>
      <c r="C79" s="50" t="inlineStr">
        <is>
          <t>Product</t>
        </is>
      </c>
      <c r="D79" s="28">
        <f>IF(E79&lt;&gt;"",E79,IF(F79&lt;&gt;"",F79,""))</f>
        <v/>
      </c>
      <c r="E79" s="50" t="n">
        <v>45</v>
      </c>
      <c r="F79" s="50" t="n">
        <v>45</v>
      </c>
      <c r="G79" s="50" t="n">
        <v>12</v>
      </c>
      <c r="H79" s="50" t="n">
        <v>15</v>
      </c>
      <c r="I79" s="50" t="n">
        <v>12</v>
      </c>
      <c r="J79" s="28">
        <f>IF(OR(G79="",AND(H79="",I79="")),"n/a",IF(G79=I79,"mastered",IF(G79=H79,"normal","differs")))</f>
        <v/>
      </c>
      <c r="K79" s="28">
        <f>IF(L79&lt;&gt;"",L79,IF(M79&lt;&gt;"",M79,""))</f>
        <v/>
      </c>
      <c r="L79" s="50" t="n">
        <v>291</v>
      </c>
      <c r="M79" s="50" t="n">
        <v>291</v>
      </c>
      <c r="N79" s="28">
        <f>IF(O79&lt;&gt;"",O79,IF(P79&lt;&gt;"",P79,""))</f>
        <v/>
      </c>
      <c r="O79" s="50" t="n">
        <v>35</v>
      </c>
      <c r="P79" s="50" t="n">
        <v>35</v>
      </c>
      <c r="Q79" s="50" t="n">
        <v>23.53</v>
      </c>
      <c r="R79" s="50" t="n">
        <v>164.71</v>
      </c>
      <c r="S79" s="28">
        <f>IF(Q79="","",IF(Q79&lt;0,"negative profit",IF(Q79&gt;Notes!$B$4,"unusually high - verify","")))</f>
        <v/>
      </c>
      <c r="T79" s="28" t="inlineStr">
        <is>
          <t>both</t>
        </is>
      </c>
      <c r="U79" s="28">
        <f>IF(T79&lt;&gt;"both",T79&amp;" only",IF(V79="","agree","conflict"))</f>
        <v/>
      </c>
      <c r="V79" s="28">
        <f>IF(T79="both",TRIM(IF(AND(E79&lt;&gt;"",F79&lt;&gt;"",E79&lt;&gt;F79),"level ","")&amp;IF(AND(L79&lt;&gt;"",M79&lt;&gt;"",L79&lt;&gt;M79),"price ","")&amp;IF(AND(O79&lt;&gt;"",P79&lt;&gt;"",O79&lt;&gt;P79),"xp ","")&amp;IF(J79="differs","time","")),"")</f>
        <v/>
      </c>
      <c r="X79" s="50" t="inlineStr">
        <is>
          <t>Coffee Bean x1; Cream x1; Cacao x2</t>
        </is>
      </c>
      <c r="Y79" s="50" t="inlineStr">
        <is>
          <t>Caffe Mocha.png</t>
        </is>
      </c>
      <c r="Z79" s="50" t="inlineStr">
        <is>
          <t>icons/Coffee Kiosk/Caffè Mocha.png</t>
        </is>
      </c>
      <c r="AA79" s="28" t="inlineStr">
        <is>
          <t>hayday.info /api/production-data (2026-10-13) + Hay Day Wiki infobox via MediaWiki API (2026-10-13)</t>
        </is>
      </c>
      <c r="AB79" s="28" t="inlineStr">
        <is>
          <t>https://hayday.fandom.com/wiki/Caffè_Mocha</t>
        </is>
      </c>
      <c r="AC79" s="50" t="inlineStr">
        <is>
          <t>Caffè mocha</t>
        </is>
      </c>
    </row>
    <row r="80">
      <c r="A80" s="28" t="inlineStr">
        <is>
          <t>Raspberry Mocha</t>
        </is>
      </c>
      <c r="B80" s="28" t="inlineStr">
        <is>
          <t>Coffee Kiosk</t>
        </is>
      </c>
      <c r="C80" s="50" t="inlineStr">
        <is>
          <t>Product</t>
        </is>
      </c>
      <c r="D80" s="28">
        <f>IF(E80&lt;&gt;"",E80,IF(F80&lt;&gt;"",F80,""))</f>
        <v/>
      </c>
      <c r="E80" s="50" t="n">
        <v>46</v>
      </c>
      <c r="F80" s="50" t="n">
        <v>46</v>
      </c>
      <c r="G80" s="50" t="n">
        <v>25</v>
      </c>
      <c r="H80" s="50" t="n">
        <v>30</v>
      </c>
      <c r="I80" s="50" t="n">
        <v>25</v>
      </c>
      <c r="J80" s="28">
        <f>IF(OR(G80="",AND(H80="",I80="")),"n/a",IF(G80=I80,"mastered",IF(G80=H80,"normal","differs")))</f>
        <v/>
      </c>
      <c r="K80" s="28">
        <f>IF(L80&lt;&gt;"",L80,IF(M80&lt;&gt;"",M80,""))</f>
        <v/>
      </c>
      <c r="L80" s="50" t="n">
        <v>259</v>
      </c>
      <c r="M80" s="50" t="n">
        <v>259</v>
      </c>
      <c r="N80" s="28">
        <f>IF(O80&lt;&gt;"",O80,IF(P80&lt;&gt;"",P80,""))</f>
        <v/>
      </c>
      <c r="O80" s="50" t="n">
        <v>31</v>
      </c>
      <c r="P80" s="50" t="n">
        <v>31</v>
      </c>
      <c r="Q80" s="50" t="n">
        <v>30.59</v>
      </c>
      <c r="R80" s="50" t="n">
        <v>72.94</v>
      </c>
      <c r="S80" s="28">
        <f>IF(Q80="","",IF(Q80&lt;0,"negative profit",IF(Q80&gt;Notes!$B$4,"unusually high - verify","")))</f>
        <v/>
      </c>
      <c r="T80" s="28" t="inlineStr">
        <is>
          <t>both</t>
        </is>
      </c>
      <c r="U80" s="28">
        <f>IF(T80&lt;&gt;"both",T80&amp;" only",IF(V80="","agree","conflict"))</f>
        <v/>
      </c>
      <c r="V80" s="28">
        <f>IF(T80="both",TRIM(IF(AND(E80&lt;&gt;"",F80&lt;&gt;"",E80&lt;&gt;F80),"level ","")&amp;IF(AND(L80&lt;&gt;"",M80&lt;&gt;"",L80&lt;&gt;M80),"price ","")&amp;IF(AND(O80&lt;&gt;"",P80&lt;&gt;"",O80&lt;&gt;P80),"xp ","")&amp;IF(J80="differs","time","")),"")</f>
        <v/>
      </c>
      <c r="X80" s="50" t="inlineStr">
        <is>
          <t>Coffee Bean x1; Cream x1; Cacao x1; Raspberry x1</t>
        </is>
      </c>
      <c r="Y80" s="50" t="inlineStr">
        <is>
          <t>Raspberry Mocha.png</t>
        </is>
      </c>
      <c r="Z80" s="50" t="inlineStr">
        <is>
          <t>icons/Coffee Kiosk/Raspberry Mocha.png</t>
        </is>
      </c>
      <c r="AA80" s="28" t="inlineStr">
        <is>
          <t>hayday.info /api/production-data (2026-10-13) + Hay Day Wiki infobox via MediaWiki API (2026-10-13)</t>
        </is>
      </c>
      <c r="AB80" s="28" t="inlineStr">
        <is>
          <t>https://hayday.fandom.com/wiki/Raspberry_Mocha</t>
        </is>
      </c>
      <c r="AC80" s="50" t="inlineStr">
        <is>
          <t>Raspberry mocha</t>
        </is>
      </c>
    </row>
    <row r="81">
      <c r="A81" s="28" t="inlineStr">
        <is>
          <t>Hot Chocolate</t>
        </is>
      </c>
      <c r="B81" s="28" t="inlineStr">
        <is>
          <t>Coffee Kiosk</t>
        </is>
      </c>
      <c r="C81" s="50" t="inlineStr">
        <is>
          <t>Product</t>
        </is>
      </c>
      <c r="D81" s="28">
        <f>IF(E81&lt;&gt;"",E81,IF(F81&lt;&gt;"",F81,""))</f>
        <v/>
      </c>
      <c r="E81" s="50" t="n">
        <v>47</v>
      </c>
      <c r="F81" s="50" t="n">
        <v>47</v>
      </c>
      <c r="G81" s="50" t="n">
        <v>21</v>
      </c>
      <c r="H81" s="50" t="n">
        <v>25</v>
      </c>
      <c r="I81" s="50" t="n">
        <v>21</v>
      </c>
      <c r="J81" s="28">
        <f>IF(OR(G81="",AND(H81="",I81="")),"n/a",IF(G81=I81,"mastered",IF(G81=H81,"normal","differs")))</f>
        <v/>
      </c>
      <c r="K81" s="28">
        <f>IF(L81&lt;&gt;"",L81,IF(M81&lt;&gt;"",M81,""))</f>
        <v/>
      </c>
      <c r="L81" s="50" t="n">
        <v>316</v>
      </c>
      <c r="M81" s="50" t="n">
        <v>316</v>
      </c>
      <c r="N81" s="28">
        <f>IF(O81&lt;&gt;"",O81,IF(P81&lt;&gt;"",P81,""))</f>
        <v/>
      </c>
      <c r="O81" s="50" t="n">
        <v>38</v>
      </c>
      <c r="P81" s="50" t="n">
        <v>38</v>
      </c>
      <c r="Q81" s="50" t="n">
        <v>33.88</v>
      </c>
      <c r="R81" s="50" t="n">
        <v>107.29</v>
      </c>
      <c r="S81" s="28">
        <f>IF(Q81="","",IF(Q81&lt;0,"negative profit",IF(Q81&gt;Notes!$B$4,"unusually high - verify","")))</f>
        <v/>
      </c>
      <c r="T81" s="28" t="inlineStr">
        <is>
          <t>both</t>
        </is>
      </c>
      <c r="U81" s="28">
        <f>IF(T81&lt;&gt;"both",T81&amp;" only",IF(V81="","agree","conflict"))</f>
        <v/>
      </c>
      <c r="V81" s="28">
        <f>IF(T81="both",TRIM(IF(AND(E81&lt;&gt;"",F81&lt;&gt;"",E81&lt;&gt;F81),"level ","")&amp;IF(AND(L81&lt;&gt;"",M81&lt;&gt;"",L81&lt;&gt;M81),"price ","")&amp;IF(AND(O81&lt;&gt;"",P81&lt;&gt;"",O81&lt;&gt;P81),"xp ","")&amp;IF(J81="differs","time","")),"")</f>
        <v/>
      </c>
      <c r="X81" s="50" t="inlineStr">
        <is>
          <t>Cacao x2; Cream x1; Milk x1; White Sugar x1</t>
        </is>
      </c>
      <c r="Y81" s="50" t="inlineStr">
        <is>
          <t>Hot Chocolate.png</t>
        </is>
      </c>
      <c r="Z81" s="50" t="inlineStr">
        <is>
          <t>icons/Coffee Kiosk/Hot Chocolate.png</t>
        </is>
      </c>
      <c r="AA81" s="28" t="inlineStr">
        <is>
          <t>hayday.info /api/production-data (2026-10-13) + Hay Day Wiki infobox via MediaWiki API (2026-10-13)</t>
        </is>
      </c>
      <c r="AB81" s="28" t="inlineStr">
        <is>
          <t>https://hayday.fandom.com/wiki/Hot_Chocolate</t>
        </is>
      </c>
      <c r="AC81" s="50" t="inlineStr">
        <is>
          <t>Hot chocolate</t>
        </is>
      </c>
    </row>
    <row r="82">
      <c r="A82" s="28" t="inlineStr">
        <is>
          <t>Caramel Latte</t>
        </is>
      </c>
      <c r="B82" s="28" t="inlineStr">
        <is>
          <t>Coffee Kiosk</t>
        </is>
      </c>
      <c r="C82" s="50" t="inlineStr">
        <is>
          <t>Product</t>
        </is>
      </c>
      <c r="D82" s="28">
        <f>IF(E82&lt;&gt;"",E82,IF(F82&lt;&gt;"",F82,""))</f>
        <v/>
      </c>
      <c r="E82" s="50" t="n">
        <v>62</v>
      </c>
      <c r="F82" s="50" t="n">
        <v>62</v>
      </c>
      <c r="G82" s="50" t="n">
        <v>12</v>
      </c>
      <c r="H82" s="50" t="n">
        <v>15</v>
      </c>
      <c r="I82" s="50" t="n">
        <v>12</v>
      </c>
      <c r="J82" s="28">
        <f>IF(OR(G82="",AND(H82="",I82="")),"n/a",IF(G82=I82,"mastered",IF(G82=H82,"normal","differs")))</f>
        <v/>
      </c>
      <c r="K82" s="28">
        <f>IF(L82&lt;&gt;"",L82,IF(M82&lt;&gt;"",M82,""))</f>
        <v/>
      </c>
      <c r="L82" s="50" t="n">
        <v>345</v>
      </c>
      <c r="M82" s="50" t="n">
        <v>345</v>
      </c>
      <c r="N82" s="28">
        <f>IF(O82&lt;&gt;"",O82,IF(P82&lt;&gt;"",P82,""))</f>
        <v/>
      </c>
      <c r="O82" s="50" t="n">
        <v>41</v>
      </c>
      <c r="P82" s="50" t="n">
        <v>41</v>
      </c>
      <c r="Q82" s="50" t="n">
        <v>42.35</v>
      </c>
      <c r="R82" s="50" t="n">
        <v>192.94</v>
      </c>
      <c r="S82" s="28">
        <f>IF(Q82="","",IF(Q82&lt;0,"negative profit",IF(Q82&gt;Notes!$B$4,"unusually high - verify","")))</f>
        <v/>
      </c>
      <c r="T82" s="28" t="inlineStr">
        <is>
          <t>both</t>
        </is>
      </c>
      <c r="U82" s="28">
        <f>IF(T82&lt;&gt;"both",T82&amp;" only",IF(V82="","agree","conflict"))</f>
        <v/>
      </c>
      <c r="V82" s="28">
        <f>IF(T82="both",TRIM(IF(AND(E82&lt;&gt;"",F82&lt;&gt;"",E82&lt;&gt;F82),"level ","")&amp;IF(AND(L82&lt;&gt;"",M82&lt;&gt;"",L82&lt;&gt;M82),"price ","")&amp;IF(AND(O82&lt;&gt;"",P82&lt;&gt;"",O82&lt;&gt;P82),"xp ","")&amp;IF(J82="differs","time","")),"")</f>
        <v/>
      </c>
      <c r="X82" s="50" t="inlineStr">
        <is>
          <t>Coffee Bean x2; Toffee x1; Milk x1</t>
        </is>
      </c>
      <c r="Y82" s="50" t="inlineStr">
        <is>
          <t>Caramel Latte.png</t>
        </is>
      </c>
      <c r="Z82" s="50" t="inlineStr">
        <is>
          <t>icons/Coffee Kiosk/Caramel Latte.png</t>
        </is>
      </c>
      <c r="AA82" s="28" t="inlineStr">
        <is>
          <t>hayday.info /api/production-data (2026-10-13) + Hay Day Wiki infobox via MediaWiki API (2026-10-13)</t>
        </is>
      </c>
      <c r="AB82" s="28" t="inlineStr">
        <is>
          <t>https://hayday.fandom.com/wiki/Caramel_Latte</t>
        </is>
      </c>
      <c r="AC82" s="50" t="inlineStr">
        <is>
          <t>Caramel latte</t>
        </is>
      </c>
    </row>
    <row r="83">
      <c r="A83" s="28" t="inlineStr">
        <is>
          <t>Iced Banana Latte</t>
        </is>
      </c>
      <c r="B83" s="28" t="inlineStr">
        <is>
          <t>Coffee Kiosk</t>
        </is>
      </c>
      <c r="C83" s="50" t="inlineStr">
        <is>
          <t>Product</t>
        </is>
      </c>
      <c r="D83" s="28">
        <f>IF(E83&lt;&gt;"",E83,IF(F83&lt;&gt;"",F83,""))</f>
        <v/>
      </c>
      <c r="E83" s="50" t="n">
        <v>88</v>
      </c>
      <c r="F83" s="50" t="n">
        <v>88</v>
      </c>
      <c r="G83" s="50" t="n">
        <v>17</v>
      </c>
      <c r="H83" s="50" t="n">
        <v>20</v>
      </c>
      <c r="I83" s="50" t="n">
        <v>17</v>
      </c>
      <c r="J83" s="28">
        <f>IF(OR(G83="",AND(H83="",I83="")),"n/a",IF(G83=I83,"mastered",IF(G83=H83,"normal","differs")))</f>
        <v/>
      </c>
      <c r="K83" s="28">
        <f>IF(L83&lt;&gt;"",L83,IF(M83&lt;&gt;"",M83,""))</f>
        <v/>
      </c>
      <c r="L83" s="50" t="n">
        <v>277</v>
      </c>
      <c r="M83" s="50" t="n">
        <v>277</v>
      </c>
      <c r="N83" s="28">
        <f>IF(O83&lt;&gt;"",O83,IF(P83&lt;&gt;"",P83,""))</f>
        <v/>
      </c>
      <c r="O83" s="50" t="n">
        <v>33</v>
      </c>
      <c r="P83" s="50" t="n">
        <v>33</v>
      </c>
      <c r="Q83" s="50" t="n">
        <v>45.88</v>
      </c>
      <c r="R83" s="50" t="n">
        <v>116.47</v>
      </c>
      <c r="S83" s="28">
        <f>IF(Q83="","",IF(Q83&lt;0,"negative profit",IF(Q83&gt;Notes!$B$4,"unusually high - verify","")))</f>
        <v/>
      </c>
      <c r="T83" s="28" t="inlineStr">
        <is>
          <t>both</t>
        </is>
      </c>
      <c r="U83" s="28">
        <f>IF(T83&lt;&gt;"both",T83&amp;" only",IF(V83="","agree","conflict"))</f>
        <v/>
      </c>
      <c r="V83" s="28">
        <f>IF(T83="both",TRIM(IF(AND(E83&lt;&gt;"",F83&lt;&gt;"",E83&lt;&gt;F83),"level ","")&amp;IF(AND(L83&lt;&gt;"",M83&lt;&gt;"",L83&lt;&gt;M83),"price ","")&amp;IF(AND(O83&lt;&gt;"",P83&lt;&gt;"",O83&lt;&gt;P83),"xp ","")&amp;IF(J83="differs","time","")),"")</f>
        <v/>
      </c>
      <c r="X83" s="50" t="inlineStr">
        <is>
          <t>Banana x1; Coffee Bean x2; Milk x1</t>
        </is>
      </c>
      <c r="Y83" s="50" t="inlineStr">
        <is>
          <t>Iced Banana Latte.png</t>
        </is>
      </c>
      <c r="Z83" s="50" t="inlineStr">
        <is>
          <t>icons/Coffee Kiosk/Iced Banana Latte.png</t>
        </is>
      </c>
      <c r="AA83" s="28" t="inlineStr">
        <is>
          <t>hayday.info /api/production-data (2026-10-13) + Hay Day Wiki infobox via MediaWiki API (2026-10-13)</t>
        </is>
      </c>
      <c r="AB83" s="28" t="inlineStr">
        <is>
          <t>https://hayday.fandom.com/wiki/Iced_Banana_Latte</t>
        </is>
      </c>
      <c r="AC83" s="50" t="inlineStr">
        <is>
          <t>Iced banana latte</t>
        </is>
      </c>
    </row>
    <row r="84">
      <c r="A84" s="28" t="inlineStr">
        <is>
          <t>Wheat</t>
        </is>
      </c>
      <c r="B84" s="28" t="inlineStr">
        <is>
          <t>Crops</t>
        </is>
      </c>
      <c r="C84" s="50" t="inlineStr">
        <is>
          <t>Crop</t>
        </is>
      </c>
      <c r="D84" s="28">
        <f>IF(E84&lt;&gt;"",E84,IF(F84&lt;&gt;"",F84,""))</f>
        <v/>
      </c>
      <c r="E84" s="50" t="n">
        <v>1</v>
      </c>
      <c r="F84" s="50" t="n">
        <v>1</v>
      </c>
      <c r="G84" s="50" t="n">
        <v>2</v>
      </c>
      <c r="H84" s="50" t="n">
        <v>2</v>
      </c>
      <c r="I84" s="50" t="n"/>
      <c r="J84" s="28">
        <f>IF(OR(G84="",AND(H84="",I84="")),"n/a",IF(G84=I84,"mastered",IF(G84=H84,"normal","differs")))</f>
        <v/>
      </c>
      <c r="K84" s="28">
        <f>IF(L84&lt;&gt;"",L84,IF(M84&lt;&gt;"",M84,""))</f>
        <v/>
      </c>
      <c r="L84" s="50" t="n">
        <v>3</v>
      </c>
      <c r="M84" s="50" t="n">
        <v>3</v>
      </c>
      <c r="N84" s="28">
        <f>IF(O84&lt;&gt;"",O84,IF(P84&lt;&gt;"",P84,""))</f>
        <v/>
      </c>
      <c r="O84" s="50" t="n">
        <v>1</v>
      </c>
      <c r="P84" s="50" t="n">
        <v>1</v>
      </c>
      <c r="Q84" s="50" t="n">
        <v>90</v>
      </c>
      <c r="R84" s="50" t="n">
        <v>30</v>
      </c>
      <c r="S84" s="28">
        <f>IF(Q84="","",IF(Q84&lt;0,"negative profit",IF(Q84&gt;Notes!$B$4,"unusually high - verify","")))</f>
        <v/>
      </c>
      <c r="T84" s="28" t="inlineStr">
        <is>
          <t>both</t>
        </is>
      </c>
      <c r="U84" s="28">
        <f>IF(T84&lt;&gt;"both",T84&amp;" only",IF(V84="","agree","conflict"))</f>
        <v/>
      </c>
      <c r="V84" s="28">
        <f>IF(T84="both",TRIM(IF(AND(E84&lt;&gt;"",F84&lt;&gt;"",E84&lt;&gt;F84),"level ","")&amp;IF(AND(L84&lt;&gt;"",M84&lt;&gt;"",L84&lt;&gt;M84),"price ","")&amp;IF(AND(O84&lt;&gt;"",P84&lt;&gt;"",O84&lt;&gt;P84),"xp ","")&amp;IF(J84="differs","time","")),"")</f>
        <v/>
      </c>
      <c r="X84" s="50" t="n"/>
      <c r="Y84" s="50" t="inlineStr">
        <is>
          <t>Wheat.png</t>
        </is>
      </c>
      <c r="Z84" s="50" t="inlineStr">
        <is>
          <t>icons/Crops/Wheat.png</t>
        </is>
      </c>
      <c r="AA84" s="28" t="inlineStr">
        <is>
          <t>hayday.info /api/production-data (2026-10-13) + Hay Day Wiki infobox via MediaWiki API (2026-10-13)</t>
        </is>
      </c>
      <c r="AB84" s="28" t="inlineStr">
        <is>
          <t>https://hayday.fandom.com/wiki/Wheat</t>
        </is>
      </c>
      <c r="AC84" s="50" t="inlineStr">
        <is>
          <t>Wheat</t>
        </is>
      </c>
    </row>
    <row r="85">
      <c r="A85" s="28" t="inlineStr">
        <is>
          <t>Corn</t>
        </is>
      </c>
      <c r="B85" s="28" t="inlineStr">
        <is>
          <t>Crops</t>
        </is>
      </c>
      <c r="C85" s="50" t="inlineStr">
        <is>
          <t>Crop</t>
        </is>
      </c>
      <c r="D85" s="28">
        <f>IF(E85&lt;&gt;"",E85,IF(F85&lt;&gt;"",F85,""))</f>
        <v/>
      </c>
      <c r="E85" s="50" t="n">
        <v>2</v>
      </c>
      <c r="F85" s="50" t="n">
        <v>2</v>
      </c>
      <c r="G85" s="50" t="n">
        <v>5</v>
      </c>
      <c r="H85" s="50" t="n">
        <v>5</v>
      </c>
      <c r="I85" s="50" t="n"/>
      <c r="J85" s="28">
        <f>IF(OR(G85="",AND(H85="",I85="")),"n/a",IF(G85=I85,"mastered",IF(G85=H85,"normal","differs")))</f>
        <v/>
      </c>
      <c r="K85" s="28">
        <f>IF(L85&lt;&gt;"",L85,IF(M85&lt;&gt;"",M85,""))</f>
        <v/>
      </c>
      <c r="L85" s="50" t="n">
        <v>7</v>
      </c>
      <c r="M85" s="50" t="n">
        <v>7</v>
      </c>
      <c r="N85" s="28">
        <f>IF(O85&lt;&gt;"",O85,IF(P85&lt;&gt;"",P85,""))</f>
        <v/>
      </c>
      <c r="O85" s="50" t="n">
        <v>1</v>
      </c>
      <c r="P85" s="50" t="n">
        <v>1</v>
      </c>
      <c r="Q85" s="50" t="n">
        <v>84</v>
      </c>
      <c r="R85" s="50" t="n">
        <v>12</v>
      </c>
      <c r="S85" s="28">
        <f>IF(Q85="","",IF(Q85&lt;0,"negative profit",IF(Q85&gt;Notes!$B$4,"unusually high - verify","")))</f>
        <v/>
      </c>
      <c r="T85" s="28" t="inlineStr">
        <is>
          <t>both</t>
        </is>
      </c>
      <c r="U85" s="28">
        <f>IF(T85&lt;&gt;"both",T85&amp;" only",IF(V85="","agree","conflict"))</f>
        <v/>
      </c>
      <c r="V85" s="28">
        <f>IF(T85="both",TRIM(IF(AND(E85&lt;&gt;"",F85&lt;&gt;"",E85&lt;&gt;F85),"level ","")&amp;IF(AND(L85&lt;&gt;"",M85&lt;&gt;"",L85&lt;&gt;M85),"price ","")&amp;IF(AND(O85&lt;&gt;"",P85&lt;&gt;"",O85&lt;&gt;P85),"xp ","")&amp;IF(J85="differs","time","")),"")</f>
        <v/>
      </c>
      <c r="X85" s="50" t="n"/>
      <c r="Y85" s="50" t="inlineStr">
        <is>
          <t>Corn.png</t>
        </is>
      </c>
      <c r="Z85" s="50" t="inlineStr">
        <is>
          <t>icons/Crops/Corn.png</t>
        </is>
      </c>
      <c r="AA85" s="28" t="inlineStr">
        <is>
          <t>hayday.info /api/production-data (2026-10-13) + Hay Day Wiki infobox via MediaWiki API (2026-10-13)</t>
        </is>
      </c>
      <c r="AB85" s="28" t="inlineStr">
        <is>
          <t>https://hayday.fandom.com/wiki/Corn</t>
        </is>
      </c>
      <c r="AC85" s="50" t="inlineStr">
        <is>
          <t>Corn</t>
        </is>
      </c>
    </row>
    <row r="86">
      <c r="A86" s="28" t="inlineStr">
        <is>
          <t>Soybean</t>
        </is>
      </c>
      <c r="B86" s="28" t="inlineStr">
        <is>
          <t>Crops</t>
        </is>
      </c>
      <c r="C86" s="50" t="inlineStr">
        <is>
          <t>Crop</t>
        </is>
      </c>
      <c r="D86" s="28">
        <f>IF(E86&lt;&gt;"",E86,IF(F86&lt;&gt;"",F86,""))</f>
        <v/>
      </c>
      <c r="E86" s="50" t="n">
        <v>5</v>
      </c>
      <c r="F86" s="50" t="n">
        <v>5</v>
      </c>
      <c r="G86" s="50" t="n">
        <v>20</v>
      </c>
      <c r="H86" s="50" t="n">
        <v>20</v>
      </c>
      <c r="I86" s="50" t="n"/>
      <c r="J86" s="28">
        <f>IF(OR(G86="",AND(H86="",I86="")),"n/a",IF(G86=I86,"mastered",IF(G86=H86,"normal","differs")))</f>
        <v/>
      </c>
      <c r="K86" s="28">
        <f>IF(L86&lt;&gt;"",L86,IF(M86&lt;&gt;"",M86,""))</f>
        <v/>
      </c>
      <c r="L86" s="50" t="n">
        <v>10</v>
      </c>
      <c r="M86" s="50" t="n">
        <v>10</v>
      </c>
      <c r="N86" s="28">
        <f>IF(O86&lt;&gt;"",O86,IF(P86&lt;&gt;"",P86,""))</f>
        <v/>
      </c>
      <c r="O86" s="50" t="n">
        <v>2</v>
      </c>
      <c r="P86" s="50" t="n">
        <v>2</v>
      </c>
      <c r="Q86" s="50" t="n">
        <v>30</v>
      </c>
      <c r="R86" s="50" t="n">
        <v>6</v>
      </c>
      <c r="S86" s="28">
        <f>IF(Q86="","",IF(Q86&lt;0,"negative profit",IF(Q86&gt;Notes!$B$4,"unusually high - verify","")))</f>
        <v/>
      </c>
      <c r="T86" s="28" t="inlineStr">
        <is>
          <t>both</t>
        </is>
      </c>
      <c r="U86" s="28">
        <f>IF(T86&lt;&gt;"both",T86&amp;" only",IF(V86="","agree","conflict"))</f>
        <v/>
      </c>
      <c r="V86" s="28">
        <f>IF(T86="both",TRIM(IF(AND(E86&lt;&gt;"",F86&lt;&gt;"",E86&lt;&gt;F86),"level ","")&amp;IF(AND(L86&lt;&gt;"",M86&lt;&gt;"",L86&lt;&gt;M86),"price ","")&amp;IF(AND(O86&lt;&gt;"",P86&lt;&gt;"",O86&lt;&gt;P86),"xp ","")&amp;IF(J86="differs","time","")),"")</f>
        <v/>
      </c>
      <c r="X86" s="50" t="n"/>
      <c r="Y86" s="50" t="inlineStr">
        <is>
          <t>Soybean.png</t>
        </is>
      </c>
      <c r="Z86" s="50" t="inlineStr">
        <is>
          <t>icons/Crops/Soybean.png</t>
        </is>
      </c>
      <c r="AA86" s="28" t="inlineStr">
        <is>
          <t>hayday.info /api/production-data (2026-10-13) + Hay Day Wiki infobox via MediaWiki API (2026-10-13)</t>
        </is>
      </c>
      <c r="AB86" s="28" t="inlineStr">
        <is>
          <t>https://hayday.fandom.com/wiki/Soybean</t>
        </is>
      </c>
      <c r="AC86" s="50" t="inlineStr">
        <is>
          <t>Soybean</t>
        </is>
      </c>
    </row>
    <row r="87">
      <c r="A87" s="28" t="inlineStr">
        <is>
          <t>Sugarcane</t>
        </is>
      </c>
      <c r="B87" s="28" t="inlineStr">
        <is>
          <t>Crops</t>
        </is>
      </c>
      <c r="C87" s="50" t="inlineStr">
        <is>
          <t>Crop</t>
        </is>
      </c>
      <c r="D87" s="28">
        <f>IF(E87&lt;&gt;"",E87,IF(F87&lt;&gt;"",F87,""))</f>
        <v/>
      </c>
      <c r="E87" s="50" t="n">
        <v>7</v>
      </c>
      <c r="F87" s="50" t="n">
        <v>7</v>
      </c>
      <c r="G87" s="50" t="n">
        <v>30</v>
      </c>
      <c r="H87" s="50" t="n">
        <v>30</v>
      </c>
      <c r="I87" s="50" t="n"/>
      <c r="J87" s="28">
        <f>IF(OR(G87="",AND(H87="",I87="")),"n/a",IF(G87=I87,"mastered",IF(G87=H87,"normal","differs")))</f>
        <v/>
      </c>
      <c r="K87" s="28">
        <f>IF(L87&lt;&gt;"",L87,IF(M87&lt;&gt;"",M87,""))</f>
        <v/>
      </c>
      <c r="L87" s="50" t="n">
        <v>14</v>
      </c>
      <c r="M87" s="50" t="n">
        <v>14</v>
      </c>
      <c r="N87" s="28">
        <f>IF(O87&lt;&gt;"",O87,IF(P87&lt;&gt;"",P87,""))</f>
        <v/>
      </c>
      <c r="O87" s="50" t="n">
        <v>3</v>
      </c>
      <c r="P87" s="50" t="n">
        <v>3</v>
      </c>
      <c r="Q87" s="50" t="n">
        <v>28</v>
      </c>
      <c r="R87" s="50" t="n">
        <v>6</v>
      </c>
      <c r="S87" s="28">
        <f>IF(Q87="","",IF(Q87&lt;0,"negative profit",IF(Q87&gt;Notes!$B$4,"unusually high - verify","")))</f>
        <v/>
      </c>
      <c r="T87" s="28" t="inlineStr">
        <is>
          <t>both</t>
        </is>
      </c>
      <c r="U87" s="28">
        <f>IF(T87&lt;&gt;"both",T87&amp;" only",IF(V87="","agree","conflict"))</f>
        <v/>
      </c>
      <c r="V87" s="28">
        <f>IF(T87="both",TRIM(IF(AND(E87&lt;&gt;"",F87&lt;&gt;"",E87&lt;&gt;F87),"level ","")&amp;IF(AND(L87&lt;&gt;"",M87&lt;&gt;"",L87&lt;&gt;M87),"price ","")&amp;IF(AND(O87&lt;&gt;"",P87&lt;&gt;"",O87&lt;&gt;P87),"xp ","")&amp;IF(J87="differs","time","")),"")</f>
        <v/>
      </c>
      <c r="X87" s="50" t="n"/>
      <c r="Y87" s="50" t="inlineStr">
        <is>
          <t>Sugarcane.png</t>
        </is>
      </c>
      <c r="Z87" s="50" t="inlineStr">
        <is>
          <t>icons/Crops/Sugarcane.png</t>
        </is>
      </c>
      <c r="AA87" s="28" t="inlineStr">
        <is>
          <t>hayday.info /api/production-data (2026-10-13) + Hay Day Wiki infobox via MediaWiki API (2026-10-13)</t>
        </is>
      </c>
      <c r="AB87" s="28" t="inlineStr">
        <is>
          <t>https://hayday.fandom.com/wiki/Sugarcane</t>
        </is>
      </c>
      <c r="AC87" s="50" t="inlineStr">
        <is>
          <t>Sugarcane</t>
        </is>
      </c>
    </row>
    <row r="88">
      <c r="A88" s="28" t="inlineStr">
        <is>
          <t>Carrot</t>
        </is>
      </c>
      <c r="B88" s="28" t="inlineStr">
        <is>
          <t>Crops</t>
        </is>
      </c>
      <c r="C88" s="50" t="inlineStr">
        <is>
          <t>Crop</t>
        </is>
      </c>
      <c r="D88" s="28">
        <f>IF(E88&lt;&gt;"",E88,IF(F88&lt;&gt;"",F88,""))</f>
        <v/>
      </c>
      <c r="E88" s="50" t="n">
        <v>9</v>
      </c>
      <c r="F88" s="50" t="n">
        <v>9</v>
      </c>
      <c r="G88" s="50" t="n">
        <v>10</v>
      </c>
      <c r="H88" s="50" t="n">
        <v>10</v>
      </c>
      <c r="I88" s="50" t="n"/>
      <c r="J88" s="28">
        <f>IF(OR(G88="",AND(H88="",I88="")),"n/a",IF(G88=I88,"mastered",IF(G88=H88,"normal","differs")))</f>
        <v/>
      </c>
      <c r="K88" s="28">
        <f>IF(L88&lt;&gt;"",L88,IF(M88&lt;&gt;"",M88,""))</f>
        <v/>
      </c>
      <c r="L88" s="50" t="n">
        <v>7</v>
      </c>
      <c r="M88" s="50" t="n">
        <v>7</v>
      </c>
      <c r="N88" s="28">
        <f>IF(O88&lt;&gt;"",O88,IF(P88&lt;&gt;"",P88,""))</f>
        <v/>
      </c>
      <c r="O88" s="50" t="n">
        <v>2</v>
      </c>
      <c r="P88" s="50" t="n">
        <v>2</v>
      </c>
      <c r="Q88" s="50" t="n">
        <v>42</v>
      </c>
      <c r="R88" s="50" t="n">
        <v>12</v>
      </c>
      <c r="S88" s="28">
        <f>IF(Q88="","",IF(Q88&lt;0,"negative profit",IF(Q88&gt;Notes!$B$4,"unusually high - verify","")))</f>
        <v/>
      </c>
      <c r="T88" s="28" t="inlineStr">
        <is>
          <t>both</t>
        </is>
      </c>
      <c r="U88" s="28">
        <f>IF(T88&lt;&gt;"both",T88&amp;" only",IF(V88="","agree","conflict"))</f>
        <v/>
      </c>
      <c r="V88" s="28">
        <f>IF(T88="both",TRIM(IF(AND(E88&lt;&gt;"",F88&lt;&gt;"",E88&lt;&gt;F88),"level ","")&amp;IF(AND(L88&lt;&gt;"",M88&lt;&gt;"",L88&lt;&gt;M88),"price ","")&amp;IF(AND(O88&lt;&gt;"",P88&lt;&gt;"",O88&lt;&gt;P88),"xp ","")&amp;IF(J88="differs","time","")),"")</f>
        <v/>
      </c>
      <c r="X88" s="50" t="n"/>
      <c r="Y88" s="50" t="inlineStr">
        <is>
          <t>Carrot.png</t>
        </is>
      </c>
      <c r="Z88" s="50" t="inlineStr">
        <is>
          <t>icons/Crops/Carrot.png</t>
        </is>
      </c>
      <c r="AA88" s="28" t="inlineStr">
        <is>
          <t>hayday.info /api/production-data (2026-10-13) + Hay Day Wiki infobox via MediaWiki API (2026-10-13)</t>
        </is>
      </c>
      <c r="AB88" s="28" t="inlineStr">
        <is>
          <t>https://hayday.fandom.com/wiki/Carrot</t>
        </is>
      </c>
      <c r="AC88" s="50" t="inlineStr">
        <is>
          <t>Carrot</t>
        </is>
      </c>
    </row>
    <row r="89">
      <c r="A89" s="28" t="inlineStr">
        <is>
          <t>Indigo</t>
        </is>
      </c>
      <c r="B89" s="28" t="inlineStr">
        <is>
          <t>Crops</t>
        </is>
      </c>
      <c r="C89" s="50" t="inlineStr">
        <is>
          <t>Crop</t>
        </is>
      </c>
      <c r="D89" s="28">
        <f>IF(E89&lt;&gt;"",E89,IF(F89&lt;&gt;"",F89,""))</f>
        <v/>
      </c>
      <c r="E89" s="50" t="n">
        <v>13</v>
      </c>
      <c r="F89" s="50" t="n">
        <v>13</v>
      </c>
      <c r="G89" s="50" t="n">
        <v>120</v>
      </c>
      <c r="H89" s="50" t="n">
        <v>120</v>
      </c>
      <c r="I89" s="50" t="n"/>
      <c r="J89" s="28">
        <f>IF(OR(G89="",AND(H89="",I89="")),"n/a",IF(G89=I89,"mastered",IF(G89=H89,"normal","differs")))</f>
        <v/>
      </c>
      <c r="K89" s="28">
        <f>IF(L89&lt;&gt;"",L89,IF(M89&lt;&gt;"",M89,""))</f>
        <v/>
      </c>
      <c r="L89" s="50" t="n">
        <v>25</v>
      </c>
      <c r="M89" s="50" t="n">
        <v>25</v>
      </c>
      <c r="N89" s="28">
        <f>IF(O89&lt;&gt;"",O89,IF(P89&lt;&gt;"",P89,""))</f>
        <v/>
      </c>
      <c r="O89" s="50" t="n">
        <v>5</v>
      </c>
      <c r="P89" s="50" t="n">
        <v>5</v>
      </c>
      <c r="Q89" s="50" t="n">
        <v>12.5</v>
      </c>
      <c r="R89" s="50" t="n">
        <v>2.5</v>
      </c>
      <c r="S89" s="28">
        <f>IF(Q89="","",IF(Q89&lt;0,"negative profit",IF(Q89&gt;Notes!$B$4,"unusually high - verify","")))</f>
        <v/>
      </c>
      <c r="T89" s="28" t="inlineStr">
        <is>
          <t>both</t>
        </is>
      </c>
      <c r="U89" s="28">
        <f>IF(T89&lt;&gt;"both",T89&amp;" only",IF(V89="","agree","conflict"))</f>
        <v/>
      </c>
      <c r="V89" s="28">
        <f>IF(T89="both",TRIM(IF(AND(E89&lt;&gt;"",F89&lt;&gt;"",E89&lt;&gt;F89),"level ","")&amp;IF(AND(L89&lt;&gt;"",M89&lt;&gt;"",L89&lt;&gt;M89),"price ","")&amp;IF(AND(O89&lt;&gt;"",P89&lt;&gt;"",O89&lt;&gt;P89),"xp ","")&amp;IF(J89="differs","time","")),"")</f>
        <v/>
      </c>
      <c r="X89" s="50" t="n"/>
      <c r="Y89" s="50" t="inlineStr">
        <is>
          <t>Indigo.png</t>
        </is>
      </c>
      <c r="Z89" s="50" t="inlineStr">
        <is>
          <t>icons/Crops/Indigo.png</t>
        </is>
      </c>
      <c r="AA89" s="28" t="inlineStr">
        <is>
          <t>hayday.info /api/production-data (2026-10-13) + Hay Day Wiki infobox via MediaWiki API (2026-10-13)</t>
        </is>
      </c>
      <c r="AB89" s="28" t="inlineStr">
        <is>
          <t>https://hayday.fandom.com/wiki/Indigo</t>
        </is>
      </c>
      <c r="AC89" s="50" t="inlineStr">
        <is>
          <t>Indigo</t>
        </is>
      </c>
    </row>
    <row r="90">
      <c r="A90" s="28" t="inlineStr">
        <is>
          <t>Pumpkin</t>
        </is>
      </c>
      <c r="B90" s="28" t="inlineStr">
        <is>
          <t>Crops</t>
        </is>
      </c>
      <c r="C90" s="50" t="inlineStr">
        <is>
          <t>Crop</t>
        </is>
      </c>
      <c r="D90" s="28">
        <f>IF(E90&lt;&gt;"",E90,IF(F90&lt;&gt;"",F90,""))</f>
        <v/>
      </c>
      <c r="E90" s="50" t="n">
        <v>15</v>
      </c>
      <c r="F90" s="50" t="n">
        <v>15</v>
      </c>
      <c r="G90" s="50" t="n">
        <v>180</v>
      </c>
      <c r="H90" s="50" t="n">
        <v>180</v>
      </c>
      <c r="I90" s="50" t="n"/>
      <c r="J90" s="28">
        <f>IF(OR(G90="",AND(H90="",I90="")),"n/a",IF(G90=I90,"mastered",IF(G90=H90,"normal","differs")))</f>
        <v/>
      </c>
      <c r="K90" s="28">
        <f>IF(L90&lt;&gt;"",L90,IF(M90&lt;&gt;"",M90,""))</f>
        <v/>
      </c>
      <c r="L90" s="50" t="n">
        <v>32</v>
      </c>
      <c r="M90" s="50" t="n">
        <v>32</v>
      </c>
      <c r="N90" s="28">
        <f>IF(O90&lt;&gt;"",O90,IF(P90&lt;&gt;"",P90,""))</f>
        <v/>
      </c>
      <c r="O90" s="50" t="n">
        <v>6</v>
      </c>
      <c r="P90" s="50" t="n">
        <v>6</v>
      </c>
      <c r="Q90" s="50" t="n">
        <v>10.67</v>
      </c>
      <c r="R90" s="50" t="n">
        <v>2</v>
      </c>
      <c r="S90" s="28">
        <f>IF(Q90="","",IF(Q90&lt;0,"negative profit",IF(Q90&gt;Notes!$B$4,"unusually high - verify","")))</f>
        <v/>
      </c>
      <c r="T90" s="28" t="inlineStr">
        <is>
          <t>both</t>
        </is>
      </c>
      <c r="U90" s="28">
        <f>IF(T90&lt;&gt;"both",T90&amp;" only",IF(V90="","agree","conflict"))</f>
        <v/>
      </c>
      <c r="V90" s="28">
        <f>IF(T90="both",TRIM(IF(AND(E90&lt;&gt;"",F90&lt;&gt;"",E90&lt;&gt;F90),"level ","")&amp;IF(AND(L90&lt;&gt;"",M90&lt;&gt;"",L90&lt;&gt;M90),"price ","")&amp;IF(AND(O90&lt;&gt;"",P90&lt;&gt;"",O90&lt;&gt;P90),"xp ","")&amp;IF(J90="differs","time","")),"")</f>
        <v/>
      </c>
      <c r="X90" s="50" t="n"/>
      <c r="Y90" s="50" t="inlineStr">
        <is>
          <t>Pumpkin.png</t>
        </is>
      </c>
      <c r="Z90" s="50" t="inlineStr">
        <is>
          <t>icons/Crops/Pumpkin.png</t>
        </is>
      </c>
      <c r="AA90" s="28" t="inlineStr">
        <is>
          <t>hayday.info /api/production-data (2026-10-13) + Hay Day Wiki infobox via MediaWiki API (2026-10-13)</t>
        </is>
      </c>
      <c r="AB90" s="28" t="inlineStr">
        <is>
          <t>https://hayday.fandom.com/wiki/Pumpkin</t>
        </is>
      </c>
      <c r="AC90" s="50" t="inlineStr">
        <is>
          <t>Pumpkin</t>
        </is>
      </c>
    </row>
    <row r="91">
      <c r="A91" s="28" t="inlineStr">
        <is>
          <t>Cotton</t>
        </is>
      </c>
      <c r="B91" s="28" t="inlineStr">
        <is>
          <t>Crops</t>
        </is>
      </c>
      <c r="C91" s="50" t="inlineStr">
        <is>
          <t>Crop</t>
        </is>
      </c>
      <c r="D91" s="28">
        <f>IF(E91&lt;&gt;"",E91,IF(F91&lt;&gt;"",F91,""))</f>
        <v/>
      </c>
      <c r="E91" s="50" t="n">
        <v>18</v>
      </c>
      <c r="F91" s="50" t="n">
        <v>18</v>
      </c>
      <c r="G91" s="50" t="n">
        <v>150</v>
      </c>
      <c r="H91" s="50" t="n">
        <v>150</v>
      </c>
      <c r="I91" s="50" t="n"/>
      <c r="J91" s="28">
        <f>IF(OR(G91="",AND(H91="",I91="")),"n/a",IF(G91=I91,"mastered",IF(G91=H91,"normal","differs")))</f>
        <v/>
      </c>
      <c r="K91" s="28">
        <f>IF(L91&lt;&gt;"",L91,IF(M91&lt;&gt;"",M91,""))</f>
        <v/>
      </c>
      <c r="L91" s="50" t="n">
        <v>28</v>
      </c>
      <c r="M91" s="50" t="n">
        <v>28</v>
      </c>
      <c r="N91" s="28">
        <f>IF(O91&lt;&gt;"",O91,IF(P91&lt;&gt;"",P91,""))</f>
        <v/>
      </c>
      <c r="O91" s="50" t="n">
        <v>6</v>
      </c>
      <c r="P91" s="50" t="n">
        <v>6</v>
      </c>
      <c r="Q91" s="50" t="n">
        <v>11.2</v>
      </c>
      <c r="R91" s="50" t="n">
        <v>2.4</v>
      </c>
      <c r="S91" s="28">
        <f>IF(Q91="","",IF(Q91&lt;0,"negative profit",IF(Q91&gt;Notes!$B$4,"unusually high - verify","")))</f>
        <v/>
      </c>
      <c r="T91" s="28" t="inlineStr">
        <is>
          <t>both</t>
        </is>
      </c>
      <c r="U91" s="28">
        <f>IF(T91&lt;&gt;"both",T91&amp;" only",IF(V91="","agree","conflict"))</f>
        <v/>
      </c>
      <c r="V91" s="28">
        <f>IF(T91="both",TRIM(IF(AND(E91&lt;&gt;"",F91&lt;&gt;"",E91&lt;&gt;F91),"level ","")&amp;IF(AND(L91&lt;&gt;"",M91&lt;&gt;"",L91&lt;&gt;M91),"price ","")&amp;IF(AND(O91&lt;&gt;"",P91&lt;&gt;"",O91&lt;&gt;P91),"xp ","")&amp;IF(J91="differs","time","")),"")</f>
        <v/>
      </c>
      <c r="X91" s="50" t="n"/>
      <c r="Y91" s="50" t="inlineStr">
        <is>
          <t>Cotton.png</t>
        </is>
      </c>
      <c r="Z91" s="50" t="inlineStr">
        <is>
          <t>icons/Crops/Cotton.png</t>
        </is>
      </c>
      <c r="AA91" s="28" t="inlineStr">
        <is>
          <t>hayday.info /api/production-data (2026-10-13) + Hay Day Wiki infobox via MediaWiki API (2026-10-13)</t>
        </is>
      </c>
      <c r="AB91" s="28" t="inlineStr">
        <is>
          <t>https://hayday.fandom.com/wiki/Cotton</t>
        </is>
      </c>
      <c r="AC91" s="50" t="inlineStr">
        <is>
          <t>Cotton</t>
        </is>
      </c>
    </row>
    <row r="92">
      <c r="A92" s="28" t="inlineStr">
        <is>
          <t>Chili Pepper</t>
        </is>
      </c>
      <c r="B92" s="28" t="inlineStr">
        <is>
          <t>Crops</t>
        </is>
      </c>
      <c r="C92" s="50" t="inlineStr">
        <is>
          <t>Crop</t>
        </is>
      </c>
      <c r="D92" s="28">
        <f>IF(E92&lt;&gt;"",E92,IF(F92&lt;&gt;"",F92,""))</f>
        <v/>
      </c>
      <c r="E92" s="50" t="n">
        <v>25</v>
      </c>
      <c r="F92" s="50" t="n">
        <v>25</v>
      </c>
      <c r="G92" s="50" t="n">
        <v>240</v>
      </c>
      <c r="H92" s="50" t="n">
        <v>240</v>
      </c>
      <c r="I92" s="50" t="n"/>
      <c r="J92" s="28">
        <f>IF(OR(G92="",AND(H92="",I92="")),"n/a",IF(G92=I92,"mastered",IF(G92=H92,"normal","differs")))</f>
        <v/>
      </c>
      <c r="K92" s="28">
        <f>IF(L92&lt;&gt;"",L92,IF(M92&lt;&gt;"",M92,""))</f>
        <v/>
      </c>
      <c r="L92" s="50" t="n">
        <v>36</v>
      </c>
      <c r="M92" s="50" t="n">
        <v>36</v>
      </c>
      <c r="N92" s="28">
        <f>IF(O92&lt;&gt;"",O92,IF(P92&lt;&gt;"",P92,""))</f>
        <v/>
      </c>
      <c r="O92" s="50" t="n">
        <v>4</v>
      </c>
      <c r="P92" s="50" t="n">
        <v>7</v>
      </c>
      <c r="Q92" s="50" t="n">
        <v>9</v>
      </c>
      <c r="R92" s="50" t="n">
        <v>1</v>
      </c>
      <c r="S92" s="28">
        <f>IF(Q92="","",IF(Q92&lt;0,"negative profit",IF(Q92&gt;Notes!$B$4,"unusually high - verify","")))</f>
        <v/>
      </c>
      <c r="T92" s="28" t="inlineStr">
        <is>
          <t>both</t>
        </is>
      </c>
      <c r="U92" s="28">
        <f>IF(T92&lt;&gt;"both",T92&amp;" only",IF(V92="","agree","conflict"))</f>
        <v/>
      </c>
      <c r="V92" s="28">
        <f>IF(T92="both",TRIM(IF(AND(E92&lt;&gt;"",F92&lt;&gt;"",E92&lt;&gt;F92),"level ","")&amp;IF(AND(L92&lt;&gt;"",M92&lt;&gt;"",L92&lt;&gt;M92),"price ","")&amp;IF(AND(O92&lt;&gt;"",P92&lt;&gt;"",O92&lt;&gt;P92),"xp ","")&amp;IF(J92="differs","time","")),"")</f>
        <v/>
      </c>
      <c r="X92" s="50" t="n"/>
      <c r="Y92" s="50" t="inlineStr">
        <is>
          <t>Chili Pepper.png</t>
        </is>
      </c>
      <c r="Z92" s="50" t="inlineStr">
        <is>
          <t>icons/Crops/Chili Pepper.png</t>
        </is>
      </c>
      <c r="AA92" s="28" t="inlineStr">
        <is>
          <t>hayday.info /api/production-data (2026-10-13) + Hay Day Wiki infobox via MediaWiki API (2026-10-13)</t>
        </is>
      </c>
      <c r="AB92" s="28" t="inlineStr">
        <is>
          <t>https://hayday.fandom.com/wiki/Chili_Pepper</t>
        </is>
      </c>
      <c r="AC92" s="50" t="inlineStr">
        <is>
          <t>Chili pepper</t>
        </is>
      </c>
    </row>
    <row r="93">
      <c r="A93" s="28" t="inlineStr">
        <is>
          <t>Tomato</t>
        </is>
      </c>
      <c r="B93" s="28" t="inlineStr">
        <is>
          <t>Crops</t>
        </is>
      </c>
      <c r="C93" s="50" t="inlineStr">
        <is>
          <t>Crop</t>
        </is>
      </c>
      <c r="D93" s="28">
        <f>IF(E93&lt;&gt;"",E93,IF(F93&lt;&gt;"",F93,""))</f>
        <v/>
      </c>
      <c r="E93" s="50" t="n">
        <v>30</v>
      </c>
      <c r="F93" s="50" t="n">
        <v>30</v>
      </c>
      <c r="G93" s="50" t="n">
        <v>360</v>
      </c>
      <c r="H93" s="50" t="n">
        <v>360</v>
      </c>
      <c r="I93" s="50" t="n"/>
      <c r="J93" s="28">
        <f>IF(OR(G93="",AND(H93="",I93="")),"n/a",IF(G93=I93,"mastered",IF(G93=H93,"normal","differs")))</f>
        <v/>
      </c>
      <c r="K93" s="28">
        <f>IF(L93&lt;&gt;"",L93,IF(M93&lt;&gt;"",M93,""))</f>
        <v/>
      </c>
      <c r="L93" s="50" t="n">
        <v>43</v>
      </c>
      <c r="M93" s="50" t="n">
        <v>43</v>
      </c>
      <c r="N93" s="28">
        <f>IF(O93&lt;&gt;"",O93,IF(P93&lt;&gt;"",P93,""))</f>
        <v/>
      </c>
      <c r="O93" s="50" t="n">
        <v>8</v>
      </c>
      <c r="P93" s="50" t="n">
        <v>8</v>
      </c>
      <c r="Q93" s="50" t="n">
        <v>7.17</v>
      </c>
      <c r="R93" s="50" t="n">
        <v>1.33</v>
      </c>
      <c r="S93" s="28">
        <f>IF(Q93="","",IF(Q93&lt;0,"negative profit",IF(Q93&gt;Notes!$B$4,"unusually high - verify","")))</f>
        <v/>
      </c>
      <c r="T93" s="28" t="inlineStr">
        <is>
          <t>both</t>
        </is>
      </c>
      <c r="U93" s="28">
        <f>IF(T93&lt;&gt;"both",T93&amp;" only",IF(V93="","agree","conflict"))</f>
        <v/>
      </c>
      <c r="V93" s="28">
        <f>IF(T93="both",TRIM(IF(AND(E93&lt;&gt;"",F93&lt;&gt;"",E93&lt;&gt;F93),"level ","")&amp;IF(AND(L93&lt;&gt;"",M93&lt;&gt;"",L93&lt;&gt;M93),"price ","")&amp;IF(AND(O93&lt;&gt;"",P93&lt;&gt;"",O93&lt;&gt;P93),"xp ","")&amp;IF(J93="differs","time","")),"")</f>
        <v/>
      </c>
      <c r="X93" s="50" t="n"/>
      <c r="Y93" s="50" t="inlineStr">
        <is>
          <t>Tomato.png</t>
        </is>
      </c>
      <c r="Z93" s="50" t="inlineStr">
        <is>
          <t>icons/Crops/Tomato.png</t>
        </is>
      </c>
      <c r="AA93" s="28" t="inlineStr">
        <is>
          <t>hayday.info /api/production-data (2026-10-13) + Hay Day Wiki infobox via MediaWiki API (2026-10-13)</t>
        </is>
      </c>
      <c r="AB93" s="28" t="inlineStr">
        <is>
          <t>https://hayday.fandom.com/wiki/Tomato</t>
        </is>
      </c>
      <c r="AC93" s="50" t="inlineStr">
        <is>
          <t>Tomato</t>
        </is>
      </c>
    </row>
    <row r="94">
      <c r="A94" s="28" t="inlineStr">
        <is>
          <t>Strawberry</t>
        </is>
      </c>
      <c r="B94" s="28" t="inlineStr">
        <is>
          <t>Crops</t>
        </is>
      </c>
      <c r="C94" s="50" t="inlineStr">
        <is>
          <t>Crop</t>
        </is>
      </c>
      <c r="D94" s="28">
        <f>IF(E94&lt;&gt;"",E94,IF(F94&lt;&gt;"",F94,""))</f>
        <v/>
      </c>
      <c r="E94" s="50" t="n">
        <v>34</v>
      </c>
      <c r="F94" s="50" t="n">
        <v>34</v>
      </c>
      <c r="G94" s="50" t="n">
        <v>480</v>
      </c>
      <c r="H94" s="50" t="n">
        <v>480</v>
      </c>
      <c r="I94" s="50" t="n"/>
      <c r="J94" s="28">
        <f>IF(OR(G94="",AND(H94="",I94="")),"n/a",IF(G94=I94,"mastered",IF(G94=H94,"normal","differs")))</f>
        <v/>
      </c>
      <c r="K94" s="28">
        <f>IF(L94&lt;&gt;"",L94,IF(M94&lt;&gt;"",M94,""))</f>
        <v/>
      </c>
      <c r="L94" s="50" t="n">
        <v>50</v>
      </c>
      <c r="M94" s="50" t="n">
        <v>50</v>
      </c>
      <c r="N94" s="28">
        <f>IF(O94&lt;&gt;"",O94,IF(P94&lt;&gt;"",P94,""))</f>
        <v/>
      </c>
      <c r="O94" s="50" t="n">
        <v>10</v>
      </c>
      <c r="P94" s="50" t="n">
        <v>10</v>
      </c>
      <c r="Q94" s="50" t="n">
        <v>6.25</v>
      </c>
      <c r="R94" s="50" t="n">
        <v>1.25</v>
      </c>
      <c r="S94" s="28">
        <f>IF(Q94="","",IF(Q94&lt;0,"negative profit",IF(Q94&gt;Notes!$B$4,"unusually high - verify","")))</f>
        <v/>
      </c>
      <c r="T94" s="28" t="inlineStr">
        <is>
          <t>both</t>
        </is>
      </c>
      <c r="U94" s="28">
        <f>IF(T94&lt;&gt;"both",T94&amp;" only",IF(V94="","agree","conflict"))</f>
        <v/>
      </c>
      <c r="V94" s="28">
        <f>IF(T94="both",TRIM(IF(AND(E94&lt;&gt;"",F94&lt;&gt;"",E94&lt;&gt;F94),"level ","")&amp;IF(AND(L94&lt;&gt;"",M94&lt;&gt;"",L94&lt;&gt;M94),"price ","")&amp;IF(AND(O94&lt;&gt;"",P94&lt;&gt;"",O94&lt;&gt;P94),"xp ","")&amp;IF(J94="differs","time","")),"")</f>
        <v/>
      </c>
      <c r="X94" s="50" t="n"/>
      <c r="Y94" s="50" t="inlineStr">
        <is>
          <t>Strawberry.png</t>
        </is>
      </c>
      <c r="Z94" s="50" t="inlineStr">
        <is>
          <t>icons/Crops/Strawberry.png</t>
        </is>
      </c>
      <c r="AA94" s="28" t="inlineStr">
        <is>
          <t>hayday.info /api/production-data (2026-10-13) + Hay Day Wiki infobox via MediaWiki API (2026-10-13)</t>
        </is>
      </c>
      <c r="AB94" s="28" t="inlineStr">
        <is>
          <t>https://hayday.fandom.com/wiki/Strawberry</t>
        </is>
      </c>
      <c r="AC94" s="50" t="inlineStr">
        <is>
          <t>Strawberry</t>
        </is>
      </c>
    </row>
    <row r="95">
      <c r="A95" s="28" t="inlineStr">
        <is>
          <t>Potato</t>
        </is>
      </c>
      <c r="B95" s="28" t="inlineStr">
        <is>
          <t>Crops</t>
        </is>
      </c>
      <c r="C95" s="50" t="inlineStr">
        <is>
          <t>Crop</t>
        </is>
      </c>
      <c r="D95" s="28">
        <f>IF(E95&lt;&gt;"",E95,IF(F95&lt;&gt;"",F95,""))</f>
        <v/>
      </c>
      <c r="E95" s="50" t="n">
        <v>35</v>
      </c>
      <c r="F95" s="50" t="n">
        <v>35</v>
      </c>
      <c r="G95" s="50" t="n">
        <v>220</v>
      </c>
      <c r="H95" s="50" t="n">
        <v>220</v>
      </c>
      <c r="I95" s="50" t="n"/>
      <c r="J95" s="28">
        <f>IF(OR(G95="",AND(H95="",I95="")),"n/a",IF(G95=I95,"mastered",IF(G95=H95,"normal","differs")))</f>
        <v/>
      </c>
      <c r="K95" s="28">
        <f>IF(L95&lt;&gt;"",L95,IF(M95&lt;&gt;"",M95,""))</f>
        <v/>
      </c>
      <c r="L95" s="50" t="n">
        <v>36</v>
      </c>
      <c r="M95" s="50" t="n">
        <v>36</v>
      </c>
      <c r="N95" s="28">
        <f>IF(O95&lt;&gt;"",O95,IF(P95&lt;&gt;"",P95,""))</f>
        <v/>
      </c>
      <c r="O95" s="50" t="n">
        <v>7</v>
      </c>
      <c r="P95" s="50" t="n">
        <v>7</v>
      </c>
      <c r="Q95" s="50" t="n">
        <v>9.82</v>
      </c>
      <c r="R95" s="50" t="n">
        <v>1.91</v>
      </c>
      <c r="S95" s="28">
        <f>IF(Q95="","",IF(Q95&lt;0,"negative profit",IF(Q95&gt;Notes!$B$4,"unusually high - verify","")))</f>
        <v/>
      </c>
      <c r="T95" s="28" t="inlineStr">
        <is>
          <t>both</t>
        </is>
      </c>
      <c r="U95" s="28">
        <f>IF(T95&lt;&gt;"both",T95&amp;" only",IF(V95="","agree","conflict"))</f>
        <v/>
      </c>
      <c r="V95" s="28">
        <f>IF(T95="both",TRIM(IF(AND(E95&lt;&gt;"",F95&lt;&gt;"",E95&lt;&gt;F95),"level ","")&amp;IF(AND(L95&lt;&gt;"",M95&lt;&gt;"",L95&lt;&gt;M95),"price ","")&amp;IF(AND(O95&lt;&gt;"",P95&lt;&gt;"",O95&lt;&gt;P95),"xp ","")&amp;IF(J95="differs","time","")),"")</f>
        <v/>
      </c>
      <c r="X95" s="50" t="n"/>
      <c r="Y95" s="50" t="inlineStr">
        <is>
          <t>Potato.png</t>
        </is>
      </c>
      <c r="Z95" s="50" t="inlineStr">
        <is>
          <t>icons/Crops/Potato.png</t>
        </is>
      </c>
      <c r="AA95" s="28" t="inlineStr">
        <is>
          <t>hayday.info /api/production-data (2026-10-13) + Hay Day Wiki infobox via MediaWiki API (2026-10-13)</t>
        </is>
      </c>
      <c r="AB95" s="28" t="inlineStr">
        <is>
          <t>https://hayday.fandom.com/wiki/Potato</t>
        </is>
      </c>
      <c r="AC95" s="50" t="inlineStr">
        <is>
          <t>Potato</t>
        </is>
      </c>
    </row>
    <row r="96">
      <c r="A96" s="28" t="inlineStr">
        <is>
          <t>Sesame</t>
        </is>
      </c>
      <c r="B96" s="28" t="inlineStr">
        <is>
          <t>Crops</t>
        </is>
      </c>
      <c r="C96" s="50" t="inlineStr">
        <is>
          <t>Crop</t>
        </is>
      </c>
      <c r="D96" s="28">
        <f>IF(E96&lt;&gt;"",E96,IF(F96&lt;&gt;"",F96,""))</f>
        <v/>
      </c>
      <c r="E96" s="50" t="n">
        <v>50</v>
      </c>
      <c r="F96" s="50" t="n">
        <v>50</v>
      </c>
      <c r="G96" s="50" t="n">
        <v>60</v>
      </c>
      <c r="H96" s="50" t="n">
        <v>60</v>
      </c>
      <c r="I96" s="50" t="n"/>
      <c r="J96" s="28">
        <f>IF(OR(G96="",AND(H96="",I96="")),"n/a",IF(G96=I96,"mastered",IF(G96=H96,"normal","differs")))</f>
        <v/>
      </c>
      <c r="K96" s="28">
        <f>IF(L96&lt;&gt;"",L96,IF(M96&lt;&gt;"",M96,""))</f>
        <v/>
      </c>
      <c r="L96" s="50" t="n">
        <v>18</v>
      </c>
      <c r="M96" s="50" t="n">
        <v>18</v>
      </c>
      <c r="N96" s="28">
        <f>IF(O96&lt;&gt;"",O96,IF(P96&lt;&gt;"",P96,""))</f>
        <v/>
      </c>
      <c r="O96" s="50" t="n">
        <v>4</v>
      </c>
      <c r="P96" s="50" t="n">
        <v>4</v>
      </c>
      <c r="Q96" s="50" t="n">
        <v>18</v>
      </c>
      <c r="R96" s="50" t="n">
        <v>4</v>
      </c>
      <c r="S96" s="28">
        <f>IF(Q96="","",IF(Q96&lt;0,"negative profit",IF(Q96&gt;Notes!$B$4,"unusually high - verify","")))</f>
        <v/>
      </c>
      <c r="T96" s="28" t="inlineStr">
        <is>
          <t>both</t>
        </is>
      </c>
      <c r="U96" s="28">
        <f>IF(T96&lt;&gt;"both",T96&amp;" only",IF(V96="","agree","conflict"))</f>
        <v/>
      </c>
      <c r="V96" s="28">
        <f>IF(T96="both",TRIM(IF(AND(E96&lt;&gt;"",F96&lt;&gt;"",E96&lt;&gt;F96),"level ","")&amp;IF(AND(L96&lt;&gt;"",M96&lt;&gt;"",L96&lt;&gt;M96),"price ","")&amp;IF(AND(O96&lt;&gt;"",P96&lt;&gt;"",O96&lt;&gt;P96),"xp ","")&amp;IF(J96="differs","time","")),"")</f>
        <v/>
      </c>
      <c r="X96" s="50" t="n"/>
      <c r="Y96" s="50" t="inlineStr">
        <is>
          <t>Sesame.png</t>
        </is>
      </c>
      <c r="Z96" s="50" t="inlineStr">
        <is>
          <t>icons/Crops/Sesame.png</t>
        </is>
      </c>
      <c r="AA96" s="28" t="inlineStr">
        <is>
          <t>hayday.info /api/production-data (2026-10-13) + Hay Day Wiki infobox via MediaWiki API (2026-10-13)</t>
        </is>
      </c>
      <c r="AB96" s="28" t="inlineStr">
        <is>
          <t>https://hayday.fandom.com/wiki/Sesame</t>
        </is>
      </c>
      <c r="AC96" s="50" t="inlineStr">
        <is>
          <t>Sesame</t>
        </is>
      </c>
    </row>
    <row r="97">
      <c r="A97" s="28" t="inlineStr">
        <is>
          <t>Pineapple</t>
        </is>
      </c>
      <c r="B97" s="28" t="inlineStr">
        <is>
          <t>Crops</t>
        </is>
      </c>
      <c r="C97" s="50" t="inlineStr">
        <is>
          <t>Crop</t>
        </is>
      </c>
      <c r="D97" s="28">
        <f>IF(E97&lt;&gt;"",E97,IF(F97&lt;&gt;"",F97,""))</f>
        <v/>
      </c>
      <c r="E97" s="50" t="n">
        <v>52</v>
      </c>
      <c r="F97" s="50" t="n">
        <v>52</v>
      </c>
      <c r="G97" s="50" t="n">
        <v>30</v>
      </c>
      <c r="H97" s="50" t="n">
        <v>30</v>
      </c>
      <c r="I97" s="50" t="n"/>
      <c r="J97" s="28">
        <f>IF(OR(G97="",AND(H97="",I97="")),"n/a",IF(G97=I97,"mastered",IF(G97=H97,"normal","differs")))</f>
        <v/>
      </c>
      <c r="K97" s="28">
        <f>IF(L97&lt;&gt;"",L97,IF(M97&lt;&gt;"",M97,""))</f>
        <v/>
      </c>
      <c r="L97" s="50" t="n">
        <v>14</v>
      </c>
      <c r="M97" s="50" t="n">
        <v>14</v>
      </c>
      <c r="N97" s="28">
        <f>IF(O97&lt;&gt;"",O97,IF(P97&lt;&gt;"",P97,""))</f>
        <v/>
      </c>
      <c r="O97" s="50" t="n">
        <v>3</v>
      </c>
      <c r="P97" s="50" t="n">
        <v>3</v>
      </c>
      <c r="Q97" s="50" t="n">
        <v>28</v>
      </c>
      <c r="R97" s="50" t="n">
        <v>6</v>
      </c>
      <c r="S97" s="28">
        <f>IF(Q97="","",IF(Q97&lt;0,"negative profit",IF(Q97&gt;Notes!$B$4,"unusually high - verify","")))</f>
        <v/>
      </c>
      <c r="T97" s="28" t="inlineStr">
        <is>
          <t>both</t>
        </is>
      </c>
      <c r="U97" s="28">
        <f>IF(T97&lt;&gt;"both",T97&amp;" only",IF(V97="","agree","conflict"))</f>
        <v/>
      </c>
      <c r="V97" s="28">
        <f>IF(T97="both",TRIM(IF(AND(E97&lt;&gt;"",F97&lt;&gt;"",E97&lt;&gt;F97),"level ","")&amp;IF(AND(L97&lt;&gt;"",M97&lt;&gt;"",L97&lt;&gt;M97),"price ","")&amp;IF(AND(O97&lt;&gt;"",P97&lt;&gt;"",O97&lt;&gt;P97),"xp ","")&amp;IF(J97="differs","time","")),"")</f>
        <v/>
      </c>
      <c r="X97" s="50" t="n"/>
      <c r="Y97" s="50" t="inlineStr">
        <is>
          <t>Pineapple.png</t>
        </is>
      </c>
      <c r="Z97" s="50" t="inlineStr">
        <is>
          <t>icons/Crops/Pineapple.png</t>
        </is>
      </c>
      <c r="AA97" s="28" t="inlineStr">
        <is>
          <t>hayday.info /api/production-data (2026-10-13) + Hay Day Wiki infobox via MediaWiki API (2026-10-13)</t>
        </is>
      </c>
      <c r="AB97" s="28" t="inlineStr">
        <is>
          <t>https://hayday.fandom.com/wiki/Pineapple</t>
        </is>
      </c>
      <c r="AC97" s="50" t="inlineStr">
        <is>
          <t>Pineapple</t>
        </is>
      </c>
    </row>
    <row r="98">
      <c r="A98" s="28" t="inlineStr">
        <is>
          <t>Lily</t>
        </is>
      </c>
      <c r="B98" s="28" t="inlineStr">
        <is>
          <t>Crops</t>
        </is>
      </c>
      <c r="C98" s="50" t="inlineStr">
        <is>
          <t>Crop</t>
        </is>
      </c>
      <c r="D98" s="28">
        <f>IF(E98&lt;&gt;"",E98,IF(F98&lt;&gt;"",F98,""))</f>
        <v/>
      </c>
      <c r="E98" s="50" t="n">
        <v>53</v>
      </c>
      <c r="F98" s="50" t="n">
        <v>53</v>
      </c>
      <c r="G98" s="50" t="n">
        <v>90</v>
      </c>
      <c r="H98" s="50" t="n">
        <v>90</v>
      </c>
      <c r="I98" s="50" t="n"/>
      <c r="J98" s="28">
        <f>IF(OR(G98="",AND(H98="",I98="")),"n/a",IF(G98=I98,"mastered",IF(G98=H98,"normal","differs")))</f>
        <v/>
      </c>
      <c r="K98" s="28">
        <f>IF(L98&lt;&gt;"",L98,IF(M98&lt;&gt;"",M98,""))</f>
        <v/>
      </c>
      <c r="L98" s="50" t="n">
        <v>21</v>
      </c>
      <c r="M98" s="50" t="n">
        <v>21</v>
      </c>
      <c r="N98" s="28">
        <f>IF(O98&lt;&gt;"",O98,IF(P98&lt;&gt;"",P98,""))</f>
        <v/>
      </c>
      <c r="O98" s="50" t="n">
        <v>5</v>
      </c>
      <c r="P98" s="50" t="n">
        <v>5</v>
      </c>
      <c r="Q98" s="50" t="n">
        <v>14</v>
      </c>
      <c r="R98" s="50" t="n">
        <v>3.33</v>
      </c>
      <c r="S98" s="28">
        <f>IF(Q98="","",IF(Q98&lt;0,"negative profit",IF(Q98&gt;Notes!$B$4,"unusually high - verify","")))</f>
        <v/>
      </c>
      <c r="T98" s="28" t="inlineStr">
        <is>
          <t>both</t>
        </is>
      </c>
      <c r="U98" s="28">
        <f>IF(T98&lt;&gt;"both",T98&amp;" only",IF(V98="","agree","conflict"))</f>
        <v/>
      </c>
      <c r="V98" s="28">
        <f>IF(T98="both",TRIM(IF(AND(E98&lt;&gt;"",F98&lt;&gt;"",E98&lt;&gt;F98),"level ","")&amp;IF(AND(L98&lt;&gt;"",M98&lt;&gt;"",L98&lt;&gt;M98),"price ","")&amp;IF(AND(O98&lt;&gt;"",P98&lt;&gt;"",O98&lt;&gt;P98),"xp ","")&amp;IF(J98="differs","time","")),"")</f>
        <v/>
      </c>
      <c r="X98" s="50" t="n"/>
      <c r="Y98" s="50" t="inlineStr">
        <is>
          <t>Lily.png</t>
        </is>
      </c>
      <c r="Z98" s="50" t="inlineStr">
        <is>
          <t>icons/Crops/Lily.png</t>
        </is>
      </c>
      <c r="AA98" s="28" t="inlineStr">
        <is>
          <t>hayday.info /api/production-data (2026-10-13) + Hay Day Wiki infobox via MediaWiki API (2026-10-13)</t>
        </is>
      </c>
      <c r="AB98" s="28" t="inlineStr">
        <is>
          <t>https://hayday.fandom.com/wiki/Lily</t>
        </is>
      </c>
      <c r="AC98" s="50" t="inlineStr">
        <is>
          <t>Lily</t>
        </is>
      </c>
    </row>
    <row r="99">
      <c r="A99" s="28" t="inlineStr">
        <is>
          <t>Rice</t>
        </is>
      </c>
      <c r="B99" s="28" t="inlineStr">
        <is>
          <t>Crops</t>
        </is>
      </c>
      <c r="C99" s="50" t="inlineStr">
        <is>
          <t>Crop</t>
        </is>
      </c>
      <c r="D99" s="28">
        <f>IF(E99&lt;&gt;"",E99,IF(F99&lt;&gt;"",F99,""))</f>
        <v/>
      </c>
      <c r="E99" s="50" t="n">
        <v>56</v>
      </c>
      <c r="F99" s="50" t="n">
        <v>56</v>
      </c>
      <c r="G99" s="50" t="n">
        <v>45</v>
      </c>
      <c r="H99" s="50" t="n">
        <v>45</v>
      </c>
      <c r="I99" s="50" t="n"/>
      <c r="J99" s="28">
        <f>IF(OR(G99="",AND(H99="",I99="")),"n/a",IF(G99=I99,"mastered",IF(G99=H99,"normal","differs")))</f>
        <v/>
      </c>
      <c r="K99" s="28">
        <f>IF(L99&lt;&gt;"",L99,IF(M99&lt;&gt;"",M99,""))</f>
        <v/>
      </c>
      <c r="L99" s="50" t="n">
        <v>18</v>
      </c>
      <c r="M99" s="50" t="n">
        <v>18</v>
      </c>
      <c r="N99" s="28">
        <f>IF(O99&lt;&gt;"",O99,IF(P99&lt;&gt;"",P99,""))</f>
        <v/>
      </c>
      <c r="O99" s="50" t="n">
        <v>3</v>
      </c>
      <c r="P99" s="50" t="n">
        <v>3</v>
      </c>
      <c r="Q99" s="50" t="n">
        <v>24</v>
      </c>
      <c r="R99" s="50" t="n">
        <v>4</v>
      </c>
      <c r="S99" s="28">
        <f>IF(Q99="","",IF(Q99&lt;0,"negative profit",IF(Q99&gt;Notes!$B$4,"unusually high - verify","")))</f>
        <v/>
      </c>
      <c r="T99" s="28" t="inlineStr">
        <is>
          <t>both</t>
        </is>
      </c>
      <c r="U99" s="28">
        <f>IF(T99&lt;&gt;"both",T99&amp;" only",IF(V99="","agree","conflict"))</f>
        <v/>
      </c>
      <c r="V99" s="28">
        <f>IF(T99="both",TRIM(IF(AND(E99&lt;&gt;"",F99&lt;&gt;"",E99&lt;&gt;F99),"level ","")&amp;IF(AND(L99&lt;&gt;"",M99&lt;&gt;"",L99&lt;&gt;M99),"price ","")&amp;IF(AND(O99&lt;&gt;"",P99&lt;&gt;"",O99&lt;&gt;P99),"xp ","")&amp;IF(J99="differs","time","")),"")</f>
        <v/>
      </c>
      <c r="X99" s="50" t="n"/>
      <c r="Y99" s="50" t="inlineStr">
        <is>
          <t>Rice.png</t>
        </is>
      </c>
      <c r="Z99" s="50" t="inlineStr">
        <is>
          <t>icons/Crops/Rice.png</t>
        </is>
      </c>
      <c r="AA99" s="28" t="inlineStr">
        <is>
          <t>hayday.info /api/production-data (2026-10-13) + Hay Day Wiki infobox via MediaWiki API (2026-10-13)</t>
        </is>
      </c>
      <c r="AB99" s="28" t="inlineStr">
        <is>
          <t>https://hayday.fandom.com/wiki/Rice</t>
        </is>
      </c>
      <c r="AC99" s="50" t="inlineStr">
        <is>
          <t>Rice</t>
        </is>
      </c>
    </row>
    <row r="100">
      <c r="A100" s="28" t="inlineStr">
        <is>
          <t>Lettuce</t>
        </is>
      </c>
      <c r="B100" s="28" t="inlineStr">
        <is>
          <t>Crops</t>
        </is>
      </c>
      <c r="C100" s="50" t="inlineStr">
        <is>
          <t>Crop</t>
        </is>
      </c>
      <c r="D100" s="28">
        <f>IF(E100&lt;&gt;"",E100,IF(F100&lt;&gt;"",F100,""))</f>
        <v/>
      </c>
      <c r="E100" s="50" t="n">
        <v>58</v>
      </c>
      <c r="F100" s="50" t="n">
        <v>58</v>
      </c>
      <c r="G100" s="50" t="n">
        <v>210</v>
      </c>
      <c r="H100" s="50" t="n">
        <v>210</v>
      </c>
      <c r="I100" s="50" t="n"/>
      <c r="J100" s="28">
        <f>IF(OR(G100="",AND(H100="",I100="")),"n/a",IF(G100=I100,"mastered",IF(G100=H100,"normal","differs")))</f>
        <v/>
      </c>
      <c r="K100" s="28">
        <f>IF(L100&lt;&gt;"",L100,IF(M100&lt;&gt;"",M100,""))</f>
        <v/>
      </c>
      <c r="L100" s="50" t="n">
        <v>32</v>
      </c>
      <c r="M100" s="50" t="n">
        <v>32</v>
      </c>
      <c r="N100" s="28">
        <f>IF(O100&lt;&gt;"",O100,IF(P100&lt;&gt;"",P100,""))</f>
        <v/>
      </c>
      <c r="O100" s="50" t="n">
        <v>7</v>
      </c>
      <c r="P100" s="50" t="n">
        <v>7</v>
      </c>
      <c r="Q100" s="50" t="n">
        <v>9.140000000000001</v>
      </c>
      <c r="R100" s="50" t="n">
        <v>2</v>
      </c>
      <c r="S100" s="28">
        <f>IF(Q100="","",IF(Q100&lt;0,"negative profit",IF(Q100&gt;Notes!$B$4,"unusually high - verify","")))</f>
        <v/>
      </c>
      <c r="T100" s="28" t="inlineStr">
        <is>
          <t>both</t>
        </is>
      </c>
      <c r="U100" s="28">
        <f>IF(T100&lt;&gt;"both",T100&amp;" only",IF(V100="","agree","conflict"))</f>
        <v/>
      </c>
      <c r="V100" s="28">
        <f>IF(T100="both",TRIM(IF(AND(E100&lt;&gt;"",F100&lt;&gt;"",E100&lt;&gt;F100),"level ","")&amp;IF(AND(L100&lt;&gt;"",M100&lt;&gt;"",L100&lt;&gt;M100),"price ","")&amp;IF(AND(O100&lt;&gt;"",P100&lt;&gt;"",O100&lt;&gt;P100),"xp ","")&amp;IF(J100="differs","time","")),"")</f>
        <v/>
      </c>
      <c r="X100" s="50" t="n"/>
      <c r="Y100" s="50" t="inlineStr">
        <is>
          <t>Lettuce.png</t>
        </is>
      </c>
      <c r="Z100" s="50" t="inlineStr">
        <is>
          <t>icons/Crops/Lettuce.png</t>
        </is>
      </c>
      <c r="AA100" s="28" t="inlineStr">
        <is>
          <t>hayday.info /api/production-data (2026-10-13) + Hay Day Wiki infobox via MediaWiki API (2026-10-13)</t>
        </is>
      </c>
      <c r="AB100" s="28" t="inlineStr">
        <is>
          <t>https://hayday.fandom.com/wiki/Lettuce</t>
        </is>
      </c>
      <c r="AC100" s="50" t="inlineStr">
        <is>
          <t>Lettuce</t>
        </is>
      </c>
    </row>
    <row r="101">
      <c r="A101" s="28" t="inlineStr">
        <is>
          <t>Garlic</t>
        </is>
      </c>
      <c r="B101" s="28" t="inlineStr">
        <is>
          <t>Crops</t>
        </is>
      </c>
      <c r="C101" s="50" t="inlineStr">
        <is>
          <t>Crop</t>
        </is>
      </c>
      <c r="D101" s="28">
        <f>IF(E101&lt;&gt;"",E101,IF(F101&lt;&gt;"",F101,""))</f>
        <v/>
      </c>
      <c r="E101" s="50" t="n">
        <v>60</v>
      </c>
      <c r="F101" s="50" t="n">
        <v>60</v>
      </c>
      <c r="G101" s="50" t="n">
        <v>30</v>
      </c>
      <c r="H101" s="50" t="n">
        <v>30</v>
      </c>
      <c r="I101" s="50" t="n"/>
      <c r="J101" s="28">
        <f>IF(OR(G101="",AND(H101="",I101="")),"n/a",IF(G101=I101,"mastered",IF(G101=H101,"normal","differs")))</f>
        <v/>
      </c>
      <c r="K101" s="28">
        <f>IF(L101&lt;&gt;"",L101,IF(M101&lt;&gt;"",M101,""))</f>
        <v/>
      </c>
      <c r="L101" s="50" t="n">
        <v>14</v>
      </c>
      <c r="M101" s="50" t="n">
        <v>14</v>
      </c>
      <c r="N101" s="28">
        <f>IF(O101&lt;&gt;"",O101,IF(P101&lt;&gt;"",P101,""))</f>
        <v/>
      </c>
      <c r="O101" s="50" t="n">
        <v>3</v>
      </c>
      <c r="P101" s="50" t="n">
        <v>3</v>
      </c>
      <c r="Q101" s="50" t="n">
        <v>28</v>
      </c>
      <c r="R101" s="50" t="n">
        <v>6</v>
      </c>
      <c r="S101" s="28">
        <f>IF(Q101="","",IF(Q101&lt;0,"negative profit",IF(Q101&gt;Notes!$B$4,"unusually high - verify","")))</f>
        <v/>
      </c>
      <c r="T101" s="28" t="inlineStr">
        <is>
          <t>both</t>
        </is>
      </c>
      <c r="U101" s="28">
        <f>IF(T101&lt;&gt;"both",T101&amp;" only",IF(V101="","agree","conflict"))</f>
        <v/>
      </c>
      <c r="V101" s="28">
        <f>IF(T101="both",TRIM(IF(AND(E101&lt;&gt;"",F101&lt;&gt;"",E101&lt;&gt;F101),"level ","")&amp;IF(AND(L101&lt;&gt;"",M101&lt;&gt;"",L101&lt;&gt;M101),"price ","")&amp;IF(AND(O101&lt;&gt;"",P101&lt;&gt;"",O101&lt;&gt;P101),"xp ","")&amp;IF(J101="differs","time","")),"")</f>
        <v/>
      </c>
      <c r="X101" s="50" t="n"/>
      <c r="Y101" s="50" t="inlineStr">
        <is>
          <t>Garlic.png</t>
        </is>
      </c>
      <c r="Z101" s="50" t="inlineStr">
        <is>
          <t>icons/Crops/Garlic.png</t>
        </is>
      </c>
      <c r="AA101" s="28" t="inlineStr">
        <is>
          <t>hayday.info /api/production-data (2026-10-13) + Hay Day Wiki infobox via MediaWiki API (2026-10-13)</t>
        </is>
      </c>
      <c r="AB101" s="28" t="inlineStr">
        <is>
          <t>https://hayday.fandom.com/wiki/Garlic</t>
        </is>
      </c>
      <c r="AC101" s="50" t="inlineStr">
        <is>
          <t>Garlic</t>
        </is>
      </c>
    </row>
    <row r="102">
      <c r="A102" s="28" t="inlineStr">
        <is>
          <t>Sunflower</t>
        </is>
      </c>
      <c r="B102" s="28" t="inlineStr">
        <is>
          <t>Crops</t>
        </is>
      </c>
      <c r="C102" s="50" t="inlineStr">
        <is>
          <t>Crop</t>
        </is>
      </c>
      <c r="D102" s="28">
        <f>IF(E102&lt;&gt;"",E102,IF(F102&lt;&gt;"",F102,""))</f>
        <v/>
      </c>
      <c r="E102" s="50" t="n">
        <v>63</v>
      </c>
      <c r="F102" s="50" t="n">
        <v>63</v>
      </c>
      <c r="G102" s="50" t="n">
        <v>90</v>
      </c>
      <c r="H102" s="50" t="n">
        <v>90</v>
      </c>
      <c r="I102" s="50" t="n"/>
      <c r="J102" s="28">
        <f>IF(OR(G102="",AND(H102="",I102="")),"n/a",IF(G102=I102,"mastered",IF(G102=H102,"normal","differs")))</f>
        <v/>
      </c>
      <c r="K102" s="28">
        <f>IF(L102&lt;&gt;"",L102,IF(M102&lt;&gt;"",M102,""))</f>
        <v/>
      </c>
      <c r="L102" s="50" t="n">
        <v>21</v>
      </c>
      <c r="M102" s="50" t="n">
        <v>21</v>
      </c>
      <c r="N102" s="28">
        <f>IF(O102&lt;&gt;"",O102,IF(P102&lt;&gt;"",P102,""))</f>
        <v/>
      </c>
      <c r="O102" s="50" t="n">
        <v>5</v>
      </c>
      <c r="P102" s="50" t="n">
        <v>5</v>
      </c>
      <c r="Q102" s="50" t="n">
        <v>14</v>
      </c>
      <c r="R102" s="50" t="n">
        <v>3.33</v>
      </c>
      <c r="S102" s="28">
        <f>IF(Q102="","",IF(Q102&lt;0,"negative profit",IF(Q102&gt;Notes!$B$4,"unusually high - verify","")))</f>
        <v/>
      </c>
      <c r="T102" s="28" t="inlineStr">
        <is>
          <t>both</t>
        </is>
      </c>
      <c r="U102" s="28">
        <f>IF(T102&lt;&gt;"both",T102&amp;" only",IF(V102="","agree","conflict"))</f>
        <v/>
      </c>
      <c r="V102" s="28">
        <f>IF(T102="both",TRIM(IF(AND(E102&lt;&gt;"",F102&lt;&gt;"",E102&lt;&gt;F102),"level ","")&amp;IF(AND(L102&lt;&gt;"",M102&lt;&gt;"",L102&lt;&gt;M102),"price ","")&amp;IF(AND(O102&lt;&gt;"",P102&lt;&gt;"",O102&lt;&gt;P102),"xp ","")&amp;IF(J102="differs","time","")),"")</f>
        <v/>
      </c>
      <c r="X102" s="50" t="n"/>
      <c r="Y102" s="50" t="inlineStr">
        <is>
          <t>Sunflower.png</t>
        </is>
      </c>
      <c r="Z102" s="50" t="inlineStr">
        <is>
          <t>icons/Crops/Sunflower.png</t>
        </is>
      </c>
      <c r="AA102" s="28" t="inlineStr">
        <is>
          <t>hayday.info /api/production-data (2026-10-13) + Hay Day Wiki infobox via MediaWiki API (2026-10-13)</t>
        </is>
      </c>
      <c r="AB102" s="28" t="inlineStr">
        <is>
          <t>https://hayday.fandom.com/wiki/Sunflower</t>
        </is>
      </c>
      <c r="AC102" s="50" t="inlineStr">
        <is>
          <t>Sunflower</t>
        </is>
      </c>
    </row>
    <row r="103">
      <c r="A103" s="28" t="inlineStr">
        <is>
          <t>Cabbage</t>
        </is>
      </c>
      <c r="B103" s="28" t="inlineStr">
        <is>
          <t>Crops</t>
        </is>
      </c>
      <c r="C103" s="50" t="inlineStr">
        <is>
          <t>Crop</t>
        </is>
      </c>
      <c r="D103" s="28">
        <f>IF(E103&lt;&gt;"",E103,IF(F103&lt;&gt;"",F103,""))</f>
        <v/>
      </c>
      <c r="E103" s="50" t="n">
        <v>65</v>
      </c>
      <c r="F103" s="50" t="n">
        <v>65</v>
      </c>
      <c r="G103" s="50" t="n">
        <v>45</v>
      </c>
      <c r="H103" s="50" t="n">
        <v>45</v>
      </c>
      <c r="I103" s="50" t="n"/>
      <c r="J103" s="28">
        <f>IF(OR(G103="",AND(H103="",I103="")),"n/a",IF(G103=I103,"mastered",IF(G103=H103,"normal","differs")))</f>
        <v/>
      </c>
      <c r="K103" s="28">
        <f>IF(L103&lt;&gt;"",L103,IF(M103&lt;&gt;"",M103,""))</f>
        <v/>
      </c>
      <c r="L103" s="50" t="n">
        <v>18</v>
      </c>
      <c r="M103" s="50" t="n">
        <v>18</v>
      </c>
      <c r="N103" s="28">
        <f>IF(O103&lt;&gt;"",O103,IF(P103&lt;&gt;"",P103,""))</f>
        <v/>
      </c>
      <c r="O103" s="50" t="n">
        <v>3</v>
      </c>
      <c r="P103" s="50" t="n">
        <v>3</v>
      </c>
      <c r="Q103" s="50" t="n">
        <v>24</v>
      </c>
      <c r="R103" s="50" t="n">
        <v>4</v>
      </c>
      <c r="S103" s="28">
        <f>IF(Q103="","",IF(Q103&lt;0,"negative profit",IF(Q103&gt;Notes!$B$4,"unusually high - verify","")))</f>
        <v/>
      </c>
      <c r="T103" s="28" t="inlineStr">
        <is>
          <t>both</t>
        </is>
      </c>
      <c r="U103" s="28">
        <f>IF(T103&lt;&gt;"both",T103&amp;" only",IF(V103="","agree","conflict"))</f>
        <v/>
      </c>
      <c r="V103" s="28">
        <f>IF(T103="both",TRIM(IF(AND(E103&lt;&gt;"",F103&lt;&gt;"",E103&lt;&gt;F103),"level ","")&amp;IF(AND(L103&lt;&gt;"",M103&lt;&gt;"",L103&lt;&gt;M103),"price ","")&amp;IF(AND(O103&lt;&gt;"",P103&lt;&gt;"",O103&lt;&gt;P103),"xp ","")&amp;IF(J103="differs","time","")),"")</f>
        <v/>
      </c>
      <c r="X103" s="50" t="n"/>
      <c r="Y103" s="50" t="inlineStr">
        <is>
          <t>Cabbage.png</t>
        </is>
      </c>
      <c r="Z103" s="50" t="inlineStr">
        <is>
          <t>icons/Crops/Cabbage.png</t>
        </is>
      </c>
      <c r="AA103" s="28" t="inlineStr">
        <is>
          <t>hayday.info /api/production-data (2026-10-13) + Hay Day Wiki infobox via MediaWiki API (2026-10-13)</t>
        </is>
      </c>
      <c r="AB103" s="28" t="inlineStr">
        <is>
          <t>https://hayday.fandom.com/wiki/Cabbage</t>
        </is>
      </c>
      <c r="AC103" s="50" t="inlineStr">
        <is>
          <t>Cabbage</t>
        </is>
      </c>
    </row>
    <row r="104">
      <c r="A104" s="28" t="inlineStr">
        <is>
          <t>Onion</t>
        </is>
      </c>
      <c r="B104" s="28" t="inlineStr">
        <is>
          <t>Crops</t>
        </is>
      </c>
      <c r="C104" s="50" t="inlineStr">
        <is>
          <t>Crop</t>
        </is>
      </c>
      <c r="D104" s="28">
        <f>IF(E104&lt;&gt;"",E104,IF(F104&lt;&gt;"",F104,""))</f>
        <v/>
      </c>
      <c r="E104" s="50" t="n">
        <v>68</v>
      </c>
      <c r="F104" s="50" t="n">
        <v>68</v>
      </c>
      <c r="G104" s="50" t="n">
        <v>300</v>
      </c>
      <c r="H104" s="50" t="n">
        <v>300</v>
      </c>
      <c r="I104" s="50" t="n"/>
      <c r="J104" s="28">
        <f>IF(OR(G104="",AND(H104="",I104="")),"n/a",IF(G104=I104,"mastered",IF(G104=H104,"normal","differs")))</f>
        <v/>
      </c>
      <c r="K104" s="28">
        <f>IF(L104&lt;&gt;"",L104,IF(M104&lt;&gt;"",M104,""))</f>
        <v/>
      </c>
      <c r="L104" s="50" t="n">
        <v>39</v>
      </c>
      <c r="M104" s="50" t="n">
        <v>39</v>
      </c>
      <c r="N104" s="28">
        <f>IF(O104&lt;&gt;"",O104,IF(P104&lt;&gt;"",P104,""))</f>
        <v/>
      </c>
      <c r="O104" s="50" t="n">
        <v>8</v>
      </c>
      <c r="P104" s="50" t="n">
        <v>8</v>
      </c>
      <c r="Q104" s="50" t="n">
        <v>7.8</v>
      </c>
      <c r="R104" s="50" t="n">
        <v>1.6</v>
      </c>
      <c r="S104" s="28">
        <f>IF(Q104="","",IF(Q104&lt;0,"negative profit",IF(Q104&gt;Notes!$B$4,"unusually high - verify","")))</f>
        <v/>
      </c>
      <c r="T104" s="28" t="inlineStr">
        <is>
          <t>both</t>
        </is>
      </c>
      <c r="U104" s="28">
        <f>IF(T104&lt;&gt;"both",T104&amp;" only",IF(V104="","agree","conflict"))</f>
        <v/>
      </c>
      <c r="V104" s="28">
        <f>IF(T104="both",TRIM(IF(AND(E104&lt;&gt;"",F104&lt;&gt;"",E104&lt;&gt;F104),"level ","")&amp;IF(AND(L104&lt;&gt;"",M104&lt;&gt;"",L104&lt;&gt;M104),"price ","")&amp;IF(AND(O104&lt;&gt;"",P104&lt;&gt;"",O104&lt;&gt;P104),"xp ","")&amp;IF(J104="differs","time","")),"")</f>
        <v/>
      </c>
      <c r="X104" s="50" t="n"/>
      <c r="Y104" s="50" t="inlineStr">
        <is>
          <t>Onion.png</t>
        </is>
      </c>
      <c r="Z104" s="50" t="inlineStr">
        <is>
          <t>icons/Crops/Onion.png</t>
        </is>
      </c>
      <c r="AA104" s="28" t="inlineStr">
        <is>
          <t>hayday.info /api/production-data (2026-10-13) + Hay Day Wiki infobox via MediaWiki API (2026-10-13)</t>
        </is>
      </c>
      <c r="AB104" s="28" t="inlineStr">
        <is>
          <t>https://hayday.fandom.com/wiki/Onion</t>
        </is>
      </c>
      <c r="AC104" s="50" t="inlineStr">
        <is>
          <t>Onion</t>
        </is>
      </c>
    </row>
    <row r="105">
      <c r="A105" s="28" t="inlineStr">
        <is>
          <t>Cucumber</t>
        </is>
      </c>
      <c r="B105" s="28" t="inlineStr">
        <is>
          <t>Crops</t>
        </is>
      </c>
      <c r="C105" s="50" t="inlineStr">
        <is>
          <t>Crop</t>
        </is>
      </c>
      <c r="D105" s="28">
        <f>IF(E105&lt;&gt;"",E105,IF(F105&lt;&gt;"",F105,""))</f>
        <v/>
      </c>
      <c r="E105" s="50" t="n">
        <v>70</v>
      </c>
      <c r="F105" s="50" t="n">
        <v>70</v>
      </c>
      <c r="G105" s="50" t="n">
        <v>35</v>
      </c>
      <c r="H105" s="50" t="n">
        <v>35</v>
      </c>
      <c r="I105" s="50" t="n"/>
      <c r="J105" s="28">
        <f>IF(OR(G105="",AND(H105="",I105="")),"n/a",IF(G105=I105,"mastered",IF(G105=H105,"normal","differs")))</f>
        <v/>
      </c>
      <c r="K105" s="28">
        <f>IF(L105&lt;&gt;"",L105,IF(M105&lt;&gt;"",M105,""))</f>
        <v/>
      </c>
      <c r="L105" s="50" t="n">
        <v>14</v>
      </c>
      <c r="M105" s="50" t="n">
        <v>14</v>
      </c>
      <c r="N105" s="28">
        <f>IF(O105&lt;&gt;"",O105,IF(P105&lt;&gt;"",P105,""))</f>
        <v/>
      </c>
      <c r="O105" s="50" t="n">
        <v>3</v>
      </c>
      <c r="P105" s="50" t="n">
        <v>3</v>
      </c>
      <c r="Q105" s="50" t="n">
        <v>24</v>
      </c>
      <c r="R105" s="50" t="n">
        <v>5.14</v>
      </c>
      <c r="S105" s="28">
        <f>IF(Q105="","",IF(Q105&lt;0,"negative profit",IF(Q105&gt;Notes!$B$4,"unusually high - verify","")))</f>
        <v/>
      </c>
      <c r="T105" s="28" t="inlineStr">
        <is>
          <t>both</t>
        </is>
      </c>
      <c r="U105" s="28">
        <f>IF(T105&lt;&gt;"both",T105&amp;" only",IF(V105="","agree","conflict"))</f>
        <v/>
      </c>
      <c r="V105" s="28">
        <f>IF(T105="both",TRIM(IF(AND(E105&lt;&gt;"",F105&lt;&gt;"",E105&lt;&gt;F105),"level ","")&amp;IF(AND(L105&lt;&gt;"",M105&lt;&gt;"",L105&lt;&gt;M105),"price ","")&amp;IF(AND(O105&lt;&gt;"",P105&lt;&gt;"",O105&lt;&gt;P105),"xp ","")&amp;IF(J105="differs","time","")),"")</f>
        <v/>
      </c>
      <c r="X105" s="50" t="n"/>
      <c r="Y105" s="50" t="inlineStr">
        <is>
          <t>Cucumber.png</t>
        </is>
      </c>
      <c r="Z105" s="50" t="inlineStr">
        <is>
          <t>icons/Crops/Cucumber.png</t>
        </is>
      </c>
      <c r="AA105" s="28" t="inlineStr">
        <is>
          <t>hayday.info /api/production-data (2026-10-13) + Hay Day Wiki infobox via MediaWiki API (2026-10-13)</t>
        </is>
      </c>
      <c r="AB105" s="28" t="inlineStr">
        <is>
          <t>https://hayday.fandom.com/wiki/Cucumber</t>
        </is>
      </c>
      <c r="AC105" s="50" t="inlineStr">
        <is>
          <t>Cucumber</t>
        </is>
      </c>
    </row>
    <row r="106">
      <c r="A106" s="28" t="inlineStr">
        <is>
          <t>Beetroot</t>
        </is>
      </c>
      <c r="B106" s="28" t="inlineStr">
        <is>
          <t>Crops</t>
        </is>
      </c>
      <c r="C106" s="50" t="inlineStr">
        <is>
          <t>Crop</t>
        </is>
      </c>
      <c r="D106" s="28">
        <f>IF(E106&lt;&gt;"",E106,IF(F106&lt;&gt;"",F106,""))</f>
        <v/>
      </c>
      <c r="E106" s="50" t="n">
        <v>72</v>
      </c>
      <c r="F106" s="50" t="n">
        <v>72</v>
      </c>
      <c r="G106" s="50" t="n">
        <v>40</v>
      </c>
      <c r="H106" s="50" t="n">
        <v>40</v>
      </c>
      <c r="I106" s="50" t="n"/>
      <c r="J106" s="28">
        <f>IF(OR(G106="",AND(H106="",I106="")),"n/a",IF(G106=I106,"mastered",IF(G106=H106,"normal","differs")))</f>
        <v/>
      </c>
      <c r="K106" s="28">
        <f>IF(L106&lt;&gt;"",L106,IF(M106&lt;&gt;"",M106,""))</f>
        <v/>
      </c>
      <c r="L106" s="50" t="n">
        <v>14</v>
      </c>
      <c r="M106" s="50" t="n">
        <v>14</v>
      </c>
      <c r="N106" s="28">
        <f>IF(O106&lt;&gt;"",O106,IF(P106&lt;&gt;"",P106,""))</f>
        <v/>
      </c>
      <c r="O106" s="50" t="n">
        <v>3</v>
      </c>
      <c r="P106" s="50" t="n">
        <v>3</v>
      </c>
      <c r="Q106" s="50" t="n">
        <v>21</v>
      </c>
      <c r="R106" s="50" t="n">
        <v>4.5</v>
      </c>
      <c r="S106" s="28">
        <f>IF(Q106="","",IF(Q106&lt;0,"negative profit",IF(Q106&gt;Notes!$B$4,"unusually high - verify","")))</f>
        <v/>
      </c>
      <c r="T106" s="28" t="inlineStr">
        <is>
          <t>both</t>
        </is>
      </c>
      <c r="U106" s="28">
        <f>IF(T106&lt;&gt;"both",T106&amp;" only",IF(V106="","agree","conflict"))</f>
        <v/>
      </c>
      <c r="V106" s="28">
        <f>IF(T106="both",TRIM(IF(AND(E106&lt;&gt;"",F106&lt;&gt;"",E106&lt;&gt;F106),"level ","")&amp;IF(AND(L106&lt;&gt;"",M106&lt;&gt;"",L106&lt;&gt;M106),"price ","")&amp;IF(AND(O106&lt;&gt;"",P106&lt;&gt;"",O106&lt;&gt;P106),"xp ","")&amp;IF(J106="differs","time","")),"")</f>
        <v/>
      </c>
      <c r="X106" s="50" t="n"/>
      <c r="Y106" s="50" t="inlineStr">
        <is>
          <t>Beetroot.png</t>
        </is>
      </c>
      <c r="Z106" s="50" t="inlineStr">
        <is>
          <t>icons/Crops/Beetroot.png</t>
        </is>
      </c>
      <c r="AA106" s="28" t="inlineStr">
        <is>
          <t>hayday.info /api/production-data (2026-10-13) + Hay Day Wiki infobox via MediaWiki API (2026-10-13)</t>
        </is>
      </c>
      <c r="AB106" s="28" t="inlineStr">
        <is>
          <t>https://hayday.fandom.com/wiki/Beetroot</t>
        </is>
      </c>
      <c r="AC106" s="50" t="inlineStr">
        <is>
          <t>Beetroot</t>
        </is>
      </c>
    </row>
    <row r="107">
      <c r="A107" s="28" t="inlineStr">
        <is>
          <t>Bell Pepper</t>
        </is>
      </c>
      <c r="B107" s="28" t="inlineStr">
        <is>
          <t>Crops</t>
        </is>
      </c>
      <c r="C107" s="50" t="inlineStr">
        <is>
          <t>Crop</t>
        </is>
      </c>
      <c r="D107" s="28">
        <f>IF(E107&lt;&gt;"",E107,IF(F107&lt;&gt;"",F107,""))</f>
        <v/>
      </c>
      <c r="E107" s="50" t="n">
        <v>74</v>
      </c>
      <c r="F107" s="50" t="n">
        <v>74</v>
      </c>
      <c r="G107" s="50" t="n">
        <v>270</v>
      </c>
      <c r="H107" s="50" t="n">
        <v>270</v>
      </c>
      <c r="I107" s="50" t="n"/>
      <c r="J107" s="28">
        <f>IF(OR(G107="",AND(H107="",I107="")),"n/a",IF(G107=I107,"mastered",IF(G107=H107,"normal","differs")))</f>
        <v/>
      </c>
      <c r="K107" s="28">
        <f>IF(L107&lt;&gt;"",L107,IF(M107&lt;&gt;"",M107,""))</f>
        <v/>
      </c>
      <c r="L107" s="50" t="n">
        <v>36</v>
      </c>
      <c r="M107" s="50" t="n">
        <v>36</v>
      </c>
      <c r="N107" s="28">
        <f>IF(O107&lt;&gt;"",O107,IF(P107&lt;&gt;"",P107,""))</f>
        <v/>
      </c>
      <c r="O107" s="50" t="n">
        <v>7</v>
      </c>
      <c r="P107" s="50" t="n">
        <v>7</v>
      </c>
      <c r="Q107" s="50" t="n">
        <v>8</v>
      </c>
      <c r="R107" s="50" t="n">
        <v>1.56</v>
      </c>
      <c r="S107" s="28">
        <f>IF(Q107="","",IF(Q107&lt;0,"negative profit",IF(Q107&gt;Notes!$B$4,"unusually high - verify","")))</f>
        <v/>
      </c>
      <c r="T107" s="28" t="inlineStr">
        <is>
          <t>both</t>
        </is>
      </c>
      <c r="U107" s="28">
        <f>IF(T107&lt;&gt;"both",T107&amp;" only",IF(V107="","agree","conflict"))</f>
        <v/>
      </c>
      <c r="V107" s="28">
        <f>IF(T107="both",TRIM(IF(AND(E107&lt;&gt;"",F107&lt;&gt;"",E107&lt;&gt;F107),"level ","")&amp;IF(AND(L107&lt;&gt;"",M107&lt;&gt;"",L107&lt;&gt;M107),"price ","")&amp;IF(AND(O107&lt;&gt;"",P107&lt;&gt;"",O107&lt;&gt;P107),"xp ","")&amp;IF(J107="differs","time","")),"")</f>
        <v/>
      </c>
      <c r="X107" s="50" t="n"/>
      <c r="Y107" s="50" t="inlineStr">
        <is>
          <t>Bell Pepper.png</t>
        </is>
      </c>
      <c r="Z107" s="50" t="inlineStr">
        <is>
          <t>icons/Crops/Bell Pepper.png</t>
        </is>
      </c>
      <c r="AA107" s="28" t="inlineStr">
        <is>
          <t>hayday.info /api/production-data (2026-10-13) + Hay Day Wiki infobox via MediaWiki API (2026-10-13)</t>
        </is>
      </c>
      <c r="AB107" s="28" t="inlineStr">
        <is>
          <t>https://hayday.fandom.com/wiki/Bell_Pepper</t>
        </is>
      </c>
      <c r="AC107" s="50" t="inlineStr">
        <is>
          <t>Bell pepper</t>
        </is>
      </c>
    </row>
    <row r="108">
      <c r="A108" s="28" t="inlineStr">
        <is>
          <t>Ginger</t>
        </is>
      </c>
      <c r="B108" s="28" t="inlineStr">
        <is>
          <t>Crops</t>
        </is>
      </c>
      <c r="C108" s="50" t="inlineStr">
        <is>
          <t>Crop</t>
        </is>
      </c>
      <c r="D108" s="28">
        <f>IF(E108&lt;&gt;"",E108,IF(F108&lt;&gt;"",F108,""))</f>
        <v/>
      </c>
      <c r="E108" s="50" t="n">
        <v>78</v>
      </c>
      <c r="F108" s="50" t="n">
        <v>78</v>
      </c>
      <c r="G108" s="50" t="n">
        <v>150</v>
      </c>
      <c r="H108" s="50" t="n">
        <v>150</v>
      </c>
      <c r="I108" s="50" t="n"/>
      <c r="J108" s="28">
        <f>IF(OR(G108="",AND(H108="",I108="")),"n/a",IF(G108=I108,"mastered",IF(G108=H108,"normal","differs")))</f>
        <v/>
      </c>
      <c r="K108" s="28">
        <f>IF(L108&lt;&gt;"",L108,IF(M108&lt;&gt;"",M108,""))</f>
        <v/>
      </c>
      <c r="L108" s="50" t="n">
        <v>28</v>
      </c>
      <c r="M108" s="50" t="n">
        <v>28</v>
      </c>
      <c r="N108" s="28">
        <f>IF(O108&lt;&gt;"",O108,IF(P108&lt;&gt;"",P108,""))</f>
        <v/>
      </c>
      <c r="O108" s="50" t="n">
        <v>6</v>
      </c>
      <c r="P108" s="50" t="n">
        <v>6</v>
      </c>
      <c r="Q108" s="50" t="n">
        <v>11.2</v>
      </c>
      <c r="R108" s="50" t="n">
        <v>2.4</v>
      </c>
      <c r="S108" s="28">
        <f>IF(Q108="","",IF(Q108&lt;0,"negative profit",IF(Q108&gt;Notes!$B$4,"unusually high - verify","")))</f>
        <v/>
      </c>
      <c r="T108" s="28" t="inlineStr">
        <is>
          <t>both</t>
        </is>
      </c>
      <c r="U108" s="28">
        <f>IF(T108&lt;&gt;"both",T108&amp;" only",IF(V108="","agree","conflict"))</f>
        <v/>
      </c>
      <c r="V108" s="28">
        <f>IF(T108="both",TRIM(IF(AND(E108&lt;&gt;"",F108&lt;&gt;"",E108&lt;&gt;F108),"level ","")&amp;IF(AND(L108&lt;&gt;"",M108&lt;&gt;"",L108&lt;&gt;M108),"price ","")&amp;IF(AND(O108&lt;&gt;"",P108&lt;&gt;"",O108&lt;&gt;P108),"xp ","")&amp;IF(J108="differs","time","")),"")</f>
        <v/>
      </c>
      <c r="X108" s="50" t="n"/>
      <c r="Y108" s="50" t="inlineStr">
        <is>
          <t>Ginger.png</t>
        </is>
      </c>
      <c r="Z108" s="50" t="inlineStr">
        <is>
          <t>icons/Crops/Ginger.png</t>
        </is>
      </c>
      <c r="AA108" s="28" t="inlineStr">
        <is>
          <t>hayday.info /api/production-data (2026-10-13) + Hay Day Wiki infobox via MediaWiki API (2026-10-13)</t>
        </is>
      </c>
      <c r="AB108" s="28" t="inlineStr">
        <is>
          <t>https://hayday.fandom.com/wiki/Ginger</t>
        </is>
      </c>
      <c r="AC108" s="50" t="inlineStr">
        <is>
          <t>Ginger​​​​</t>
        </is>
      </c>
    </row>
    <row r="109">
      <c r="A109" s="28" t="inlineStr">
        <is>
          <t>Tea Leaf</t>
        </is>
      </c>
      <c r="B109" s="28" t="inlineStr">
        <is>
          <t>Crops</t>
        </is>
      </c>
      <c r="C109" s="50" t="inlineStr">
        <is>
          <t>Crop</t>
        </is>
      </c>
      <c r="D109" s="28">
        <f>IF(E109&lt;&gt;"",E109,IF(F109&lt;&gt;"",F109,""))</f>
        <v/>
      </c>
      <c r="E109" s="50" t="n">
        <v>80</v>
      </c>
      <c r="F109" s="50" t="n">
        <v>80</v>
      </c>
      <c r="G109" s="50" t="n">
        <v>390</v>
      </c>
      <c r="H109" s="50" t="n">
        <v>390</v>
      </c>
      <c r="I109" s="50" t="n"/>
      <c r="J109" s="28">
        <f>IF(OR(G109="",AND(H109="",I109="")),"n/a",IF(G109=I109,"mastered",IF(G109=H109,"normal","differs")))</f>
        <v/>
      </c>
      <c r="K109" s="28">
        <f>IF(L109&lt;&gt;"",L109,IF(M109&lt;&gt;"",M109,""))</f>
        <v/>
      </c>
      <c r="L109" s="50" t="n">
        <v>43</v>
      </c>
      <c r="M109" s="50" t="n">
        <v>43</v>
      </c>
      <c r="N109" s="28">
        <f>IF(O109&lt;&gt;"",O109,IF(P109&lt;&gt;"",P109,""))</f>
        <v/>
      </c>
      <c r="O109" s="50" t="n">
        <v>9</v>
      </c>
      <c r="P109" s="50" t="n">
        <v>9</v>
      </c>
      <c r="Q109" s="50" t="n">
        <v>6.62</v>
      </c>
      <c r="R109" s="50" t="n">
        <v>1.38</v>
      </c>
      <c r="S109" s="28">
        <f>IF(Q109="","",IF(Q109&lt;0,"negative profit",IF(Q109&gt;Notes!$B$4,"unusually high - verify","")))</f>
        <v/>
      </c>
      <c r="T109" s="28" t="inlineStr">
        <is>
          <t>both</t>
        </is>
      </c>
      <c r="U109" s="28">
        <f>IF(T109&lt;&gt;"both",T109&amp;" only",IF(V109="","agree","conflict"))</f>
        <v/>
      </c>
      <c r="V109" s="28">
        <f>IF(T109="both",TRIM(IF(AND(E109&lt;&gt;"",F109&lt;&gt;"",E109&lt;&gt;F109),"level ","")&amp;IF(AND(L109&lt;&gt;"",M109&lt;&gt;"",L109&lt;&gt;M109),"price ","")&amp;IF(AND(O109&lt;&gt;"",P109&lt;&gt;"",O109&lt;&gt;P109),"xp ","")&amp;IF(J109="differs","time","")),"")</f>
        <v/>
      </c>
      <c r="X109" s="50" t="n"/>
      <c r="Y109" s="50" t="inlineStr">
        <is>
          <t>Tea Leaf.png</t>
        </is>
      </c>
      <c r="Z109" s="50" t="inlineStr">
        <is>
          <t>icons/Crops/Tea Leaf.png</t>
        </is>
      </c>
      <c r="AA109" s="28" t="inlineStr">
        <is>
          <t>hayday.info /api/production-data (2026-10-13) + Hay Day Wiki infobox via MediaWiki API (2026-10-13)</t>
        </is>
      </c>
      <c r="AB109" s="28" t="inlineStr">
        <is>
          <t>https://hayday.fandom.com/wiki/Tea_Leaf</t>
        </is>
      </c>
      <c r="AC109" s="50" t="inlineStr">
        <is>
          <t>Tea leaf</t>
        </is>
      </c>
    </row>
    <row r="110">
      <c r="A110" s="28" t="inlineStr">
        <is>
          <t>Peony</t>
        </is>
      </c>
      <c r="B110" s="28" t="inlineStr">
        <is>
          <t>Crops</t>
        </is>
      </c>
      <c r="C110" s="50" t="inlineStr">
        <is>
          <t>Crop</t>
        </is>
      </c>
      <c r="D110" s="28">
        <f>IF(E110&lt;&gt;"",E110,IF(F110&lt;&gt;"",F110,""))</f>
        <v/>
      </c>
      <c r="E110" s="50" t="n">
        <v>82</v>
      </c>
      <c r="F110" s="50" t="n">
        <v>82</v>
      </c>
      <c r="G110" s="50" t="n">
        <v>240</v>
      </c>
      <c r="H110" s="50" t="n">
        <v>240</v>
      </c>
      <c r="I110" s="50" t="n"/>
      <c r="J110" s="28">
        <f>IF(OR(G110="",AND(H110="",I110="")),"n/a",IF(G110=I110,"mastered",IF(G110=H110,"normal","differs")))</f>
        <v/>
      </c>
      <c r="K110" s="28">
        <f>IF(L110&lt;&gt;"",L110,IF(M110&lt;&gt;"",M110,""))</f>
        <v/>
      </c>
      <c r="L110" s="50" t="n">
        <v>36</v>
      </c>
      <c r="M110" s="50" t="n">
        <v>36</v>
      </c>
      <c r="N110" s="28">
        <f>IF(O110&lt;&gt;"",O110,IF(P110&lt;&gt;"",P110,""))</f>
        <v/>
      </c>
      <c r="O110" s="50" t="n">
        <v>7</v>
      </c>
      <c r="P110" s="50" t="n">
        <v>7</v>
      </c>
      <c r="Q110" s="50" t="n">
        <v>9</v>
      </c>
      <c r="R110" s="50" t="n">
        <v>1.75</v>
      </c>
      <c r="S110" s="28">
        <f>IF(Q110="","",IF(Q110&lt;0,"negative profit",IF(Q110&gt;Notes!$B$4,"unusually high - verify","")))</f>
        <v/>
      </c>
      <c r="T110" s="28" t="inlineStr">
        <is>
          <t>both</t>
        </is>
      </c>
      <c r="U110" s="28">
        <f>IF(T110&lt;&gt;"both",T110&amp;" only",IF(V110="","agree","conflict"))</f>
        <v/>
      </c>
      <c r="V110" s="28">
        <f>IF(T110="both",TRIM(IF(AND(E110&lt;&gt;"",F110&lt;&gt;"",E110&lt;&gt;F110),"level ","")&amp;IF(AND(L110&lt;&gt;"",M110&lt;&gt;"",L110&lt;&gt;M110),"price ","")&amp;IF(AND(O110&lt;&gt;"",P110&lt;&gt;"",O110&lt;&gt;P110),"xp ","")&amp;IF(J110="differs","time","")),"")</f>
        <v/>
      </c>
      <c r="X110" s="50" t="n"/>
      <c r="Y110" s="50" t="inlineStr">
        <is>
          <t>Peony.png</t>
        </is>
      </c>
      <c r="Z110" s="50" t="inlineStr">
        <is>
          <t>icons/Crops/Peony.png</t>
        </is>
      </c>
      <c r="AA110" s="28" t="inlineStr">
        <is>
          <t>hayday.info /api/production-data (2026-10-13) + Hay Day Wiki infobox via MediaWiki API (2026-10-13)</t>
        </is>
      </c>
      <c r="AB110" s="28" t="inlineStr">
        <is>
          <t>https://hayday.fandom.com/wiki/Peony</t>
        </is>
      </c>
      <c r="AC110" s="50" t="inlineStr">
        <is>
          <t>Peony</t>
        </is>
      </c>
    </row>
    <row r="111">
      <c r="A111" s="28" t="inlineStr">
        <is>
          <t>Broccoli</t>
        </is>
      </c>
      <c r="B111" s="28" t="inlineStr">
        <is>
          <t>Crops</t>
        </is>
      </c>
      <c r="C111" s="50" t="inlineStr">
        <is>
          <t>Crop</t>
        </is>
      </c>
      <c r="D111" s="28">
        <f>IF(E111&lt;&gt;"",E111,IF(F111&lt;&gt;"",F111,""))</f>
        <v/>
      </c>
      <c r="E111" s="50" t="n">
        <v>83</v>
      </c>
      <c r="F111" s="50" t="n">
        <v>83</v>
      </c>
      <c r="G111" s="50" t="n">
        <v>90</v>
      </c>
      <c r="H111" s="50" t="n">
        <v>80</v>
      </c>
      <c r="I111" s="50" t="n"/>
      <c r="J111" s="28">
        <f>IF(OR(G111="",AND(H111="",I111="")),"n/a",IF(G111=I111,"mastered",IF(G111=H111,"normal","differs")))</f>
        <v/>
      </c>
      <c r="K111" s="28">
        <f>IF(L111&lt;&gt;"",L111,IF(M111&lt;&gt;"",M111,""))</f>
        <v/>
      </c>
      <c r="L111" s="50" t="n">
        <v>21</v>
      </c>
      <c r="M111" s="50" t="n">
        <v>21</v>
      </c>
      <c r="N111" s="28">
        <f>IF(O111&lt;&gt;"",O111,IF(P111&lt;&gt;"",P111,""))</f>
        <v/>
      </c>
      <c r="O111" s="50" t="n">
        <v>4</v>
      </c>
      <c r="P111" s="50" t="n">
        <v>4</v>
      </c>
      <c r="Q111" s="50" t="n">
        <v>14</v>
      </c>
      <c r="R111" s="50" t="n">
        <v>2.67</v>
      </c>
      <c r="S111" s="28">
        <f>IF(Q111="","",IF(Q111&lt;0,"negative profit",IF(Q111&gt;Notes!$B$4,"unusually high - verify","")))</f>
        <v/>
      </c>
      <c r="T111" s="28" t="inlineStr">
        <is>
          <t>both</t>
        </is>
      </c>
      <c r="U111" s="28">
        <f>IF(T111&lt;&gt;"both",T111&amp;" only",IF(V111="","agree","conflict"))</f>
        <v/>
      </c>
      <c r="V111" s="28">
        <f>IF(T111="both",TRIM(IF(AND(E111&lt;&gt;"",F111&lt;&gt;"",E111&lt;&gt;F111),"level ","")&amp;IF(AND(L111&lt;&gt;"",M111&lt;&gt;"",L111&lt;&gt;M111),"price ","")&amp;IF(AND(O111&lt;&gt;"",P111&lt;&gt;"",O111&lt;&gt;P111),"xp ","")&amp;IF(J111="differs","time","")),"")</f>
        <v/>
      </c>
      <c r="X111" s="50" t="n"/>
      <c r="Y111" s="50" t="inlineStr">
        <is>
          <t>Broccoli.png</t>
        </is>
      </c>
      <c r="Z111" s="50" t="inlineStr">
        <is>
          <t>icons/Crops/Broccoli.png</t>
        </is>
      </c>
      <c r="AA111" s="28" t="inlineStr">
        <is>
          <t>hayday.info /api/production-data (2026-10-13) + Hay Day Wiki infobox via MediaWiki API (2026-10-13)</t>
        </is>
      </c>
      <c r="AB111" s="28" t="inlineStr">
        <is>
          <t>https://hayday.fandom.com/wiki/Broccoli</t>
        </is>
      </c>
      <c r="AC111" s="50" t="inlineStr">
        <is>
          <t>Broccoli</t>
        </is>
      </c>
    </row>
    <row r="112">
      <c r="A112" s="28" t="inlineStr">
        <is>
          <t>Grapes</t>
        </is>
      </c>
      <c r="B112" s="28" t="inlineStr">
        <is>
          <t>Crops</t>
        </is>
      </c>
      <c r="C112" s="50" t="inlineStr">
        <is>
          <t>Crop</t>
        </is>
      </c>
      <c r="D112" s="28">
        <f>IF(E112&lt;&gt;"",E112,IF(F112&lt;&gt;"",F112,""))</f>
        <v/>
      </c>
      <c r="E112" s="50" t="n">
        <v>84</v>
      </c>
      <c r="F112" s="50" t="n">
        <v>84</v>
      </c>
      <c r="G112" s="50" t="n">
        <v>180</v>
      </c>
      <c r="H112" s="50" t="n">
        <v>180</v>
      </c>
      <c r="I112" s="50" t="n"/>
      <c r="J112" s="28">
        <f>IF(OR(G112="",AND(H112="",I112="")),"n/a",IF(G112=I112,"mastered",IF(G112=H112,"normal","differs")))</f>
        <v/>
      </c>
      <c r="K112" s="28">
        <f>IF(L112&lt;&gt;"",L112,IF(M112&lt;&gt;"",M112,""))</f>
        <v/>
      </c>
      <c r="L112" s="50" t="n">
        <v>32</v>
      </c>
      <c r="M112" s="50" t="n">
        <v>32</v>
      </c>
      <c r="N112" s="28">
        <f>IF(O112&lt;&gt;"",O112,IF(P112&lt;&gt;"",P112,""))</f>
        <v/>
      </c>
      <c r="O112" s="50" t="n">
        <v>6</v>
      </c>
      <c r="P112" s="50" t="n">
        <v>6</v>
      </c>
      <c r="Q112" s="50" t="n">
        <v>10.67</v>
      </c>
      <c r="R112" s="50" t="n">
        <v>2</v>
      </c>
      <c r="S112" s="28">
        <f>IF(Q112="","",IF(Q112&lt;0,"negative profit",IF(Q112&gt;Notes!$B$4,"unusually high - verify","")))</f>
        <v/>
      </c>
      <c r="T112" s="28" t="inlineStr">
        <is>
          <t>both</t>
        </is>
      </c>
      <c r="U112" s="28">
        <f>IF(T112&lt;&gt;"both",T112&amp;" only",IF(V112="","agree","conflict"))</f>
        <v/>
      </c>
      <c r="V112" s="28">
        <f>IF(T112="both",TRIM(IF(AND(E112&lt;&gt;"",F112&lt;&gt;"",E112&lt;&gt;F112),"level ","")&amp;IF(AND(L112&lt;&gt;"",M112&lt;&gt;"",L112&lt;&gt;M112),"price ","")&amp;IF(AND(O112&lt;&gt;"",P112&lt;&gt;"",O112&lt;&gt;P112),"xp ","")&amp;IF(J112="differs","time","")),"")</f>
        <v/>
      </c>
      <c r="X112" s="50" t="n"/>
      <c r="Y112" s="50" t="inlineStr">
        <is>
          <t>Grapes.png</t>
        </is>
      </c>
      <c r="Z112" s="50" t="inlineStr">
        <is>
          <t>icons/Crops/Grapes.png</t>
        </is>
      </c>
      <c r="AA112" s="28" t="inlineStr">
        <is>
          <t>hayday.info /api/production-data (2026-10-13) + Hay Day Wiki infobox via MediaWiki API (2026-10-13)</t>
        </is>
      </c>
      <c r="AB112" s="28" t="inlineStr">
        <is>
          <t>https://hayday.fandom.com/wiki/Grapes</t>
        </is>
      </c>
      <c r="AC112" s="50" t="inlineStr">
        <is>
          <t>Grapes</t>
        </is>
      </c>
    </row>
    <row r="113">
      <c r="A113" s="28" t="inlineStr">
        <is>
          <t>Mint</t>
        </is>
      </c>
      <c r="B113" s="28" t="inlineStr">
        <is>
          <t>Crops</t>
        </is>
      </c>
      <c r="C113" s="50" t="inlineStr">
        <is>
          <t>Crop</t>
        </is>
      </c>
      <c r="D113" s="28">
        <f>IF(E113&lt;&gt;"",E113,IF(F113&lt;&gt;"",F113,""))</f>
        <v/>
      </c>
      <c r="E113" s="50" t="n">
        <v>85</v>
      </c>
      <c r="F113" s="50" t="n">
        <v>85</v>
      </c>
      <c r="G113" s="50" t="n">
        <v>180</v>
      </c>
      <c r="H113" s="50" t="n">
        <v>180</v>
      </c>
      <c r="I113" s="50" t="n"/>
      <c r="J113" s="28">
        <f>IF(OR(G113="",AND(H113="",I113="")),"n/a",IF(G113=I113,"mastered",IF(G113=H113,"normal","differs")))</f>
        <v/>
      </c>
      <c r="K113" s="28">
        <f>IF(L113&lt;&gt;"",L113,IF(M113&lt;&gt;"",M113,""))</f>
        <v/>
      </c>
      <c r="L113" s="50" t="n">
        <v>32</v>
      </c>
      <c r="M113" s="50" t="n">
        <v>32</v>
      </c>
      <c r="N113" s="28">
        <f>IF(O113&lt;&gt;"",O113,IF(P113&lt;&gt;"",P113,""))</f>
        <v/>
      </c>
      <c r="O113" s="50" t="n">
        <v>6</v>
      </c>
      <c r="P113" s="50" t="n">
        <v>6</v>
      </c>
      <c r="Q113" s="50" t="n">
        <v>10.67</v>
      </c>
      <c r="R113" s="50" t="n">
        <v>2</v>
      </c>
      <c r="S113" s="28">
        <f>IF(Q113="","",IF(Q113&lt;0,"negative profit",IF(Q113&gt;Notes!$B$4,"unusually high - verify","")))</f>
        <v/>
      </c>
      <c r="T113" s="28" t="inlineStr">
        <is>
          <t>both</t>
        </is>
      </c>
      <c r="U113" s="28">
        <f>IF(T113&lt;&gt;"both",T113&amp;" only",IF(V113="","agree","conflict"))</f>
        <v/>
      </c>
      <c r="V113" s="28">
        <f>IF(T113="both",TRIM(IF(AND(E113&lt;&gt;"",F113&lt;&gt;"",E113&lt;&gt;F113),"level ","")&amp;IF(AND(L113&lt;&gt;"",M113&lt;&gt;"",L113&lt;&gt;M113),"price ","")&amp;IF(AND(O113&lt;&gt;"",P113&lt;&gt;"",O113&lt;&gt;P113),"xp ","")&amp;IF(J113="differs","time","")),"")</f>
        <v/>
      </c>
      <c r="X113" s="50" t="n"/>
      <c r="Y113" s="50" t="inlineStr">
        <is>
          <t>Mint.png</t>
        </is>
      </c>
      <c r="Z113" s="50" t="inlineStr">
        <is>
          <t>icons/Crops/Mint.png</t>
        </is>
      </c>
      <c r="AA113" s="28" t="inlineStr">
        <is>
          <t>hayday.info /api/production-data (2026-10-13) + Hay Day Wiki infobox via MediaWiki API (2026-10-13)</t>
        </is>
      </c>
      <c r="AB113" s="28" t="inlineStr">
        <is>
          <t>https://hayday.fandom.com/wiki/Mint</t>
        </is>
      </c>
      <c r="AC113" s="50" t="inlineStr">
        <is>
          <t>Mint</t>
        </is>
      </c>
    </row>
    <row r="114">
      <c r="A114" s="28" t="inlineStr">
        <is>
          <t>Passion Fruit</t>
        </is>
      </c>
      <c r="B114" s="28" t="inlineStr">
        <is>
          <t>Crops</t>
        </is>
      </c>
      <c r="C114" s="50" t="inlineStr">
        <is>
          <t>Crop</t>
        </is>
      </c>
      <c r="D114" s="28">
        <f>IF(E114&lt;&gt;"",E114,IF(F114&lt;&gt;"",F114,""))</f>
        <v/>
      </c>
      <c r="E114" s="50" t="n">
        <v>88</v>
      </c>
      <c r="F114" s="50" t="n">
        <v>88</v>
      </c>
      <c r="G114" s="50" t="n">
        <v>60</v>
      </c>
      <c r="H114" s="50" t="n">
        <v>60</v>
      </c>
      <c r="I114" s="50" t="n"/>
      <c r="J114" s="28">
        <f>IF(OR(G114="",AND(H114="",I114="")),"n/a",IF(G114=I114,"mastered",IF(G114=H114,"normal","differs")))</f>
        <v/>
      </c>
      <c r="K114" s="28">
        <f>IF(L114&lt;&gt;"",L114,IF(M114&lt;&gt;"",M114,""))</f>
        <v/>
      </c>
      <c r="L114" s="50" t="n">
        <v>18</v>
      </c>
      <c r="M114" s="50" t="n">
        <v>18</v>
      </c>
      <c r="N114" s="28">
        <f>IF(O114&lt;&gt;"",O114,IF(P114&lt;&gt;"",P114,""))</f>
        <v/>
      </c>
      <c r="O114" s="50" t="n">
        <v>4</v>
      </c>
      <c r="P114" s="50" t="n">
        <v>4</v>
      </c>
      <c r="Q114" s="50" t="n">
        <v>18</v>
      </c>
      <c r="R114" s="50" t="n">
        <v>4</v>
      </c>
      <c r="S114" s="28">
        <f>IF(Q114="","",IF(Q114&lt;0,"negative profit",IF(Q114&gt;Notes!$B$4,"unusually high - verify","")))</f>
        <v/>
      </c>
      <c r="T114" s="28" t="inlineStr">
        <is>
          <t>both</t>
        </is>
      </c>
      <c r="U114" s="28">
        <f>IF(T114&lt;&gt;"both",T114&amp;" only",IF(V114="","agree","conflict"))</f>
        <v/>
      </c>
      <c r="V114" s="28">
        <f>IF(T114="both",TRIM(IF(AND(E114&lt;&gt;"",F114&lt;&gt;"",E114&lt;&gt;F114),"level ","")&amp;IF(AND(L114&lt;&gt;"",M114&lt;&gt;"",L114&lt;&gt;M114),"price ","")&amp;IF(AND(O114&lt;&gt;"",P114&lt;&gt;"",O114&lt;&gt;P114),"xp ","")&amp;IF(J114="differs","time","")),"")</f>
        <v/>
      </c>
      <c r="X114" s="50" t="n"/>
      <c r="Y114" s="50" t="inlineStr">
        <is>
          <t>Passion Fruit.png</t>
        </is>
      </c>
      <c r="Z114" s="50" t="inlineStr">
        <is>
          <t>icons/Crops/Passion Fruit.png</t>
        </is>
      </c>
      <c r="AA114" s="28" t="inlineStr">
        <is>
          <t>hayday.info /api/production-data (2026-10-13) + Hay Day Wiki infobox via MediaWiki API (2026-10-13)</t>
        </is>
      </c>
      <c r="AB114" s="28" t="inlineStr">
        <is>
          <t>https://hayday.fandom.com/wiki/Passion_Fruit</t>
        </is>
      </c>
      <c r="AC114" s="50" t="inlineStr">
        <is>
          <t>Passion fruit</t>
        </is>
      </c>
    </row>
    <row r="115">
      <c r="A115" s="28" t="inlineStr">
        <is>
          <t>Mushroom</t>
        </is>
      </c>
      <c r="B115" s="28" t="inlineStr">
        <is>
          <t>Crops</t>
        </is>
      </c>
      <c r="C115" s="50" t="inlineStr">
        <is>
          <t>Crop</t>
        </is>
      </c>
      <c r="D115" s="28">
        <f>IF(E115&lt;&gt;"",E115,IF(F115&lt;&gt;"",F115,""))</f>
        <v/>
      </c>
      <c r="E115" s="50" t="n">
        <v>89</v>
      </c>
      <c r="F115" s="50" t="n">
        <v>89</v>
      </c>
      <c r="G115" s="50" t="n">
        <v>20</v>
      </c>
      <c r="H115" s="50" t="n">
        <v>20</v>
      </c>
      <c r="I115" s="50" t="n"/>
      <c r="J115" s="28">
        <f>IF(OR(G115="",AND(H115="",I115="")),"n/a",IF(G115=I115,"mastered",IF(G115=H115,"normal","differs")))</f>
        <v/>
      </c>
      <c r="K115" s="28">
        <f>IF(L115&lt;&gt;"",L115,IF(M115&lt;&gt;"",M115,""))</f>
        <v/>
      </c>
      <c r="L115" s="50" t="n">
        <v>10</v>
      </c>
      <c r="M115" s="50" t="n">
        <v>10</v>
      </c>
      <c r="N115" s="28">
        <f>IF(O115&lt;&gt;"",O115,IF(P115&lt;&gt;"",P115,""))</f>
        <v/>
      </c>
      <c r="O115" s="50" t="n">
        <v>2</v>
      </c>
      <c r="P115" s="50" t="n">
        <v>2</v>
      </c>
      <c r="Q115" s="50" t="n">
        <v>30</v>
      </c>
      <c r="R115" s="50" t="n">
        <v>6</v>
      </c>
      <c r="S115" s="28">
        <f>IF(Q115="","",IF(Q115&lt;0,"negative profit",IF(Q115&gt;Notes!$B$4,"unusually high - verify","")))</f>
        <v/>
      </c>
      <c r="T115" s="28" t="inlineStr">
        <is>
          <t>both</t>
        </is>
      </c>
      <c r="U115" s="28">
        <f>IF(T115&lt;&gt;"both",T115&amp;" only",IF(V115="","agree","conflict"))</f>
        <v/>
      </c>
      <c r="V115" s="28">
        <f>IF(T115="both",TRIM(IF(AND(E115&lt;&gt;"",F115&lt;&gt;"",E115&lt;&gt;F115),"level ","")&amp;IF(AND(L115&lt;&gt;"",M115&lt;&gt;"",L115&lt;&gt;M115),"price ","")&amp;IF(AND(O115&lt;&gt;"",P115&lt;&gt;"",O115&lt;&gt;P115),"xp ","")&amp;IF(J115="differs","time","")),"")</f>
        <v/>
      </c>
      <c r="X115" s="50" t="n"/>
      <c r="Y115" s="50" t="inlineStr">
        <is>
          <t>Mushroom.png</t>
        </is>
      </c>
      <c r="Z115" s="50" t="inlineStr">
        <is>
          <t>icons/Crops/Mushroom.png</t>
        </is>
      </c>
      <c r="AA115" s="28" t="inlineStr">
        <is>
          <t>hayday.info /api/production-data (2026-10-13) + Hay Day Wiki infobox via MediaWiki API (2026-10-13)</t>
        </is>
      </c>
      <c r="AB115" s="28" t="inlineStr">
        <is>
          <t>https://hayday.fandom.com/wiki/Mushroom</t>
        </is>
      </c>
      <c r="AC115" s="50" t="inlineStr">
        <is>
          <t>Mushroom</t>
        </is>
      </c>
    </row>
    <row r="116">
      <c r="A116" s="28" t="inlineStr">
        <is>
          <t>Eggplant</t>
        </is>
      </c>
      <c r="B116" s="28" t="inlineStr">
        <is>
          <t>Crops</t>
        </is>
      </c>
      <c r="C116" s="50" t="inlineStr">
        <is>
          <t>Crop</t>
        </is>
      </c>
      <c r="D116" s="28">
        <f>IF(E116&lt;&gt;"",E116,IF(F116&lt;&gt;"",F116,""))</f>
        <v/>
      </c>
      <c r="E116" s="50" t="n">
        <v>90</v>
      </c>
      <c r="F116" s="50" t="n">
        <v>90</v>
      </c>
      <c r="G116" s="50" t="n">
        <v>40</v>
      </c>
      <c r="H116" s="50" t="n">
        <v>40</v>
      </c>
      <c r="I116" s="50" t="n"/>
      <c r="J116" s="28">
        <f>IF(OR(G116="",AND(H116="",I116="")),"n/a",IF(G116=I116,"mastered",IF(G116=H116,"normal","differs")))</f>
        <v/>
      </c>
      <c r="K116" s="28">
        <f>IF(L116&lt;&gt;"",L116,IF(M116&lt;&gt;"",M116,""))</f>
        <v/>
      </c>
      <c r="L116" s="50" t="n">
        <v>14</v>
      </c>
      <c r="M116" s="50" t="n">
        <v>14</v>
      </c>
      <c r="N116" s="28">
        <f>IF(O116&lt;&gt;"",O116,IF(P116&lt;&gt;"",P116,""))</f>
        <v/>
      </c>
      <c r="O116" s="50" t="n">
        <v>3</v>
      </c>
      <c r="P116" s="50" t="n">
        <v>3</v>
      </c>
      <c r="Q116" s="50" t="n">
        <v>21</v>
      </c>
      <c r="R116" s="50" t="n">
        <v>4.5</v>
      </c>
      <c r="S116" s="28">
        <f>IF(Q116="","",IF(Q116&lt;0,"negative profit",IF(Q116&gt;Notes!$B$4,"unusually high - verify","")))</f>
        <v/>
      </c>
      <c r="T116" s="28" t="inlineStr">
        <is>
          <t>both</t>
        </is>
      </c>
      <c r="U116" s="28">
        <f>IF(T116&lt;&gt;"both",T116&amp;" only",IF(V116="","agree","conflict"))</f>
        <v/>
      </c>
      <c r="V116" s="28">
        <f>IF(T116="both",TRIM(IF(AND(E116&lt;&gt;"",F116&lt;&gt;"",E116&lt;&gt;F116),"level ","")&amp;IF(AND(L116&lt;&gt;"",M116&lt;&gt;"",L116&lt;&gt;M116),"price ","")&amp;IF(AND(O116&lt;&gt;"",P116&lt;&gt;"",O116&lt;&gt;P116),"xp ","")&amp;IF(J116="differs","time","")),"")</f>
        <v/>
      </c>
      <c r="X116" s="50" t="n"/>
      <c r="Y116" s="50" t="inlineStr">
        <is>
          <t>Eggplant.png</t>
        </is>
      </c>
      <c r="Z116" s="50" t="inlineStr">
        <is>
          <t>icons/Crops/Eggplant.png</t>
        </is>
      </c>
      <c r="AA116" s="28" t="inlineStr">
        <is>
          <t>hayday.info /api/production-data (2026-10-13) + Hay Day Wiki infobox via MediaWiki API (2026-10-13)</t>
        </is>
      </c>
      <c r="AB116" s="28" t="inlineStr">
        <is>
          <t>https://hayday.fandom.com/wiki/Eggplant</t>
        </is>
      </c>
      <c r="AC116" s="50" t="inlineStr">
        <is>
          <t>Eggplant</t>
        </is>
      </c>
    </row>
    <row r="117">
      <c r="A117" s="28" t="inlineStr">
        <is>
          <t>Watermelon</t>
        </is>
      </c>
      <c r="B117" s="28" t="inlineStr">
        <is>
          <t>Crops</t>
        </is>
      </c>
      <c r="C117" s="50" t="inlineStr">
        <is>
          <t>Crop</t>
        </is>
      </c>
      <c r="D117" s="28">
        <f>IF(E117&lt;&gt;"",E117,IF(F117&lt;&gt;"",F117,""))</f>
        <v/>
      </c>
      <c r="E117" s="50" t="n">
        <v>92</v>
      </c>
      <c r="F117" s="50" t="n">
        <v>92</v>
      </c>
      <c r="G117" s="50" t="n">
        <v>300</v>
      </c>
      <c r="H117" s="50" t="n">
        <v>300</v>
      </c>
      <c r="I117" s="50" t="n"/>
      <c r="J117" s="28">
        <f>IF(OR(G117="",AND(H117="",I117="")),"n/a",IF(G117=I117,"mastered",IF(G117=H117,"normal","differs")))</f>
        <v/>
      </c>
      <c r="K117" s="28">
        <f>IF(L117&lt;&gt;"",L117,IF(M117&lt;&gt;"",M117,""))</f>
        <v/>
      </c>
      <c r="L117" s="50" t="n">
        <v>39</v>
      </c>
      <c r="M117" s="50" t="n">
        <v>39</v>
      </c>
      <c r="N117" s="28">
        <f>IF(O117&lt;&gt;"",O117,IF(P117&lt;&gt;"",P117,""))</f>
        <v/>
      </c>
      <c r="O117" s="50" t="n">
        <v>8</v>
      </c>
      <c r="P117" s="50" t="n">
        <v>8</v>
      </c>
      <c r="Q117" s="50" t="n">
        <v>7.8</v>
      </c>
      <c r="R117" s="50" t="n">
        <v>1.6</v>
      </c>
      <c r="S117" s="28">
        <f>IF(Q117="","",IF(Q117&lt;0,"negative profit",IF(Q117&gt;Notes!$B$4,"unusually high - verify","")))</f>
        <v/>
      </c>
      <c r="T117" s="28" t="inlineStr">
        <is>
          <t>both</t>
        </is>
      </c>
      <c r="U117" s="28">
        <f>IF(T117&lt;&gt;"both",T117&amp;" only",IF(V117="","agree","conflict"))</f>
        <v/>
      </c>
      <c r="V117" s="28">
        <f>IF(T117="both",TRIM(IF(AND(E117&lt;&gt;"",F117&lt;&gt;"",E117&lt;&gt;F117),"level ","")&amp;IF(AND(L117&lt;&gt;"",M117&lt;&gt;"",L117&lt;&gt;M117),"price ","")&amp;IF(AND(O117&lt;&gt;"",P117&lt;&gt;"",O117&lt;&gt;P117),"xp ","")&amp;IF(J117="differs","time","")),"")</f>
        <v/>
      </c>
      <c r="X117" s="50" t="n"/>
      <c r="Y117" s="50" t="inlineStr">
        <is>
          <t>Watermelon.png</t>
        </is>
      </c>
      <c r="Z117" s="50" t="inlineStr">
        <is>
          <t>icons/Crops/Watermelon.png</t>
        </is>
      </c>
      <c r="AA117" s="28" t="inlineStr">
        <is>
          <t>hayday.info /api/production-data (2026-10-13) + Hay Day Wiki infobox via MediaWiki API (2026-10-13)</t>
        </is>
      </c>
      <c r="AB117" s="28" t="inlineStr">
        <is>
          <t>https://hayday.fandom.com/wiki/Watermelon</t>
        </is>
      </c>
      <c r="AC117" s="50" t="inlineStr">
        <is>
          <t>Watermelon</t>
        </is>
      </c>
    </row>
    <row r="118">
      <c r="A118" s="28" t="inlineStr">
        <is>
          <t>Clay</t>
        </is>
      </c>
      <c r="B118" s="28" t="inlineStr">
        <is>
          <t>Crops</t>
        </is>
      </c>
      <c r="C118" s="50" t="inlineStr">
        <is>
          <t>Crop</t>
        </is>
      </c>
      <c r="D118" s="28">
        <f>IF(E118&lt;&gt;"",E118,IF(F118&lt;&gt;"",F118,""))</f>
        <v/>
      </c>
      <c r="E118" s="50" t="n">
        <v>94</v>
      </c>
      <c r="F118" s="50" t="n">
        <v>94</v>
      </c>
      <c r="G118" s="50" t="n">
        <v>110</v>
      </c>
      <c r="H118" s="50" t="n">
        <v>110</v>
      </c>
      <c r="I118" s="50" t="n"/>
      <c r="J118" s="28">
        <f>IF(OR(G118="",AND(H118="",I118="")),"n/a",IF(G118=I118,"mastered",IF(G118=H118,"normal","differs")))</f>
        <v/>
      </c>
      <c r="K118" s="28">
        <f>IF(L118&lt;&gt;"",L118,IF(M118&lt;&gt;"",M118,""))</f>
        <v/>
      </c>
      <c r="L118" s="50" t="n">
        <v>18</v>
      </c>
      <c r="M118" s="50" t="n">
        <v>18</v>
      </c>
      <c r="N118" s="28">
        <f>IF(O118&lt;&gt;"",O118,IF(P118&lt;&gt;"",P118,""))</f>
        <v/>
      </c>
      <c r="O118" s="50" t="n">
        <v>5</v>
      </c>
      <c r="P118" s="50" t="n">
        <v>5</v>
      </c>
      <c r="Q118" s="50" t="n">
        <v>9.82</v>
      </c>
      <c r="R118" s="50" t="n">
        <v>2.73</v>
      </c>
      <c r="S118" s="28">
        <f>IF(Q118="","",IF(Q118&lt;0,"negative profit",IF(Q118&gt;Notes!$B$4,"unusually high - verify","")))</f>
        <v/>
      </c>
      <c r="T118" s="28" t="inlineStr">
        <is>
          <t>both</t>
        </is>
      </c>
      <c r="U118" s="28">
        <f>IF(T118&lt;&gt;"both",T118&amp;" only",IF(V118="","agree","conflict"))</f>
        <v/>
      </c>
      <c r="V118" s="28">
        <f>IF(T118="both",TRIM(IF(AND(E118&lt;&gt;"",F118&lt;&gt;"",E118&lt;&gt;F118),"level ","")&amp;IF(AND(L118&lt;&gt;"",M118&lt;&gt;"",L118&lt;&gt;M118),"price ","")&amp;IF(AND(O118&lt;&gt;"",P118&lt;&gt;"",O118&lt;&gt;P118),"xp ","")&amp;IF(J118="differs","time","")),"")</f>
        <v/>
      </c>
      <c r="X118" s="50" t="n"/>
      <c r="Y118" s="50" t="inlineStr">
        <is>
          <t>Clay.png</t>
        </is>
      </c>
      <c r="Z118" s="50" t="inlineStr">
        <is>
          <t>icons/Crops/Clay.png</t>
        </is>
      </c>
      <c r="AA118" s="28" t="inlineStr">
        <is>
          <t>hayday.info /api/production-data (2026-10-13) + Hay Day Wiki infobox via MediaWiki API (2026-10-13)</t>
        </is>
      </c>
      <c r="AB118" s="28" t="inlineStr">
        <is>
          <t>https://hayday.fandom.com/wiki/Clay</t>
        </is>
      </c>
      <c r="AC118" s="50" t="inlineStr">
        <is>
          <t>Clay</t>
        </is>
      </c>
    </row>
    <row r="119">
      <c r="A119" s="28" t="inlineStr">
        <is>
          <t>Chickpea</t>
        </is>
      </c>
      <c r="B119" s="28" t="inlineStr">
        <is>
          <t>Crops</t>
        </is>
      </c>
      <c r="C119" s="50" t="inlineStr">
        <is>
          <t>Crop</t>
        </is>
      </c>
      <c r="D119" s="28">
        <f>IF(E119&lt;&gt;"",E119,IF(F119&lt;&gt;"",F119,""))</f>
        <v/>
      </c>
      <c r="E119" s="50" t="n">
        <v>95</v>
      </c>
      <c r="F119" s="50" t="n">
        <v>95</v>
      </c>
      <c r="G119" s="50" t="n">
        <v>60</v>
      </c>
      <c r="H119" s="50" t="n">
        <v>60</v>
      </c>
      <c r="I119" s="50" t="n"/>
      <c r="J119" s="28">
        <f>IF(OR(G119="",AND(H119="",I119="")),"n/a",IF(G119=I119,"mastered",IF(G119=H119,"normal","differs")))</f>
        <v/>
      </c>
      <c r="K119" s="28">
        <f>IF(L119&lt;&gt;"",L119,IF(M119&lt;&gt;"",M119,""))</f>
        <v/>
      </c>
      <c r="L119" s="50" t="n">
        <v>18</v>
      </c>
      <c r="M119" s="50" t="n">
        <v>18</v>
      </c>
      <c r="N119" s="28">
        <f>IF(O119&lt;&gt;"",O119,IF(P119&lt;&gt;"",P119,""))</f>
        <v/>
      </c>
      <c r="O119" s="50" t="n">
        <v>4</v>
      </c>
      <c r="P119" s="50" t="n">
        <v>4</v>
      </c>
      <c r="Q119" s="50" t="n">
        <v>18</v>
      </c>
      <c r="R119" s="50" t="n">
        <v>4</v>
      </c>
      <c r="S119" s="28">
        <f>IF(Q119="","",IF(Q119&lt;0,"negative profit",IF(Q119&gt;Notes!$B$4,"unusually high - verify","")))</f>
        <v/>
      </c>
      <c r="T119" s="28" t="inlineStr">
        <is>
          <t>both</t>
        </is>
      </c>
      <c r="U119" s="28">
        <f>IF(T119&lt;&gt;"both",T119&amp;" only",IF(V119="","agree","conflict"))</f>
        <v/>
      </c>
      <c r="V119" s="28">
        <f>IF(T119="both",TRIM(IF(AND(E119&lt;&gt;"",F119&lt;&gt;"",E119&lt;&gt;F119),"level ","")&amp;IF(AND(L119&lt;&gt;"",M119&lt;&gt;"",L119&lt;&gt;M119),"price ","")&amp;IF(AND(O119&lt;&gt;"",P119&lt;&gt;"",O119&lt;&gt;P119),"xp ","")&amp;IF(J119="differs","time","")),"")</f>
        <v/>
      </c>
      <c r="X119" s="50" t="n"/>
      <c r="Y119" s="50" t="inlineStr">
        <is>
          <t>Chickpea.png</t>
        </is>
      </c>
      <c r="Z119" s="50" t="inlineStr">
        <is>
          <t>icons/Crops/Chickpea.png</t>
        </is>
      </c>
      <c r="AA119" s="28" t="inlineStr">
        <is>
          <t>hayday.info /api/production-data (2026-10-13) + Hay Day Wiki infobox via MediaWiki API (2026-10-13)</t>
        </is>
      </c>
      <c r="AB119" s="28" t="inlineStr">
        <is>
          <t>https://hayday.fandom.com/wiki/Chickpea</t>
        </is>
      </c>
      <c r="AC119" s="50" t="inlineStr">
        <is>
          <t>Chickpea</t>
        </is>
      </c>
    </row>
    <row r="120">
      <c r="A120" s="28" t="inlineStr">
        <is>
          <t>Black Bean</t>
        </is>
      </c>
      <c r="B120" s="28" t="inlineStr">
        <is>
          <t>Crops</t>
        </is>
      </c>
      <c r="C120" s="50" t="inlineStr">
        <is>
          <t>Crop</t>
        </is>
      </c>
      <c r="D120" s="28">
        <f>IF(E120&lt;&gt;"",E120,IF(F120&lt;&gt;"",F120,""))</f>
        <v/>
      </c>
      <c r="E120" s="50" t="n"/>
      <c r="F120" s="50" t="n">
        <v>25</v>
      </c>
      <c r="G120" s="50" t="n"/>
      <c r="H120" s="50" t="n">
        <v>10</v>
      </c>
      <c r="I120" s="50" t="n"/>
      <c r="J120" s="28">
        <f>IF(OR(G120="",AND(H120="",I120="")),"n/a",IF(G120=I120,"mastered",IF(G120=H120,"normal","differs")))</f>
        <v/>
      </c>
      <c r="K120" s="28">
        <f>IF(L120&lt;&gt;"",L120,IF(M120&lt;&gt;"",M120,""))</f>
        <v/>
      </c>
      <c r="L120" s="50" t="n"/>
      <c r="M120" s="50" t="n">
        <v>7</v>
      </c>
      <c r="N120" s="28">
        <f>IF(O120&lt;&gt;"",O120,IF(P120&lt;&gt;"",P120,""))</f>
        <v/>
      </c>
      <c r="O120" s="50" t="n"/>
      <c r="P120" s="50" t="n">
        <v>2</v>
      </c>
      <c r="Q120" s="50" t="n"/>
      <c r="R120" s="50" t="n"/>
      <c r="S120" s="28">
        <f>IF(Q120="","",IF(Q120&lt;0,"negative profit",IF(Q120&gt;Notes!$B$4,"unusually high - verify","")))</f>
        <v/>
      </c>
      <c r="T120" s="28" t="inlineStr">
        <is>
          <t>Fandom</t>
        </is>
      </c>
      <c r="U120" s="28">
        <f>IF(T120&lt;&gt;"both",T120&amp;" only",IF(V120="","agree","conflict"))</f>
        <v/>
      </c>
      <c r="V120" s="28">
        <f>IF(T120="both",TRIM(IF(AND(E120&lt;&gt;"",F120&lt;&gt;"",E120&lt;&gt;F120),"level ","")&amp;IF(AND(L120&lt;&gt;"",M120&lt;&gt;"",L120&lt;&gt;M120),"price ","")&amp;IF(AND(O120&lt;&gt;"",P120&lt;&gt;"",O120&lt;&gt;P120),"xp ","")&amp;IF(J120="differs","time","")),"")</f>
        <v/>
      </c>
      <c r="X120" s="50" t="n"/>
      <c r="Y120" s="50" t="inlineStr">
        <is>
          <t>Black Bean.png</t>
        </is>
      </c>
      <c r="Z120" s="50" t="inlineStr">
        <is>
          <t>icons/Crops/Black Bean.png</t>
        </is>
      </c>
      <c r="AA120" s="28" t="inlineStr">
        <is>
          <t>Hay Day Wiki infobox via MediaWiki API (2026-10-13)</t>
        </is>
      </c>
      <c r="AB120" s="28" t="inlineStr">
        <is>
          <t>https://hayday.fandom.com/wiki/Black_Bean</t>
        </is>
      </c>
      <c r="AC120" s="50" t="n"/>
    </row>
    <row r="121">
      <c r="A121" s="28" t="inlineStr">
        <is>
          <t>Chamomile</t>
        </is>
      </c>
      <c r="B121" s="28" t="inlineStr">
        <is>
          <t>Crops</t>
        </is>
      </c>
      <c r="C121" s="50" t="inlineStr">
        <is>
          <t>Crop</t>
        </is>
      </c>
      <c r="D121" s="28">
        <f>IF(E121&lt;&gt;"",E121,IF(F121&lt;&gt;"",F121,""))</f>
        <v/>
      </c>
      <c r="E121" s="50" t="n"/>
      <c r="F121" s="50" t="n">
        <v>45</v>
      </c>
      <c r="G121" s="50" t="n"/>
      <c r="H121" s="50" t="n">
        <v>20</v>
      </c>
      <c r="I121" s="50" t="n"/>
      <c r="J121" s="28">
        <f>IF(OR(G121="",AND(H121="",I121="")),"n/a",IF(G121=I121,"mastered",IF(G121=H121,"normal","differs")))</f>
        <v/>
      </c>
      <c r="K121" s="28">
        <f>IF(L121&lt;&gt;"",L121,IF(M121&lt;&gt;"",M121,""))</f>
        <v/>
      </c>
      <c r="L121" s="50" t="n"/>
      <c r="M121" s="50" t="n">
        <v>10</v>
      </c>
      <c r="N121" s="28">
        <f>IF(O121&lt;&gt;"",O121,IF(P121&lt;&gt;"",P121,""))</f>
        <v/>
      </c>
      <c r="O121" s="50" t="n"/>
      <c r="P121" s="50" t="n">
        <v>2</v>
      </c>
      <c r="Q121" s="50" t="n"/>
      <c r="R121" s="50" t="n"/>
      <c r="S121" s="28">
        <f>IF(Q121="","",IF(Q121&lt;0,"negative profit",IF(Q121&gt;Notes!$B$4,"unusually high - verify","")))</f>
        <v/>
      </c>
      <c r="T121" s="28" t="inlineStr">
        <is>
          <t>Fandom</t>
        </is>
      </c>
      <c r="U121" s="28">
        <f>IF(T121&lt;&gt;"both",T121&amp;" only",IF(V121="","agree","conflict"))</f>
        <v/>
      </c>
      <c r="V121" s="28">
        <f>IF(T121="both",TRIM(IF(AND(E121&lt;&gt;"",F121&lt;&gt;"",E121&lt;&gt;F121),"level ","")&amp;IF(AND(L121&lt;&gt;"",M121&lt;&gt;"",L121&lt;&gt;M121),"price ","")&amp;IF(AND(O121&lt;&gt;"",P121&lt;&gt;"",O121&lt;&gt;P121),"xp ","")&amp;IF(J121="differs","time","")),"")</f>
        <v/>
      </c>
      <c r="X121" s="50" t="n"/>
      <c r="Y121" s="50" t="inlineStr">
        <is>
          <t>Chamomile.png</t>
        </is>
      </c>
      <c r="Z121" s="50" t="inlineStr">
        <is>
          <t>icons/Crops/Chamomile.png</t>
        </is>
      </c>
      <c r="AA121" s="28" t="inlineStr">
        <is>
          <t>Hay Day Wiki infobox via MediaWiki API (2026-10-13)</t>
        </is>
      </c>
      <c r="AB121" s="28" t="inlineStr">
        <is>
          <t>https://hayday.fandom.com/wiki/Chamomile</t>
        </is>
      </c>
      <c r="AC121" s="50" t="n"/>
    </row>
    <row r="122">
      <c r="A122" s="28" t="inlineStr">
        <is>
          <t>Asparagus</t>
        </is>
      </c>
      <c r="B122" s="28" t="inlineStr">
        <is>
          <t>Crops</t>
        </is>
      </c>
      <c r="C122" s="50" t="inlineStr">
        <is>
          <t>Crop</t>
        </is>
      </c>
      <c r="D122" s="28">
        <f>IF(E122&lt;&gt;"",E122,IF(F122&lt;&gt;"",F122,""))</f>
        <v/>
      </c>
      <c r="E122" s="50" t="n"/>
      <c r="F122" s="50" t="n">
        <v>49</v>
      </c>
      <c r="G122" s="50" t="n"/>
      <c r="H122" s="50" t="n">
        <v>360</v>
      </c>
      <c r="I122" s="50" t="n"/>
      <c r="J122" s="28">
        <f>IF(OR(G122="",AND(H122="",I122="")),"n/a",IF(G122=I122,"mastered",IF(G122=H122,"normal","differs")))</f>
        <v/>
      </c>
      <c r="K122" s="28">
        <f>IF(L122&lt;&gt;"",L122,IF(M122&lt;&gt;"",M122,""))</f>
        <v/>
      </c>
      <c r="L122" s="50" t="n"/>
      <c r="M122" s="50" t="n">
        <v>43</v>
      </c>
      <c r="N122" s="28">
        <f>IF(O122&lt;&gt;"",O122,IF(P122&lt;&gt;"",P122,""))</f>
        <v/>
      </c>
      <c r="O122" s="50" t="n"/>
      <c r="P122" s="50" t="n">
        <v>8</v>
      </c>
      <c r="Q122" s="50" t="n"/>
      <c r="R122" s="50" t="n"/>
      <c r="S122" s="28">
        <f>IF(Q122="","",IF(Q122&lt;0,"negative profit",IF(Q122&gt;Notes!$B$4,"unusually high - verify","")))</f>
        <v/>
      </c>
      <c r="T122" s="28" t="inlineStr">
        <is>
          <t>Fandom</t>
        </is>
      </c>
      <c r="U122" s="28">
        <f>IF(T122&lt;&gt;"both",T122&amp;" only",IF(V122="","agree","conflict"))</f>
        <v/>
      </c>
      <c r="V122" s="28">
        <f>IF(T122="both",TRIM(IF(AND(E122&lt;&gt;"",F122&lt;&gt;"",E122&lt;&gt;F122),"level ","")&amp;IF(AND(L122&lt;&gt;"",M122&lt;&gt;"",L122&lt;&gt;M122),"price ","")&amp;IF(AND(O122&lt;&gt;"",P122&lt;&gt;"",O122&lt;&gt;P122),"xp ","")&amp;IF(J122="differs","time","")),"")</f>
        <v/>
      </c>
      <c r="X122" s="50" t="n"/>
      <c r="Y122" s="50" t="inlineStr">
        <is>
          <t>Asparagus.png</t>
        </is>
      </c>
      <c r="Z122" s="50" t="inlineStr">
        <is>
          <t>icons/Crops/Asparagus.png</t>
        </is>
      </c>
      <c r="AA122" s="28" t="inlineStr">
        <is>
          <t>Hay Day Wiki infobox via MediaWiki API (2026-10-13)</t>
        </is>
      </c>
      <c r="AB122" s="28" t="inlineStr">
        <is>
          <t>https://hayday.fandom.com/wiki/Asparagus</t>
        </is>
      </c>
      <c r="AC122" s="50" t="n"/>
    </row>
    <row r="123">
      <c r="A123" s="28" t="inlineStr">
        <is>
          <t>Oats</t>
        </is>
      </c>
      <c r="B123" s="28" t="inlineStr">
        <is>
          <t>Crops</t>
        </is>
      </c>
      <c r="C123" s="50" t="inlineStr">
        <is>
          <t>Crop</t>
        </is>
      </c>
      <c r="D123" s="28">
        <f>IF(E123&lt;&gt;"",E123,IF(F123&lt;&gt;"",F123,""))</f>
        <v/>
      </c>
      <c r="E123" s="50" t="n"/>
      <c r="F123" s="50" t="n">
        <v>119</v>
      </c>
      <c r="G123" s="50" t="n"/>
      <c r="H123" s="50" t="n">
        <v>7</v>
      </c>
      <c r="I123" s="50" t="n"/>
      <c r="J123" s="28">
        <f>IF(OR(G123="",AND(H123="",I123="")),"n/a",IF(G123=I123,"mastered",IF(G123=H123,"normal","differs")))</f>
        <v/>
      </c>
      <c r="K123" s="28">
        <f>IF(L123&lt;&gt;"",L123,IF(M123&lt;&gt;"",M123,""))</f>
        <v/>
      </c>
      <c r="L123" s="50" t="n"/>
      <c r="M123" s="50" t="n">
        <v>7</v>
      </c>
      <c r="N123" s="28">
        <f>IF(O123&lt;&gt;"",O123,IF(P123&lt;&gt;"",P123,""))</f>
        <v/>
      </c>
      <c r="O123" s="50" t="n"/>
      <c r="P123" s="50" t="n">
        <v>1</v>
      </c>
      <c r="Q123" s="50" t="n"/>
      <c r="R123" s="50" t="n"/>
      <c r="S123" s="28">
        <f>IF(Q123="","",IF(Q123&lt;0,"negative profit",IF(Q123&gt;Notes!$B$4,"unusually high - verify","")))</f>
        <v/>
      </c>
      <c r="T123" s="28" t="inlineStr">
        <is>
          <t>Fandom</t>
        </is>
      </c>
      <c r="U123" s="28">
        <f>IF(T123&lt;&gt;"both",T123&amp;" only",IF(V123="","agree","conflict"))</f>
        <v/>
      </c>
      <c r="V123" s="28">
        <f>IF(T123="both",TRIM(IF(AND(E123&lt;&gt;"",F123&lt;&gt;"",E123&lt;&gt;F123),"level ","")&amp;IF(AND(L123&lt;&gt;"",M123&lt;&gt;"",L123&lt;&gt;M123),"price ","")&amp;IF(AND(O123&lt;&gt;"",P123&lt;&gt;"",O123&lt;&gt;P123),"xp ","")&amp;IF(J123="differs","time","")),"")</f>
        <v/>
      </c>
      <c r="X123" s="50" t="n"/>
      <c r="Y123" s="50" t="inlineStr">
        <is>
          <t>Oats.png</t>
        </is>
      </c>
      <c r="Z123" s="50" t="inlineStr">
        <is>
          <t>icons/Crops/Oats.png</t>
        </is>
      </c>
      <c r="AA123" s="28" t="inlineStr">
        <is>
          <t>Hay Day Wiki infobox via MediaWiki API (2026-10-13)</t>
        </is>
      </c>
      <c r="AB123" s="28" t="inlineStr">
        <is>
          <t>https://hayday.fandom.com/wiki/Oats</t>
        </is>
      </c>
      <c r="AC123" s="50" t="n"/>
    </row>
    <row r="124">
      <c r="A124" s="28" t="inlineStr">
        <is>
          <t>Guava Cupcake</t>
        </is>
      </c>
      <c r="B124" s="28" t="inlineStr">
        <is>
          <t>Cupcake Maker</t>
        </is>
      </c>
      <c r="C124" s="50" t="inlineStr">
        <is>
          <t>Product</t>
        </is>
      </c>
      <c r="D124" s="28">
        <f>IF(E124&lt;&gt;"",E124,IF(F124&lt;&gt;"",F124,""))</f>
        <v/>
      </c>
      <c r="E124" s="50" t="n">
        <v>109</v>
      </c>
      <c r="F124" s="50" t="n">
        <v>109</v>
      </c>
      <c r="G124" s="50" t="n">
        <v>70</v>
      </c>
      <c r="H124" s="50" t="n">
        <v>70</v>
      </c>
      <c r="I124" s="50" t="n">
        <v>59</v>
      </c>
      <c r="J124" s="28">
        <f>IF(OR(G124="",AND(H124="",I124="")),"n/a",IF(G124=I124,"mastered",IF(G124=H124,"normal","differs")))</f>
        <v/>
      </c>
      <c r="K124" s="28">
        <f>IF(L124&lt;&gt;"",L124,IF(M124&lt;&gt;"",M124,""))</f>
        <v/>
      </c>
      <c r="L124" s="50" t="n">
        <v>583</v>
      </c>
      <c r="M124" s="50" t="n">
        <v>583</v>
      </c>
      <c r="N124" s="28">
        <f>IF(O124&lt;&gt;"",O124,IF(P124&lt;&gt;"",P124,""))</f>
        <v/>
      </c>
      <c r="O124" s="50" t="n">
        <v>70</v>
      </c>
      <c r="P124" s="50" t="n">
        <v>70</v>
      </c>
      <c r="Q124" s="50" t="n">
        <v>26.57</v>
      </c>
      <c r="R124" s="50" t="n">
        <v>60</v>
      </c>
      <c r="S124" s="28">
        <f>IF(Q124="","",IF(Q124&lt;0,"negative profit",IF(Q124&gt;Notes!$B$4,"unusually high - verify","")))</f>
        <v/>
      </c>
      <c r="T124" s="28" t="inlineStr">
        <is>
          <t>both</t>
        </is>
      </c>
      <c r="U124" s="28">
        <f>IF(T124&lt;&gt;"both",T124&amp;" only",IF(V124="","agree","conflict"))</f>
        <v/>
      </c>
      <c r="V124" s="28">
        <f>IF(T124="both",TRIM(IF(AND(E124&lt;&gt;"",F124&lt;&gt;"",E124&lt;&gt;F124),"level ","")&amp;IF(AND(L124&lt;&gt;"",M124&lt;&gt;"",L124&lt;&gt;M124),"price ","")&amp;IF(AND(O124&lt;&gt;"",P124&lt;&gt;"",O124&lt;&gt;P124),"xp ","")&amp;IF(J124="differs","time","")),"")</f>
        <v/>
      </c>
      <c r="X124" s="50" t="inlineStr">
        <is>
          <t>Plain Cupcake x1; Guava x2; Cream x1</t>
        </is>
      </c>
      <c r="Y124" s="50" t="inlineStr">
        <is>
          <t>Guava Cupcake.png</t>
        </is>
      </c>
      <c r="Z124" s="50" t="inlineStr">
        <is>
          <t>icons/Cupcake Maker/Guava Cupcake.png</t>
        </is>
      </c>
      <c r="AA124" s="28" t="inlineStr">
        <is>
          <t>hayday.info /api/production-data (2026-10-13) + Hay Day Wiki infobox via MediaWiki API (2026-10-13)</t>
        </is>
      </c>
      <c r="AB124" s="28" t="inlineStr">
        <is>
          <t>https://hayday.fandom.com/wiki/Guava_Cupcake</t>
        </is>
      </c>
      <c r="AC124" s="50" t="inlineStr">
        <is>
          <t>Guava Cupcake</t>
        </is>
      </c>
    </row>
    <row r="125">
      <c r="A125" s="28" t="inlineStr">
        <is>
          <t>Plain Cupcake</t>
        </is>
      </c>
      <c r="B125" s="28" t="inlineStr">
        <is>
          <t>Cupcake Maker</t>
        </is>
      </c>
      <c r="C125" s="50" t="inlineStr">
        <is>
          <t>Product</t>
        </is>
      </c>
      <c r="D125" s="28">
        <f>IF(E125&lt;&gt;"",E125,IF(F125&lt;&gt;"",F125,""))</f>
        <v/>
      </c>
      <c r="E125" s="50" t="n">
        <v>109</v>
      </c>
      <c r="F125" s="50" t="n">
        <v>109</v>
      </c>
      <c r="G125" s="50" t="n">
        <v>40</v>
      </c>
      <c r="H125" s="50" t="n">
        <v>40</v>
      </c>
      <c r="I125" s="50" t="n">
        <v>34</v>
      </c>
      <c r="J125" s="28">
        <f>IF(OR(G125="",AND(H125="",I125="")),"n/a",IF(G125=I125,"mastered",IF(G125=H125,"normal","differs")))</f>
        <v/>
      </c>
      <c r="K125" s="28">
        <f>IF(L125&lt;&gt;"",L125,IF(M125&lt;&gt;"",M125,""))</f>
        <v/>
      </c>
      <c r="L125" s="50" t="n">
        <v>280</v>
      </c>
      <c r="M125" s="50" t="n">
        <v>280</v>
      </c>
      <c r="N125" s="28">
        <f>IF(O125&lt;&gt;"",O125,IF(P125&lt;&gt;"",P125,""))</f>
        <v/>
      </c>
      <c r="O125" s="50" t="n">
        <v>34</v>
      </c>
      <c r="P125" s="50" t="n">
        <v>34</v>
      </c>
      <c r="Q125" s="50" t="n">
        <v>43.5</v>
      </c>
      <c r="R125" s="50" t="n">
        <v>51</v>
      </c>
      <c r="S125" s="28">
        <f>IF(Q125="","",IF(Q125&lt;0,"negative profit",IF(Q125&gt;Notes!$B$4,"unusually high - verify","")))</f>
        <v/>
      </c>
      <c r="T125" s="28" t="inlineStr">
        <is>
          <t>both</t>
        </is>
      </c>
      <c r="U125" s="28">
        <f>IF(T125&lt;&gt;"both",T125&amp;" only",IF(V125="","agree","conflict"))</f>
        <v/>
      </c>
      <c r="V125" s="28">
        <f>IF(T125="both",TRIM(IF(AND(E125&lt;&gt;"",F125&lt;&gt;"",E125&lt;&gt;F125),"level ","")&amp;IF(AND(L125&lt;&gt;"",M125&lt;&gt;"",L125&lt;&gt;M125),"price ","")&amp;IF(AND(O125&lt;&gt;"",P125&lt;&gt;"",O125&lt;&gt;P125),"xp ","")&amp;IF(J125="differs","time","")),"")</f>
        <v/>
      </c>
      <c r="X125" s="50" t="inlineStr">
        <is>
          <t>Milk x2; White Sugar x3; Egg x1; Wheat x5</t>
        </is>
      </c>
      <c r="Y125" s="50" t="inlineStr">
        <is>
          <t>Plain Cupcake.png</t>
        </is>
      </c>
      <c r="Z125" s="50" t="inlineStr">
        <is>
          <t>icons/Cupcake Maker/Plain Cupcake.png</t>
        </is>
      </c>
      <c r="AA125" s="28" t="inlineStr">
        <is>
          <t>hayday.info /api/production-data (2026-10-13) + Hay Day Wiki infobox via MediaWiki API (2026-10-13)</t>
        </is>
      </c>
      <c r="AB125" s="28" t="inlineStr">
        <is>
          <t>https://hayday.fandom.com/wiki/Plain_Cupcake</t>
        </is>
      </c>
      <c r="AC125" s="50" t="inlineStr">
        <is>
          <t>Plain Cupcake</t>
        </is>
      </c>
    </row>
    <row r="126">
      <c r="A126" s="28" t="inlineStr">
        <is>
          <t>Tropical Cupcake</t>
        </is>
      </c>
      <c r="B126" s="28" t="inlineStr">
        <is>
          <t>Cupcake Maker</t>
        </is>
      </c>
      <c r="C126" s="50" t="inlineStr">
        <is>
          <t>Product</t>
        </is>
      </c>
      <c r="D126" s="28">
        <f>IF(E126&lt;&gt;"",E126,IF(F126&lt;&gt;"",F126,""))</f>
        <v/>
      </c>
      <c r="E126" s="50" t="n">
        <v>112</v>
      </c>
      <c r="F126" s="50" t="n">
        <v>112</v>
      </c>
      <c r="G126" s="50" t="n">
        <v>90</v>
      </c>
      <c r="H126" s="50" t="n">
        <v>90</v>
      </c>
      <c r="I126" s="50" t="n">
        <v>76</v>
      </c>
      <c r="J126" s="28">
        <f>IF(OR(G126="",AND(H126="",I126="")),"n/a",IF(G126=I126,"mastered",IF(G126=H126,"normal","differs")))</f>
        <v/>
      </c>
      <c r="K126" s="28">
        <f>IF(L126&lt;&gt;"",L126,IF(M126&lt;&gt;"",M126,""))</f>
        <v/>
      </c>
      <c r="L126" s="50" t="n">
        <v>572</v>
      </c>
      <c r="M126" s="50" t="n">
        <v>572</v>
      </c>
      <c r="N126" s="28">
        <f>IF(O126&lt;&gt;"",O126,IF(P126&lt;&gt;"",P126,""))</f>
        <v/>
      </c>
      <c r="O126" s="50" t="n">
        <v>68</v>
      </c>
      <c r="P126" s="50" t="n">
        <v>68</v>
      </c>
      <c r="Q126" s="50" t="n">
        <v>22.67</v>
      </c>
      <c r="R126" s="50" t="n">
        <v>45.33</v>
      </c>
      <c r="S126" s="28">
        <f>IF(Q126="","",IF(Q126&lt;0,"negative profit",IF(Q126&gt;Notes!$B$4,"unusually high - verify","")))</f>
        <v/>
      </c>
      <c r="T126" s="28" t="inlineStr">
        <is>
          <t>both</t>
        </is>
      </c>
      <c r="U126" s="28">
        <f>IF(T126&lt;&gt;"both",T126&amp;" only",IF(V126="","agree","conflict"))</f>
        <v/>
      </c>
      <c r="V126" s="28">
        <f>IF(T126="both",TRIM(IF(AND(E126&lt;&gt;"",F126&lt;&gt;"",E126&lt;&gt;F126),"level ","")&amp;IF(AND(L126&lt;&gt;"",M126&lt;&gt;"",L126&lt;&gt;M126),"price ","")&amp;IF(AND(O126&lt;&gt;"",P126&lt;&gt;"",O126&lt;&gt;P126),"xp ","")&amp;IF(J126="differs","time","")),"")</f>
        <v/>
      </c>
      <c r="X126" s="50" t="inlineStr">
        <is>
          <t>Plain Cupcake x1; Pineapple x3; Coconut x2</t>
        </is>
      </c>
      <c r="Y126" s="50" t="inlineStr">
        <is>
          <t>Tropical Cupcake.png</t>
        </is>
      </c>
      <c r="Z126" s="50" t="inlineStr">
        <is>
          <t>icons/Cupcake Maker/Tropical Cupcake.png</t>
        </is>
      </c>
      <c r="AA126" s="28" t="inlineStr">
        <is>
          <t>hayday.info /api/production-data (2026-10-13) + Hay Day Wiki infobox via MediaWiki API (2026-10-13)</t>
        </is>
      </c>
      <c r="AB126" s="28" t="inlineStr">
        <is>
          <t>https://hayday.fandom.com/wiki/Tropical_Cupcake</t>
        </is>
      </c>
      <c r="AC126" s="50" t="inlineStr">
        <is>
          <t>Tropical Cupcake</t>
        </is>
      </c>
    </row>
    <row r="127">
      <c r="A127" s="28" t="inlineStr">
        <is>
          <t>Cookie Cupcake</t>
        </is>
      </c>
      <c r="B127" s="28" t="inlineStr">
        <is>
          <t>Cupcake Maker</t>
        </is>
      </c>
      <c r="C127" s="50" t="inlineStr">
        <is>
          <t>Product</t>
        </is>
      </c>
      <c r="D127" s="28">
        <f>IF(E127&lt;&gt;"",E127,IF(F127&lt;&gt;"",F127,""))</f>
        <v/>
      </c>
      <c r="E127" s="50" t="n">
        <v>114</v>
      </c>
      <c r="F127" s="50" t="n">
        <v>114</v>
      </c>
      <c r="G127" s="50" t="n">
        <v>120</v>
      </c>
      <c r="H127" s="50" t="n">
        <v>120</v>
      </c>
      <c r="I127" s="50" t="n">
        <v>102</v>
      </c>
      <c r="J127" s="28">
        <f>IF(OR(G127="",AND(H127="",I127="")),"n/a",IF(G127=I127,"mastered",IF(G127=H127,"normal","differs")))</f>
        <v/>
      </c>
      <c r="K127" s="28">
        <f>IF(L127&lt;&gt;"",L127,IF(M127&lt;&gt;"",M127,""))</f>
        <v/>
      </c>
      <c r="L127" s="50" t="n">
        <v>712</v>
      </c>
      <c r="M127" s="50" t="n">
        <v>712</v>
      </c>
      <c r="N127" s="28">
        <f>IF(O127&lt;&gt;"",O127,IF(P127&lt;&gt;"",P127,""))</f>
        <v/>
      </c>
      <c r="O127" s="50" t="n">
        <v>85</v>
      </c>
      <c r="P127" s="50" t="n">
        <v>85</v>
      </c>
      <c r="Q127" s="50" t="n">
        <v>69</v>
      </c>
      <c r="R127" s="50" t="n">
        <v>42.5</v>
      </c>
      <c r="S127" s="28">
        <f>IF(Q127="","",IF(Q127&lt;0,"negative profit",IF(Q127&gt;Notes!$B$4,"unusually high - verify","")))</f>
        <v/>
      </c>
      <c r="T127" s="28" t="inlineStr">
        <is>
          <t>both</t>
        </is>
      </c>
      <c r="U127" s="28">
        <f>IF(T127&lt;&gt;"both",T127&amp;" only",IF(V127="","agree","conflict"))</f>
        <v/>
      </c>
      <c r="V127" s="28">
        <f>IF(T127="both",TRIM(IF(AND(E127&lt;&gt;"",F127&lt;&gt;"",E127&lt;&gt;F127),"level ","")&amp;IF(AND(L127&lt;&gt;"",M127&lt;&gt;"",L127&lt;&gt;M127),"price ","")&amp;IF(AND(O127&lt;&gt;"",P127&lt;&gt;"",O127&lt;&gt;P127),"xp ","")&amp;IF(J127="differs","time","")),"")</f>
        <v/>
      </c>
      <c r="X127" s="50" t="inlineStr">
        <is>
          <t>Plain Cupcake x1; Cream x2; Cookie x2; Cacao x1</t>
        </is>
      </c>
      <c r="Y127" s="50" t="inlineStr">
        <is>
          <t>Cookie Cupcake.png</t>
        </is>
      </c>
      <c r="Z127" s="50" t="inlineStr">
        <is>
          <t>icons/Cupcake Maker/Cookie Cupcake.png</t>
        </is>
      </c>
      <c r="AA127" s="28" t="inlineStr">
        <is>
          <t>hayday.info /api/production-data (2026-10-13) + Hay Day Wiki infobox via MediaWiki API (2026-10-13)</t>
        </is>
      </c>
      <c r="AB127" s="28" t="inlineStr">
        <is>
          <t>https://hayday.fandom.com/wiki/Cookie_Cupcake</t>
        </is>
      </c>
      <c r="AC127" s="50" t="inlineStr">
        <is>
          <t>Cookie Cupcake</t>
        </is>
      </c>
    </row>
    <row r="128">
      <c r="A128" s="28" t="inlineStr">
        <is>
          <t>Cream</t>
        </is>
      </c>
      <c r="B128" s="28" t="inlineStr">
        <is>
          <t>Dairy</t>
        </is>
      </c>
      <c r="C128" s="50" t="inlineStr">
        <is>
          <t>Product</t>
        </is>
      </c>
      <c r="D128" s="28">
        <f>IF(E128&lt;&gt;"",E128,IF(F128&lt;&gt;"",F128,""))</f>
        <v/>
      </c>
      <c r="E128" s="50" t="n">
        <v>6</v>
      </c>
      <c r="F128" s="50" t="n">
        <v>6</v>
      </c>
      <c r="G128" s="50" t="n">
        <v>17</v>
      </c>
      <c r="H128" s="50" t="n">
        <v>20</v>
      </c>
      <c r="I128" s="50" t="n">
        <v>17</v>
      </c>
      <c r="J128" s="28">
        <f>IF(OR(G128="",AND(H128="",I128="")),"n/a",IF(G128=I128,"mastered",IF(G128=H128,"normal","differs")))</f>
        <v/>
      </c>
      <c r="K128" s="28">
        <f>IF(L128&lt;&gt;"",L128,IF(M128&lt;&gt;"",M128,""))</f>
        <v/>
      </c>
      <c r="L128" s="50" t="n">
        <v>50</v>
      </c>
      <c r="M128" s="50" t="n">
        <v>50</v>
      </c>
      <c r="N128" s="28">
        <f>IF(O128&lt;&gt;"",O128,IF(P128&lt;&gt;"",P128,""))</f>
        <v/>
      </c>
      <c r="O128" s="50" t="n">
        <v>6</v>
      </c>
      <c r="P128" s="50" t="n">
        <v>6</v>
      </c>
      <c r="Q128" s="50" t="n">
        <v>63.53</v>
      </c>
      <c r="R128" s="50" t="n">
        <v>21.18</v>
      </c>
      <c r="S128" s="28">
        <f>IF(Q128="","",IF(Q128&lt;0,"negative profit",IF(Q128&gt;Notes!$B$4,"unusually high - verify","")))</f>
        <v/>
      </c>
      <c r="T128" s="28" t="inlineStr">
        <is>
          <t>both</t>
        </is>
      </c>
      <c r="U128" s="28">
        <f>IF(T128&lt;&gt;"both",T128&amp;" only",IF(V128="","agree","conflict"))</f>
        <v/>
      </c>
      <c r="V128" s="28">
        <f>IF(T128="both",TRIM(IF(AND(E128&lt;&gt;"",F128&lt;&gt;"",E128&lt;&gt;F128),"level ","")&amp;IF(AND(L128&lt;&gt;"",M128&lt;&gt;"",L128&lt;&gt;M128),"price ","")&amp;IF(AND(O128&lt;&gt;"",P128&lt;&gt;"",O128&lt;&gt;P128),"xp ","")&amp;IF(J128="differs","time","")),"")</f>
        <v/>
      </c>
      <c r="X128" s="50" t="inlineStr">
        <is>
          <t>Milk x1</t>
        </is>
      </c>
      <c r="Y128" s="50" t="inlineStr">
        <is>
          <t>Cream.png</t>
        </is>
      </c>
      <c r="Z128" s="50" t="inlineStr">
        <is>
          <t>icons/Dairy/Cream.png</t>
        </is>
      </c>
      <c r="AA128" s="28" t="inlineStr">
        <is>
          <t>hayday.info /api/production-data (2026-10-13) + Hay Day Wiki infobox via MediaWiki API (2026-10-13)</t>
        </is>
      </c>
      <c r="AB128" s="28" t="inlineStr">
        <is>
          <t>https://hayday.fandom.com/wiki/Cream</t>
        </is>
      </c>
      <c r="AC128" s="50" t="inlineStr">
        <is>
          <t>Cream</t>
        </is>
      </c>
    </row>
    <row r="129">
      <c r="A129" s="28" t="inlineStr">
        <is>
          <t>Butter</t>
        </is>
      </c>
      <c r="B129" s="28" t="inlineStr">
        <is>
          <t>Dairy</t>
        </is>
      </c>
      <c r="C129" s="50" t="inlineStr">
        <is>
          <t>Product</t>
        </is>
      </c>
      <c r="D129" s="28">
        <f>IF(E129&lt;&gt;"",E129,IF(F129&lt;&gt;"",F129,""))</f>
        <v/>
      </c>
      <c r="E129" s="50" t="n">
        <v>9</v>
      </c>
      <c r="F129" s="50" t="n">
        <v>9</v>
      </c>
      <c r="G129" s="50" t="n">
        <v>25</v>
      </c>
      <c r="H129" s="50" t="n">
        <v>30</v>
      </c>
      <c r="I129" s="50" t="n">
        <v>25</v>
      </c>
      <c r="J129" s="28">
        <f>IF(OR(G129="",AND(H129="",I129="")),"n/a",IF(G129=I129,"mastered",IF(G129=H129,"normal","differs")))</f>
        <v/>
      </c>
      <c r="K129" s="28">
        <f>IF(L129&lt;&gt;"",L129,IF(M129&lt;&gt;"",M129,""))</f>
        <v/>
      </c>
      <c r="L129" s="50" t="n">
        <v>82</v>
      </c>
      <c r="M129" s="50" t="n">
        <v>82</v>
      </c>
      <c r="N129" s="28">
        <f>IF(O129&lt;&gt;"",O129,IF(P129&lt;&gt;"",P129,""))</f>
        <v/>
      </c>
      <c r="O129" s="50" t="n">
        <v>10</v>
      </c>
      <c r="P129" s="50" t="n">
        <v>10</v>
      </c>
      <c r="Q129" s="50" t="n">
        <v>42.35</v>
      </c>
      <c r="R129" s="50" t="n">
        <v>23.53</v>
      </c>
      <c r="S129" s="28">
        <f>IF(Q129="","",IF(Q129&lt;0,"negative profit",IF(Q129&gt;Notes!$B$4,"unusually high - verify","")))</f>
        <v/>
      </c>
      <c r="T129" s="28" t="inlineStr">
        <is>
          <t>both</t>
        </is>
      </c>
      <c r="U129" s="28">
        <f>IF(T129&lt;&gt;"both",T129&amp;" only",IF(V129="","agree","conflict"))</f>
        <v/>
      </c>
      <c r="V129" s="28">
        <f>IF(T129="both",TRIM(IF(AND(E129&lt;&gt;"",F129&lt;&gt;"",E129&lt;&gt;F129),"level ","")&amp;IF(AND(L129&lt;&gt;"",M129&lt;&gt;"",L129&lt;&gt;M129),"price ","")&amp;IF(AND(O129&lt;&gt;"",P129&lt;&gt;"",O129&lt;&gt;P129),"xp ","")&amp;IF(J129="differs","time","")),"")</f>
        <v/>
      </c>
      <c r="X129" s="50" t="inlineStr">
        <is>
          <t>Milk x2</t>
        </is>
      </c>
      <c r="Y129" s="50" t="inlineStr">
        <is>
          <t>Butter.png</t>
        </is>
      </c>
      <c r="Z129" s="50" t="inlineStr">
        <is>
          <t>icons/Dairy/Butter.png</t>
        </is>
      </c>
      <c r="AA129" s="28" t="inlineStr">
        <is>
          <t>hayday.info /api/production-data (2026-10-13) + Hay Day Wiki infobox via MediaWiki API (2026-10-13)</t>
        </is>
      </c>
      <c r="AB129" s="28" t="inlineStr">
        <is>
          <t>https://hayday.fandom.com/wiki/Butter</t>
        </is>
      </c>
      <c r="AC129" s="50" t="inlineStr">
        <is>
          <t>Butter</t>
        </is>
      </c>
    </row>
    <row r="130">
      <c r="A130" s="28" t="inlineStr">
        <is>
          <t>Cheese</t>
        </is>
      </c>
      <c r="B130" s="28" t="inlineStr">
        <is>
          <t>Dairy</t>
        </is>
      </c>
      <c r="C130" s="50" t="inlineStr">
        <is>
          <t>Product</t>
        </is>
      </c>
      <c r="D130" s="28">
        <f>IF(E130&lt;&gt;"",E130,IF(F130&lt;&gt;"",F130,""))</f>
        <v/>
      </c>
      <c r="E130" s="50" t="n">
        <v>12</v>
      </c>
      <c r="F130" s="50" t="n">
        <v>12</v>
      </c>
      <c r="G130" s="50" t="n">
        <v>51</v>
      </c>
      <c r="H130" s="50" t="n">
        <v>60</v>
      </c>
      <c r="I130" s="50" t="n">
        <v>51</v>
      </c>
      <c r="J130" s="28">
        <f>IF(OR(G130="",AND(H130="",I130="")),"n/a",IF(G130=I130,"mastered",IF(G130=H130,"normal","differs")))</f>
        <v/>
      </c>
      <c r="K130" s="28">
        <f>IF(L130&lt;&gt;"",L130,IF(M130&lt;&gt;"",M130,""))</f>
        <v/>
      </c>
      <c r="L130" s="50" t="n">
        <v>122</v>
      </c>
      <c r="M130" s="50" t="n">
        <v>122</v>
      </c>
      <c r="N130" s="28">
        <f>IF(O130&lt;&gt;"",O130,IF(P130&lt;&gt;"",P130,""))</f>
        <v/>
      </c>
      <c r="O130" s="50" t="n">
        <v>15</v>
      </c>
      <c r="P130" s="50" t="n">
        <v>15</v>
      </c>
      <c r="Q130" s="50" t="n">
        <v>30.59</v>
      </c>
      <c r="R130" s="50" t="n">
        <v>17.65</v>
      </c>
      <c r="S130" s="28">
        <f>IF(Q130="","",IF(Q130&lt;0,"negative profit",IF(Q130&gt;Notes!$B$4,"unusually high - verify","")))</f>
        <v/>
      </c>
      <c r="T130" s="28" t="inlineStr">
        <is>
          <t>both</t>
        </is>
      </c>
      <c r="U130" s="28">
        <f>IF(T130&lt;&gt;"both",T130&amp;" only",IF(V130="","agree","conflict"))</f>
        <v/>
      </c>
      <c r="V130" s="28">
        <f>IF(T130="both",TRIM(IF(AND(E130&lt;&gt;"",F130&lt;&gt;"",E130&lt;&gt;F130),"level ","")&amp;IF(AND(L130&lt;&gt;"",M130&lt;&gt;"",L130&lt;&gt;M130),"price ","")&amp;IF(AND(O130&lt;&gt;"",P130&lt;&gt;"",O130&lt;&gt;P130),"xp ","")&amp;IF(J130="differs","time","")),"")</f>
        <v/>
      </c>
      <c r="X130" s="50" t="inlineStr">
        <is>
          <t>Milk x3</t>
        </is>
      </c>
      <c r="Y130" s="50" t="inlineStr">
        <is>
          <t>Cheese.png</t>
        </is>
      </c>
      <c r="Z130" s="50" t="inlineStr">
        <is>
          <t>icons/Dairy/Cheese.png</t>
        </is>
      </c>
      <c r="AA130" s="28" t="inlineStr">
        <is>
          <t>hayday.info /api/production-data (2026-10-13) + Hay Day Wiki infobox via MediaWiki API (2026-10-13)</t>
        </is>
      </c>
      <c r="AB130" s="28" t="inlineStr">
        <is>
          <t>https://hayday.fandom.com/wiki/Cheese</t>
        </is>
      </c>
      <c r="AC130" s="50" t="inlineStr">
        <is>
          <t>Cheese</t>
        </is>
      </c>
    </row>
    <row r="131">
      <c r="A131" s="28" t="inlineStr">
        <is>
          <t>Goat Cheese</t>
        </is>
      </c>
      <c r="B131" s="28" t="inlineStr">
        <is>
          <t>Dairy</t>
        </is>
      </c>
      <c r="C131" s="50" t="inlineStr">
        <is>
          <t>Product</t>
        </is>
      </c>
      <c r="D131" s="28">
        <f>IF(E131&lt;&gt;"",E131,IF(F131&lt;&gt;"",F131,""))</f>
        <v/>
      </c>
      <c r="E131" s="50" t="n">
        <v>33</v>
      </c>
      <c r="F131" s="50" t="n">
        <v>33</v>
      </c>
      <c r="G131" s="50" t="n">
        <v>76</v>
      </c>
      <c r="H131" s="50" t="n">
        <v>90</v>
      </c>
      <c r="I131" s="50" t="n">
        <v>76</v>
      </c>
      <c r="J131" s="28">
        <f>IF(OR(G131="",AND(H131="",I131="")),"n/a",IF(G131=I131,"mastered",IF(G131=H131,"normal","differs")))</f>
        <v/>
      </c>
      <c r="K131" s="28">
        <f>IF(L131&lt;&gt;"",L131,IF(M131&lt;&gt;"",M131,""))</f>
        <v/>
      </c>
      <c r="L131" s="50" t="n">
        <v>162</v>
      </c>
      <c r="M131" s="50" t="n">
        <v>162</v>
      </c>
      <c r="N131" s="28">
        <f>IF(O131&lt;&gt;"",O131,IF(P131&lt;&gt;"",P131,""))</f>
        <v/>
      </c>
      <c r="O131" s="50" t="n">
        <v>19</v>
      </c>
      <c r="P131" s="50" t="n">
        <v>19</v>
      </c>
      <c r="Q131" s="50" t="n">
        <v>26.67</v>
      </c>
      <c r="R131" s="50" t="n">
        <v>14.9</v>
      </c>
      <c r="S131" s="28">
        <f>IF(Q131="","",IF(Q131&lt;0,"negative profit",IF(Q131&gt;Notes!$B$4,"unusually high - verify","")))</f>
        <v/>
      </c>
      <c r="T131" s="28" t="inlineStr">
        <is>
          <t>both</t>
        </is>
      </c>
      <c r="U131" s="28">
        <f>IF(T131&lt;&gt;"both",T131&amp;" only",IF(V131="","agree","conflict"))</f>
        <v/>
      </c>
      <c r="V131" s="28">
        <f>IF(T131="both",TRIM(IF(AND(E131&lt;&gt;"",F131&lt;&gt;"",E131&lt;&gt;F131),"level ","")&amp;IF(AND(L131&lt;&gt;"",M131&lt;&gt;"",L131&lt;&gt;M131),"price ","")&amp;IF(AND(O131&lt;&gt;"",P131&lt;&gt;"",O131&lt;&gt;P131),"xp ","")&amp;IF(J131="differs","time","")),"")</f>
        <v/>
      </c>
      <c r="X131" s="50" t="inlineStr">
        <is>
          <t>Goat Milk x2</t>
        </is>
      </c>
      <c r="Y131" s="50" t="inlineStr">
        <is>
          <t>Goat Cheese.png</t>
        </is>
      </c>
      <c r="Z131" s="50" t="inlineStr">
        <is>
          <t>icons/Dairy/Goat Cheese.png</t>
        </is>
      </c>
      <c r="AA131" s="28" t="inlineStr">
        <is>
          <t>hayday.info /api/production-data (2026-10-13) + Hay Day Wiki infobox via MediaWiki API (2026-10-13)</t>
        </is>
      </c>
      <c r="AB131" s="28" t="inlineStr">
        <is>
          <t>https://hayday.fandom.com/wiki/Goat_Cheese</t>
        </is>
      </c>
      <c r="AC131" s="50" t="inlineStr">
        <is>
          <t>Goat cheese</t>
        </is>
      </c>
    </row>
    <row r="132">
      <c r="A132" s="28" t="inlineStr">
        <is>
          <t>Bacon Fries</t>
        </is>
      </c>
      <c r="B132" s="28" t="inlineStr">
        <is>
          <t>Deep Fryer</t>
        </is>
      </c>
      <c r="C132" s="50" t="inlineStr">
        <is>
          <t>Product</t>
        </is>
      </c>
      <c r="D132" s="28">
        <f>IF(E132&lt;&gt;"",E132,IF(F132&lt;&gt;"",F132,""))</f>
        <v/>
      </c>
      <c r="E132" s="50" t="n">
        <v>87</v>
      </c>
      <c r="F132" s="50" t="n">
        <v>87</v>
      </c>
      <c r="G132" s="50" t="n">
        <v>21</v>
      </c>
      <c r="H132" s="50" t="n">
        <v>25</v>
      </c>
      <c r="I132" s="50" t="n">
        <v>21</v>
      </c>
      <c r="J132" s="28">
        <f>IF(OR(G132="",AND(H132="",I132="")),"n/a",IF(G132=I132,"mastered",IF(G132=H132,"normal","differs")))</f>
        <v/>
      </c>
      <c r="K132" s="28">
        <f>IF(L132&lt;&gt;"",L132,IF(M132&lt;&gt;"",M132,""))</f>
        <v/>
      </c>
      <c r="L132" s="50" t="n">
        <v>302</v>
      </c>
      <c r="M132" s="50" t="n">
        <v>302</v>
      </c>
      <c r="N132" s="28">
        <f>IF(O132&lt;&gt;"",O132,IF(P132&lt;&gt;"",P132,""))</f>
        <v/>
      </c>
      <c r="O132" s="50" t="n">
        <v>36</v>
      </c>
      <c r="P132" s="50" t="n">
        <v>36</v>
      </c>
      <c r="Q132" s="50" t="n">
        <v>22.59</v>
      </c>
      <c r="R132" s="50" t="n">
        <v>101.65</v>
      </c>
      <c r="S132" s="28">
        <f>IF(Q132="","",IF(Q132&lt;0,"negative profit",IF(Q132&gt;Notes!$B$4,"unusually high - verify","")))</f>
        <v/>
      </c>
      <c r="T132" s="28" t="inlineStr">
        <is>
          <t>both</t>
        </is>
      </c>
      <c r="U132" s="28">
        <f>IF(T132&lt;&gt;"both",T132&amp;" only",IF(V132="","agree","conflict"))</f>
        <v/>
      </c>
      <c r="V132" s="28">
        <f>IF(T132="both",TRIM(IF(AND(E132&lt;&gt;"",F132&lt;&gt;"",E132&lt;&gt;F132),"level ","")&amp;IF(AND(L132&lt;&gt;"",M132&lt;&gt;"",L132&lt;&gt;M132),"price ","")&amp;IF(AND(O132&lt;&gt;"",P132&lt;&gt;"",O132&lt;&gt;P132),"xp ","")&amp;IF(J132="differs","time","")),"")</f>
        <v/>
      </c>
      <c r="X132" s="50" t="inlineStr">
        <is>
          <t>Chili Pepper x1; Bacon x2; Potato x4; Garlic x1</t>
        </is>
      </c>
      <c r="Y132" s="50" t="inlineStr">
        <is>
          <t>Bacon Fries.png</t>
        </is>
      </c>
      <c r="Z132" s="50" t="inlineStr">
        <is>
          <t>icons/Deep Fryer/Bacon Fries.png</t>
        </is>
      </c>
      <c r="AA132" s="28" t="inlineStr">
        <is>
          <t>hayday.info /api/production-data (2026-10-13) + Hay Day Wiki infobox via MediaWiki API (2026-10-13)</t>
        </is>
      </c>
      <c r="AB132" s="28" t="inlineStr">
        <is>
          <t>https://hayday.fandom.com/wiki/Bacon_Fries</t>
        </is>
      </c>
      <c r="AC132" s="50" t="inlineStr">
        <is>
          <t>Bacon fries</t>
        </is>
      </c>
    </row>
    <row r="133">
      <c r="A133" s="28" t="inlineStr">
        <is>
          <t>Hand Pies</t>
        </is>
      </c>
      <c r="B133" s="28" t="inlineStr">
        <is>
          <t>Deep Fryer</t>
        </is>
      </c>
      <c r="C133" s="50" t="inlineStr">
        <is>
          <t>Product</t>
        </is>
      </c>
      <c r="D133" s="28">
        <f>IF(E133&lt;&gt;"",E133,IF(F133&lt;&gt;"",F133,""))</f>
        <v/>
      </c>
      <c r="E133" s="50" t="n">
        <v>91</v>
      </c>
      <c r="F133" s="50" t="n">
        <v>91</v>
      </c>
      <c r="G133" s="50" t="n">
        <v>17</v>
      </c>
      <c r="H133" s="50" t="n">
        <v>20</v>
      </c>
      <c r="I133" s="50" t="n">
        <v>17</v>
      </c>
      <c r="J133" s="28">
        <f>IF(OR(G133="",AND(H133="",I133="")),"n/a",IF(G133=I133,"mastered",IF(G133=H133,"normal","differs")))</f>
        <v/>
      </c>
      <c r="K133" s="28">
        <f>IF(L133&lt;&gt;"",L133,IF(M133&lt;&gt;"",M133,""))</f>
        <v/>
      </c>
      <c r="L133" s="50" t="n">
        <v>295</v>
      </c>
      <c r="M133" s="50" t="n">
        <v>295</v>
      </c>
      <c r="N133" s="28">
        <f>IF(O133&lt;&gt;"",O133,IF(P133&lt;&gt;"",P133,""))</f>
        <v/>
      </c>
      <c r="O133" s="50" t="n">
        <v>35</v>
      </c>
      <c r="P133" s="50" t="n">
        <v>35</v>
      </c>
      <c r="Q133" s="50" t="n">
        <v>88.23999999999999</v>
      </c>
      <c r="R133" s="50" t="n">
        <v>123.53</v>
      </c>
      <c r="S133" s="28">
        <f>IF(Q133="","",IF(Q133&lt;0,"negative profit",IF(Q133&gt;Notes!$B$4,"unusually high - verify","")))</f>
        <v/>
      </c>
      <c r="T133" s="28" t="inlineStr">
        <is>
          <t>both</t>
        </is>
      </c>
      <c r="U133" s="28">
        <f>IF(T133&lt;&gt;"both",T133&amp;" only",IF(V133="","agree","conflict"))</f>
        <v/>
      </c>
      <c r="V133" s="28">
        <f>IF(T133="both",TRIM(IF(AND(E133&lt;&gt;"",F133&lt;&gt;"",E133&lt;&gt;F133),"level ","")&amp;IF(AND(L133&lt;&gt;"",M133&lt;&gt;"",L133&lt;&gt;M133),"price ","")&amp;IF(AND(O133&lt;&gt;"",P133&lt;&gt;"",O133&lt;&gt;P133),"xp ","")&amp;IF(J133="differs","time","")),"")</f>
        <v/>
      </c>
      <c r="X133" s="50" t="inlineStr">
        <is>
          <t>Apple Jam x1; Egg x2; Wheat x5</t>
        </is>
      </c>
      <c r="Y133" s="50" t="inlineStr">
        <is>
          <t>Hand Pies.png</t>
        </is>
      </c>
      <c r="Z133" s="50" t="inlineStr">
        <is>
          <t>icons/Deep Fryer/Hand Pies.png</t>
        </is>
      </c>
      <c r="AA133" s="28" t="inlineStr">
        <is>
          <t>hayday.info /api/production-data (2026-10-13) + Hay Day Wiki infobox via MediaWiki API (2026-10-13)</t>
        </is>
      </c>
      <c r="AB133" s="28" t="inlineStr">
        <is>
          <t>https://hayday.fandom.com/wiki/Hand_Pies</t>
        </is>
      </c>
      <c r="AC133" s="50" t="inlineStr">
        <is>
          <t>Hand pies</t>
        </is>
      </c>
    </row>
    <row r="134">
      <c r="A134" s="28" t="inlineStr">
        <is>
          <t>Chili Poppers</t>
        </is>
      </c>
      <c r="B134" s="28" t="inlineStr">
        <is>
          <t>Deep Fryer</t>
        </is>
      </c>
      <c r="C134" s="50" t="inlineStr">
        <is>
          <t>Product</t>
        </is>
      </c>
      <c r="D134" s="28">
        <f>IF(E134&lt;&gt;"",E134,IF(F134&lt;&gt;"",F134,""))</f>
        <v/>
      </c>
      <c r="E134" s="50" t="n">
        <v>98</v>
      </c>
      <c r="F134" s="50" t="n">
        <v>98</v>
      </c>
      <c r="G134" s="50" t="n">
        <v>34</v>
      </c>
      <c r="H134" s="50" t="n">
        <v>40</v>
      </c>
      <c r="I134" s="50" t="n">
        <v>34</v>
      </c>
      <c r="J134" s="28">
        <f>IF(OR(G134="",AND(H134="",I134="")),"n/a",IF(G134=I134,"mastered",IF(G134=H134,"normal","differs")))</f>
        <v/>
      </c>
      <c r="K134" s="28">
        <f>IF(L134&lt;&gt;"",L134,IF(M134&lt;&gt;"",M134,""))</f>
        <v/>
      </c>
      <c r="L134" s="50" t="n">
        <v>406</v>
      </c>
      <c r="M134" s="50" t="n">
        <v>406</v>
      </c>
      <c r="N134" s="28">
        <f>IF(O134&lt;&gt;"",O134,IF(P134&lt;&gt;"",P134,""))</f>
        <v/>
      </c>
      <c r="O134" s="50" t="n">
        <v>48</v>
      </c>
      <c r="P134" s="50" t="n">
        <v>48</v>
      </c>
      <c r="Q134" s="50" t="n">
        <v>40.59</v>
      </c>
      <c r="R134" s="50" t="n">
        <v>84.70999999999999</v>
      </c>
      <c r="S134" s="28">
        <f>IF(Q134="","",IF(Q134&lt;0,"negative profit",IF(Q134&gt;Notes!$B$4,"unusually high - verify","")))</f>
        <v/>
      </c>
      <c r="T134" s="28" t="inlineStr">
        <is>
          <t>both</t>
        </is>
      </c>
      <c r="U134" s="28">
        <f>IF(T134&lt;&gt;"both",T134&amp;" only",IF(V134="","agree","conflict"))</f>
        <v/>
      </c>
      <c r="V134" s="28">
        <f>IF(T134="both",TRIM(IF(AND(E134&lt;&gt;"",F134&lt;&gt;"",E134&lt;&gt;F134),"level ","")&amp;IF(AND(L134&lt;&gt;"",M134&lt;&gt;"",L134&lt;&gt;M134),"price ","")&amp;IF(AND(O134&lt;&gt;"",P134&lt;&gt;"",O134&lt;&gt;P134),"xp ","")&amp;IF(J134="differs","time","")),"")</f>
        <v/>
      </c>
      <c r="X134" s="50" t="inlineStr">
        <is>
          <t>Chili Pepper x3; Wheat x1; Bacon x3; Cheese x1</t>
        </is>
      </c>
      <c r="Y134" s="50" t="inlineStr">
        <is>
          <t>Chili Poppers.png</t>
        </is>
      </c>
      <c r="Z134" s="50" t="inlineStr">
        <is>
          <t>icons/Deep Fryer/Chili Poppers.png</t>
        </is>
      </c>
      <c r="AA134" s="28" t="inlineStr">
        <is>
          <t>hayday.info /api/production-data (2026-10-13) + Hay Day Wiki infobox via MediaWiki API (2026-10-13)</t>
        </is>
      </c>
      <c r="AB134" s="28" t="inlineStr">
        <is>
          <t>https://hayday.fandom.com/wiki/Chili_Poppers</t>
        </is>
      </c>
      <c r="AC134" s="50" t="inlineStr">
        <is>
          <t>Chili poppers</t>
        </is>
      </c>
    </row>
    <row r="135">
      <c r="A135" s="28" t="inlineStr">
        <is>
          <t>Falafel</t>
        </is>
      </c>
      <c r="B135" s="28" t="inlineStr">
        <is>
          <t>Deep Fryer</t>
        </is>
      </c>
      <c r="C135" s="50" t="inlineStr">
        <is>
          <t>Product</t>
        </is>
      </c>
      <c r="D135" s="28">
        <f>IF(E135&lt;&gt;"",E135,IF(F135&lt;&gt;"",F135,""))</f>
        <v/>
      </c>
      <c r="E135" s="50" t="n">
        <v>98</v>
      </c>
      <c r="F135" s="50" t="n">
        <v>98</v>
      </c>
      <c r="G135" s="50" t="n">
        <v>46</v>
      </c>
      <c r="H135" s="50" t="n">
        <v>55</v>
      </c>
      <c r="I135" s="50" t="n">
        <v>46</v>
      </c>
      <c r="J135" s="28">
        <f>IF(OR(G135="",AND(H135="",I135="")),"n/a",IF(G135=I135,"mastered",IF(G135=H135,"normal","differs")))</f>
        <v/>
      </c>
      <c r="K135" s="28">
        <f>IF(L135&lt;&gt;"",L135,IF(M135&lt;&gt;"",M135,""))</f>
        <v/>
      </c>
      <c r="L135" s="50" t="n">
        <v>226</v>
      </c>
      <c r="M135" s="50" t="n">
        <v>226</v>
      </c>
      <c r="N135" s="28">
        <f>IF(O135&lt;&gt;"",O135,IF(P135&lt;&gt;"",P135,""))</f>
        <v/>
      </c>
      <c r="O135" s="50" t="n">
        <v>27</v>
      </c>
      <c r="P135" s="50" t="n">
        <v>27</v>
      </c>
      <c r="Q135" s="50" t="n">
        <v>38.5</v>
      </c>
      <c r="R135" s="50" t="n">
        <v>34.65</v>
      </c>
      <c r="S135" s="28">
        <f>IF(Q135="","",IF(Q135&lt;0,"negative profit",IF(Q135&gt;Notes!$B$4,"unusually high - verify","")))</f>
        <v/>
      </c>
      <c r="T135" s="28" t="inlineStr">
        <is>
          <t>both</t>
        </is>
      </c>
      <c r="U135" s="28">
        <f>IF(T135&lt;&gt;"both",T135&amp;" only",IF(V135="","agree","conflict"))</f>
        <v/>
      </c>
      <c r="V135" s="28">
        <f>IF(T135="both",TRIM(IF(AND(E135&lt;&gt;"",F135&lt;&gt;"",E135&lt;&gt;F135),"level ","")&amp;IF(AND(L135&lt;&gt;"",M135&lt;&gt;"",L135&lt;&gt;M135),"price ","")&amp;IF(AND(O135&lt;&gt;"",P135&lt;&gt;"",O135&lt;&gt;P135),"xp ","")&amp;IF(J135="differs","time","")),"")</f>
        <v/>
      </c>
      <c r="X135" s="50" t="inlineStr">
        <is>
          <t>Chickpea x3; Onion x2; Garlic x2; Chili Pepper x1</t>
        </is>
      </c>
      <c r="Y135" s="50" t="inlineStr">
        <is>
          <t>Falafel.png</t>
        </is>
      </c>
      <c r="Z135" s="50" t="inlineStr">
        <is>
          <t>icons/Deep Fryer/Falafel.png</t>
        </is>
      </c>
      <c r="AA135" s="28" t="inlineStr">
        <is>
          <t>hayday.info /api/production-data (2026-10-13) + Hay Day Wiki infobox via MediaWiki API (2026-10-13)</t>
        </is>
      </c>
      <c r="AB135" s="28" t="inlineStr">
        <is>
          <t>https://hayday.fandom.com/wiki/Falafel</t>
        </is>
      </c>
      <c r="AC135" s="50" t="inlineStr">
        <is>
          <t>Falafel</t>
        </is>
      </c>
    </row>
    <row r="136">
      <c r="A136" s="28" t="inlineStr">
        <is>
          <t>Fried Candy Bar</t>
        </is>
      </c>
      <c r="B136" s="28" t="inlineStr">
        <is>
          <t>Deep Fryer</t>
        </is>
      </c>
      <c r="C136" s="50" t="inlineStr">
        <is>
          <t>Product</t>
        </is>
      </c>
      <c r="D136" s="28">
        <f>IF(E136&lt;&gt;"",E136,IF(F136&lt;&gt;"",F136,""))</f>
        <v/>
      </c>
      <c r="E136" s="50" t="n">
        <v>100</v>
      </c>
      <c r="F136" s="50" t="n">
        <v>100</v>
      </c>
      <c r="G136" s="50" t="n">
        <v>12</v>
      </c>
      <c r="H136" s="50" t="n">
        <v>15</v>
      </c>
      <c r="I136" s="50" t="n">
        <v>12</v>
      </c>
      <c r="J136" s="28">
        <f>IF(OR(G136="",AND(H136="",I136="")),"n/a",IF(G136=I136,"mastered",IF(G136=H136,"normal","differs")))</f>
        <v/>
      </c>
      <c r="K136" s="28">
        <f>IF(L136&lt;&gt;"",L136,IF(M136&lt;&gt;"",M136,""))</f>
        <v/>
      </c>
      <c r="L136" s="50" t="n">
        <v>658</v>
      </c>
      <c r="M136" s="50" t="n">
        <v>658</v>
      </c>
      <c r="N136" s="28">
        <f>IF(O136&lt;&gt;"",O136,IF(P136&lt;&gt;"",P136,""))</f>
        <v/>
      </c>
      <c r="O136" s="50" t="n">
        <v>87</v>
      </c>
      <c r="P136" s="50" t="n">
        <v>87</v>
      </c>
      <c r="Q136" s="50" t="n">
        <v>291.76</v>
      </c>
      <c r="R136" s="50" t="n">
        <v>409.41</v>
      </c>
      <c r="S136" s="28">
        <f>IF(Q136="","",IF(Q136&lt;0,"negative profit",IF(Q136&gt;Notes!$B$4,"unusually high - verify","")))</f>
        <v/>
      </c>
      <c r="T136" s="28" t="inlineStr">
        <is>
          <t>both</t>
        </is>
      </c>
      <c r="U136" s="28">
        <f>IF(T136&lt;&gt;"both",T136&amp;" only",IF(V136="","agree","conflict"))</f>
        <v/>
      </c>
      <c r="V136" s="28">
        <f>IF(T136="both",TRIM(IF(AND(E136&lt;&gt;"",F136&lt;&gt;"",E136&lt;&gt;F136),"level ","")&amp;IF(AND(L136&lt;&gt;"",M136&lt;&gt;"",L136&lt;&gt;M136),"price ","")&amp;IF(AND(O136&lt;&gt;"",P136&lt;&gt;"",O136&lt;&gt;P136),"xp ","")&amp;IF(J136="differs","time","")),"")</f>
        <v/>
      </c>
      <c r="X136" s="50" t="inlineStr">
        <is>
          <t>Cacao x3; Cookie x1; Peanuts x1</t>
        </is>
      </c>
      <c r="Y136" s="50" t="inlineStr">
        <is>
          <t>Fried Candy Bar.png</t>
        </is>
      </c>
      <c r="Z136" s="50" t="inlineStr">
        <is>
          <t>icons/Deep Fryer/Fried Candy Bar.png</t>
        </is>
      </c>
      <c r="AA136" s="28" t="inlineStr">
        <is>
          <t>hayday.info /api/production-data (2026-10-13) + Hay Day Wiki infobox via MediaWiki API (2026-10-13)</t>
        </is>
      </c>
      <c r="AB136" s="28" t="inlineStr">
        <is>
          <t>https://hayday.fandom.com/wiki/Fried_Candy_Bar</t>
        </is>
      </c>
      <c r="AC136" s="50" t="inlineStr">
        <is>
          <t>Fried candy bar</t>
        </is>
      </c>
    </row>
    <row r="137">
      <c r="A137" s="28" t="inlineStr">
        <is>
          <t>Samosa</t>
        </is>
      </c>
      <c r="B137" s="28" t="inlineStr">
        <is>
          <t>Deep Fryer</t>
        </is>
      </c>
      <c r="C137" s="50" t="inlineStr">
        <is>
          <t>Product</t>
        </is>
      </c>
      <c r="D137" s="28">
        <f>IF(E137&lt;&gt;"",E137,IF(F137&lt;&gt;"",F137,""))</f>
        <v/>
      </c>
      <c r="E137" s="50" t="n">
        <v>103</v>
      </c>
      <c r="F137" s="50" t="n">
        <v>103</v>
      </c>
      <c r="G137" s="50" t="n">
        <v>63</v>
      </c>
      <c r="H137" s="50" t="n">
        <v>75</v>
      </c>
      <c r="I137" s="50" t="n">
        <v>63</v>
      </c>
      <c r="J137" s="28">
        <f>IF(OR(G137="",AND(H137="",I137="")),"n/a",IF(G137=I137,"mastered",IF(G137=H137,"normal","differs")))</f>
        <v/>
      </c>
      <c r="K137" s="28">
        <f>IF(L137&lt;&gt;"",L137,IF(M137&lt;&gt;"",M137,""))</f>
        <v/>
      </c>
      <c r="L137" s="50" t="n">
        <v>223</v>
      </c>
      <c r="M137" s="50" t="n">
        <v>223</v>
      </c>
      <c r="N137" s="28">
        <f>IF(O137&lt;&gt;"",O137,IF(P137&lt;&gt;"",P137,""))</f>
        <v/>
      </c>
      <c r="O137" s="50" t="n">
        <v>27</v>
      </c>
      <c r="P137" s="50" t="n">
        <v>27</v>
      </c>
      <c r="Q137" s="50" t="n">
        <v>29.18</v>
      </c>
      <c r="R137" s="50" t="n">
        <v>25.41</v>
      </c>
      <c r="S137" s="28">
        <f>IF(Q137="","",IF(Q137&lt;0,"negative profit",IF(Q137&gt;Notes!$B$4,"unusually high - verify","")))</f>
        <v/>
      </c>
      <c r="T137" s="28" t="inlineStr">
        <is>
          <t>both</t>
        </is>
      </c>
      <c r="U137" s="28">
        <f>IF(T137&lt;&gt;"both",T137&amp;" only",IF(V137="","agree","conflict"))</f>
        <v/>
      </c>
      <c r="V137" s="28">
        <f>IF(T137="both",TRIM(IF(AND(E137&lt;&gt;"",F137&lt;&gt;"",E137&lt;&gt;F137),"level ","")&amp;IF(AND(L137&lt;&gt;"",M137&lt;&gt;"",L137&lt;&gt;M137),"price ","")&amp;IF(AND(O137&lt;&gt;"",P137&lt;&gt;"",O137&lt;&gt;P137),"xp ","")&amp;IF(J137="differs","time","")),"")</f>
        <v/>
      </c>
      <c r="X137" s="50" t="inlineStr">
        <is>
          <t>Chickpea x2; Wheat x4; Potato x3; Chili Pepper x1</t>
        </is>
      </c>
      <c r="Y137" s="50" t="inlineStr">
        <is>
          <t>Samosa.png</t>
        </is>
      </c>
      <c r="Z137" s="50" t="inlineStr">
        <is>
          <t>icons/Deep Fryer/Samosa.png</t>
        </is>
      </c>
      <c r="AA137" s="28" t="inlineStr">
        <is>
          <t>hayday.info /api/production-data (2026-10-13) + Hay Day Wiki infobox via MediaWiki API (2026-10-13)</t>
        </is>
      </c>
      <c r="AB137" s="28" t="inlineStr">
        <is>
          <t>https://hayday.fandom.com/wiki/Samosa</t>
        </is>
      </c>
      <c r="AC137" s="50" t="inlineStr">
        <is>
          <t>Samosa</t>
        </is>
      </c>
    </row>
    <row r="138">
      <c r="A138" s="28" t="inlineStr">
        <is>
          <t>Plain Donut</t>
        </is>
      </c>
      <c r="B138" s="28" t="inlineStr">
        <is>
          <t>Donut Maker</t>
        </is>
      </c>
      <c r="C138" s="50" t="inlineStr">
        <is>
          <t>Product</t>
        </is>
      </c>
      <c r="D138" s="28">
        <f>IF(E138&lt;&gt;"",E138,IF(F138&lt;&gt;"",F138,""))</f>
        <v/>
      </c>
      <c r="E138" s="50" t="n">
        <v>76</v>
      </c>
      <c r="F138" s="50" t="n">
        <v>76</v>
      </c>
      <c r="G138" s="50" t="n">
        <v>12</v>
      </c>
      <c r="H138" s="50" t="n">
        <v>15</v>
      </c>
      <c r="I138" s="50" t="n">
        <v>12</v>
      </c>
      <c r="J138" s="28">
        <f>IF(OR(G138="",AND(H138="",I138="")),"n/a",IF(G138=I138,"mastered",IF(G138=H138,"normal","differs")))</f>
        <v/>
      </c>
      <c r="K138" s="28">
        <f>IF(L138&lt;&gt;"",L138,IF(M138&lt;&gt;"",M138,""))</f>
        <v/>
      </c>
      <c r="L138" s="50" t="n">
        <v>129</v>
      </c>
      <c r="M138" s="50" t="n">
        <v>129</v>
      </c>
      <c r="N138" s="28">
        <f>IF(O138&lt;&gt;"",O138,IF(P138&lt;&gt;"",P138,""))</f>
        <v/>
      </c>
      <c r="O138" s="50" t="n">
        <v>15</v>
      </c>
      <c r="P138" s="50" t="n">
        <v>15</v>
      </c>
      <c r="Q138" s="50" t="n">
        <v>94.12</v>
      </c>
      <c r="R138" s="50" t="n">
        <v>70.59</v>
      </c>
      <c r="S138" s="28">
        <f>IF(Q138="","",IF(Q138&lt;0,"negative profit",IF(Q138&gt;Notes!$B$4,"unusually high - verify","")))</f>
        <v/>
      </c>
      <c r="T138" s="28" t="inlineStr">
        <is>
          <t>both</t>
        </is>
      </c>
      <c r="U138" s="28">
        <f>IF(T138&lt;&gt;"both",T138&amp;" only",IF(V138="","agree","conflict"))</f>
        <v/>
      </c>
      <c r="V138" s="28">
        <f>IF(T138="both",TRIM(IF(AND(E138&lt;&gt;"",F138&lt;&gt;"",E138&lt;&gt;F138),"level ","")&amp;IF(AND(L138&lt;&gt;"",M138&lt;&gt;"",L138&lt;&gt;M138),"price ","")&amp;IF(AND(O138&lt;&gt;"",P138&lt;&gt;"",O138&lt;&gt;P138),"xp ","")&amp;IF(J138="differs","time","")),"")</f>
        <v/>
      </c>
      <c r="X138" s="50" t="inlineStr">
        <is>
          <t>Milk x1; White Sugar x1; Egg x1; Wheat x3</t>
        </is>
      </c>
      <c r="Y138" s="50" t="inlineStr">
        <is>
          <t>Plain Donut.png</t>
        </is>
      </c>
      <c r="Z138" s="50" t="inlineStr">
        <is>
          <t>icons/Donut Maker/Plain Donut.png</t>
        </is>
      </c>
      <c r="AA138" s="28" t="inlineStr">
        <is>
          <t>hayday.info /api/production-data (2026-10-13) + Hay Day Wiki infobox via MediaWiki API (2026-10-13)</t>
        </is>
      </c>
      <c r="AB138" s="28" t="inlineStr">
        <is>
          <t>https://hayday.fandom.com/wiki/Plain_Donut</t>
        </is>
      </c>
      <c r="AC138" s="50" t="inlineStr">
        <is>
          <t>Plain Donut</t>
        </is>
      </c>
    </row>
    <row r="139">
      <c r="A139" s="28" t="inlineStr">
        <is>
          <t>Sprinkled Donut</t>
        </is>
      </c>
      <c r="B139" s="28" t="inlineStr">
        <is>
          <t>Donut Maker</t>
        </is>
      </c>
      <c r="C139" s="50" t="inlineStr">
        <is>
          <t>Product</t>
        </is>
      </c>
      <c r="D139" s="28">
        <f>IF(E139&lt;&gt;"",E139,IF(F139&lt;&gt;"",F139,""))</f>
        <v/>
      </c>
      <c r="E139" s="50" t="n">
        <v>79</v>
      </c>
      <c r="F139" s="50" t="n">
        <v>79</v>
      </c>
      <c r="G139" s="50" t="n">
        <v>17</v>
      </c>
      <c r="H139" s="50" t="n">
        <v>20</v>
      </c>
      <c r="I139" s="50" t="n">
        <v>17</v>
      </c>
      <c r="J139" s="28">
        <f>IF(OR(G139="",AND(H139="",I139="")),"n/a",IF(G139=I139,"mastered",IF(G139=H139,"normal","differs")))</f>
        <v/>
      </c>
      <c r="K139" s="28">
        <f>IF(L139&lt;&gt;"",L139,IF(M139&lt;&gt;"",M139,""))</f>
        <v/>
      </c>
      <c r="L139" s="50" t="n">
        <v>313</v>
      </c>
      <c r="M139" s="50" t="n">
        <v>313</v>
      </c>
      <c r="N139" s="28">
        <f>IF(O139&lt;&gt;"",O139,IF(P139&lt;&gt;"",P139,""))</f>
        <v/>
      </c>
      <c r="O139" s="50" t="n">
        <v>37</v>
      </c>
      <c r="P139" s="50" t="n">
        <v>37</v>
      </c>
      <c r="Q139" s="50" t="n">
        <v>42.35</v>
      </c>
      <c r="R139" s="50" t="n">
        <v>130.59</v>
      </c>
      <c r="S139" s="28">
        <f>IF(Q139="","",IF(Q139&lt;0,"negative profit",IF(Q139&gt;Notes!$B$4,"unusually high - verify","")))</f>
        <v/>
      </c>
      <c r="T139" s="28" t="inlineStr">
        <is>
          <t>both</t>
        </is>
      </c>
      <c r="U139" s="28">
        <f>IF(T139&lt;&gt;"both",T139&amp;" only",IF(V139="","agree","conflict"))</f>
        <v/>
      </c>
      <c r="V139" s="28">
        <f>IF(T139="both",TRIM(IF(AND(E139&lt;&gt;"",F139&lt;&gt;"",E139&lt;&gt;F139),"level ","")&amp;IF(AND(L139&lt;&gt;"",M139&lt;&gt;"",L139&lt;&gt;M139),"price ","")&amp;IF(AND(O139&lt;&gt;"",P139&lt;&gt;"",O139&lt;&gt;P139),"xp ","")&amp;IF(J139="differs","time","")),"")</f>
        <v/>
      </c>
      <c r="X139" s="50" t="inlineStr">
        <is>
          <t>Plain Donut x1; Cacao x2</t>
        </is>
      </c>
      <c r="Y139" s="50" t="inlineStr">
        <is>
          <t>Sprinkled Donut.png</t>
        </is>
      </c>
      <c r="Z139" s="50" t="inlineStr">
        <is>
          <t>icons/Donut Maker/Sprinkled Donut.png</t>
        </is>
      </c>
      <c r="AA139" s="28" t="inlineStr">
        <is>
          <t>hayday.info /api/production-data (2026-10-13) + Hay Day Wiki infobox via MediaWiki API (2026-10-13)</t>
        </is>
      </c>
      <c r="AB139" s="28" t="inlineStr">
        <is>
          <t>https://hayday.fandom.com/wiki/Sprinkled_Donut</t>
        </is>
      </c>
      <c r="AC139" s="50" t="inlineStr">
        <is>
          <t>Sprinkled Donut</t>
        </is>
      </c>
    </row>
    <row r="140">
      <c r="A140" s="28" t="inlineStr">
        <is>
          <t>Crunchy Donut</t>
        </is>
      </c>
      <c r="B140" s="28" t="inlineStr">
        <is>
          <t>Donut Maker</t>
        </is>
      </c>
      <c r="C140" s="50" t="inlineStr">
        <is>
          <t>Product</t>
        </is>
      </c>
      <c r="D140" s="28">
        <f>IF(E140&lt;&gt;"",E140,IF(F140&lt;&gt;"",F140,""))</f>
        <v/>
      </c>
      <c r="E140" s="50" t="n">
        <v>82</v>
      </c>
      <c r="F140" s="50" t="n">
        <v>82</v>
      </c>
      <c r="G140" s="50" t="n">
        <v>25</v>
      </c>
      <c r="H140" s="50" t="n">
        <v>30</v>
      </c>
      <c r="I140" s="50" t="n">
        <v>25</v>
      </c>
      <c r="J140" s="28">
        <f>IF(OR(G140="",AND(H140="",I140="")),"n/a",IF(G140=I140,"mastered",IF(G140=H140,"normal","differs")))</f>
        <v/>
      </c>
      <c r="K140" s="28">
        <f>IF(L140&lt;&gt;"",L140,IF(M140&lt;&gt;"",M140,""))</f>
        <v/>
      </c>
      <c r="L140" s="50" t="n">
        <v>594</v>
      </c>
      <c r="M140" s="50" t="n">
        <v>594</v>
      </c>
      <c r="N140" s="28">
        <f>IF(O140&lt;&gt;"",O140,IF(P140&lt;&gt;"",P140,""))</f>
        <v/>
      </c>
      <c r="O140" s="50" t="n">
        <v>71</v>
      </c>
      <c r="P140" s="50" t="n">
        <v>71</v>
      </c>
      <c r="Q140" s="50" t="n">
        <v>341.18</v>
      </c>
      <c r="R140" s="50" t="n">
        <v>167.06</v>
      </c>
      <c r="S140" s="28">
        <f>IF(Q140="","",IF(Q140&lt;0,"negative profit",IF(Q140&gt;Notes!$B$4,"unusually high - verify","")))</f>
        <v/>
      </c>
      <c r="T140" s="28" t="inlineStr">
        <is>
          <t>both</t>
        </is>
      </c>
      <c r="U140" s="28">
        <f>IF(T140&lt;&gt;"both",T140&amp;" only",IF(V140="","agree","conflict"))</f>
        <v/>
      </c>
      <c r="V140" s="28">
        <f>IF(T140="both",TRIM(IF(AND(E140&lt;&gt;"",F140&lt;&gt;"",E140&lt;&gt;F140),"level ","")&amp;IF(AND(L140&lt;&gt;"",M140&lt;&gt;"",L140&lt;&gt;M140),"price ","")&amp;IF(AND(O140&lt;&gt;"",P140&lt;&gt;"",O140&lt;&gt;P140),"xp ","")&amp;IF(J140="differs","time","")),"")</f>
        <v/>
      </c>
      <c r="X140" s="50" t="inlineStr">
        <is>
          <t>Plain Donut x1; Cacao x1; Peanuts x1</t>
        </is>
      </c>
      <c r="Y140" s="50" t="inlineStr">
        <is>
          <t>Crunchy Donut.png</t>
        </is>
      </c>
      <c r="Z140" s="50" t="inlineStr">
        <is>
          <t>icons/Donut Maker/Crunchy Donut.png</t>
        </is>
      </c>
      <c r="AA140" s="28" t="inlineStr">
        <is>
          <t>hayday.info /api/production-data (2026-10-13) + Hay Day Wiki infobox via MediaWiki API (2026-10-13)</t>
        </is>
      </c>
      <c r="AB140" s="28" t="inlineStr">
        <is>
          <t>https://hayday.fandom.com/wiki/Crunchy_Donut</t>
        </is>
      </c>
      <c r="AC140" s="50" t="inlineStr">
        <is>
          <t>Crunchy Donut</t>
        </is>
      </c>
    </row>
    <row r="141">
      <c r="A141" s="28" t="inlineStr">
        <is>
          <t>Cream Donut</t>
        </is>
      </c>
      <c r="B141" s="28" t="inlineStr">
        <is>
          <t>Donut Maker</t>
        </is>
      </c>
      <c r="C141" s="50" t="inlineStr">
        <is>
          <t>Product</t>
        </is>
      </c>
      <c r="D141" s="28">
        <f>IF(E141&lt;&gt;"",E141,IF(F141&lt;&gt;"",F141,""))</f>
        <v/>
      </c>
      <c r="E141" s="50" t="n">
        <v>86</v>
      </c>
      <c r="F141" s="50" t="n">
        <v>86</v>
      </c>
      <c r="G141" s="50" t="n">
        <v>21</v>
      </c>
      <c r="H141" s="50" t="n">
        <v>25</v>
      </c>
      <c r="I141" s="50" t="n">
        <v>21</v>
      </c>
      <c r="J141" s="28">
        <f>IF(OR(G141="",AND(H141="",I141="")),"n/a",IF(G141=I141,"mastered",IF(G141=H141,"normal","differs")))</f>
        <v/>
      </c>
      <c r="K141" s="28">
        <f>IF(L141&lt;&gt;"",L141,IF(M141&lt;&gt;"",M141,""))</f>
        <v/>
      </c>
      <c r="L141" s="50" t="n">
        <v>230</v>
      </c>
      <c r="M141" s="50" t="n">
        <v>230</v>
      </c>
      <c r="N141" s="28">
        <f>IF(O141&lt;&gt;"",O141,IF(P141&lt;&gt;"",P141,""))</f>
        <v/>
      </c>
      <c r="O141" s="50" t="n">
        <v>27</v>
      </c>
      <c r="P141" s="50" t="n">
        <v>27</v>
      </c>
      <c r="Q141" s="50" t="n">
        <v>53.65</v>
      </c>
      <c r="R141" s="50" t="n">
        <v>76.23999999999999</v>
      </c>
      <c r="S141" s="28">
        <f>IF(Q141="","",IF(Q141&lt;0,"negative profit",IF(Q141&gt;Notes!$B$4,"unusually high - verify","")))</f>
        <v/>
      </c>
      <c r="T141" s="28" t="inlineStr">
        <is>
          <t>both</t>
        </is>
      </c>
      <c r="U141" s="28">
        <f>IF(T141&lt;&gt;"both",T141&amp;" only",IF(V141="","agree","conflict"))</f>
        <v/>
      </c>
      <c r="V141" s="28">
        <f>IF(T141="both",TRIM(IF(AND(E141&lt;&gt;"",F141&lt;&gt;"",E141&lt;&gt;F141),"level ","")&amp;IF(AND(L141&lt;&gt;"",M141&lt;&gt;"",L141&lt;&gt;M141),"price ","")&amp;IF(AND(O141&lt;&gt;"",P141&lt;&gt;"",O141&lt;&gt;P141),"xp ","")&amp;IF(J141="differs","time","")),"")</f>
        <v/>
      </c>
      <c r="X141" s="50" t="inlineStr">
        <is>
          <t>Plain Donut x1; Cream x1; Brown Sugar x1</t>
        </is>
      </c>
      <c r="Y141" s="50" t="inlineStr">
        <is>
          <t>Cream Donut.png</t>
        </is>
      </c>
      <c r="Z141" s="50" t="inlineStr">
        <is>
          <t>icons/Donut Maker/Cream Donut.png</t>
        </is>
      </c>
      <c r="AA141" s="28" t="inlineStr">
        <is>
          <t>hayday.info /api/production-data (2026-10-13) + Hay Day Wiki infobox via MediaWiki API (2026-10-13)</t>
        </is>
      </c>
      <c r="AB141" s="28" t="inlineStr">
        <is>
          <t>https://hayday.fandom.com/wiki/Cream_Donut</t>
        </is>
      </c>
      <c r="AC141" s="50" t="inlineStr">
        <is>
          <t>Cream Donut</t>
        </is>
      </c>
    </row>
    <row r="142">
      <c r="A142" s="28" t="inlineStr">
        <is>
          <t>Bacon Donut</t>
        </is>
      </c>
      <c r="B142" s="28" t="inlineStr">
        <is>
          <t>Donut Maker</t>
        </is>
      </c>
      <c r="C142" s="50" t="inlineStr">
        <is>
          <t>Product</t>
        </is>
      </c>
      <c r="D142" s="28">
        <f>IF(E142&lt;&gt;"",E142,IF(F142&lt;&gt;"",F142,""))</f>
        <v/>
      </c>
      <c r="E142" s="50" t="n">
        <v>88</v>
      </c>
      <c r="F142" s="50" t="n">
        <v>88</v>
      </c>
      <c r="G142" s="50" t="n">
        <v>25</v>
      </c>
      <c r="H142" s="50" t="n">
        <v>30</v>
      </c>
      <c r="I142" s="50" t="n">
        <v>25</v>
      </c>
      <c r="J142" s="28">
        <f>IF(OR(G142="",AND(H142="",I142="")),"n/a",IF(G142=I142,"mastered",IF(G142=H142,"normal","differs")))</f>
        <v/>
      </c>
      <c r="K142" s="28">
        <f>IF(L142&lt;&gt;"",L142,IF(M142&lt;&gt;"",M142,""))</f>
        <v/>
      </c>
      <c r="L142" s="50" t="n">
        <v>388</v>
      </c>
      <c r="M142" s="50" t="n">
        <v>388</v>
      </c>
      <c r="N142" s="28">
        <f>IF(O142&lt;&gt;"",O142,IF(P142&lt;&gt;"",P142,""))</f>
        <v/>
      </c>
      <c r="O142" s="50" t="n">
        <v>46</v>
      </c>
      <c r="P142" s="50" t="n">
        <v>46</v>
      </c>
      <c r="Q142" s="50" t="n">
        <v>44.71</v>
      </c>
      <c r="R142" s="50" t="n">
        <v>108.24</v>
      </c>
      <c r="S142" s="28">
        <f>IF(Q142="","",IF(Q142&lt;0,"negative profit",IF(Q142&gt;Notes!$B$4,"unusually high - verify","")))</f>
        <v/>
      </c>
      <c r="T142" s="28" t="inlineStr">
        <is>
          <t>both</t>
        </is>
      </c>
      <c r="U142" s="28">
        <f>IF(T142&lt;&gt;"both",T142&amp;" only",IF(V142="","agree","conflict"))</f>
        <v/>
      </c>
      <c r="V142" s="28">
        <f>IF(T142="both",TRIM(IF(AND(E142&lt;&gt;"",F142&lt;&gt;"",E142&lt;&gt;F142),"level ","")&amp;IF(AND(L142&lt;&gt;"",M142&lt;&gt;"",L142&lt;&gt;M142),"price ","")&amp;IF(AND(O142&lt;&gt;"",P142&lt;&gt;"",O142&lt;&gt;P142),"xp ","")&amp;IF(J142="differs","time","")),"")</f>
        <v/>
      </c>
      <c r="X142" s="50" t="inlineStr">
        <is>
          <t>Plain Donut x1; Bacon x3; Syrup x1</t>
        </is>
      </c>
      <c r="Y142" s="50" t="inlineStr">
        <is>
          <t>Bacon Donut.png</t>
        </is>
      </c>
      <c r="Z142" s="50" t="inlineStr">
        <is>
          <t>icons/Donut Maker/Bacon Donut.png</t>
        </is>
      </c>
      <c r="AA142" s="28" t="inlineStr">
        <is>
          <t>hayday.info /api/production-data (2026-10-13) + Hay Day Wiki infobox via MediaWiki API (2026-10-13)</t>
        </is>
      </c>
      <c r="AB142" s="28" t="inlineStr">
        <is>
          <t>https://hayday.fandom.com/wiki/Bacon_Donut</t>
        </is>
      </c>
      <c r="AC142" s="50" t="inlineStr">
        <is>
          <t>Bacon Donut</t>
        </is>
      </c>
    </row>
    <row r="143">
      <c r="A143" s="28" t="inlineStr">
        <is>
          <t>Filled Donut</t>
        </is>
      </c>
      <c r="B143" s="28" t="inlineStr">
        <is>
          <t>Donut Maker</t>
        </is>
      </c>
      <c r="C143" s="50" t="inlineStr">
        <is>
          <t>Product</t>
        </is>
      </c>
      <c r="D143" s="28">
        <f>IF(E143&lt;&gt;"",E143,IF(F143&lt;&gt;"",F143,""))</f>
        <v/>
      </c>
      <c r="E143" s="50" t="n">
        <v>93</v>
      </c>
      <c r="F143" s="50" t="n">
        <v>93</v>
      </c>
      <c r="G143" s="50" t="n">
        <v>29</v>
      </c>
      <c r="H143" s="50" t="n">
        <v>35</v>
      </c>
      <c r="I143" s="50" t="n">
        <v>29</v>
      </c>
      <c r="J143" s="28">
        <f>IF(OR(G143="",AND(H143="",I143="")),"n/a",IF(G143=I143,"mastered",IF(G143=H143,"normal","differs")))</f>
        <v/>
      </c>
      <c r="K143" s="28">
        <f>IF(L143&lt;&gt;"",L143,IF(M143&lt;&gt;"",M143,""))</f>
        <v/>
      </c>
      <c r="L143" s="50" t="n">
        <v>403</v>
      </c>
      <c r="M143" s="50" t="n">
        <v>403</v>
      </c>
      <c r="N143" s="28">
        <f>IF(O143&lt;&gt;"",O143,IF(P143&lt;&gt;"",P143,""))</f>
        <v/>
      </c>
      <c r="O143" s="50" t="n">
        <v>48</v>
      </c>
      <c r="P143" s="50" t="n">
        <v>48</v>
      </c>
      <c r="Q143" s="50" t="n">
        <v>44.37</v>
      </c>
      <c r="R143" s="50" t="n">
        <v>96.81</v>
      </c>
      <c r="S143" s="28">
        <f>IF(Q143="","",IF(Q143&lt;0,"negative profit",IF(Q143&gt;Notes!$B$4,"unusually high - verify","")))</f>
        <v/>
      </c>
      <c r="T143" s="28" t="inlineStr">
        <is>
          <t>both</t>
        </is>
      </c>
      <c r="U143" s="28">
        <f>IF(T143&lt;&gt;"both",T143&amp;" only",IF(V143="","agree","conflict"))</f>
        <v/>
      </c>
      <c r="V143" s="28">
        <f>IF(T143="both",TRIM(IF(AND(E143&lt;&gt;"",F143&lt;&gt;"",E143&lt;&gt;F143),"level ","")&amp;IF(AND(L143&lt;&gt;"",M143&lt;&gt;"",L143&lt;&gt;M143),"price ","")&amp;IF(AND(O143&lt;&gt;"",P143&lt;&gt;"",O143&lt;&gt;P143),"xp ","")&amp;IF(J143="differs","time","")),"")</f>
        <v/>
      </c>
      <c r="X143" s="50" t="inlineStr">
        <is>
          <t>Plain Donut x1; Raspberry Jam x1</t>
        </is>
      </c>
      <c r="Y143" s="50" t="inlineStr">
        <is>
          <t>Filled Donut.png</t>
        </is>
      </c>
      <c r="Z143" s="50" t="inlineStr">
        <is>
          <t>icons/Donut Maker/Filled Donut.png</t>
        </is>
      </c>
      <c r="AA143" s="28" t="inlineStr">
        <is>
          <t>hayday.info /api/production-data (2026-10-13) + Hay Day Wiki infobox via MediaWiki API (2026-10-13)</t>
        </is>
      </c>
      <c r="AB143" s="28" t="inlineStr">
        <is>
          <t>https://hayday.fandom.com/wiki/Filled_Donut</t>
        </is>
      </c>
      <c r="AC143" s="50" t="inlineStr">
        <is>
          <t>Filled Donut</t>
        </is>
      </c>
    </row>
    <row r="144">
      <c r="A144" s="28" t="inlineStr">
        <is>
          <t>Duck Feather</t>
        </is>
      </c>
      <c r="B144" s="28" t="inlineStr">
        <is>
          <t>Duck Salon</t>
        </is>
      </c>
      <c r="C144" s="50" t="inlineStr">
        <is>
          <t>Animal good</t>
        </is>
      </c>
      <c r="D144" s="28">
        <f>IF(E144&lt;&gt;"",E144,IF(F144&lt;&gt;"",F144,""))</f>
        <v/>
      </c>
      <c r="E144" s="50" t="n">
        <v>50</v>
      </c>
      <c r="F144" s="50" t="n">
        <v>50</v>
      </c>
      <c r="G144" s="50" t="n">
        <v>180</v>
      </c>
      <c r="H144" s="50" t="n">
        <v>180</v>
      </c>
      <c r="I144" s="50" t="n"/>
      <c r="J144" s="28">
        <f>IF(OR(G144="",AND(H144="",I144="")),"n/a",IF(G144=I144,"mastered",IF(G144=H144,"normal","differs")))</f>
        <v/>
      </c>
      <c r="K144" s="28">
        <f>IF(L144&lt;&gt;"",L144,IF(M144&lt;&gt;"",M144,""))</f>
        <v/>
      </c>
      <c r="L144" s="50" t="n">
        <v>140</v>
      </c>
      <c r="M144" s="50" t="n">
        <v>140</v>
      </c>
      <c r="N144" s="28">
        <f>IF(O144&lt;&gt;"",O144,IF(P144&lt;&gt;"",P144,""))</f>
        <v/>
      </c>
      <c r="O144" s="50" t="n">
        <v>17</v>
      </c>
      <c r="P144" s="50" t="n">
        <v>17</v>
      </c>
      <c r="Q144" s="50" t="n">
        <v>46.67</v>
      </c>
      <c r="R144" s="50" t="n">
        <v>5.67</v>
      </c>
      <c r="S144" s="28">
        <f>IF(Q144="","",IF(Q144&lt;0,"negative profit",IF(Q144&gt;Notes!$B$4,"unusually high - verify","")))</f>
        <v/>
      </c>
      <c r="T144" s="28" t="inlineStr">
        <is>
          <t>both</t>
        </is>
      </c>
      <c r="U144" s="28">
        <f>IF(T144&lt;&gt;"both",T144&amp;" only",IF(V144="","agree","conflict"))</f>
        <v/>
      </c>
      <c r="V144" s="28">
        <f>IF(T144="both",TRIM(IF(AND(E144&lt;&gt;"",F144&lt;&gt;"",E144&lt;&gt;F144),"level ","")&amp;IF(AND(L144&lt;&gt;"",M144&lt;&gt;"",L144&lt;&gt;M144),"price ","")&amp;IF(AND(O144&lt;&gt;"",P144&lt;&gt;"",O144&lt;&gt;P144),"xp ","")&amp;IF(J144="differs","time","")),"")</f>
        <v/>
      </c>
      <c r="X144" s="50" t="n"/>
      <c r="Y144" s="50" t="inlineStr">
        <is>
          <t>Duck Feather.png</t>
        </is>
      </c>
      <c r="Z144" s="50" t="inlineStr">
        <is>
          <t>icons/Duck Salon/Duck Feather.png</t>
        </is>
      </c>
      <c r="AA144" s="28" t="inlineStr">
        <is>
          <t>hayday.info /api/production-data (2026-10-13) + Hay Day Wiki infobox via MediaWiki API (2026-10-13)</t>
        </is>
      </c>
      <c r="AB144" s="28" t="inlineStr">
        <is>
          <t>https://hayday.fandom.com/wiki/Duck_Feather</t>
        </is>
      </c>
      <c r="AC144" s="50" t="inlineStr">
        <is>
          <t>Duck feather</t>
        </is>
      </c>
    </row>
    <row r="145">
      <c r="A145" s="28" t="inlineStr">
        <is>
          <t>Chicken Feed</t>
        </is>
      </c>
      <c r="B145" s="28" t="inlineStr">
        <is>
          <t>Feed Mill</t>
        </is>
      </c>
      <c r="C145" s="50" t="inlineStr">
        <is>
          <t>Product</t>
        </is>
      </c>
      <c r="D145" s="28">
        <f>IF(E145&lt;&gt;"",E145,IF(F145&lt;&gt;"",F145,""))</f>
        <v/>
      </c>
      <c r="E145" s="50" t="n">
        <v>3</v>
      </c>
      <c r="F145" s="50" t="n">
        <v>2</v>
      </c>
      <c r="G145" s="50" t="n">
        <v>4</v>
      </c>
      <c r="H145" s="50" t="n">
        <v>5</v>
      </c>
      <c r="I145" s="50" t="n">
        <v>4</v>
      </c>
      <c r="J145" s="28">
        <f>IF(OR(G145="",AND(H145="",I145="")),"n/a",IF(G145=I145,"mastered",IF(G145=H145,"normal","differs")))</f>
        <v/>
      </c>
      <c r="K145" s="28">
        <f>IF(L145&lt;&gt;"",L145,IF(M145&lt;&gt;"",M145,""))</f>
        <v/>
      </c>
      <c r="L145" s="50" t="n">
        <v>7</v>
      </c>
      <c r="M145" s="50" t="n">
        <v>7</v>
      </c>
      <c r="N145" s="28">
        <f>IF(O145&lt;&gt;"",O145,IF(P145&lt;&gt;"",P145,""))</f>
        <v/>
      </c>
      <c r="O145" s="50" t="n">
        <v>1</v>
      </c>
      <c r="P145" s="50" t="n">
        <v>1</v>
      </c>
      <c r="Q145" s="50" t="n">
        <v>112.94</v>
      </c>
      <c r="R145" s="50" t="n">
        <v>14.12</v>
      </c>
      <c r="S145" s="28">
        <f>IF(Q145="","",IF(Q145&lt;0,"negative profit",IF(Q145&gt;Notes!$B$4,"unusually high - verify","")))</f>
        <v/>
      </c>
      <c r="T145" s="28" t="inlineStr">
        <is>
          <t>both</t>
        </is>
      </c>
      <c r="U145" s="28">
        <f>IF(T145&lt;&gt;"both",T145&amp;" only",IF(V145="","agree","conflict"))</f>
        <v/>
      </c>
      <c r="V145" s="28">
        <f>IF(T145="both",TRIM(IF(AND(E145&lt;&gt;"",F145&lt;&gt;"",E145&lt;&gt;F145),"level ","")&amp;IF(AND(L145&lt;&gt;"",M145&lt;&gt;"",L145&lt;&gt;M145),"price ","")&amp;IF(AND(O145&lt;&gt;"",P145&lt;&gt;"",O145&lt;&gt;P145),"xp ","")&amp;IF(J145="differs","time","")),"")</f>
        <v/>
      </c>
      <c r="W145" s="28" t="inlineStr">
        <is>
          <t>time 4 (machine page) vs 5 (product page)</t>
        </is>
      </c>
      <c r="X145" s="50" t="inlineStr">
        <is>
          <t>Wheat x2; Corn x1</t>
        </is>
      </c>
      <c r="Y145" s="50" t="inlineStr">
        <is>
          <t>Chicken_Feed.png</t>
        </is>
      </c>
      <c r="Z145" s="50" t="inlineStr">
        <is>
          <t>icons/Feed Mill/Chicken Feed.png</t>
        </is>
      </c>
      <c r="AA145" s="28" t="inlineStr">
        <is>
          <t>hayday.info /api/production-data (2026-10-13) + Hay Day Wiki infobox via MediaWiki API (2026-10-13)</t>
        </is>
      </c>
      <c r="AB145" s="28" t="inlineStr">
        <is>
          <t>https://hayday.fandom.com/wiki/Chicken_Feed</t>
        </is>
      </c>
      <c r="AC145" s="50" t="inlineStr">
        <is>
          <t>Chicken feed</t>
        </is>
      </c>
    </row>
    <row r="146">
      <c r="A146" s="28" t="inlineStr">
        <is>
          <t>Cow Feed</t>
        </is>
      </c>
      <c r="B146" s="28" t="inlineStr">
        <is>
          <t>Feed Mill</t>
        </is>
      </c>
      <c r="C146" s="50" t="inlineStr">
        <is>
          <t>Product</t>
        </is>
      </c>
      <c r="D146" s="28">
        <f>IF(E146&lt;&gt;"",E146,IF(F146&lt;&gt;"",F146,""))</f>
        <v/>
      </c>
      <c r="E146" s="50" t="n">
        <v>6</v>
      </c>
      <c r="F146" s="50" t="n">
        <v>6</v>
      </c>
      <c r="G146" s="50" t="n">
        <v>8</v>
      </c>
      <c r="H146" s="50" t="n">
        <v>10</v>
      </c>
      <c r="I146" s="50" t="n">
        <v>8</v>
      </c>
      <c r="J146" s="28">
        <f>IF(OR(G146="",AND(H146="",I146="")),"n/a",IF(G146=I146,"mastered",IF(G146=H146,"normal","differs")))</f>
        <v/>
      </c>
      <c r="K146" s="28">
        <f>IF(L146&lt;&gt;"",L146,IF(M146&lt;&gt;"",M146,""))</f>
        <v/>
      </c>
      <c r="L146" s="50" t="n">
        <v>14</v>
      </c>
      <c r="M146" s="50" t="n">
        <v>14</v>
      </c>
      <c r="N146" s="28">
        <f>IF(O146&lt;&gt;"",O146,IF(P146&lt;&gt;"",P146,""))</f>
        <v/>
      </c>
      <c r="O146" s="50" t="n">
        <v>2</v>
      </c>
      <c r="P146" s="50" t="n">
        <v>2</v>
      </c>
      <c r="Q146" s="50" t="n">
        <v>105.88</v>
      </c>
      <c r="R146" s="50" t="n">
        <v>14.12</v>
      </c>
      <c r="S146" s="28">
        <f>IF(Q146="","",IF(Q146&lt;0,"negative profit",IF(Q146&gt;Notes!$B$4,"unusually high - verify","")))</f>
        <v/>
      </c>
      <c r="T146" s="28" t="inlineStr">
        <is>
          <t>both</t>
        </is>
      </c>
      <c r="U146" s="28">
        <f>IF(T146&lt;&gt;"both",T146&amp;" only",IF(V146="","agree","conflict"))</f>
        <v/>
      </c>
      <c r="V146" s="28">
        <f>IF(T146="both",TRIM(IF(AND(E146&lt;&gt;"",F146&lt;&gt;"",E146&lt;&gt;F146),"level ","")&amp;IF(AND(L146&lt;&gt;"",M146&lt;&gt;"",L146&lt;&gt;M146),"price ","")&amp;IF(AND(O146&lt;&gt;"",P146&lt;&gt;"",O146&lt;&gt;P146),"xp ","")&amp;IF(J146="differs","time","")),"")</f>
        <v/>
      </c>
      <c r="X146" s="50" t="inlineStr">
        <is>
          <t>Soybean x2; Corn x1</t>
        </is>
      </c>
      <c r="Y146" s="50" t="inlineStr">
        <is>
          <t>Cow_Feed.png</t>
        </is>
      </c>
      <c r="Z146" s="50" t="inlineStr">
        <is>
          <t>icons/Feed Mill/Cow Feed.png</t>
        </is>
      </c>
      <c r="AA146" s="28" t="inlineStr">
        <is>
          <t>hayday.info /api/production-data (2026-10-13) + Hay Day Wiki infobox via MediaWiki API (2026-10-13)</t>
        </is>
      </c>
      <c r="AB146" s="28" t="inlineStr">
        <is>
          <t>https://hayday.fandom.com/wiki/Cow_Feed</t>
        </is>
      </c>
      <c r="AC146" s="50" t="inlineStr">
        <is>
          <t>Cow feed</t>
        </is>
      </c>
    </row>
    <row r="147">
      <c r="A147" s="28" t="inlineStr">
        <is>
          <t>Pig Feed</t>
        </is>
      </c>
      <c r="B147" s="28" t="inlineStr">
        <is>
          <t>Feed Mill</t>
        </is>
      </c>
      <c r="C147" s="50" t="inlineStr">
        <is>
          <t>Product</t>
        </is>
      </c>
      <c r="D147" s="28">
        <f>IF(E147&lt;&gt;"",E147,IF(F147&lt;&gt;"",F147,""))</f>
        <v/>
      </c>
      <c r="E147" s="50" t="n">
        <v>10</v>
      </c>
      <c r="F147" s="50" t="n">
        <v>10</v>
      </c>
      <c r="G147" s="50" t="n">
        <v>17</v>
      </c>
      <c r="H147" s="50" t="n">
        <v>20</v>
      </c>
      <c r="I147" s="50" t="n">
        <v>17</v>
      </c>
      <c r="J147" s="28">
        <f>IF(OR(G147="",AND(H147="",I147="")),"n/a",IF(G147=I147,"mastered",IF(G147=H147,"normal","differs")))</f>
        <v/>
      </c>
      <c r="K147" s="28">
        <f>IF(L147&lt;&gt;"",L147,IF(M147&lt;&gt;"",M147,""))</f>
        <v/>
      </c>
      <c r="L147" s="50" t="n">
        <v>14</v>
      </c>
      <c r="M147" s="50" t="n">
        <v>14</v>
      </c>
      <c r="N147" s="28">
        <f>IF(O147&lt;&gt;"",O147,IF(P147&lt;&gt;"",P147,""))</f>
        <v/>
      </c>
      <c r="O147" s="50" t="n">
        <v>2</v>
      </c>
      <c r="P147" s="50" t="n">
        <v>2</v>
      </c>
      <c r="Q147" s="50" t="n">
        <v>63.53</v>
      </c>
      <c r="R147" s="50" t="n">
        <v>7.06</v>
      </c>
      <c r="S147" s="28">
        <f>IF(Q147="","",IF(Q147&lt;0,"negative profit",IF(Q147&gt;Notes!$B$4,"unusually high - verify","")))</f>
        <v/>
      </c>
      <c r="T147" s="28" t="inlineStr">
        <is>
          <t>both</t>
        </is>
      </c>
      <c r="U147" s="28">
        <f>IF(T147&lt;&gt;"both",T147&amp;" only",IF(V147="","agree","conflict"))</f>
        <v/>
      </c>
      <c r="V147" s="28">
        <f>IF(T147="both",TRIM(IF(AND(E147&lt;&gt;"",F147&lt;&gt;"",E147&lt;&gt;F147),"level ","")&amp;IF(AND(L147&lt;&gt;"",M147&lt;&gt;"",L147&lt;&gt;M147),"price ","")&amp;IF(AND(O147&lt;&gt;"",P147&lt;&gt;"",O147&lt;&gt;P147),"xp ","")&amp;IF(J147="differs","time","")),"")</f>
        <v/>
      </c>
      <c r="X147" s="50" t="inlineStr">
        <is>
          <t>Carrot x2; Soybean x1</t>
        </is>
      </c>
      <c r="Y147" s="50" t="inlineStr">
        <is>
          <t>Pig_Feed.png</t>
        </is>
      </c>
      <c r="Z147" s="50" t="inlineStr">
        <is>
          <t>icons/Feed Mill/Pig Feed.png</t>
        </is>
      </c>
      <c r="AA147" s="28" t="inlineStr">
        <is>
          <t>hayday.info /api/production-data (2026-10-13) + Hay Day Wiki infobox via MediaWiki API (2026-10-13)</t>
        </is>
      </c>
      <c r="AB147" s="28" t="inlineStr">
        <is>
          <t>https://hayday.fandom.com/wiki/Pig_Feed</t>
        </is>
      </c>
      <c r="AC147" s="50" t="inlineStr">
        <is>
          <t>Pig feed</t>
        </is>
      </c>
    </row>
    <row r="148">
      <c r="A148" s="28" t="inlineStr">
        <is>
          <t>Sheep Feed</t>
        </is>
      </c>
      <c r="B148" s="28" t="inlineStr">
        <is>
          <t>Feed Mill</t>
        </is>
      </c>
      <c r="C148" s="50" t="inlineStr">
        <is>
          <t>Product</t>
        </is>
      </c>
      <c r="D148" s="28">
        <f>IF(E148&lt;&gt;"",E148,IF(F148&lt;&gt;"",F148,""))</f>
        <v/>
      </c>
      <c r="E148" s="50" t="n">
        <v>16</v>
      </c>
      <c r="F148" s="50" t="n">
        <v>16</v>
      </c>
      <c r="G148" s="50" t="n">
        <v>25</v>
      </c>
      <c r="H148" s="50" t="n">
        <v>30</v>
      </c>
      <c r="I148" s="50" t="n">
        <v>25</v>
      </c>
      <c r="J148" s="28">
        <f>IF(OR(G148="",AND(H148="",I148="")),"n/a",IF(G148=I148,"mastered",IF(G148=H148,"normal","differs")))</f>
        <v/>
      </c>
      <c r="K148" s="28">
        <f>IF(L148&lt;&gt;"",L148,IF(M148&lt;&gt;"",M148,""))</f>
        <v/>
      </c>
      <c r="L148" s="50" t="n">
        <v>14</v>
      </c>
      <c r="M148" s="50" t="n">
        <v>14</v>
      </c>
      <c r="N148" s="28">
        <f>IF(O148&lt;&gt;"",O148,IF(P148&lt;&gt;"",P148,""))</f>
        <v/>
      </c>
      <c r="O148" s="50" t="n">
        <v>3</v>
      </c>
      <c r="P148" s="50" t="n">
        <v>3</v>
      </c>
      <c r="Q148" s="50" t="n">
        <v>54.12</v>
      </c>
      <c r="R148" s="50" t="n">
        <v>7.06</v>
      </c>
      <c r="S148" s="28">
        <f>IF(Q148="","",IF(Q148&lt;0,"negative profit",IF(Q148&gt;Notes!$B$4,"unusually high - verify","")))</f>
        <v/>
      </c>
      <c r="T148" s="28" t="inlineStr">
        <is>
          <t>both</t>
        </is>
      </c>
      <c r="U148" s="28">
        <f>IF(T148&lt;&gt;"both",T148&amp;" only",IF(V148="","agree","conflict"))</f>
        <v/>
      </c>
      <c r="V148" s="28">
        <f>IF(T148="both",TRIM(IF(AND(E148&lt;&gt;"",F148&lt;&gt;"",E148&lt;&gt;F148),"level ","")&amp;IF(AND(L148&lt;&gt;"",M148&lt;&gt;"",L148&lt;&gt;M148),"price ","")&amp;IF(AND(O148&lt;&gt;"",P148&lt;&gt;"",O148&lt;&gt;P148),"xp ","")&amp;IF(J148="differs","time","")),"")</f>
        <v/>
      </c>
      <c r="X148" s="50" t="inlineStr">
        <is>
          <t>Wheat x3; Soybean x1</t>
        </is>
      </c>
      <c r="Y148" s="50" t="inlineStr">
        <is>
          <t>Sheep Feed.png</t>
        </is>
      </c>
      <c r="Z148" s="50" t="inlineStr">
        <is>
          <t>icons/Feed Mill/Sheep Feed.png</t>
        </is>
      </c>
      <c r="AA148" s="28" t="inlineStr">
        <is>
          <t>hayday.info /api/production-data (2026-10-13) + Hay Day Wiki infobox via MediaWiki API (2026-10-13)</t>
        </is>
      </c>
      <c r="AB148" s="28" t="inlineStr">
        <is>
          <t>https://hayday.fandom.com/wiki/Sheep_Feed</t>
        </is>
      </c>
      <c r="AC148" s="50" t="inlineStr">
        <is>
          <t>Sheep feed</t>
        </is>
      </c>
    </row>
    <row r="149">
      <c r="A149" s="28" t="inlineStr">
        <is>
          <t>Goat Feed</t>
        </is>
      </c>
      <c r="B149" s="28" t="inlineStr">
        <is>
          <t>Feed Mill</t>
        </is>
      </c>
      <c r="C149" s="50" t="inlineStr">
        <is>
          <t>Product</t>
        </is>
      </c>
      <c r="D149" s="28">
        <f>IF(E149&lt;&gt;"",E149,IF(F149&lt;&gt;"",F149,""))</f>
        <v/>
      </c>
      <c r="E149" s="50" t="n">
        <v>32</v>
      </c>
      <c r="F149" s="50" t="n">
        <v>32</v>
      </c>
      <c r="G149" s="50" t="n">
        <v>34</v>
      </c>
      <c r="H149" s="50" t="n">
        <v>40</v>
      </c>
      <c r="I149" s="50" t="n">
        <v>34</v>
      </c>
      <c r="J149" s="28">
        <f>IF(OR(G149="",AND(H149="",I149="")),"n/a",IF(G149=I149,"mastered",IF(G149=H149,"normal","differs")))</f>
        <v/>
      </c>
      <c r="K149" s="28">
        <f>IF(L149&lt;&gt;"",L149,IF(M149&lt;&gt;"",M149,""))</f>
        <v/>
      </c>
      <c r="L149" s="50" t="n">
        <v>14</v>
      </c>
      <c r="M149" s="50" t="n">
        <v>14</v>
      </c>
      <c r="N149" s="28">
        <f>IF(O149&lt;&gt;"",O149,IF(P149&lt;&gt;"",P149,""))</f>
        <v/>
      </c>
      <c r="O149" s="50" t="n">
        <v>3</v>
      </c>
      <c r="P149" s="50" t="n">
        <v>3</v>
      </c>
      <c r="Q149" s="50" t="n">
        <v>31.76</v>
      </c>
      <c r="R149" s="50" t="n">
        <v>5.29</v>
      </c>
      <c r="S149" s="28">
        <f>IF(Q149="","",IF(Q149&lt;0,"negative profit",IF(Q149&gt;Notes!$B$4,"unusually high - verify","")))</f>
        <v/>
      </c>
      <c r="T149" s="28" t="inlineStr">
        <is>
          <t>both</t>
        </is>
      </c>
      <c r="U149" s="28">
        <f>IF(T149&lt;&gt;"both",T149&amp;" only",IF(V149="","agree","conflict"))</f>
        <v/>
      </c>
      <c r="V149" s="28">
        <f>IF(T149="both",TRIM(IF(AND(E149&lt;&gt;"",F149&lt;&gt;"",E149&lt;&gt;F149),"level ","")&amp;IF(AND(L149&lt;&gt;"",M149&lt;&gt;"",L149&lt;&gt;M149),"price ","")&amp;IF(AND(O149&lt;&gt;"",P149&lt;&gt;"",O149&lt;&gt;P149),"xp ","")&amp;IF(J149="differs","time","")),"")</f>
        <v/>
      </c>
      <c r="X149" s="50" t="inlineStr">
        <is>
          <t>Wheat x1; Corn x1; Carrot x2</t>
        </is>
      </c>
      <c r="Y149" s="50" t="inlineStr">
        <is>
          <t>Goat Feed.png</t>
        </is>
      </c>
      <c r="Z149" s="50" t="inlineStr">
        <is>
          <t>icons/Feed Mill/Goat Feed.png</t>
        </is>
      </c>
      <c r="AA149" s="28" t="inlineStr">
        <is>
          <t>hayday.info /api/production-data (2026-10-13) + Hay Day Wiki infobox via MediaWiki API (2026-10-13)</t>
        </is>
      </c>
      <c r="AB149" s="28" t="inlineStr">
        <is>
          <t>https://hayday.fandom.com/wiki/Goat_Feed</t>
        </is>
      </c>
      <c r="AC149" s="50" t="inlineStr">
        <is>
          <t>Goat feed</t>
        </is>
      </c>
    </row>
    <row r="150">
      <c r="A150" s="28" t="inlineStr">
        <is>
          <t>Meat Bucket</t>
        </is>
      </c>
      <c r="B150" s="28" t="inlineStr">
        <is>
          <t>Feed Mill</t>
        </is>
      </c>
      <c r="C150" s="50" t="inlineStr">
        <is>
          <t>Product</t>
        </is>
      </c>
      <c r="D150" s="28">
        <f>IF(E150&lt;&gt;"",E150,IF(F150&lt;&gt;"",F150,""))</f>
        <v/>
      </c>
      <c r="E150" s="50" t="n">
        <v>34</v>
      </c>
      <c r="F150" s="50" t="n"/>
      <c r="G150" s="50" t="n">
        <v>38</v>
      </c>
      <c r="H150" s="50" t="n">
        <v>45</v>
      </c>
      <c r="I150" s="50" t="n">
        <v>38</v>
      </c>
      <c r="J150" s="28">
        <f>IF(OR(G150="",AND(H150="",I150="")),"n/a",IF(G150=I150,"mastered",IF(G150=H150,"normal","differs")))</f>
        <v/>
      </c>
      <c r="K150" s="28">
        <f>IF(L150&lt;&gt;"",L150,IF(M150&lt;&gt;"",M150,""))</f>
        <v/>
      </c>
      <c r="L150" s="50" t="n">
        <v>72</v>
      </c>
      <c r="M150" s="50" t="n">
        <v>72</v>
      </c>
      <c r="N150" s="28">
        <f>IF(O150&lt;&gt;"",O150,IF(P150&lt;&gt;"",P150,""))</f>
        <v/>
      </c>
      <c r="O150" s="50" t="n">
        <v>15</v>
      </c>
      <c r="P150" s="50" t="n">
        <v>15</v>
      </c>
      <c r="Q150" s="50" t="n">
        <v>29.8</v>
      </c>
      <c r="R150" s="50" t="n">
        <v>23.53</v>
      </c>
      <c r="S150" s="28">
        <f>IF(Q150="","",IF(Q150&lt;0,"negative profit",IF(Q150&gt;Notes!$B$4,"unusually high - verify","")))</f>
        <v/>
      </c>
      <c r="T150" s="28" t="inlineStr">
        <is>
          <t>both</t>
        </is>
      </c>
      <c r="U150" s="28">
        <f>IF(T150&lt;&gt;"both",T150&amp;" only",IF(V150="","agree","conflict"))</f>
        <v/>
      </c>
      <c r="V150" s="28">
        <f>IF(T150="both",TRIM(IF(AND(E150&lt;&gt;"",F150&lt;&gt;"",E150&lt;&gt;F150),"level ","")&amp;IF(AND(L150&lt;&gt;"",M150&lt;&gt;"",L150&lt;&gt;M150),"price ","")&amp;IF(AND(O150&lt;&gt;"",P150&lt;&gt;"",O150&lt;&gt;P150),"xp ","")&amp;IF(J150="differs","time","")),"")</f>
        <v/>
      </c>
      <c r="W150" s="28" t="inlineStr">
        <is>
          <t>xp 9 (machine page) vs 15 (product page)</t>
        </is>
      </c>
      <c r="X150" s="50" t="inlineStr">
        <is>
          <t>Fish Fillet x3; Carrot x5</t>
        </is>
      </c>
      <c r="Y150" s="50" t="inlineStr">
        <is>
          <t>Meat Bucket.png</t>
        </is>
      </c>
      <c r="Z150" s="50" t="inlineStr">
        <is>
          <t>icons/Feed Mill/Meat Bucket.png</t>
        </is>
      </c>
      <c r="AA150" s="28" t="inlineStr">
        <is>
          <t>hayday.info /api/production-data (2026-10-13) + Hay Day Wiki infobox via MediaWiki API (2026-10-13)</t>
        </is>
      </c>
      <c r="AB150" s="28" t="inlineStr">
        <is>
          <t>https://hayday.fandom.com/wiki/Meat_Bucket</t>
        </is>
      </c>
      <c r="AC150" s="50" t="inlineStr">
        <is>
          <t>Meat bucket</t>
        </is>
      </c>
    </row>
    <row r="151">
      <c r="A151" s="28" t="inlineStr">
        <is>
          <t>Wheat Bundle</t>
        </is>
      </c>
      <c r="B151" s="28" t="inlineStr">
        <is>
          <t>Feed Mill</t>
        </is>
      </c>
      <c r="C151" s="50" t="inlineStr">
        <is>
          <t>Product</t>
        </is>
      </c>
      <c r="D151" s="28">
        <f>IF(E151&lt;&gt;"",E151,IF(F151&lt;&gt;"",F151,""))</f>
        <v/>
      </c>
      <c r="E151" s="50" t="n">
        <v>34</v>
      </c>
      <c r="F151" s="50" t="n"/>
      <c r="G151" s="50" t="n">
        <v>76</v>
      </c>
      <c r="H151" s="50" t="n">
        <v>90</v>
      </c>
      <c r="I151" s="50" t="n">
        <v>76</v>
      </c>
      <c r="J151" s="28">
        <f>IF(OR(G151="",AND(H151="",I151="")),"n/a",IF(G151=I151,"mastered",IF(G151=H151,"normal","differs")))</f>
        <v/>
      </c>
      <c r="K151" s="28">
        <f>IF(L151&lt;&gt;"",L151,IF(M151&lt;&gt;"",M151,""))</f>
        <v/>
      </c>
      <c r="L151" s="50" t="n">
        <v>50</v>
      </c>
      <c r="M151" s="50" t="n">
        <v>50</v>
      </c>
      <c r="N151" s="28">
        <f>IF(O151&lt;&gt;"",O151,IF(P151&lt;&gt;"",P151,""))</f>
        <v/>
      </c>
      <c r="O151" s="50" t="n">
        <v>10</v>
      </c>
      <c r="P151" s="50" t="n">
        <v>10</v>
      </c>
      <c r="Q151" s="50" t="n">
        <v>-58.82</v>
      </c>
      <c r="R151" s="50" t="n">
        <v>7.84</v>
      </c>
      <c r="S151" s="28">
        <f>IF(Q151="","",IF(Q151&lt;0,"negative profit",IF(Q151&gt;Notes!$B$4,"unusually high - verify","")))</f>
        <v/>
      </c>
      <c r="T151" s="28" t="inlineStr">
        <is>
          <t>both</t>
        </is>
      </c>
      <c r="U151" s="28">
        <f>IF(T151&lt;&gt;"both",T151&amp;" only",IF(V151="","agree","conflict"))</f>
        <v/>
      </c>
      <c r="V151" s="28">
        <f>IF(T151="both",TRIM(IF(AND(E151&lt;&gt;"",F151&lt;&gt;"",E151&lt;&gt;F151),"level ","")&amp;IF(AND(L151&lt;&gt;"",M151&lt;&gt;"",L151&lt;&gt;M151),"price ","")&amp;IF(AND(O151&lt;&gt;"",P151&lt;&gt;"",O151&lt;&gt;P151),"xp ","")&amp;IF(J151="differs","time","")),"")</f>
        <v/>
      </c>
      <c r="X151" s="50" t="inlineStr">
        <is>
          <t>Wheat x75</t>
        </is>
      </c>
      <c r="Y151" s="50" t="inlineStr">
        <is>
          <t>Wheat Bundle.png</t>
        </is>
      </c>
      <c r="Z151" s="50" t="inlineStr">
        <is>
          <t>icons/Feed Mill/Wheat Bundle.png</t>
        </is>
      </c>
      <c r="AA151" s="28" t="inlineStr">
        <is>
          <t>hayday.info /api/production-data (2026-10-13) + Hay Day Wiki infobox via MediaWiki API (2026-10-13)</t>
        </is>
      </c>
      <c r="AB151" s="28" t="inlineStr">
        <is>
          <t>https://hayday.fandom.com/wiki/Wheat_Bundle</t>
        </is>
      </c>
      <c r="AC151" s="50" t="inlineStr">
        <is>
          <t>Wheat bundle</t>
        </is>
      </c>
    </row>
    <row r="152">
      <c r="A152" s="28" t="inlineStr">
        <is>
          <t>Lamb Feed</t>
        </is>
      </c>
      <c r="B152" s="28" t="inlineStr">
        <is>
          <t>Feed Mill</t>
        </is>
      </c>
      <c r="C152" s="50" t="inlineStr">
        <is>
          <t>Product</t>
        </is>
      </c>
      <c r="D152" s="28">
        <f>IF(E152&lt;&gt;"",E152,IF(F152&lt;&gt;"",F152,""))</f>
        <v/>
      </c>
      <c r="E152" s="50" t="n"/>
      <c r="F152" s="50" t="n">
        <v>25</v>
      </c>
      <c r="G152" s="50" t="n"/>
      <c r="H152" s="50" t="n">
        <v>10</v>
      </c>
      <c r="I152" s="50" t="n">
        <v>8</v>
      </c>
      <c r="J152" s="28">
        <f>IF(OR(G152="",AND(H152="",I152="")),"n/a",IF(G152=I152,"mastered",IF(G152=H152,"normal","differs")))</f>
        <v/>
      </c>
      <c r="K152" s="28">
        <f>IF(L152&lt;&gt;"",L152,IF(M152&lt;&gt;"",M152,""))</f>
        <v/>
      </c>
      <c r="L152" s="50" t="n"/>
      <c r="M152" s="50" t="n">
        <v>18</v>
      </c>
      <c r="N152" s="28">
        <f>IF(O152&lt;&gt;"",O152,IF(P152&lt;&gt;"",P152,""))</f>
        <v/>
      </c>
      <c r="O152" s="50" t="n"/>
      <c r="P152" s="50" t="n">
        <v>4</v>
      </c>
      <c r="Q152" s="50" t="n"/>
      <c r="R152" s="50" t="n"/>
      <c r="S152" s="28">
        <f>IF(Q152="","",IF(Q152&lt;0,"negative profit",IF(Q152&gt;Notes!$B$4,"unusually high - verify","")))</f>
        <v/>
      </c>
      <c r="T152" s="28" t="inlineStr">
        <is>
          <t>Fandom</t>
        </is>
      </c>
      <c r="U152" s="28">
        <f>IF(T152&lt;&gt;"both",T152&amp;" only",IF(V152="","agree","conflict"))</f>
        <v/>
      </c>
      <c r="V152" s="28">
        <f>IF(T152="both",TRIM(IF(AND(E152&lt;&gt;"",F152&lt;&gt;"",E152&lt;&gt;F152),"level ","")&amp;IF(AND(L152&lt;&gt;"",M152&lt;&gt;"",L152&lt;&gt;M152),"price ","")&amp;IF(AND(O152&lt;&gt;"",P152&lt;&gt;"",O152&lt;&gt;P152),"xp ","")&amp;IF(J152="differs","time","")),"")</f>
        <v/>
      </c>
      <c r="X152" s="50" t="inlineStr">
        <is>
          <t>Black Bean x4; Soybean x2</t>
        </is>
      </c>
      <c r="Y152" s="50" t="inlineStr">
        <is>
          <t>Lamb Feed.png</t>
        </is>
      </c>
      <c r="Z152" s="50" t="inlineStr">
        <is>
          <t>icons/Feed Mill/Lamb Feed.png</t>
        </is>
      </c>
      <c r="AA152" s="28" t="inlineStr">
        <is>
          <t>Hay Day Wiki infobox via MediaWiki API (2026-10-13)</t>
        </is>
      </c>
      <c r="AB152" s="28" t="inlineStr">
        <is>
          <t>https://hayday.fandom.com/wiki/Lamb_Feed</t>
        </is>
      </c>
      <c r="AC152" s="50" t="n"/>
    </row>
    <row r="153">
      <c r="A153" s="28" t="inlineStr">
        <is>
          <t>Rustic Bouquet</t>
        </is>
      </c>
      <c r="B153" s="28" t="inlineStr">
        <is>
          <t>Flower Shop</t>
        </is>
      </c>
      <c r="C153" s="50" t="inlineStr">
        <is>
          <t>Product</t>
        </is>
      </c>
      <c r="D153" s="28">
        <f>IF(E153&lt;&gt;"",E153,IF(F153&lt;&gt;"",F153,""))</f>
        <v/>
      </c>
      <c r="E153" s="50" t="n">
        <v>49</v>
      </c>
      <c r="F153" s="50" t="n">
        <v>49</v>
      </c>
      <c r="G153" s="50" t="n">
        <v>38</v>
      </c>
      <c r="H153" s="50" t="n">
        <v>45</v>
      </c>
      <c r="I153" s="50" t="n">
        <v>38</v>
      </c>
      <c r="J153" s="28">
        <f>IF(OR(G153="",AND(H153="",I153="")),"n/a",IF(G153=I153,"mastered",IF(G153=H153,"normal","differs")))</f>
        <v/>
      </c>
      <c r="K153" s="28">
        <f>IF(L153&lt;&gt;"",L153,IF(M153&lt;&gt;"",M153,""))</f>
        <v/>
      </c>
      <c r="L153" s="50" t="n">
        <v>208</v>
      </c>
      <c r="M153" s="50" t="n">
        <v>208</v>
      </c>
      <c r="N153" s="28">
        <f>IF(O153&lt;&gt;"",O153,IF(P153&lt;&gt;"",P153,""))</f>
        <v/>
      </c>
      <c r="O153" s="50" t="n">
        <v>25</v>
      </c>
      <c r="P153" s="50" t="n">
        <v>25</v>
      </c>
      <c r="Q153" s="50" t="n">
        <v>53.33</v>
      </c>
      <c r="R153" s="50" t="n">
        <v>39.22</v>
      </c>
      <c r="S153" s="28">
        <f>IF(Q153="","",IF(Q153&lt;0,"negative profit",IF(Q153&gt;Notes!$B$4,"unusually high - verify","")))</f>
        <v/>
      </c>
      <c r="T153" s="28" t="inlineStr">
        <is>
          <t>both</t>
        </is>
      </c>
      <c r="U153" s="28">
        <f>IF(T153&lt;&gt;"both",T153&amp;" only",IF(V153="","agree","conflict"))</f>
        <v/>
      </c>
      <c r="V153" s="28">
        <f>IF(T153="both",TRIM(IF(AND(E153&lt;&gt;"",F153&lt;&gt;"",E153&lt;&gt;F153),"level ","")&amp;IF(AND(L153&lt;&gt;"",M153&lt;&gt;"",L153&lt;&gt;M153),"price ","")&amp;IF(AND(O153&lt;&gt;"",P153&lt;&gt;"",O153&lt;&gt;P153),"xp ","")&amp;IF(J153="differs","time","")),"")</f>
        <v/>
      </c>
      <c r="X153" s="50" t="inlineStr">
        <is>
          <t>Wheat x5; Indigo x3; Cotton x3</t>
        </is>
      </c>
      <c r="Y153" s="50" t="inlineStr">
        <is>
          <t>Rustic Bouquet.png</t>
        </is>
      </c>
      <c r="Z153" s="50" t="inlineStr">
        <is>
          <t>icons/Flower Shop/Rustic Bouquet.png</t>
        </is>
      </c>
      <c r="AA153" s="28" t="inlineStr">
        <is>
          <t>hayday.info /api/production-data (2026-10-13) + Hay Day Wiki infobox via MediaWiki API (2026-10-13)</t>
        </is>
      </c>
      <c r="AB153" s="28" t="inlineStr">
        <is>
          <t>https://hayday.fandom.com/wiki/Rustic_Bouquet</t>
        </is>
      </c>
      <c r="AC153" s="50" t="inlineStr">
        <is>
          <t>Rustic bouquet</t>
        </is>
      </c>
    </row>
    <row r="154">
      <c r="A154" s="28" t="inlineStr">
        <is>
          <t>Bright Bouquet</t>
        </is>
      </c>
      <c r="B154" s="28" t="inlineStr">
        <is>
          <t>Flower Shop</t>
        </is>
      </c>
      <c r="C154" s="50" t="inlineStr">
        <is>
          <t>Product</t>
        </is>
      </c>
      <c r="D154" s="28">
        <f>IF(E154&lt;&gt;"",E154,IF(F154&lt;&gt;"",F154,""))</f>
        <v/>
      </c>
      <c r="E154" s="50" t="n">
        <v>65</v>
      </c>
      <c r="F154" s="50" t="n">
        <v>65</v>
      </c>
      <c r="G154" s="50" t="n">
        <v>17</v>
      </c>
      <c r="H154" s="50" t="n">
        <v>20</v>
      </c>
      <c r="I154" s="50" t="n">
        <v>17</v>
      </c>
      <c r="J154" s="28">
        <f>IF(OR(G154="",AND(H154="",I154="")),"n/a",IF(G154=I154,"mastered",IF(G154=H154,"normal","differs")))</f>
        <v/>
      </c>
      <c r="K154" s="28">
        <f>IF(L154&lt;&gt;"",L154,IF(M154&lt;&gt;"",M154,""))</f>
        <v/>
      </c>
      <c r="L154" s="50" t="n">
        <v>338</v>
      </c>
      <c r="M154" s="50" t="n">
        <v>338</v>
      </c>
      <c r="N154" s="28">
        <f>IF(O154&lt;&gt;"",O154,IF(P154&lt;&gt;"",P154,""))</f>
        <v/>
      </c>
      <c r="O154" s="50" t="n">
        <v>40</v>
      </c>
      <c r="P154" s="50" t="n">
        <v>40</v>
      </c>
      <c r="Q154" s="50" t="n">
        <v>458.82</v>
      </c>
      <c r="R154" s="50" t="n">
        <v>141.18</v>
      </c>
      <c r="S154" s="28">
        <f>IF(Q154="","",IF(Q154&lt;0,"negative profit",IF(Q154&gt;Notes!$B$4,"unusually high - verify","")))</f>
        <v/>
      </c>
      <c r="T154" s="28" t="inlineStr">
        <is>
          <t>both</t>
        </is>
      </c>
      <c r="U154" s="28">
        <f>IF(T154&lt;&gt;"both",T154&amp;" only",IF(V154="","agree","conflict"))</f>
        <v/>
      </c>
      <c r="V154" s="28">
        <f>IF(T154="both",TRIM(IF(AND(E154&lt;&gt;"",F154&lt;&gt;"",E154&lt;&gt;F154),"level ","")&amp;IF(AND(L154&lt;&gt;"",M154&lt;&gt;"",L154&lt;&gt;M154),"price ","")&amp;IF(AND(O154&lt;&gt;"",P154&lt;&gt;"",O154&lt;&gt;P154),"xp ","")&amp;IF(J154="differs","time","")),"")</f>
        <v/>
      </c>
      <c r="X154" s="50" t="inlineStr">
        <is>
          <t>Sunflower x5; Indigo x3; Cotton x1; Iron Ore x5</t>
        </is>
      </c>
      <c r="Y154" s="50" t="inlineStr">
        <is>
          <t>Bright Bouquet.png</t>
        </is>
      </c>
      <c r="Z154" s="50" t="inlineStr">
        <is>
          <t>icons/Flower Shop/Bright Bouquet.png</t>
        </is>
      </c>
      <c r="AA154" s="28" t="inlineStr">
        <is>
          <t>hayday.info /api/production-data (2026-10-13) + Hay Day Wiki infobox via MediaWiki API (2026-10-13)</t>
        </is>
      </c>
      <c r="AB154" s="28" t="inlineStr">
        <is>
          <t>https://hayday.fandom.com/wiki/Bright_Bouquet</t>
        </is>
      </c>
      <c r="AC154" s="50" t="inlineStr">
        <is>
          <t>Bright bouquet</t>
        </is>
      </c>
    </row>
    <row r="155">
      <c r="A155" s="28" t="inlineStr">
        <is>
          <t>Gracious Bouquet</t>
        </is>
      </c>
      <c r="B155" s="28" t="inlineStr">
        <is>
          <t>Flower Shop</t>
        </is>
      </c>
      <c r="C155" s="50" t="inlineStr">
        <is>
          <t>product</t>
        </is>
      </c>
      <c r="D155" s="28">
        <f>IF(E155&lt;&gt;"",E155,IF(F155&lt;&gt;"",F155,""))</f>
        <v/>
      </c>
      <c r="E155" s="50" t="n">
        <v>73</v>
      </c>
      <c r="F155" s="50" t="n">
        <v>73</v>
      </c>
      <c r="G155" s="50" t="n">
        <v>34</v>
      </c>
      <c r="H155" s="50" t="n">
        <v>40</v>
      </c>
      <c r="I155" s="50" t="n">
        <v>34</v>
      </c>
      <c r="J155" s="28">
        <f>IF(OR(G155="",AND(H155="",I155="")),"n/a",IF(G155=I155,"mastered",IF(G155=H155,"normal","differs")))</f>
        <v/>
      </c>
      <c r="K155" s="28">
        <f>IF(L155&lt;&gt;"",L155,IF(M155&lt;&gt;"",M155,""))</f>
        <v/>
      </c>
      <c r="L155" s="50" t="n">
        <v>500</v>
      </c>
      <c r="M155" s="50" t="n">
        <v>500</v>
      </c>
      <c r="N155" s="28">
        <f>IF(O155&lt;&gt;"",O155,IF(P155&lt;&gt;"",P155,""))</f>
        <v/>
      </c>
      <c r="O155" s="50" t="n">
        <v>60</v>
      </c>
      <c r="P155" s="50" t="n">
        <v>60</v>
      </c>
      <c r="Q155" s="50" t="n">
        <v>469.41</v>
      </c>
      <c r="R155" s="50" t="n">
        <v>105.88</v>
      </c>
      <c r="S155" s="28">
        <f>IF(Q155="","",IF(Q155&lt;0,"negative profit",IF(Q155&gt;Notes!$B$4,"unusually high - verify","")))</f>
        <v/>
      </c>
      <c r="T155" s="28" t="inlineStr">
        <is>
          <t>both</t>
        </is>
      </c>
      <c r="U155" s="28">
        <f>IF(T155&lt;&gt;"both",T155&amp;" only",IF(V155="","agree","conflict"))</f>
        <v/>
      </c>
      <c r="V155" s="28">
        <f>IF(T155="both",TRIM(IF(AND(E155&lt;&gt;"",F155&lt;&gt;"",E155&lt;&gt;F155),"level ","")&amp;IF(AND(L155&lt;&gt;"",M155&lt;&gt;"",L155&lt;&gt;M155),"price ","")&amp;IF(AND(O155&lt;&gt;"",P155&lt;&gt;"",O155&lt;&gt;P155),"xp ","")&amp;IF(J155="differs","time","")),"")</f>
        <v/>
      </c>
      <c r="X155" s="50" t="inlineStr">
        <is>
          <t>Cotton Fabric x1; Lily x5; Gold Ore x1; Diamond x1</t>
        </is>
      </c>
      <c r="Y155" s="50" t="inlineStr">
        <is>
          <t>Gracious Bouquet.png</t>
        </is>
      </c>
      <c r="Z155" s="50" t="inlineStr">
        <is>
          <t>icons/Flower Shop/Gracious Bouquet.png</t>
        </is>
      </c>
      <c r="AA155" s="28" t="inlineStr">
        <is>
          <t>hayday.info /api/production-data (2026-10-13) + Hay Day Wiki infobox via MediaWiki API (2026-10-13)</t>
        </is>
      </c>
      <c r="AB155" s="28" t="inlineStr">
        <is>
          <t>https://hayday.fandom.com/wiki/Gracious_Bouquet</t>
        </is>
      </c>
      <c r="AC155" s="50" t="inlineStr">
        <is>
          <t>Gracious bouquet</t>
        </is>
      </c>
    </row>
    <row r="156">
      <c r="A156" s="28" t="inlineStr">
        <is>
          <t>Candy Bouquet</t>
        </is>
      </c>
      <c r="B156" s="28" t="inlineStr">
        <is>
          <t>Flower Shop</t>
        </is>
      </c>
      <c r="C156" s="50" t="inlineStr">
        <is>
          <t>Product</t>
        </is>
      </c>
      <c r="D156" s="28">
        <f>IF(E156&lt;&gt;"",E156,IF(F156&lt;&gt;"",F156,""))</f>
        <v/>
      </c>
      <c r="E156" s="50" t="n">
        <v>90</v>
      </c>
      <c r="F156" s="50" t="n">
        <v>90</v>
      </c>
      <c r="G156" s="50" t="n">
        <v>17</v>
      </c>
      <c r="H156" s="50" t="n">
        <v>20</v>
      </c>
      <c r="I156" s="50" t="n">
        <v>17</v>
      </c>
      <c r="J156" s="28">
        <f>IF(OR(G156="",AND(H156="",I156="")),"n/a",IF(G156=I156,"mastered",IF(G156=H156,"normal","differs")))</f>
        <v/>
      </c>
      <c r="K156" s="28">
        <f>IF(L156&lt;&gt;"",L156,IF(M156&lt;&gt;"",M156,""))</f>
        <v/>
      </c>
      <c r="L156" s="50" t="n">
        <v>554</v>
      </c>
      <c r="M156" s="50" t="n">
        <v>554</v>
      </c>
      <c r="N156" s="28">
        <f>IF(O156&lt;&gt;"",O156,IF(P156&lt;&gt;"",P156,""))</f>
        <v/>
      </c>
      <c r="O156" s="50" t="n">
        <v>66</v>
      </c>
      <c r="P156" s="50" t="n">
        <v>66</v>
      </c>
      <c r="Q156" s="50" t="n">
        <v>52.94</v>
      </c>
      <c r="R156" s="50" t="n">
        <v>232.94</v>
      </c>
      <c r="S156" s="28">
        <f>IF(Q156="","",IF(Q156&lt;0,"negative profit",IF(Q156&gt;Notes!$B$4,"unusually high - verify","")))</f>
        <v/>
      </c>
      <c r="T156" s="28" t="inlineStr">
        <is>
          <t>both</t>
        </is>
      </c>
      <c r="U156" s="28">
        <f>IF(T156&lt;&gt;"both",T156&amp;" only",IF(V156="","agree","conflict"))</f>
        <v/>
      </c>
      <c r="V156" s="28">
        <f>IF(T156="both",TRIM(IF(AND(E156&lt;&gt;"",F156&lt;&gt;"",E156&lt;&gt;F156),"level ","")&amp;IF(AND(L156&lt;&gt;"",M156&lt;&gt;"",L156&lt;&gt;M156),"price ","")&amp;IF(AND(O156&lt;&gt;"",P156&lt;&gt;"",O156&lt;&gt;P156),"xp ","")&amp;IF(J156="differs","time","")),"")</f>
        <v/>
      </c>
      <c r="X156" s="50" t="inlineStr">
        <is>
          <t>Peony x3; Caramel Apple x1; Toffee x1</t>
        </is>
      </c>
      <c r="Y156" s="50" t="inlineStr">
        <is>
          <t>Candy Bouquet.png</t>
        </is>
      </c>
      <c r="Z156" s="50" t="inlineStr">
        <is>
          <t>icons/Flower Shop/Candy Bouquet.png</t>
        </is>
      </c>
      <c r="AA156" s="28" t="inlineStr">
        <is>
          <t>hayday.info /api/production-data (2026-10-13) + Hay Day Wiki infobox via MediaWiki API (2026-10-13)</t>
        </is>
      </c>
      <c r="AB156" s="28" t="inlineStr">
        <is>
          <t>https://hayday.fandom.com/wiki/Candy_Bouquet</t>
        </is>
      </c>
      <c r="AC156" s="50" t="inlineStr">
        <is>
          <t>Candy bouquet</t>
        </is>
      </c>
    </row>
    <row r="157">
      <c r="A157" s="28" t="inlineStr">
        <is>
          <t>Birthday Bouquet</t>
        </is>
      </c>
      <c r="B157" s="28" t="inlineStr">
        <is>
          <t>Flower Shop</t>
        </is>
      </c>
      <c r="C157" s="50" t="inlineStr">
        <is>
          <t>Product</t>
        </is>
      </c>
      <c r="D157" s="28">
        <f>IF(E157&lt;&gt;"",E157,IF(F157&lt;&gt;"",F157,""))</f>
        <v/>
      </c>
      <c r="E157" s="50" t="n">
        <v>92</v>
      </c>
      <c r="F157" s="50" t="n">
        <v>92</v>
      </c>
      <c r="G157" s="50" t="n">
        <v>17</v>
      </c>
      <c r="H157" s="50" t="n">
        <v>20</v>
      </c>
      <c r="I157" s="50" t="n">
        <v>17</v>
      </c>
      <c r="J157" s="28">
        <f>IF(OR(G157="",AND(H157="",I157="")),"n/a",IF(G157=I157,"mastered",IF(G157=H157,"normal","differs")))</f>
        <v/>
      </c>
      <c r="K157" s="28">
        <f>IF(L157&lt;&gt;"",L157,IF(M157&lt;&gt;"",M157,""))</f>
        <v/>
      </c>
      <c r="L157" s="50" t="n">
        <v>349</v>
      </c>
      <c r="M157" s="50" t="n">
        <v>349</v>
      </c>
      <c r="N157" s="28">
        <f>IF(O157&lt;&gt;"",O157,IF(P157&lt;&gt;"",P157,""))</f>
        <v/>
      </c>
      <c r="O157" s="50" t="n">
        <v>42</v>
      </c>
      <c r="P157" s="50" t="n">
        <v>42</v>
      </c>
      <c r="Q157" s="50" t="n">
        <v>-74.12</v>
      </c>
      <c r="R157" s="50" t="n">
        <v>148.24</v>
      </c>
      <c r="S157" s="28">
        <f>IF(Q157="","",IF(Q157&lt;0,"negative profit",IF(Q157&gt;Notes!$B$4,"unusually high - verify","")))</f>
        <v/>
      </c>
      <c r="T157" s="28" t="inlineStr">
        <is>
          <t>both</t>
        </is>
      </c>
      <c r="U157" s="28">
        <f>IF(T157&lt;&gt;"both",T157&amp;" only",IF(V157="","agree","conflict"))</f>
        <v/>
      </c>
      <c r="V157" s="28">
        <f>IF(T157="both",TRIM(IF(AND(E157&lt;&gt;"",F157&lt;&gt;"",E157&lt;&gt;F157),"level ","")&amp;IF(AND(L157&lt;&gt;"",M157&lt;&gt;"",L157&lt;&gt;M157),"price ","")&amp;IF(AND(O157&lt;&gt;"",P157&lt;&gt;"",O157&lt;&gt;P157),"xp ","")&amp;IF(J157="differs","time","")),"")</f>
        <v/>
      </c>
      <c r="X157" s="50" t="inlineStr">
        <is>
          <t>Cherry Juice x1; Peony x3; Lily x1; Indigo x1</t>
        </is>
      </c>
      <c r="Y157" s="50" t="inlineStr">
        <is>
          <t>Birthday Bouquet.png</t>
        </is>
      </c>
      <c r="Z157" s="50" t="inlineStr">
        <is>
          <t>icons/Flower Shop/Birthday Bouquet.png</t>
        </is>
      </c>
      <c r="AA157" s="28" t="inlineStr">
        <is>
          <t>hayday.info /api/production-data (2026-10-13) + Hay Day Wiki infobox via MediaWiki API (2026-10-13)</t>
        </is>
      </c>
      <c r="AB157" s="28" t="inlineStr">
        <is>
          <t>https://hayday.fandom.com/wiki/Birthday_Bouquet</t>
        </is>
      </c>
      <c r="AC157" s="50" t="inlineStr">
        <is>
          <t>Birthday Bouquet</t>
        </is>
      </c>
    </row>
    <row r="158">
      <c r="A158" s="28" t="inlineStr">
        <is>
          <t>Soft Bouquet</t>
        </is>
      </c>
      <c r="B158" s="28" t="inlineStr">
        <is>
          <t>Flower Shop</t>
        </is>
      </c>
      <c r="C158" s="50" t="inlineStr">
        <is>
          <t>Product</t>
        </is>
      </c>
      <c r="D158" s="28">
        <f>IF(E158&lt;&gt;"",E158,IF(F158&lt;&gt;"",F158,""))</f>
        <v/>
      </c>
      <c r="E158" s="50" t="n">
        <v>93</v>
      </c>
      <c r="F158" s="50" t="n">
        <v>93</v>
      </c>
      <c r="G158" s="50" t="n">
        <v>25</v>
      </c>
      <c r="H158" s="50" t="n">
        <v>30</v>
      </c>
      <c r="I158" s="50" t="n">
        <v>25</v>
      </c>
      <c r="J158" s="28">
        <f>IF(OR(G158="",AND(H158="",I158="")),"n/a",IF(G158=I158,"mastered",IF(G158=H158,"normal","differs")))</f>
        <v/>
      </c>
      <c r="K158" s="28">
        <f>IF(L158&lt;&gt;"",L158,IF(M158&lt;&gt;"",M158,""))</f>
        <v/>
      </c>
      <c r="L158" s="50" t="n">
        <v>298</v>
      </c>
      <c r="M158" s="50" t="n">
        <v>298</v>
      </c>
      <c r="N158" s="28">
        <f>IF(O158&lt;&gt;"",O158,IF(P158&lt;&gt;"",P158,""))</f>
        <v/>
      </c>
      <c r="O158" s="50" t="n">
        <v>36</v>
      </c>
      <c r="P158" s="50" t="n">
        <v>36</v>
      </c>
      <c r="Q158" s="50" t="n">
        <v>42.35</v>
      </c>
      <c r="R158" s="50" t="n">
        <v>84.70999999999999</v>
      </c>
      <c r="S158" s="28">
        <f>IF(Q158="","",IF(Q158&lt;0,"negative profit",IF(Q158&gt;Notes!$B$4,"unusually high - verify","")))</f>
        <v/>
      </c>
      <c r="T158" s="28" t="inlineStr">
        <is>
          <t>both</t>
        </is>
      </c>
      <c r="U158" s="28">
        <f>IF(T158&lt;&gt;"both",T158&amp;" only",IF(V158="","agree","conflict"))</f>
        <v/>
      </c>
      <c r="V158" s="28">
        <f>IF(T158="both",TRIM(IF(AND(E158&lt;&gt;"",F158&lt;&gt;"",E158&lt;&gt;F158),"level ","")&amp;IF(AND(L158&lt;&gt;"",M158&lt;&gt;"",L158&lt;&gt;M158),"price ","")&amp;IF(AND(O158&lt;&gt;"",P158&lt;&gt;"",O158&lt;&gt;P158),"xp ","")&amp;IF(J158="differs","time","")),"")</f>
        <v/>
      </c>
      <c r="X158" s="50" t="inlineStr">
        <is>
          <t>Peony x4; Cotton x1; Cotton Fabric x1</t>
        </is>
      </c>
      <c r="Y158" s="50" t="inlineStr">
        <is>
          <t>Soft Bouquet.png</t>
        </is>
      </c>
      <c r="Z158" s="50" t="inlineStr">
        <is>
          <t>icons/Flower Shop/Soft Bouquet.png</t>
        </is>
      </c>
      <c r="AA158" s="28" t="inlineStr">
        <is>
          <t>hayday.info /api/production-data (2026-10-13) + Hay Day Wiki infobox via MediaWiki API (2026-10-13)</t>
        </is>
      </c>
      <c r="AB158" s="28" t="inlineStr">
        <is>
          <t>https://hayday.fandom.com/wiki/Soft_Bouquet</t>
        </is>
      </c>
      <c r="AC158" s="50" t="inlineStr">
        <is>
          <t>Soft bouquet</t>
        </is>
      </c>
    </row>
    <row r="159">
      <c r="A159" s="28" t="inlineStr">
        <is>
          <t>Veggie Bouquet</t>
        </is>
      </c>
      <c r="B159" s="28" t="inlineStr">
        <is>
          <t>Flower Shop</t>
        </is>
      </c>
      <c r="C159" s="50" t="inlineStr">
        <is>
          <t>Product</t>
        </is>
      </c>
      <c r="D159" s="28">
        <f>IF(E159&lt;&gt;"",E159,IF(F159&lt;&gt;"",F159,""))</f>
        <v/>
      </c>
      <c r="E159" s="50" t="n">
        <v>106</v>
      </c>
      <c r="F159" s="50" t="n">
        <v>106</v>
      </c>
      <c r="G159" s="50" t="n">
        <v>12</v>
      </c>
      <c r="H159" s="50" t="n">
        <v>15</v>
      </c>
      <c r="I159" s="50" t="n">
        <v>12</v>
      </c>
      <c r="J159" s="28">
        <f>IF(OR(G159="",AND(H159="",I159="")),"n/a",IF(G159=I159,"mastered",IF(G159=H159,"normal","differs")))</f>
        <v/>
      </c>
      <c r="K159" s="28">
        <f>IF(L159&lt;&gt;"",L159,IF(M159&lt;&gt;"",M159,""))</f>
        <v/>
      </c>
      <c r="L159" s="50" t="n">
        <v>352</v>
      </c>
      <c r="M159" s="50" t="n">
        <v>352</v>
      </c>
      <c r="N159" s="28">
        <f>IF(O159&lt;&gt;"",O159,IF(P159&lt;&gt;"",P159,""))</f>
        <v/>
      </c>
      <c r="O159" s="50" t="n">
        <v>42</v>
      </c>
      <c r="P159" s="50" t="n">
        <v>42</v>
      </c>
      <c r="Q159" s="50" t="n">
        <v>103.53</v>
      </c>
      <c r="R159" s="50" t="n">
        <v>197.65</v>
      </c>
      <c r="S159" s="28">
        <f>IF(Q159="","",IF(Q159&lt;0,"negative profit",IF(Q159&gt;Notes!$B$4,"unusually high - verify","")))</f>
        <v/>
      </c>
      <c r="T159" s="28" t="inlineStr">
        <is>
          <t>both</t>
        </is>
      </c>
      <c r="U159" s="28">
        <f>IF(T159&lt;&gt;"both",T159&amp;" only",IF(V159="","agree","conflict"))</f>
        <v/>
      </c>
      <c r="V159" s="28">
        <f>IF(T159="both",TRIM(IF(AND(E159&lt;&gt;"",F159&lt;&gt;"",E159&lt;&gt;F159),"level ","")&amp;IF(AND(L159&lt;&gt;"",M159&lt;&gt;"",L159&lt;&gt;M159),"price ","")&amp;IF(AND(O159&lt;&gt;"",P159&lt;&gt;"",O159&lt;&gt;P159),"xp ","")&amp;IF(J159="differs","time","")),"")</f>
        <v/>
      </c>
      <c r="X159" s="50" t="inlineStr">
        <is>
          <t>Broccoli x3; Tomato x3; Mushroom x3; Cotton Fabric x1</t>
        </is>
      </c>
      <c r="Y159" s="50" t="inlineStr">
        <is>
          <t>Veggie Bouquet.png</t>
        </is>
      </c>
      <c r="Z159" s="50" t="inlineStr">
        <is>
          <t>icons/Flower Shop/Veggie Bouquet.png</t>
        </is>
      </c>
      <c r="AA159" s="28" t="inlineStr">
        <is>
          <t>hayday.info /api/production-data (2026-10-13) + Hay Day Wiki infobox via MediaWiki API (2026-10-13)</t>
        </is>
      </c>
      <c r="AB159" s="28" t="inlineStr">
        <is>
          <t>https://hayday.fandom.com/wiki/Veggie_Bouquet</t>
        </is>
      </c>
      <c r="AC159" s="50" t="inlineStr">
        <is>
          <t>Veggie bouquet</t>
        </is>
      </c>
    </row>
    <row r="160">
      <c r="A160" s="28" t="inlineStr">
        <is>
          <t>Chocolate Fondue</t>
        </is>
      </c>
      <c r="B160" s="28" t="inlineStr">
        <is>
          <t>Fondue Pot</t>
        </is>
      </c>
      <c r="C160" s="50" t="inlineStr">
        <is>
          <t>Product</t>
        </is>
      </c>
      <c r="D160" s="28">
        <f>IF(E160&lt;&gt;"",E160,IF(F160&lt;&gt;"",F160,""))</f>
        <v/>
      </c>
      <c r="E160" s="50" t="n">
        <v>81</v>
      </c>
      <c r="F160" s="50" t="n">
        <v>81</v>
      </c>
      <c r="G160" s="50" t="n">
        <v>21</v>
      </c>
      <c r="H160" s="50" t="n">
        <v>25</v>
      </c>
      <c r="I160" s="50" t="n">
        <v>21</v>
      </c>
      <c r="J160" s="28">
        <f>IF(OR(G160="",AND(H160="",I160="")),"n/a",IF(G160=I160,"mastered",IF(G160=H160,"normal","differs")))</f>
        <v/>
      </c>
      <c r="K160" s="28">
        <f>IF(L160&lt;&gt;"",L160,IF(M160&lt;&gt;"",M160,""))</f>
        <v/>
      </c>
      <c r="L160" s="50" t="n">
        <v>626</v>
      </c>
      <c r="M160" s="50" t="n">
        <v>626</v>
      </c>
      <c r="N160" s="28">
        <f>IF(O160&lt;&gt;"",O160,IF(P160&lt;&gt;"",P160,""))</f>
        <v/>
      </c>
      <c r="O160" s="50" t="n">
        <v>74</v>
      </c>
      <c r="P160" s="50" t="n">
        <v>74</v>
      </c>
      <c r="Q160" s="50" t="n">
        <v>45.18</v>
      </c>
      <c r="R160" s="50" t="n">
        <v>208.94</v>
      </c>
      <c r="S160" s="28">
        <f>IF(Q160="","",IF(Q160&lt;0,"negative profit",IF(Q160&gt;Notes!$B$4,"unusually high - verify","")))</f>
        <v/>
      </c>
      <c r="T160" s="28" t="inlineStr">
        <is>
          <t>both</t>
        </is>
      </c>
      <c r="U160" s="28">
        <f>IF(T160&lt;&gt;"both",T160&amp;" only",IF(V160="","agree","conflict"))</f>
        <v/>
      </c>
      <c r="V160" s="28">
        <f>IF(T160="both",TRIM(IF(AND(E160&lt;&gt;"",F160&lt;&gt;"",E160&lt;&gt;F160),"level ","")&amp;IF(AND(L160&lt;&gt;"",M160&lt;&gt;"",L160&lt;&gt;M160),"price ","")&amp;IF(AND(O160&lt;&gt;"",P160&lt;&gt;"",O160&lt;&gt;P160),"xp ","")&amp;IF(J160="differs","time","")),"")</f>
        <v/>
      </c>
      <c r="X160" s="50" t="inlineStr">
        <is>
          <t>Chocolate x1; Strawberry x3</t>
        </is>
      </c>
      <c r="Y160" s="50" t="inlineStr">
        <is>
          <t>Chocolate Fondue.png</t>
        </is>
      </c>
      <c r="Z160" s="50" t="inlineStr">
        <is>
          <t>icons/Fondue Pot/Chocolate Fondue.png</t>
        </is>
      </c>
      <c r="AA160" s="28" t="inlineStr">
        <is>
          <t>hayday.info /api/production-data (2026-10-13) + Hay Day Wiki infobox via MediaWiki API (2026-10-13)</t>
        </is>
      </c>
      <c r="AB160" s="28" t="inlineStr">
        <is>
          <t>https://hayday.fandom.com/wiki/Chocolate_Fondue</t>
        </is>
      </c>
      <c r="AC160" s="50" t="inlineStr">
        <is>
          <t>Chocolate fondue</t>
        </is>
      </c>
    </row>
    <row r="161">
      <c r="A161" s="28" t="inlineStr">
        <is>
          <t>Bacon Fondue</t>
        </is>
      </c>
      <c r="B161" s="28" t="inlineStr">
        <is>
          <t>Fondue Pot</t>
        </is>
      </c>
      <c r="C161" s="50" t="inlineStr">
        <is>
          <t>product</t>
        </is>
      </c>
      <c r="D161" s="28">
        <f>IF(E161&lt;&gt;"",E161,IF(F161&lt;&gt;"",F161,""))</f>
        <v/>
      </c>
      <c r="E161" s="50" t="n">
        <v>86</v>
      </c>
      <c r="F161" s="50" t="n">
        <v>86</v>
      </c>
      <c r="G161" s="50" t="n">
        <v>25</v>
      </c>
      <c r="H161" s="50" t="n">
        <v>30</v>
      </c>
      <c r="I161" s="50" t="n">
        <v>25</v>
      </c>
      <c r="J161" s="28">
        <f>IF(OR(G161="",AND(H161="",I161="")),"n/a",IF(G161=I161,"mastered",IF(G161=H161,"normal","differs")))</f>
        <v/>
      </c>
      <c r="K161" s="28">
        <f>IF(L161&lt;&gt;"",L161,IF(M161&lt;&gt;"",M161,""))</f>
        <v/>
      </c>
      <c r="L161" s="50" t="n">
        <v>507</v>
      </c>
      <c r="M161" s="50" t="n">
        <v>507</v>
      </c>
      <c r="N161" s="28">
        <f>IF(O161&lt;&gt;"",O161,IF(P161&lt;&gt;"",P161,""))</f>
        <v/>
      </c>
      <c r="O161" s="50" t="n">
        <v>60</v>
      </c>
      <c r="P161" s="50" t="n">
        <v>60</v>
      </c>
      <c r="Q161" s="50" t="n">
        <v>54.12</v>
      </c>
      <c r="R161" s="50" t="n">
        <v>141.18</v>
      </c>
      <c r="S161" s="28">
        <f>IF(Q161="","",IF(Q161&lt;0,"negative profit",IF(Q161&gt;Notes!$B$4,"unusually high - verify","")))</f>
        <v/>
      </c>
      <c r="T161" s="28" t="inlineStr">
        <is>
          <t>both</t>
        </is>
      </c>
      <c r="U161" s="28">
        <f>IF(T161&lt;&gt;"both",T161&amp;" only",IF(V161="","agree","conflict"))</f>
        <v/>
      </c>
      <c r="V161" s="28">
        <f>IF(T161="both",TRIM(IF(AND(E161&lt;&gt;"",F161&lt;&gt;"",E161&lt;&gt;F161),"level ","")&amp;IF(AND(L161&lt;&gt;"",M161&lt;&gt;"",L161&lt;&gt;M161),"price ","")&amp;IF(AND(O161&lt;&gt;"",P161&lt;&gt;"",O161&lt;&gt;P161),"xp ","")&amp;IF(J161="differs","time","")),"")</f>
        <v/>
      </c>
      <c r="X161" s="50" t="inlineStr">
        <is>
          <t>Bacon x3; Broccoli x1; Bell Pepper x1; Olive Oil x1</t>
        </is>
      </c>
      <c r="Y161" s="50" t="inlineStr">
        <is>
          <t>Bacon Fondue.png</t>
        </is>
      </c>
      <c r="Z161" s="50" t="inlineStr">
        <is>
          <t>icons/Fondue Pot/Bacon Fondue.png</t>
        </is>
      </c>
      <c r="AA161" s="28" t="inlineStr">
        <is>
          <t>hayday.info /api/production-data (2026-10-13) + Hay Day Wiki infobox via MediaWiki API (2026-10-13)</t>
        </is>
      </c>
      <c r="AB161" s="28" t="inlineStr">
        <is>
          <t>https://hayday.fandom.com/wiki/Bacon_Fondue</t>
        </is>
      </c>
      <c r="AC161" s="50" t="inlineStr">
        <is>
          <t>Bacon fondue</t>
        </is>
      </c>
    </row>
    <row r="162">
      <c r="A162" s="28" t="inlineStr">
        <is>
          <t>Cheese Fondue</t>
        </is>
      </c>
      <c r="B162" s="28" t="inlineStr">
        <is>
          <t>Fondue Pot</t>
        </is>
      </c>
      <c r="C162" s="50" t="inlineStr">
        <is>
          <t>product</t>
        </is>
      </c>
      <c r="D162" s="28">
        <f>IF(E162&lt;&gt;"",E162,IF(F162&lt;&gt;"",F162,""))</f>
        <v/>
      </c>
      <c r="E162" s="50" t="n">
        <v>91</v>
      </c>
      <c r="F162" s="50" t="n">
        <v>91</v>
      </c>
      <c r="G162" s="50" t="n">
        <v>17</v>
      </c>
      <c r="H162" s="50" t="n">
        <v>20</v>
      </c>
      <c r="I162" s="50" t="n">
        <v>17</v>
      </c>
      <c r="J162" s="28">
        <f>IF(OR(G162="",AND(H162="",I162="")),"n/a",IF(G162=I162,"mastered",IF(G162=H162,"normal","differs")))</f>
        <v/>
      </c>
      <c r="K162" s="28">
        <f>IF(L162&lt;&gt;"",L162,IF(M162&lt;&gt;"",M162,""))</f>
        <v/>
      </c>
      <c r="L162" s="50" t="n">
        <v>493</v>
      </c>
      <c r="M162" s="50" t="n">
        <v>493</v>
      </c>
      <c r="N162" s="28">
        <f>IF(O162&lt;&gt;"",O162,IF(P162&lt;&gt;"",P162,""))</f>
        <v/>
      </c>
      <c r="O162" s="50" t="n">
        <v>59</v>
      </c>
      <c r="P162" s="50" t="n">
        <v>59</v>
      </c>
      <c r="Q162" s="50" t="n">
        <v>84.70999999999999</v>
      </c>
      <c r="R162" s="50" t="n">
        <v>208.24</v>
      </c>
      <c r="S162" s="28">
        <f>IF(Q162="","",IF(Q162&lt;0,"negative profit",IF(Q162&gt;Notes!$B$4,"unusually high - verify","")))</f>
        <v/>
      </c>
      <c r="T162" s="28" t="inlineStr">
        <is>
          <t>both</t>
        </is>
      </c>
      <c r="U162" s="28">
        <f>IF(T162&lt;&gt;"both",T162&amp;" only",IF(V162="","agree","conflict"))</f>
        <v/>
      </c>
      <c r="V162" s="28">
        <f>IF(T162="both",TRIM(IF(AND(E162&lt;&gt;"",F162&lt;&gt;"",E162&lt;&gt;F162),"level ","")&amp;IF(AND(L162&lt;&gt;"",M162&lt;&gt;"",L162&lt;&gt;M162),"price ","")&amp;IF(AND(O162&lt;&gt;"",P162&lt;&gt;"",O162&lt;&gt;P162),"xp ","")&amp;IF(J162="differs","time","")),"")</f>
        <v/>
      </c>
      <c r="X162" s="50" t="inlineStr">
        <is>
          <t>Potato Bread x1; Cheese x1; Mushroom x2; Tomato x1</t>
        </is>
      </c>
      <c r="Y162" s="50" t="inlineStr">
        <is>
          <t>Cheese Fondue.png</t>
        </is>
      </c>
      <c r="Z162" s="50" t="inlineStr">
        <is>
          <t>icons/Fondue Pot/Cheese Fondue.png</t>
        </is>
      </c>
      <c r="AA162" s="28" t="inlineStr">
        <is>
          <t>hayday.info /api/production-data (2026-10-13) + Hay Day Wiki infobox via MediaWiki API (2026-10-13)</t>
        </is>
      </c>
      <c r="AB162" s="28" t="inlineStr">
        <is>
          <t>https://hayday.fandom.com/wiki/Cheese_Fondue</t>
        </is>
      </c>
      <c r="AC162" s="50" t="inlineStr">
        <is>
          <t>Cheese fondue</t>
        </is>
      </c>
    </row>
    <row r="163">
      <c r="A163" s="28" t="inlineStr">
        <is>
          <t>Tropical Fondue</t>
        </is>
      </c>
      <c r="B163" s="28" t="inlineStr">
        <is>
          <t>Fondue Pot</t>
        </is>
      </c>
      <c r="C163" s="50" t="inlineStr">
        <is>
          <t>product</t>
        </is>
      </c>
      <c r="D163" s="28">
        <f>IF(E163&lt;&gt;"",E163,IF(F163&lt;&gt;"",F163,""))</f>
        <v/>
      </c>
      <c r="E163" s="50" t="n">
        <v>100</v>
      </c>
      <c r="F163" s="50" t="n">
        <v>100</v>
      </c>
      <c r="G163" s="50" t="n">
        <v>29</v>
      </c>
      <c r="H163" s="50" t="n">
        <v>35</v>
      </c>
      <c r="I163" s="50" t="n">
        <v>29</v>
      </c>
      <c r="J163" s="28">
        <f>IF(OR(G163="",AND(H163="",I163="")),"n/a",IF(G163=I163,"mastered",IF(G163=H163,"normal","differs")))</f>
        <v/>
      </c>
      <c r="K163" s="28">
        <f>IF(L163&lt;&gt;"",L163,IF(M163&lt;&gt;"",M163,""))</f>
        <v/>
      </c>
      <c r="L163" s="50" t="n">
        <v>417</v>
      </c>
      <c r="M163" s="50" t="n">
        <v>417</v>
      </c>
      <c r="N163" s="28">
        <f>IF(O163&lt;&gt;"",O163,IF(P163&lt;&gt;"",P163,""))</f>
        <v/>
      </c>
      <c r="O163" s="50" t="n">
        <v>50</v>
      </c>
      <c r="P163" s="50" t="n">
        <v>50</v>
      </c>
      <c r="Q163" s="50" t="n">
        <v>50.42</v>
      </c>
      <c r="R163" s="50" t="n">
        <v>100.84</v>
      </c>
      <c r="S163" s="28">
        <f>IF(Q163="","",IF(Q163&lt;0,"negative profit",IF(Q163&gt;Notes!$B$4,"unusually high - verify","")))</f>
        <v/>
      </c>
      <c r="T163" s="28" t="inlineStr">
        <is>
          <t>both</t>
        </is>
      </c>
      <c r="U163" s="28">
        <f>IF(T163&lt;&gt;"both",T163&amp;" only",IF(V163="","agree","conflict"))</f>
        <v/>
      </c>
      <c r="V163" s="28">
        <f>IF(T163="both",TRIM(IF(AND(E163&lt;&gt;"",F163&lt;&gt;"",E163&lt;&gt;F163),"level ","")&amp;IF(AND(L163&lt;&gt;"",M163&lt;&gt;"",L163&lt;&gt;M163),"price ","")&amp;IF(AND(O163&lt;&gt;"",P163&lt;&gt;"",O163&lt;&gt;P163),"xp ","")&amp;IF(J163="differs","time","")),"")</f>
        <v/>
      </c>
      <c r="W163" s="28" t="inlineStr">
        <is>
          <t>xp 60 (machine page) vs 50 (product page)</t>
        </is>
      </c>
      <c r="X163" s="50" t="inlineStr">
        <is>
          <t>White Sugar x1; Cream x2; Pineapple x3; Mango x2</t>
        </is>
      </c>
      <c r="Y163" s="50" t="inlineStr">
        <is>
          <t>Tropical Fondue.png</t>
        </is>
      </c>
      <c r="Z163" s="50" t="inlineStr">
        <is>
          <t>icons/Fondue Pot/Tropical Fondue.png</t>
        </is>
      </c>
      <c r="AA163" s="28" t="inlineStr">
        <is>
          <t>hayday.info /api/production-data (2026-10-13) + Hay Day Wiki infobox via MediaWiki API (2026-10-13)</t>
        </is>
      </c>
      <c r="AB163" s="28" t="inlineStr">
        <is>
          <t>https://hayday.fandom.com/wiki/Tropical_Fondue</t>
        </is>
      </c>
      <c r="AC163" s="50" t="inlineStr">
        <is>
          <t>Tropical fondue</t>
        </is>
      </c>
    </row>
    <row r="164">
      <c r="A164" s="28" t="inlineStr">
        <is>
          <t>Rich Fudge</t>
        </is>
      </c>
      <c r="B164" s="28" t="inlineStr">
        <is>
          <t>Fudge Shop</t>
        </is>
      </c>
      <c r="C164" s="50" t="inlineStr">
        <is>
          <t>Product</t>
        </is>
      </c>
      <c r="D164" s="28">
        <f>IF(E164&lt;&gt;"",E164,IF(F164&lt;&gt;"",F164,""))</f>
        <v/>
      </c>
      <c r="E164" s="50" t="n">
        <v>99</v>
      </c>
      <c r="F164" s="50" t="n">
        <v>99</v>
      </c>
      <c r="G164" s="50" t="n">
        <v>102</v>
      </c>
      <c r="H164" s="50" t="n">
        <v>120</v>
      </c>
      <c r="I164" s="50" t="n">
        <v>102</v>
      </c>
      <c r="J164" s="28">
        <f>IF(OR(G164="",AND(H164="",I164="")),"n/a",IF(G164=I164,"mastered",IF(G164=H164,"normal","differs")))</f>
        <v/>
      </c>
      <c r="K164" s="28">
        <f>IF(L164&lt;&gt;"",L164,IF(M164&lt;&gt;"",M164,""))</f>
        <v/>
      </c>
      <c r="L164" s="50" t="n">
        <v>644</v>
      </c>
      <c r="M164" s="50" t="n">
        <v>644</v>
      </c>
      <c r="N164" s="28">
        <f>IF(O164&lt;&gt;"",O164,IF(P164&lt;&gt;"",P164,""))</f>
        <v/>
      </c>
      <c r="O164" s="50" t="n">
        <v>77</v>
      </c>
      <c r="P164" s="50" t="n">
        <v>77</v>
      </c>
      <c r="Q164" s="50" t="n">
        <v>23.53</v>
      </c>
      <c r="R164" s="50" t="n">
        <v>45.29</v>
      </c>
      <c r="S164" s="28">
        <f>IF(Q164="","",IF(Q164&lt;0,"negative profit",IF(Q164&gt;Notes!$B$4,"unusually high - verify","")))</f>
        <v/>
      </c>
      <c r="T164" s="28" t="inlineStr">
        <is>
          <t>both</t>
        </is>
      </c>
      <c r="U164" s="28">
        <f>IF(T164&lt;&gt;"both",T164&amp;" only",IF(V164="","agree","conflict"))</f>
        <v/>
      </c>
      <c r="V164" s="28">
        <f>IF(T164="both",TRIM(IF(AND(E164&lt;&gt;"",F164&lt;&gt;"",E164&lt;&gt;F164),"level ","")&amp;IF(AND(L164&lt;&gt;"",M164&lt;&gt;"",L164&lt;&gt;M164),"price ","")&amp;IF(AND(O164&lt;&gt;"",P164&lt;&gt;"",O164&lt;&gt;P164),"xp ","")&amp;IF(J164="differs","time","")),"")</f>
        <v/>
      </c>
      <c r="X164" s="50" t="inlineStr">
        <is>
          <t>Butter x3; Cacao x3; White Sugar x2</t>
        </is>
      </c>
      <c r="Y164" s="50" t="inlineStr">
        <is>
          <t>Rich Fudge.png</t>
        </is>
      </c>
      <c r="Z164" s="50" t="inlineStr">
        <is>
          <t>icons/Fudge Shop/Rich Fudge.png</t>
        </is>
      </c>
      <c r="AA164" s="28" t="inlineStr">
        <is>
          <t>hayday.info /api/production-data (2026-10-13) + Hay Day Wiki infobox via MediaWiki API (2026-10-13)</t>
        </is>
      </c>
      <c r="AB164" s="28" t="inlineStr">
        <is>
          <t>https://hayday.fandom.com/wiki/Rich_Fudge</t>
        </is>
      </c>
      <c r="AC164" s="50" t="inlineStr">
        <is>
          <t>Rich fudge</t>
        </is>
      </c>
    </row>
    <row r="165">
      <c r="A165" s="28" t="inlineStr">
        <is>
          <t>Mint Fudge</t>
        </is>
      </c>
      <c r="B165" s="28" t="inlineStr">
        <is>
          <t>Fudge Shop</t>
        </is>
      </c>
      <c r="C165" s="50" t="inlineStr">
        <is>
          <t>Product</t>
        </is>
      </c>
      <c r="D165" s="28">
        <f>IF(E165&lt;&gt;"",E165,IF(F165&lt;&gt;"",F165,""))</f>
        <v/>
      </c>
      <c r="E165" s="50" t="n">
        <v>102</v>
      </c>
      <c r="F165" s="50" t="n">
        <v>102</v>
      </c>
      <c r="G165" s="50" t="n">
        <v>127</v>
      </c>
      <c r="H165" s="50" t="n">
        <v>150</v>
      </c>
      <c r="I165" s="50" t="n">
        <v>127</v>
      </c>
      <c r="J165" s="28">
        <f>IF(OR(G165="",AND(H165="",I165="")),"n/a",IF(G165=I165,"mastered",IF(G165=H165,"normal","differs")))</f>
        <v/>
      </c>
      <c r="K165" s="28">
        <f>IF(L165&lt;&gt;"",L165,IF(M165&lt;&gt;"",M165,""))</f>
        <v/>
      </c>
      <c r="L165" s="50" t="n">
        <v>522</v>
      </c>
      <c r="M165" s="50" t="n">
        <v>522</v>
      </c>
      <c r="N165" s="28">
        <f>IF(O165&lt;&gt;"",O165,IF(P165&lt;&gt;"",P165,""))</f>
        <v/>
      </c>
      <c r="O165" s="50" t="n">
        <v>62</v>
      </c>
      <c r="P165" s="50" t="n">
        <v>62</v>
      </c>
      <c r="Q165" s="50" t="n">
        <v>18.82</v>
      </c>
      <c r="R165" s="50" t="n">
        <v>29.18</v>
      </c>
      <c r="S165" s="28">
        <f>IF(Q165="","",IF(Q165&lt;0,"negative profit",IF(Q165&gt;Notes!$B$4,"unusually high - verify","")))</f>
        <v/>
      </c>
      <c r="T165" s="28" t="inlineStr">
        <is>
          <t>both</t>
        </is>
      </c>
      <c r="U165" s="28">
        <f>IF(T165&lt;&gt;"both",T165&amp;" only",IF(V165="","agree","conflict"))</f>
        <v/>
      </c>
      <c r="V165" s="28">
        <f>IF(T165="both",TRIM(IF(AND(E165&lt;&gt;"",F165&lt;&gt;"",E165&lt;&gt;F165),"level ","")&amp;IF(AND(L165&lt;&gt;"",M165&lt;&gt;"",L165&lt;&gt;M165),"price ","")&amp;IF(AND(O165&lt;&gt;"",P165&lt;&gt;"",O165&lt;&gt;P165),"xp ","")&amp;IF(J165="differs","time","")),"")</f>
        <v/>
      </c>
      <c r="X165" s="50" t="inlineStr">
        <is>
          <t>Cabbage x2; Cacao x2; White Sugar x1; Mint x3</t>
        </is>
      </c>
      <c r="Y165" s="50" t="inlineStr">
        <is>
          <t>Mint Fudge.png</t>
        </is>
      </c>
      <c r="Z165" s="50" t="inlineStr">
        <is>
          <t>icons/Fudge Shop/Mint Fudge.png</t>
        </is>
      </c>
      <c r="AA165" s="28" t="inlineStr">
        <is>
          <t>hayday.info /api/production-data (2026-10-13) + Hay Day Wiki infobox via MediaWiki API (2026-10-13)</t>
        </is>
      </c>
      <c r="AB165" s="28" t="inlineStr">
        <is>
          <t>https://hayday.fandom.com/wiki/Mint_Fudge</t>
        </is>
      </c>
      <c r="AC165" s="50" t="inlineStr">
        <is>
          <t>Mint fudge</t>
        </is>
      </c>
    </row>
    <row r="166">
      <c r="A166" s="28" t="inlineStr">
        <is>
          <t>Chili Fudge</t>
        </is>
      </c>
      <c r="B166" s="28" t="inlineStr">
        <is>
          <t>Fudge Shop</t>
        </is>
      </c>
      <c r="C166" s="50" t="inlineStr">
        <is>
          <t>Product</t>
        </is>
      </c>
      <c r="D166" s="28">
        <f>IF(E166&lt;&gt;"",E166,IF(F166&lt;&gt;"",F166,""))</f>
        <v/>
      </c>
      <c r="E166" s="50" t="n">
        <v>104</v>
      </c>
      <c r="F166" s="50" t="n">
        <v>104</v>
      </c>
      <c r="G166" s="50" t="n">
        <v>144</v>
      </c>
      <c r="H166" s="50" t="n">
        <v>170</v>
      </c>
      <c r="I166" s="50" t="n">
        <v>144</v>
      </c>
      <c r="J166" s="28">
        <f>IF(OR(G166="",AND(H166="",I166="")),"n/a",IF(G166=I166,"mastered",IF(G166=H166,"normal","differs")))</f>
        <v/>
      </c>
      <c r="K166" s="28">
        <f>IF(L166&lt;&gt;"",L166,IF(M166&lt;&gt;"",M166,""))</f>
        <v/>
      </c>
      <c r="L166" s="50" t="n">
        <v>540</v>
      </c>
      <c r="M166" s="50" t="n">
        <v>540</v>
      </c>
      <c r="N166" s="28">
        <f>IF(O166&lt;&gt;"",O166,IF(P166&lt;&gt;"",P166,""))</f>
        <v/>
      </c>
      <c r="O166" s="50" t="n">
        <v>64</v>
      </c>
      <c r="P166" s="50" t="n">
        <v>64</v>
      </c>
      <c r="Q166" s="50" t="n">
        <v>19.1</v>
      </c>
      <c r="R166" s="50" t="n">
        <v>26.57</v>
      </c>
      <c r="S166" s="28">
        <f>IF(Q166="","",IF(Q166&lt;0,"negative profit",IF(Q166&gt;Notes!$B$4,"unusually high - verify","")))</f>
        <v/>
      </c>
      <c r="T166" s="28" t="inlineStr">
        <is>
          <t>both</t>
        </is>
      </c>
      <c r="U166" s="28">
        <f>IF(T166&lt;&gt;"both",T166&amp;" only",IF(V166="","agree","conflict"))</f>
        <v/>
      </c>
      <c r="V166" s="28">
        <f>IF(T166="both",TRIM(IF(AND(E166&lt;&gt;"",F166&lt;&gt;"",E166&lt;&gt;F166),"level ","")&amp;IF(AND(L166&lt;&gt;"",M166&lt;&gt;"",L166&lt;&gt;M166),"price ","")&amp;IF(AND(O166&lt;&gt;"",P166&lt;&gt;"",O166&lt;&gt;P166),"xp ","")&amp;IF(J166="differs","time","")),"")</f>
        <v/>
      </c>
      <c r="X166" s="50" t="inlineStr">
        <is>
          <t>Butter x2; Cacao x2; White Sugar x1; Chili Pepper x3</t>
        </is>
      </c>
      <c r="Y166" s="50" t="inlineStr">
        <is>
          <t>Chili Fudge.png</t>
        </is>
      </c>
      <c r="Z166" s="50" t="inlineStr">
        <is>
          <t>icons/Fudge Shop/Chili Fudge.png</t>
        </is>
      </c>
      <c r="AA166" s="28" t="inlineStr">
        <is>
          <t>hayday.info /api/production-data (2026-10-13) + Hay Day Wiki infobox via MediaWiki API (2026-10-13)</t>
        </is>
      </c>
      <c r="AB166" s="28" t="inlineStr">
        <is>
          <t>https://hayday.fandom.com/wiki/Chili_Fudge</t>
        </is>
      </c>
      <c r="AC166" s="50" t="inlineStr">
        <is>
          <t>Chili fudge</t>
        </is>
      </c>
    </row>
    <row r="167">
      <c r="A167" s="28" t="inlineStr">
        <is>
          <t>Lemon Fudge</t>
        </is>
      </c>
      <c r="B167" s="28" t="inlineStr">
        <is>
          <t>Fudge Shop</t>
        </is>
      </c>
      <c r="C167" s="50" t="inlineStr">
        <is>
          <t>Product</t>
        </is>
      </c>
      <c r="D167" s="28">
        <f>IF(E167&lt;&gt;"",E167,IF(F167&lt;&gt;"",F167,""))</f>
        <v/>
      </c>
      <c r="E167" s="50" t="n">
        <v>108</v>
      </c>
      <c r="F167" s="50" t="n">
        <v>108</v>
      </c>
      <c r="G167" s="50" t="n">
        <v>93</v>
      </c>
      <c r="H167" s="50" t="n">
        <v>110</v>
      </c>
      <c r="I167" s="50" t="n">
        <v>93</v>
      </c>
      <c r="J167" s="28">
        <f>IF(OR(G167="",AND(H167="",I167="")),"n/a",IF(G167=I167,"mastered",IF(G167=H167,"normal","differs")))</f>
        <v/>
      </c>
      <c r="K167" s="28">
        <f>IF(L167&lt;&gt;"",L167,IF(M167&lt;&gt;"",M167,""))</f>
        <v/>
      </c>
      <c r="L167" s="50" t="n">
        <v>590</v>
      </c>
      <c r="M167" s="50" t="n">
        <v>590</v>
      </c>
      <c r="N167" s="28">
        <f>IF(O167&lt;&gt;"",O167,IF(P167&lt;&gt;"",P167,""))</f>
        <v/>
      </c>
      <c r="O167" s="50" t="n">
        <v>70</v>
      </c>
      <c r="P167" s="50" t="n">
        <v>70</v>
      </c>
      <c r="Q167" s="50" t="n">
        <v>28.24</v>
      </c>
      <c r="R167" s="50" t="n">
        <v>44.92</v>
      </c>
      <c r="S167" s="28">
        <f>IF(Q167="","",IF(Q167&lt;0,"negative profit",IF(Q167&gt;Notes!$B$4,"unusually high - verify","")))</f>
        <v/>
      </c>
      <c r="T167" s="28" t="inlineStr">
        <is>
          <t>both</t>
        </is>
      </c>
      <c r="U167" s="28">
        <f>IF(T167&lt;&gt;"both",T167&amp;" only",IF(V167="","agree","conflict"))</f>
        <v/>
      </c>
      <c r="V167" s="28">
        <f>IF(T167="both",TRIM(IF(AND(E167&lt;&gt;"",F167&lt;&gt;"",E167&lt;&gt;F167),"level ","")&amp;IF(AND(L167&lt;&gt;"",M167&lt;&gt;"",L167&lt;&gt;M167),"price ","")&amp;IF(AND(O167&lt;&gt;"",P167&lt;&gt;"",O167&lt;&gt;P167),"xp ","")&amp;IF(J167="differs","time","")),"")</f>
        <v/>
      </c>
      <c r="X167" s="50" t="inlineStr">
        <is>
          <t>Butter x2; White Sugar x2; Milk x3; Lemon x2</t>
        </is>
      </c>
      <c r="Y167" s="50" t="inlineStr">
        <is>
          <t>Lemon Fudge.png</t>
        </is>
      </c>
      <c r="Z167" s="50" t="inlineStr">
        <is>
          <t>icons/Fudge Shop/Lemon Fudge.png</t>
        </is>
      </c>
      <c r="AA167" s="28" t="inlineStr">
        <is>
          <t>hayday.info /api/production-data (2026-10-13) + Hay Day Wiki infobox via MediaWiki API (2026-10-13)</t>
        </is>
      </c>
      <c r="AB167" s="28" t="inlineStr">
        <is>
          <t>https://hayday.fandom.com/wiki/Lemon_Fudge</t>
        </is>
      </c>
      <c r="AC167" s="50" t="inlineStr">
        <is>
          <t>Lemon fudge</t>
        </is>
      </c>
    </row>
    <row r="168">
      <c r="A168" s="28" t="inlineStr">
        <is>
          <t>Peanut Fudge</t>
        </is>
      </c>
      <c r="B168" s="28" t="inlineStr">
        <is>
          <t>Fudge Shop</t>
        </is>
      </c>
      <c r="C168" s="50" t="inlineStr">
        <is>
          <t>Product</t>
        </is>
      </c>
      <c r="D168" s="28">
        <f>IF(E168&lt;&gt;"",E168,IF(F168&lt;&gt;"",F168,""))</f>
        <v/>
      </c>
      <c r="E168" s="50" t="n">
        <v>111</v>
      </c>
      <c r="F168" s="50" t="n">
        <v>111</v>
      </c>
      <c r="G168" s="50" t="n">
        <v>76</v>
      </c>
      <c r="H168" s="50" t="n">
        <v>90</v>
      </c>
      <c r="I168" s="50" t="n">
        <v>76</v>
      </c>
      <c r="J168" s="28">
        <f>IF(OR(G168="",AND(H168="",I168="")),"n/a",IF(G168=I168,"mastered",IF(G168=H168,"normal","differs")))</f>
        <v/>
      </c>
      <c r="K168" s="28">
        <f>IF(L168&lt;&gt;"",L168,IF(M168&lt;&gt;"",M168,""))</f>
        <v/>
      </c>
      <c r="L168" s="50" t="n">
        <v>1141</v>
      </c>
      <c r="M168" s="50" t="n">
        <v>1141</v>
      </c>
      <c r="N168" s="28">
        <f>IF(O168&lt;&gt;"",O168,IF(P168&lt;&gt;"",P168,""))</f>
        <v/>
      </c>
      <c r="O168" s="50" t="n">
        <v>136</v>
      </c>
      <c r="P168" s="50" t="n">
        <v>136</v>
      </c>
      <c r="Q168" s="50" t="n">
        <v>41.57</v>
      </c>
      <c r="R168" s="50" t="n">
        <v>106.67</v>
      </c>
      <c r="S168" s="28">
        <f>IF(Q168="","",IF(Q168&lt;0,"negative profit",IF(Q168&gt;Notes!$B$4,"unusually high - verify","")))</f>
        <v/>
      </c>
      <c r="T168" s="28" t="inlineStr">
        <is>
          <t>both</t>
        </is>
      </c>
      <c r="U168" s="28">
        <f>IF(T168&lt;&gt;"both",T168&amp;" only",IF(V168="","agree","conflict"))</f>
        <v/>
      </c>
      <c r="V168" s="28">
        <f>IF(T168="both",TRIM(IF(AND(E168&lt;&gt;"",F168&lt;&gt;"",E168&lt;&gt;F168),"level ","")&amp;IF(AND(L168&lt;&gt;"",M168&lt;&gt;"",L168&lt;&gt;M168),"price ","")&amp;IF(AND(O168&lt;&gt;"",P168&lt;&gt;"",O168&lt;&gt;P168),"xp ","")&amp;IF(J168="differs","time","")),"")</f>
        <v/>
      </c>
      <c r="X168" s="50" t="inlineStr">
        <is>
          <t>Butter x2; Cacao x2; White Sugar x1; Peanuts x2</t>
        </is>
      </c>
      <c r="Y168" s="50" t="inlineStr">
        <is>
          <t>Peanut Fudge.png</t>
        </is>
      </c>
      <c r="Z168" s="50" t="inlineStr">
        <is>
          <t>icons/Fudge Shop/Peanut Fudge.png</t>
        </is>
      </c>
      <c r="AA168" s="28" t="inlineStr">
        <is>
          <t>hayday.info /api/production-data (2026-10-13) + Hay Day Wiki infobox via MediaWiki API (2026-10-13)</t>
        </is>
      </c>
      <c r="AB168" s="28" t="inlineStr">
        <is>
          <t>https://hayday.fandom.com/wiki/Peanut_Fudge</t>
        </is>
      </c>
      <c r="AC168" s="50" t="inlineStr">
        <is>
          <t>Peanut fudge</t>
        </is>
      </c>
    </row>
    <row r="169">
      <c r="A169" s="28" t="inlineStr">
        <is>
          <t>Cloche Hat</t>
        </is>
      </c>
      <c r="B169" s="28" t="inlineStr">
        <is>
          <t>Hat Maker</t>
        </is>
      </c>
      <c r="C169" s="50" t="inlineStr">
        <is>
          <t>Product</t>
        </is>
      </c>
      <c r="D169" s="28">
        <f>IF(E169&lt;&gt;"",E169,IF(F169&lt;&gt;"",F169,""))</f>
        <v/>
      </c>
      <c r="E169" s="50" t="n">
        <v>70</v>
      </c>
      <c r="F169" s="50" t="n">
        <v>70</v>
      </c>
      <c r="G169" s="50" t="n">
        <v>102</v>
      </c>
      <c r="H169" s="50" t="n">
        <v>120</v>
      </c>
      <c r="I169" s="50" t="n">
        <v>102</v>
      </c>
      <c r="J169" s="28">
        <f>IF(OR(G169="",AND(H169="",I169="")),"n/a",IF(G169=I169,"mastered",IF(G169=H169,"normal","differs")))</f>
        <v/>
      </c>
      <c r="K169" s="28">
        <f>IF(L169&lt;&gt;"",L169,IF(M169&lt;&gt;"",M169,""))</f>
        <v/>
      </c>
      <c r="L169" s="50" t="n">
        <v>468</v>
      </c>
      <c r="M169" s="50" t="n">
        <v>468</v>
      </c>
      <c r="N169" s="28">
        <f>IF(O169&lt;&gt;"",O169,IF(P169&lt;&gt;"",P169,""))</f>
        <v/>
      </c>
      <c r="O169" s="50" t="n">
        <v>56</v>
      </c>
      <c r="P169" s="50" t="n">
        <v>56</v>
      </c>
      <c r="Q169" s="50" t="n">
        <v>25.88</v>
      </c>
      <c r="R169" s="50" t="n">
        <v>32.94</v>
      </c>
      <c r="S169" s="28">
        <f>IF(Q169="","",IF(Q169&lt;0,"negative profit",IF(Q169&gt;Notes!$B$4,"unusually high - verify","")))</f>
        <v/>
      </c>
      <c r="T169" s="28" t="inlineStr">
        <is>
          <t>both</t>
        </is>
      </c>
      <c r="U169" s="28">
        <f>IF(T169&lt;&gt;"both",T169&amp;" only",IF(V169="","agree","conflict"))</f>
        <v/>
      </c>
      <c r="V169" s="28">
        <f>IF(T169="both",TRIM(IF(AND(E169&lt;&gt;"",F169&lt;&gt;"",E169&lt;&gt;F169),"level ","")&amp;IF(AND(L169&lt;&gt;"",M169&lt;&gt;"",L169&lt;&gt;M169),"price ","")&amp;IF(AND(O169&lt;&gt;"",P169&lt;&gt;"",O169&lt;&gt;P169),"xp ","")&amp;IF(J169="differs","time","")),"")</f>
        <v/>
      </c>
      <c r="X169" s="50" t="inlineStr">
        <is>
          <t>Strawberry x2; Wool x6</t>
        </is>
      </c>
      <c r="Y169" s="50" t="inlineStr">
        <is>
          <t>Cloche Hat.png</t>
        </is>
      </c>
      <c r="Z169" s="50" t="inlineStr">
        <is>
          <t>icons/Hat Maker/Cloche Hat.png</t>
        </is>
      </c>
      <c r="AA169" s="28" t="inlineStr">
        <is>
          <t>hayday.info /api/production-data (2026-10-13) + Hay Day Wiki infobox via MediaWiki API (2026-10-13)</t>
        </is>
      </c>
      <c r="AB169" s="28" t="inlineStr">
        <is>
          <t>https://hayday.fandom.com/wiki/Cloche_Hat</t>
        </is>
      </c>
      <c r="AC169" s="50" t="inlineStr">
        <is>
          <t>Cloche hat</t>
        </is>
      </c>
    </row>
    <row r="170">
      <c r="A170" s="28" t="inlineStr">
        <is>
          <t>Top Hat</t>
        </is>
      </c>
      <c r="B170" s="28" t="inlineStr">
        <is>
          <t>Hat Maker</t>
        </is>
      </c>
      <c r="C170" s="50" t="inlineStr">
        <is>
          <t>Product</t>
        </is>
      </c>
      <c r="D170" s="28">
        <f>IF(E170&lt;&gt;"",E170,IF(F170&lt;&gt;"",F170,""))</f>
        <v/>
      </c>
      <c r="E170" s="50" t="n">
        <v>72</v>
      </c>
      <c r="F170" s="50" t="n">
        <v>72</v>
      </c>
      <c r="G170" s="50" t="n">
        <v>178</v>
      </c>
      <c r="H170" s="50" t="n">
        <v>210</v>
      </c>
      <c r="I170" s="50" t="n">
        <v>178</v>
      </c>
      <c r="J170" s="28">
        <f>IF(OR(G170="",AND(H170="",I170="")),"n/a",IF(G170=I170,"mastered",IF(G170=H170,"normal","differs")))</f>
        <v/>
      </c>
      <c r="K170" s="28">
        <f>IF(L170&lt;&gt;"",L170,IF(M170&lt;&gt;"",M170,""))</f>
        <v/>
      </c>
      <c r="L170" s="50" t="n">
        <v>619</v>
      </c>
      <c r="M170" s="50" t="n">
        <v>619</v>
      </c>
      <c r="N170" s="28">
        <f>IF(O170&lt;&gt;"",O170,IF(P170&lt;&gt;"",P170,""))</f>
        <v/>
      </c>
      <c r="O170" s="50" t="n">
        <v>74</v>
      </c>
      <c r="P170" s="50" t="n">
        <v>74</v>
      </c>
      <c r="Q170" s="50" t="n">
        <v>15.8</v>
      </c>
      <c r="R170" s="50" t="n">
        <v>24.87</v>
      </c>
      <c r="S170" s="28">
        <f>IF(Q170="","",IF(Q170&lt;0,"negative profit",IF(Q170&gt;Notes!$B$4,"unusually high - verify","")))</f>
        <v/>
      </c>
      <c r="T170" s="28" t="inlineStr">
        <is>
          <t>both</t>
        </is>
      </c>
      <c r="U170" s="28">
        <f>IF(T170&lt;&gt;"both",T170&amp;" only",IF(V170="","agree","conflict"))</f>
        <v/>
      </c>
      <c r="V170" s="28">
        <f>IF(T170="both",TRIM(IF(AND(E170&lt;&gt;"",F170&lt;&gt;"",E170&lt;&gt;F170),"level ","")&amp;IF(AND(L170&lt;&gt;"",M170&lt;&gt;"",L170&lt;&gt;M170),"price ","")&amp;IF(AND(O170&lt;&gt;"",P170&lt;&gt;"",O170&lt;&gt;P170),"xp ","")&amp;IF(J170="differs","time","")),"")</f>
        <v/>
      </c>
      <c r="X170" s="50" t="inlineStr">
        <is>
          <t>Cotton Fabric x3; Refined Coal x1; Duck Feather x1</t>
        </is>
      </c>
      <c r="Y170" s="50" t="inlineStr">
        <is>
          <t>Top Hat.png</t>
        </is>
      </c>
      <c r="Z170" s="50" t="inlineStr">
        <is>
          <t>icons/Hat Maker/Top Hat.png</t>
        </is>
      </c>
      <c r="AA170" s="28" t="inlineStr">
        <is>
          <t>hayday.info /api/production-data (2026-10-13) + Hay Day Wiki infobox via MediaWiki API (2026-10-13)</t>
        </is>
      </c>
      <c r="AB170" s="28" t="inlineStr">
        <is>
          <t>https://hayday.fandom.com/wiki/Top_Hat</t>
        </is>
      </c>
      <c r="AC170" s="50" t="inlineStr">
        <is>
          <t>Top hat</t>
        </is>
      </c>
    </row>
    <row r="171">
      <c r="A171" s="28" t="inlineStr">
        <is>
          <t>Sun Hat</t>
        </is>
      </c>
      <c r="B171" s="28" t="inlineStr">
        <is>
          <t>Hat Maker</t>
        </is>
      </c>
      <c r="C171" s="50" t="inlineStr">
        <is>
          <t>Product</t>
        </is>
      </c>
      <c r="D171" s="28">
        <f>IF(E171&lt;&gt;"",E171,IF(F171&lt;&gt;"",F171,""))</f>
        <v/>
      </c>
      <c r="E171" s="50" t="n">
        <v>74</v>
      </c>
      <c r="F171" s="50" t="n">
        <v>74</v>
      </c>
      <c r="G171" s="50" t="n">
        <v>127</v>
      </c>
      <c r="H171" s="50" t="n">
        <v>150</v>
      </c>
      <c r="I171" s="50" t="n">
        <v>127</v>
      </c>
      <c r="J171" s="28">
        <f>IF(OR(G171="",AND(H171="",I171="")),"n/a",IF(G171=I171,"mastered",IF(G171=H171,"normal","differs")))</f>
        <v/>
      </c>
      <c r="K171" s="28">
        <f>IF(L171&lt;&gt;"",L171,IF(M171&lt;&gt;"",M171,""))</f>
        <v/>
      </c>
      <c r="L171" s="50" t="n">
        <v>558</v>
      </c>
      <c r="M171" s="50" t="n">
        <v>558</v>
      </c>
      <c r="N171" s="28">
        <f>IF(O171&lt;&gt;"",O171,IF(P171&lt;&gt;"",P171,""))</f>
        <v/>
      </c>
      <c r="O171" s="50" t="n">
        <v>66</v>
      </c>
      <c r="P171" s="50" t="n">
        <v>66</v>
      </c>
      <c r="Q171" s="50" t="n">
        <v>21.18</v>
      </c>
      <c r="R171" s="50" t="n">
        <v>31.06</v>
      </c>
      <c r="S171" s="28">
        <f>IF(Q171="","",IF(Q171&lt;0,"negative profit",IF(Q171&gt;Notes!$B$4,"unusually high - verify","")))</f>
        <v/>
      </c>
      <c r="T171" s="28" t="inlineStr">
        <is>
          <t>both</t>
        </is>
      </c>
      <c r="U171" s="28">
        <f>IF(T171&lt;&gt;"both",T171&amp;" only",IF(V171="","agree","conflict"))</f>
        <v/>
      </c>
      <c r="V171" s="28">
        <f>IF(T171="both",TRIM(IF(AND(E171&lt;&gt;"",F171&lt;&gt;"",E171&lt;&gt;F171),"level ","")&amp;IF(AND(L171&lt;&gt;"",M171&lt;&gt;"",L171&lt;&gt;M171),"price ","")&amp;IF(AND(O171&lt;&gt;"",P171&lt;&gt;"",O171&lt;&gt;P171),"xp ","")&amp;IF(J171="differs","time","")),"")</f>
        <v/>
      </c>
      <c r="X171" s="50" t="inlineStr">
        <is>
          <t>Wool x3; Indigo x1; Duck Feather x2; Raspberry x1</t>
        </is>
      </c>
      <c r="Y171" s="50" t="inlineStr">
        <is>
          <t>Sun Hat.png</t>
        </is>
      </c>
      <c r="Z171" s="50" t="inlineStr">
        <is>
          <t>icons/Hat Maker/Sun Hat.png</t>
        </is>
      </c>
      <c r="AA171" s="28" t="inlineStr">
        <is>
          <t>hayday.info /api/production-data (2026-10-13) + Hay Day Wiki infobox via MediaWiki API (2026-10-13)</t>
        </is>
      </c>
      <c r="AB171" s="28" t="inlineStr">
        <is>
          <t>https://hayday.fandom.com/wiki/Sun_Hat</t>
        </is>
      </c>
      <c r="AC171" s="50" t="inlineStr">
        <is>
          <t>Sun hat</t>
        </is>
      </c>
    </row>
    <row r="172">
      <c r="A172" s="28" t="inlineStr">
        <is>
          <t>Flower Crown</t>
        </is>
      </c>
      <c r="B172" s="28" t="inlineStr">
        <is>
          <t>Hat Maker</t>
        </is>
      </c>
      <c r="C172" s="50" t="inlineStr">
        <is>
          <t>Product</t>
        </is>
      </c>
      <c r="D172" s="28">
        <f>IF(E172&lt;&gt;"",E172,IF(F172&lt;&gt;"",F172,""))</f>
        <v/>
      </c>
      <c r="E172" s="50" t="n">
        <v>86</v>
      </c>
      <c r="F172" s="50" t="n">
        <v>86</v>
      </c>
      <c r="G172" s="50" t="n">
        <v>102</v>
      </c>
      <c r="H172" s="50" t="n">
        <v>120</v>
      </c>
      <c r="I172" s="50" t="n">
        <v>102</v>
      </c>
      <c r="J172" s="28">
        <f>IF(OR(G172="",AND(H172="",I172="")),"n/a",IF(G172=I172,"mastered",IF(G172=H172,"normal","differs")))</f>
        <v/>
      </c>
      <c r="K172" s="28">
        <f>IF(L172&lt;&gt;"",L172,IF(M172&lt;&gt;"",M172,""))</f>
        <v/>
      </c>
      <c r="L172" s="50" t="n">
        <v>331</v>
      </c>
      <c r="M172" s="50" t="n">
        <v>331</v>
      </c>
      <c r="N172" s="28">
        <f>IF(O172&lt;&gt;"",O172,IF(P172&lt;&gt;"",P172,""))</f>
        <v/>
      </c>
      <c r="O172" s="50" t="n">
        <v>40</v>
      </c>
      <c r="P172" s="50" t="n">
        <v>40</v>
      </c>
      <c r="Q172" s="50" t="n">
        <v>22.94</v>
      </c>
      <c r="R172" s="50" t="n">
        <v>23.53</v>
      </c>
      <c r="S172" s="28">
        <f>IF(Q172="","",IF(Q172&lt;0,"negative profit",IF(Q172&gt;Notes!$B$4,"unusually high - verify","")))</f>
        <v/>
      </c>
      <c r="T172" s="28" t="inlineStr">
        <is>
          <t>both</t>
        </is>
      </c>
      <c r="U172" s="28">
        <f>IF(T172&lt;&gt;"both",T172&amp;" only",IF(V172="","agree","conflict"))</f>
        <v/>
      </c>
      <c r="V172" s="28">
        <f>IF(T172="both",TRIM(IF(AND(E172&lt;&gt;"",F172&lt;&gt;"",E172&lt;&gt;F172),"level ","")&amp;IF(AND(L172&lt;&gt;"",M172&lt;&gt;"",L172&lt;&gt;M172),"price ","")&amp;IF(AND(O172&lt;&gt;"",P172&lt;&gt;"",O172&lt;&gt;P172),"xp ","")&amp;IF(J172="differs","time","")),"")</f>
        <v/>
      </c>
      <c r="X172" s="50" t="inlineStr">
        <is>
          <t>Peony x5; Cotton x4</t>
        </is>
      </c>
      <c r="Y172" s="50" t="inlineStr">
        <is>
          <t>Flower Crown.png</t>
        </is>
      </c>
      <c r="Z172" s="50" t="inlineStr">
        <is>
          <t>icons/Hat Maker/Flower Crown.png</t>
        </is>
      </c>
      <c r="AA172" s="28" t="inlineStr">
        <is>
          <t>hayday.info /api/production-data (2026-10-13) + Hay Day Wiki infobox via MediaWiki API (2026-10-13)</t>
        </is>
      </c>
      <c r="AB172" s="28" t="inlineStr">
        <is>
          <t>https://hayday.fandom.com/wiki/Flower_Crown</t>
        </is>
      </c>
      <c r="AC172" s="50" t="inlineStr">
        <is>
          <t>Flower crown</t>
        </is>
      </c>
    </row>
    <row r="173">
      <c r="A173" s="28" t="inlineStr">
        <is>
          <t>Honey</t>
        </is>
      </c>
      <c r="B173" s="28" t="inlineStr">
        <is>
          <t>Honey Extractor</t>
        </is>
      </c>
      <c r="C173" s="50" t="inlineStr">
        <is>
          <t>Product</t>
        </is>
      </c>
      <c r="D173" s="28">
        <f>IF(E173&lt;&gt;"",E173,IF(F173&lt;&gt;"",F173,""))</f>
        <v/>
      </c>
      <c r="E173" s="50" t="n">
        <v>39</v>
      </c>
      <c r="F173" s="50" t="n">
        <v>39</v>
      </c>
      <c r="G173" s="50" t="n">
        <v>17</v>
      </c>
      <c r="H173" s="50" t="n">
        <v>20</v>
      </c>
      <c r="I173" s="50" t="n">
        <v>17</v>
      </c>
      <c r="J173" s="28">
        <f>IF(OR(G173="",AND(H173="",I173="")),"n/a",IF(G173=I173,"mastered",IF(G173=H173,"normal","differs")))</f>
        <v/>
      </c>
      <c r="K173" s="28">
        <f>IF(L173&lt;&gt;"",L173,IF(M173&lt;&gt;"",M173,""))</f>
        <v/>
      </c>
      <c r="L173" s="50" t="n">
        <v>154</v>
      </c>
      <c r="M173" s="50" t="n">
        <v>154</v>
      </c>
      <c r="N173" s="28">
        <f>IF(O173&lt;&gt;"",O173,IF(P173&lt;&gt;"",P173,""))</f>
        <v/>
      </c>
      <c r="O173" s="50" t="n">
        <v>19</v>
      </c>
      <c r="P173" s="50" t="n">
        <v>19</v>
      </c>
      <c r="Q173" s="50" t="n">
        <v>63.53</v>
      </c>
      <c r="R173" s="50" t="n">
        <v>67.06</v>
      </c>
      <c r="S173" s="28">
        <f>IF(Q173="","",IF(Q173&lt;0,"negative profit",IF(Q173&gt;Notes!$B$4,"unusually high - verify","")))</f>
        <v/>
      </c>
      <c r="T173" s="28" t="inlineStr">
        <is>
          <t>both</t>
        </is>
      </c>
      <c r="U173" s="28">
        <f>IF(T173&lt;&gt;"both",T173&amp;" only",IF(V173="","agree","conflict"))</f>
        <v/>
      </c>
      <c r="V173" s="28">
        <f>IF(T173="both",TRIM(IF(AND(E173&lt;&gt;"",F173&lt;&gt;"",E173&lt;&gt;F173),"level ","")&amp;IF(AND(L173&lt;&gt;"",M173&lt;&gt;"",L173&lt;&gt;M173),"price ","")&amp;IF(AND(O173&lt;&gt;"",P173&lt;&gt;"",O173&lt;&gt;P173),"xp ","")&amp;IF(J173="differs","time","")),"")</f>
        <v/>
      </c>
      <c r="W173" s="28" t="inlineStr">
        <is>
          <t>xp 18 (machine page) vs 19 (product page)</t>
        </is>
      </c>
      <c r="X173" s="50" t="inlineStr">
        <is>
          <t>Honeycomb x2</t>
        </is>
      </c>
      <c r="Y173" s="50" t="inlineStr">
        <is>
          <t>Honey.png</t>
        </is>
      </c>
      <c r="Z173" s="50" t="inlineStr">
        <is>
          <t>icons/Honey Extractor/Honey.png</t>
        </is>
      </c>
      <c r="AA173" s="28" t="inlineStr">
        <is>
          <t>hayday.info /api/production-data (2026-10-13) + Hay Day Wiki infobox via MediaWiki API (2026-10-13)</t>
        </is>
      </c>
      <c r="AB173" s="28" t="inlineStr">
        <is>
          <t>https://hayday.fandom.com/wiki/Honey</t>
        </is>
      </c>
      <c r="AC173" s="50" t="inlineStr">
        <is>
          <t>Honey</t>
        </is>
      </c>
    </row>
    <row r="174">
      <c r="A174" s="28" t="inlineStr">
        <is>
          <t>Beeswax</t>
        </is>
      </c>
      <c r="B174" s="28" t="inlineStr">
        <is>
          <t>Honey Extractor</t>
        </is>
      </c>
      <c r="C174" s="50" t="inlineStr">
        <is>
          <t>Product</t>
        </is>
      </c>
      <c r="D174" s="28">
        <f>IF(E174&lt;&gt;"",E174,IF(F174&lt;&gt;"",F174,""))</f>
        <v/>
      </c>
      <c r="E174" s="50" t="n">
        <v>48</v>
      </c>
      <c r="F174" s="50" t="n">
        <v>48</v>
      </c>
      <c r="G174" s="50" t="n">
        <v>38</v>
      </c>
      <c r="H174" s="50" t="n">
        <v>45</v>
      </c>
      <c r="I174" s="50" t="n">
        <v>38</v>
      </c>
      <c r="J174" s="28">
        <f>IF(OR(G174="",AND(H174="",I174="")),"n/a",IF(G174=I174,"mastered",IF(G174=H174,"normal","differs")))</f>
        <v/>
      </c>
      <c r="K174" s="28">
        <f>IF(L174&lt;&gt;"",L174,IF(M174&lt;&gt;"",M174,""))</f>
        <v/>
      </c>
      <c r="L174" s="50" t="n">
        <v>234</v>
      </c>
      <c r="M174" s="50" t="n">
        <v>234</v>
      </c>
      <c r="N174" s="28">
        <f>IF(O174&lt;&gt;"",O174,IF(P174&lt;&gt;"",P174,""))</f>
        <v/>
      </c>
      <c r="O174" s="50" t="n">
        <v>28</v>
      </c>
      <c r="P174" s="50" t="n">
        <v>28</v>
      </c>
      <c r="Q174" s="50" t="n">
        <v>47.06</v>
      </c>
      <c r="R174" s="50" t="n">
        <v>43.92</v>
      </c>
      <c r="S174" s="28">
        <f>IF(Q174="","",IF(Q174&lt;0,"negative profit",IF(Q174&gt;Notes!$B$4,"unusually high - verify","")))</f>
        <v/>
      </c>
      <c r="T174" s="28" t="inlineStr">
        <is>
          <t>both</t>
        </is>
      </c>
      <c r="U174" s="28">
        <f>IF(T174&lt;&gt;"both",T174&amp;" only",IF(V174="","agree","conflict"))</f>
        <v/>
      </c>
      <c r="V174" s="28">
        <f>IF(T174="both",TRIM(IF(AND(E174&lt;&gt;"",F174&lt;&gt;"",E174&lt;&gt;F174),"level ","")&amp;IF(AND(L174&lt;&gt;"",M174&lt;&gt;"",L174&lt;&gt;M174),"price ","")&amp;IF(AND(O174&lt;&gt;"",P174&lt;&gt;"",O174&lt;&gt;P174),"xp ","")&amp;IF(J174="differs","time","")),"")</f>
        <v/>
      </c>
      <c r="X174" s="50" t="inlineStr">
        <is>
          <t>Honeycomb x3</t>
        </is>
      </c>
      <c r="Y174" s="50" t="inlineStr">
        <is>
          <t>Beeswax.png</t>
        </is>
      </c>
      <c r="Z174" s="50" t="inlineStr">
        <is>
          <t>icons/Honey Extractor/Beeswax.png</t>
        </is>
      </c>
      <c r="AA174" s="28" t="inlineStr">
        <is>
          <t>hayday.info /api/production-data (2026-10-13) + Hay Day Wiki infobox via MediaWiki API (2026-10-13)</t>
        </is>
      </c>
      <c r="AB174" s="28" t="inlineStr">
        <is>
          <t>https://hayday.fandom.com/wiki/Beeswax</t>
        </is>
      </c>
      <c r="AC174" s="50" t="inlineStr">
        <is>
          <t>Beeswax</t>
        </is>
      </c>
    </row>
    <row r="175">
      <c r="A175" s="28" t="inlineStr">
        <is>
          <t>Hot Dog</t>
        </is>
      </c>
      <c r="B175" s="28" t="inlineStr">
        <is>
          <t>Hot Dog Stand</t>
        </is>
      </c>
      <c r="C175" s="50" t="inlineStr">
        <is>
          <t>Product</t>
        </is>
      </c>
      <c r="D175" s="28">
        <f>IF(E175&lt;&gt;"",E175,IF(F175&lt;&gt;"",F175,""))</f>
        <v/>
      </c>
      <c r="E175" s="50" t="n">
        <v>75</v>
      </c>
      <c r="F175" s="50" t="n">
        <v>75</v>
      </c>
      <c r="G175" s="50" t="n">
        <v>25</v>
      </c>
      <c r="H175" s="50" t="n">
        <v>30</v>
      </c>
      <c r="I175" s="50" t="n">
        <v>25</v>
      </c>
      <c r="J175" s="28">
        <f>IF(OR(G175="",AND(H175="",I175="")),"n/a",IF(G175=I175,"mastered",IF(G175=H175,"normal","differs")))</f>
        <v/>
      </c>
      <c r="K175" s="28">
        <f>IF(L175&lt;&gt;"",L175,IF(M175&lt;&gt;"",M175,""))</f>
        <v/>
      </c>
      <c r="L175" s="50" t="n">
        <v>370</v>
      </c>
      <c r="M175" s="50" t="n">
        <v>370</v>
      </c>
      <c r="N175" s="28">
        <f>IF(O175&lt;&gt;"",O175,IF(P175&lt;&gt;"",P175,""))</f>
        <v/>
      </c>
      <c r="O175" s="50" t="n">
        <v>44</v>
      </c>
      <c r="P175" s="50" t="n">
        <v>44</v>
      </c>
      <c r="Q175" s="50" t="n">
        <v>44.71</v>
      </c>
      <c r="R175" s="50" t="n">
        <v>103.53</v>
      </c>
      <c r="S175" s="28">
        <f>IF(Q175="","",IF(Q175&lt;0,"negative profit",IF(Q175&gt;Notes!$B$4,"unusually high - verify","")))</f>
        <v/>
      </c>
      <c r="T175" s="28" t="inlineStr">
        <is>
          <t>both</t>
        </is>
      </c>
      <c r="U175" s="28">
        <f>IF(T175&lt;&gt;"both",T175&amp;" only",IF(V175="","agree","conflict"))</f>
        <v/>
      </c>
      <c r="V175" s="28">
        <f>IF(T175="both",TRIM(IF(AND(E175&lt;&gt;"",F175&lt;&gt;"",E175&lt;&gt;F175),"level ","")&amp;IF(AND(L175&lt;&gt;"",M175&lt;&gt;"",L175&lt;&gt;M175),"price ","")&amp;IF(AND(O175&lt;&gt;"",P175&lt;&gt;"",O175&lt;&gt;P175),"xp ","")&amp;IF(J175="differs","time","")),"")</f>
        <v/>
      </c>
      <c r="X175" s="50" t="inlineStr">
        <is>
          <t>Bacon x2; Bread x1; Tomato Sauce x1</t>
        </is>
      </c>
      <c r="Y175" s="50" t="inlineStr">
        <is>
          <t>Hot Dog.png</t>
        </is>
      </c>
      <c r="Z175" s="50" t="inlineStr">
        <is>
          <t>icons/Hot Dog Stand/Hot Dog.png</t>
        </is>
      </c>
      <c r="AA175" s="28" t="inlineStr">
        <is>
          <t>hayday.info /api/production-data (2026-10-13) + Hay Day Wiki infobox via MediaWiki API (2026-10-13)</t>
        </is>
      </c>
      <c r="AB175" s="28" t="inlineStr">
        <is>
          <t>https://hayday.fandom.com/wiki/Hot_Dog</t>
        </is>
      </c>
      <c r="AC175" s="50" t="inlineStr">
        <is>
          <t>Hot dog</t>
        </is>
      </c>
    </row>
    <row r="176">
      <c r="A176" s="28" t="inlineStr">
        <is>
          <t>Tofu Dog</t>
        </is>
      </c>
      <c r="B176" s="28" t="inlineStr">
        <is>
          <t>Hot Dog Stand</t>
        </is>
      </c>
      <c r="C176" s="50" t="inlineStr">
        <is>
          <t>Product</t>
        </is>
      </c>
      <c r="D176" s="28">
        <f>IF(E176&lt;&gt;"",E176,IF(F176&lt;&gt;"",F176,""))</f>
        <v/>
      </c>
      <c r="E176" s="50" t="n">
        <v>76</v>
      </c>
      <c r="F176" s="50" t="n">
        <v>76</v>
      </c>
      <c r="G176" s="50" t="n">
        <v>38</v>
      </c>
      <c r="H176" s="50" t="n">
        <v>45</v>
      </c>
      <c r="I176" s="50" t="n">
        <v>38</v>
      </c>
      <c r="J176" s="28">
        <f>IF(OR(G176="",AND(H176="",I176="")),"n/a",IF(G176=I176,"mastered",IF(G176=H176,"normal","differs")))</f>
        <v/>
      </c>
      <c r="K176" s="28">
        <f>IF(L176&lt;&gt;"",L176,IF(M176&lt;&gt;"",M176,""))</f>
        <v/>
      </c>
      <c r="L176" s="50" t="n">
        <v>367</v>
      </c>
      <c r="M176" s="50" t="n">
        <v>367</v>
      </c>
      <c r="N176" s="28">
        <f>IF(O176&lt;&gt;"",O176,IF(P176&lt;&gt;"",P176,""))</f>
        <v/>
      </c>
      <c r="O176" s="50" t="n">
        <v>44</v>
      </c>
      <c r="P176" s="50" t="n">
        <v>44</v>
      </c>
      <c r="Q176" s="50" t="n">
        <v>61.18</v>
      </c>
      <c r="R176" s="50" t="n">
        <v>69.02</v>
      </c>
      <c r="S176" s="28">
        <f>IF(Q176="","",IF(Q176&lt;0,"negative profit",IF(Q176&gt;Notes!$B$4,"unusually high - verify","")))</f>
        <v/>
      </c>
      <c r="T176" s="28" t="inlineStr">
        <is>
          <t>both</t>
        </is>
      </c>
      <c r="U176" s="28">
        <f>IF(T176&lt;&gt;"both",T176&amp;" only",IF(V176="","agree","conflict"))</f>
        <v/>
      </c>
      <c r="V176" s="28">
        <f>IF(T176="both",TRIM(IF(AND(E176&lt;&gt;"",F176&lt;&gt;"",E176&lt;&gt;F176),"level ","")&amp;IF(AND(L176&lt;&gt;"",M176&lt;&gt;"",L176&lt;&gt;M176),"price ","")&amp;IF(AND(O176&lt;&gt;"",P176&lt;&gt;"",O176&lt;&gt;P176),"xp ","")&amp;IF(J176="differs","time","")),"")</f>
        <v/>
      </c>
      <c r="X176" s="50" t="inlineStr">
        <is>
          <t>Lettuce x3; Soybean x6; Tomato x4</t>
        </is>
      </c>
      <c r="Y176" s="50" t="inlineStr">
        <is>
          <t>Tofu Dog.png</t>
        </is>
      </c>
      <c r="Z176" s="50" t="inlineStr">
        <is>
          <t>icons/Hot Dog Stand/Tofu Dog.png</t>
        </is>
      </c>
      <c r="AA176" s="28" t="inlineStr">
        <is>
          <t>hayday.info /api/production-data (2026-10-13) + Hay Day Wiki infobox via MediaWiki API (2026-10-13)</t>
        </is>
      </c>
      <c r="AB176" s="28" t="inlineStr">
        <is>
          <t>https://hayday.fandom.com/wiki/Tofu_Dog</t>
        </is>
      </c>
      <c r="AC176" s="50" t="inlineStr">
        <is>
          <t>Tofu dog</t>
        </is>
      </c>
    </row>
    <row r="177">
      <c r="A177" s="28" t="inlineStr">
        <is>
          <t>Corn Dog</t>
        </is>
      </c>
      <c r="B177" s="28" t="inlineStr">
        <is>
          <t>Hot Dog Stand</t>
        </is>
      </c>
      <c r="C177" s="50" t="inlineStr">
        <is>
          <t>Product</t>
        </is>
      </c>
      <c r="D177" s="28">
        <f>IF(E177&lt;&gt;"",E177,IF(F177&lt;&gt;"",F177,""))</f>
        <v/>
      </c>
      <c r="E177" s="50" t="n">
        <v>78</v>
      </c>
      <c r="F177" s="50" t="n">
        <v>78</v>
      </c>
      <c r="G177" s="50" t="n">
        <v>51</v>
      </c>
      <c r="H177" s="50" t="n">
        <v>60</v>
      </c>
      <c r="I177" s="50" t="n">
        <v>51</v>
      </c>
      <c r="J177" s="28">
        <f>IF(OR(G177="",AND(H177="",I177="")),"n/a",IF(G177=I177,"mastered",IF(G177=H177,"normal","differs")))</f>
        <v/>
      </c>
      <c r="K177" s="28">
        <f>IF(L177&lt;&gt;"",L177,IF(M177&lt;&gt;"",M177,""))</f>
        <v/>
      </c>
      <c r="L177" s="50" t="n">
        <v>529</v>
      </c>
      <c r="M177" s="50" t="n">
        <v>529</v>
      </c>
      <c r="N177" s="28">
        <f>IF(O177&lt;&gt;"",O177,IF(P177&lt;&gt;"",P177,""))</f>
        <v/>
      </c>
      <c r="O177" s="50" t="n">
        <v>63</v>
      </c>
      <c r="P177" s="50" t="n">
        <v>63</v>
      </c>
      <c r="Q177" s="50" t="n">
        <v>28.24</v>
      </c>
      <c r="R177" s="50" t="n">
        <v>74.12</v>
      </c>
      <c r="S177" s="28">
        <f>IF(Q177="","",IF(Q177&lt;0,"negative profit",IF(Q177&gt;Notes!$B$4,"unusually high - verify","")))</f>
        <v/>
      </c>
      <c r="T177" s="28" t="inlineStr">
        <is>
          <t>both</t>
        </is>
      </c>
      <c r="U177" s="28">
        <f>IF(T177&lt;&gt;"both",T177&amp;" only",IF(V177="","agree","conflict"))</f>
        <v/>
      </c>
      <c r="V177" s="28">
        <f>IF(T177="both",TRIM(IF(AND(E177&lt;&gt;"",F177&lt;&gt;"",E177&lt;&gt;F177),"level ","")&amp;IF(AND(L177&lt;&gt;"",M177&lt;&gt;"",L177&lt;&gt;M177),"price ","")&amp;IF(AND(O177&lt;&gt;"",P177&lt;&gt;"",O177&lt;&gt;P177),"xp ","")&amp;IF(J177="differs","time","")),"")</f>
        <v/>
      </c>
      <c r="X177" s="50" t="inlineStr">
        <is>
          <t>Bacon x4; Corn x4; Olive Oil x1</t>
        </is>
      </c>
      <c r="Y177" s="50" t="inlineStr">
        <is>
          <t>Corn Dog.png</t>
        </is>
      </c>
      <c r="Z177" s="50" t="inlineStr">
        <is>
          <t>icons/Hot Dog Stand/Corn Dog.png</t>
        </is>
      </c>
      <c r="AA177" s="28" t="inlineStr">
        <is>
          <t>hayday.info /api/production-data (2026-10-13) + Hay Day Wiki infobox via MediaWiki API (2026-10-13)</t>
        </is>
      </c>
      <c r="AB177" s="28" t="inlineStr">
        <is>
          <t>https://hayday.fandom.com/wiki/Corn_Dog</t>
        </is>
      </c>
      <c r="AC177" s="50" t="inlineStr">
        <is>
          <t>Corn dog</t>
        </is>
      </c>
    </row>
    <row r="178">
      <c r="A178" s="28" t="inlineStr">
        <is>
          <t>Onion Dog</t>
        </is>
      </c>
      <c r="B178" s="28" t="inlineStr">
        <is>
          <t>Hot Dog Stand</t>
        </is>
      </c>
      <c r="C178" s="50" t="inlineStr">
        <is>
          <t>Product</t>
        </is>
      </c>
      <c r="D178" s="28">
        <f>IF(E178&lt;&gt;"",E178,IF(F178&lt;&gt;"",F178,""))</f>
        <v/>
      </c>
      <c r="E178" s="50" t="n">
        <v>80</v>
      </c>
      <c r="F178" s="50" t="n">
        <v>80</v>
      </c>
      <c r="G178" s="50" t="n">
        <v>63</v>
      </c>
      <c r="H178" s="50" t="n">
        <v>75</v>
      </c>
      <c r="I178" s="50" t="n">
        <v>63</v>
      </c>
      <c r="J178" s="28">
        <f>IF(OR(G178="",AND(H178="",I178="")),"n/a",IF(G178=I178,"mastered",IF(G178=H178,"normal","differs")))</f>
        <v/>
      </c>
      <c r="K178" s="28">
        <f>IF(L178&lt;&gt;"",L178,IF(M178&lt;&gt;"",M178,""))</f>
        <v/>
      </c>
      <c r="L178" s="50" t="n">
        <v>306</v>
      </c>
      <c r="M178" s="50" t="n">
        <v>306</v>
      </c>
      <c r="N178" s="28">
        <f>IF(O178&lt;&gt;"",O178,IF(P178&lt;&gt;"",P178,""))</f>
        <v/>
      </c>
      <c r="O178" s="50" t="n">
        <v>36</v>
      </c>
      <c r="P178" s="50" t="n">
        <v>36</v>
      </c>
      <c r="Q178" s="50" t="n">
        <v>30.12</v>
      </c>
      <c r="R178" s="50" t="n">
        <v>33.88</v>
      </c>
      <c r="S178" s="28">
        <f>IF(Q178="","",IF(Q178&lt;0,"negative profit",IF(Q178&gt;Notes!$B$4,"unusually high - verify","")))</f>
        <v/>
      </c>
      <c r="T178" s="28" t="inlineStr">
        <is>
          <t>both</t>
        </is>
      </c>
      <c r="U178" s="28">
        <f>IF(T178&lt;&gt;"both",T178&amp;" only",IF(V178="","agree","conflict"))</f>
        <v/>
      </c>
      <c r="V178" s="28">
        <f>IF(T178="both",TRIM(IF(AND(E178&lt;&gt;"",F178&lt;&gt;"",E178&lt;&gt;F178),"level ","")&amp;IF(AND(L178&lt;&gt;"",M178&lt;&gt;"",L178&lt;&gt;M178),"price ","")&amp;IF(AND(O178&lt;&gt;"",P178&lt;&gt;"",O178&lt;&gt;P178),"xp ","")&amp;IF(J178="differs","time","")),"")</f>
        <v/>
      </c>
      <c r="X178" s="50" t="inlineStr">
        <is>
          <t>Bacon x2; Bread x1; Chili Pepper x1; Onion x3</t>
        </is>
      </c>
      <c r="Y178" s="50" t="inlineStr">
        <is>
          <t>Onion Dog.png</t>
        </is>
      </c>
      <c r="Z178" s="50" t="inlineStr">
        <is>
          <t>icons/Hot Dog Stand/Onion Dog.png</t>
        </is>
      </c>
      <c r="AA178" s="28" t="inlineStr">
        <is>
          <t>hayday.info /api/production-data (2026-10-13) + Hay Day Wiki infobox via MediaWiki API (2026-10-13)</t>
        </is>
      </c>
      <c r="AB178" s="28" t="inlineStr">
        <is>
          <t>https://hayday.fandom.com/wiki/Onion_Dog</t>
        </is>
      </c>
      <c r="AC178" s="50" t="inlineStr">
        <is>
          <t>Onion dog</t>
        </is>
      </c>
    </row>
    <row r="179">
      <c r="A179" s="28" t="inlineStr">
        <is>
          <t>Vanilla Ice Cream</t>
        </is>
      </c>
      <c r="B179" s="28" t="inlineStr">
        <is>
          <t>Ice Cream Maker</t>
        </is>
      </c>
      <c r="C179" s="50" t="inlineStr">
        <is>
          <t>Product</t>
        </is>
      </c>
      <c r="D179" s="28">
        <f>IF(E179&lt;&gt;"",E179,IF(F179&lt;&gt;"",F179,""))</f>
        <v/>
      </c>
      <c r="E179" s="50" t="n">
        <v>29</v>
      </c>
      <c r="F179" s="50" t="n">
        <v>29</v>
      </c>
      <c r="G179" s="50" t="n">
        <v>102</v>
      </c>
      <c r="H179" s="50" t="n">
        <v>120</v>
      </c>
      <c r="I179" s="50" t="n">
        <v>102</v>
      </c>
      <c r="J179" s="28">
        <f>IF(OR(G179="",AND(H179="",I179="")),"n/a",IF(G179=I179,"mastered",IF(G179=H179,"normal","differs")))</f>
        <v/>
      </c>
      <c r="K179" s="28">
        <f>IF(L179&lt;&gt;"",L179,IF(M179&lt;&gt;"",M179,""))</f>
        <v/>
      </c>
      <c r="L179" s="50" t="n">
        <v>172</v>
      </c>
      <c r="M179" s="50" t="n">
        <v>172</v>
      </c>
      <c r="N179" s="28">
        <f>IF(O179&lt;&gt;"",O179,IF(P179&lt;&gt;"",P179,""))</f>
        <v/>
      </c>
      <c r="O179" s="50" t="n">
        <v>20</v>
      </c>
      <c r="P179" s="50" t="n">
        <v>20</v>
      </c>
      <c r="Q179" s="50" t="n">
        <v>23.53</v>
      </c>
      <c r="R179" s="50" t="n">
        <v>11.76</v>
      </c>
      <c r="S179" s="28">
        <f>IF(Q179="","",IF(Q179&lt;0,"negative profit",IF(Q179&gt;Notes!$B$4,"unusually high - verify","")))</f>
        <v/>
      </c>
      <c r="T179" s="28" t="inlineStr">
        <is>
          <t>both</t>
        </is>
      </c>
      <c r="U179" s="28">
        <f>IF(T179&lt;&gt;"both",T179&amp;" only",IF(V179="","agree","conflict"))</f>
        <v/>
      </c>
      <c r="V179" s="28">
        <f>IF(T179="both",TRIM(IF(AND(E179&lt;&gt;"",F179&lt;&gt;"",E179&lt;&gt;F179),"level ","")&amp;IF(AND(L179&lt;&gt;"",M179&lt;&gt;"",L179&lt;&gt;M179),"price ","")&amp;IF(AND(O179&lt;&gt;"",P179&lt;&gt;"",O179&lt;&gt;P179),"xp ","")&amp;IF(J179="differs","time","")),"")</f>
        <v/>
      </c>
      <c r="X179" s="50" t="inlineStr">
        <is>
          <t>Milk x1; Cream x1; White Sugar x1</t>
        </is>
      </c>
      <c r="Y179" s="50" t="inlineStr">
        <is>
          <t>Vanilla Ice Cream.png</t>
        </is>
      </c>
      <c r="Z179" s="50" t="inlineStr">
        <is>
          <t>icons/Ice Cream Maker/Vanilla Ice Cream.png</t>
        </is>
      </c>
      <c r="AA179" s="28" t="inlineStr">
        <is>
          <t>hayday.info /api/production-data (2026-10-13) + Hay Day Wiki infobox via MediaWiki API (2026-10-13)</t>
        </is>
      </c>
      <c r="AB179" s="28" t="inlineStr">
        <is>
          <t>https://hayday.fandom.com/wiki/Vanilla_Ice_Cream</t>
        </is>
      </c>
      <c r="AC179" s="50" t="inlineStr">
        <is>
          <t>Vanilla ice cream</t>
        </is>
      </c>
    </row>
    <row r="180">
      <c r="A180" s="28" t="inlineStr">
        <is>
          <t>Cherry Popsicle</t>
        </is>
      </c>
      <c r="B180" s="28" t="inlineStr">
        <is>
          <t>Ice Cream Maker</t>
        </is>
      </c>
      <c r="C180" s="50" t="inlineStr">
        <is>
          <t>Product</t>
        </is>
      </c>
      <c r="D180" s="28">
        <f>IF(E180&lt;&gt;"",E180,IF(F180&lt;&gt;"",F180,""))</f>
        <v/>
      </c>
      <c r="E180" s="50" t="n">
        <v>33</v>
      </c>
      <c r="F180" s="50" t="n">
        <v>33</v>
      </c>
      <c r="G180" s="50" t="n">
        <v>153</v>
      </c>
      <c r="H180" s="50" t="n">
        <v>180</v>
      </c>
      <c r="I180" s="50" t="n">
        <v>153</v>
      </c>
      <c r="J180" s="28">
        <f>IF(OR(G180="",AND(H180="",I180="")),"n/a",IF(G180=I180,"mastered",IF(G180=H180,"normal","differs")))</f>
        <v/>
      </c>
      <c r="K180" s="28">
        <f>IF(L180&lt;&gt;"",L180,IF(M180&lt;&gt;"",M180,""))</f>
        <v/>
      </c>
      <c r="L180" s="50" t="n">
        <v>352</v>
      </c>
      <c r="M180" s="50" t="n">
        <v>352</v>
      </c>
      <c r="N180" s="28">
        <f>IF(O180&lt;&gt;"",O180,IF(P180&lt;&gt;"",P180,""))</f>
        <v/>
      </c>
      <c r="O180" s="50" t="n">
        <v>42</v>
      </c>
      <c r="P180" s="50" t="n">
        <v>42</v>
      </c>
      <c r="Q180" s="50" t="n">
        <v>18.04</v>
      </c>
      <c r="R180" s="50" t="n">
        <v>16.47</v>
      </c>
      <c r="S180" s="28">
        <f>IF(Q180="","",IF(Q180&lt;0,"negative profit",IF(Q180&gt;Notes!$B$4,"unusually high - verify","")))</f>
        <v/>
      </c>
      <c r="T180" s="28" t="inlineStr">
        <is>
          <t>both</t>
        </is>
      </c>
      <c r="U180" s="28">
        <f>IF(T180&lt;&gt;"both",T180&amp;" only",IF(V180="","agree","conflict"))</f>
        <v/>
      </c>
      <c r="V180" s="28">
        <f>IF(T180="both",TRIM(IF(AND(E180&lt;&gt;"",F180&lt;&gt;"",E180&lt;&gt;F180),"level ","")&amp;IF(AND(L180&lt;&gt;"",M180&lt;&gt;"",L180&lt;&gt;M180),"price ","")&amp;IF(AND(O180&lt;&gt;"",P180&lt;&gt;"",O180&lt;&gt;P180),"xp ","")&amp;IF(J180="differs","time","")),"")</f>
        <v/>
      </c>
      <c r="X180" s="50" t="inlineStr">
        <is>
          <t>Syrup x1; Cherry Juice x1</t>
        </is>
      </c>
      <c r="Y180" s="50" t="inlineStr">
        <is>
          <t>Cherry Popsicle.png</t>
        </is>
      </c>
      <c r="Z180" s="50" t="inlineStr">
        <is>
          <t>icons/Ice Cream Maker/Cherry Popsicle.png</t>
        </is>
      </c>
      <c r="AA180" s="28" t="inlineStr">
        <is>
          <t>hayday.info /api/production-data (2026-10-13) + Hay Day Wiki infobox via MediaWiki API (2026-10-13)</t>
        </is>
      </c>
      <c r="AB180" s="28" t="inlineStr">
        <is>
          <t>https://hayday.fandom.com/wiki/Cherry_Popsicle</t>
        </is>
      </c>
      <c r="AC180" s="50" t="inlineStr">
        <is>
          <t>Cherry popsicle</t>
        </is>
      </c>
    </row>
    <row r="181">
      <c r="A181" s="28" t="inlineStr">
        <is>
          <t>Strawberry Ice Cream</t>
        </is>
      </c>
      <c r="B181" s="28" t="inlineStr">
        <is>
          <t>Ice Cream Maker</t>
        </is>
      </c>
      <c r="C181" s="50" t="inlineStr">
        <is>
          <t>Product</t>
        </is>
      </c>
      <c r="D181" s="28">
        <f>IF(E181&lt;&gt;"",E181,IF(F181&lt;&gt;"",F181,""))</f>
        <v/>
      </c>
      <c r="E181" s="50" t="n">
        <v>34</v>
      </c>
      <c r="F181" s="50" t="n">
        <v>34</v>
      </c>
      <c r="G181" s="50" t="n">
        <v>204</v>
      </c>
      <c r="H181" s="50" t="n">
        <v>240</v>
      </c>
      <c r="I181" s="50" t="n">
        <v>204</v>
      </c>
      <c r="J181" s="28">
        <f>IF(OR(G181="",AND(H181="",I181="")),"n/a",IF(G181=I181,"mastered",IF(G181=H181,"normal","differs")))</f>
        <v/>
      </c>
      <c r="K181" s="28">
        <f>IF(L181&lt;&gt;"",L181,IF(M181&lt;&gt;"",M181,""))</f>
        <v/>
      </c>
      <c r="L181" s="50" t="n">
        <v>331</v>
      </c>
      <c r="M181" s="50" t="n">
        <v>331</v>
      </c>
      <c r="N181" s="28">
        <f>IF(O181&lt;&gt;"",O181,IF(P181&lt;&gt;"",P181,""))</f>
        <v/>
      </c>
      <c r="O181" s="50" t="n">
        <v>40</v>
      </c>
      <c r="P181" s="50" t="n">
        <v>40</v>
      </c>
      <c r="Q181" s="50" t="n">
        <v>14.41</v>
      </c>
      <c r="R181" s="50" t="n">
        <v>11.76</v>
      </c>
      <c r="S181" s="28">
        <f>IF(Q181="","",IF(Q181&lt;0,"negative profit",IF(Q181&gt;Notes!$B$4,"unusually high - verify","")))</f>
        <v/>
      </c>
      <c r="T181" s="28" t="inlineStr">
        <is>
          <t>both</t>
        </is>
      </c>
      <c r="U181" s="28">
        <f>IF(T181&lt;&gt;"both",T181&amp;" only",IF(V181="","agree","conflict"))</f>
        <v/>
      </c>
      <c r="V181" s="28">
        <f>IF(T181="both",TRIM(IF(AND(E181&lt;&gt;"",F181&lt;&gt;"",E181&lt;&gt;F181),"level ","")&amp;IF(AND(L181&lt;&gt;"",M181&lt;&gt;"",L181&lt;&gt;M181),"price ","")&amp;IF(AND(O181&lt;&gt;"",P181&lt;&gt;"",O181&lt;&gt;P181),"xp ","")&amp;IF(J181="differs","time","")),"")</f>
        <v/>
      </c>
      <c r="X181" s="50" t="inlineStr">
        <is>
          <t>Cream x1; White Sugar x1; Strawberry x3; Milk x1</t>
        </is>
      </c>
      <c r="Y181" s="50" t="inlineStr">
        <is>
          <t>Strawberry Ice Cream.png</t>
        </is>
      </c>
      <c r="Z181" s="50" t="inlineStr">
        <is>
          <t>icons/Ice Cream Maker/Strawberry Ice Cream.png</t>
        </is>
      </c>
      <c r="AA181" s="28" t="inlineStr">
        <is>
          <t>hayday.info /api/production-data (2026-10-13) + Hay Day Wiki infobox via MediaWiki API (2026-10-13)</t>
        </is>
      </c>
      <c r="AB181" s="28" t="inlineStr">
        <is>
          <t>https://hayday.fandom.com/wiki/Strawberry_Ice_Cream</t>
        </is>
      </c>
      <c r="AC181" s="50" t="inlineStr">
        <is>
          <t>Strawberry ice cream</t>
        </is>
      </c>
    </row>
    <row r="182">
      <c r="A182" s="28" t="inlineStr">
        <is>
          <t>Chocolate Ice Cream</t>
        </is>
      </c>
      <c r="B182" s="28" t="inlineStr">
        <is>
          <t>Ice Cream Maker</t>
        </is>
      </c>
      <c r="C182" s="50" t="inlineStr">
        <is>
          <t>Product</t>
        </is>
      </c>
      <c r="D182" s="28">
        <f>IF(E182&lt;&gt;"",E182,IF(F182&lt;&gt;"",F182,""))</f>
        <v/>
      </c>
      <c r="E182" s="50" t="n">
        <v>39</v>
      </c>
      <c r="F182" s="50" t="n">
        <v>39</v>
      </c>
      <c r="G182" s="50" t="n">
        <v>127</v>
      </c>
      <c r="H182" s="50" t="n">
        <v>150</v>
      </c>
      <c r="I182" s="50" t="n">
        <v>127</v>
      </c>
      <c r="J182" s="28">
        <f>IF(OR(G182="",AND(H182="",I182="")),"n/a",IF(G182=I182,"mastered",IF(G182=H182,"normal","differs")))</f>
        <v/>
      </c>
      <c r="K182" s="28">
        <f>IF(L182&lt;&gt;"",L182,IF(M182&lt;&gt;"",M182,""))</f>
        <v/>
      </c>
      <c r="L182" s="50" t="n">
        <v>342</v>
      </c>
      <c r="M182" s="50" t="n">
        <v>342</v>
      </c>
      <c r="N182" s="28">
        <f>IF(O182&lt;&gt;"",O182,IF(P182&lt;&gt;"",P182,""))</f>
        <v/>
      </c>
      <c r="O182" s="50" t="n">
        <v>41</v>
      </c>
      <c r="P182" s="50" t="n">
        <v>41</v>
      </c>
      <c r="Q182" s="50" t="n">
        <v>17.88</v>
      </c>
      <c r="R182" s="50" t="n">
        <v>19.29</v>
      </c>
      <c r="S182" s="28">
        <f>IF(Q182="","",IF(Q182&lt;0,"negative profit",IF(Q182&gt;Notes!$B$4,"unusually high - verify","")))</f>
        <v/>
      </c>
      <c r="T182" s="28" t="inlineStr">
        <is>
          <t>both</t>
        </is>
      </c>
      <c r="U182" s="28">
        <f>IF(T182&lt;&gt;"both",T182&amp;" only",IF(V182="","agree","conflict"))</f>
        <v/>
      </c>
      <c r="V182" s="28">
        <f>IF(T182="both",TRIM(IF(AND(E182&lt;&gt;"",F182&lt;&gt;"",E182&lt;&gt;F182),"level ","")&amp;IF(AND(L182&lt;&gt;"",M182&lt;&gt;"",L182&lt;&gt;M182),"price ","")&amp;IF(AND(O182&lt;&gt;"",P182&lt;&gt;"",O182&lt;&gt;P182),"xp ","")&amp;IF(J182="differs","time","")),"")</f>
        <v/>
      </c>
      <c r="X182" s="50" t="inlineStr">
        <is>
          <t>Cream x1; White Sugar x1; Cacao x2; Milk x1</t>
        </is>
      </c>
      <c r="Y182" s="50" t="inlineStr">
        <is>
          <t>Chocolate Ice Cream.png</t>
        </is>
      </c>
      <c r="Z182" s="50" t="inlineStr">
        <is>
          <t>icons/Ice Cream Maker/Chocolate Ice Cream.png</t>
        </is>
      </c>
      <c r="AA182" s="28" t="inlineStr">
        <is>
          <t>hayday.info /api/production-data (2026-10-13) + Hay Day Wiki infobox via MediaWiki API (2026-10-13)</t>
        </is>
      </c>
      <c r="AB182" s="28" t="inlineStr">
        <is>
          <t>https://hayday.fandom.com/wiki/Chocolate_Ice_Cream</t>
        </is>
      </c>
      <c r="AC182" s="50" t="inlineStr">
        <is>
          <t>Chocolate ice cream</t>
        </is>
      </c>
    </row>
    <row r="183">
      <c r="A183" s="28" t="inlineStr">
        <is>
          <t>Sesame Ice Cream</t>
        </is>
      </c>
      <c r="B183" s="28" t="inlineStr">
        <is>
          <t>Ice Cream Maker</t>
        </is>
      </c>
      <c r="C183" s="50" t="inlineStr">
        <is>
          <t>Product</t>
        </is>
      </c>
      <c r="D183" s="28">
        <f>IF(E183&lt;&gt;"",E183,IF(F183&lt;&gt;"",F183,""))</f>
        <v/>
      </c>
      <c r="E183" s="50" t="n">
        <v>50</v>
      </c>
      <c r="F183" s="50" t="n">
        <v>50</v>
      </c>
      <c r="G183" s="50" t="n">
        <v>102</v>
      </c>
      <c r="H183" s="50" t="n">
        <v>120</v>
      </c>
      <c r="I183" s="50" t="n">
        <v>102</v>
      </c>
      <c r="J183" s="28">
        <f>IF(OR(G183="",AND(H183="",I183="")),"n/a",IF(G183=I183,"mastered",IF(G183=H183,"normal","differs")))</f>
        <v/>
      </c>
      <c r="K183" s="28">
        <f>IF(L183&lt;&gt;"",L183,IF(M183&lt;&gt;"",M183,""))</f>
        <v/>
      </c>
      <c r="L183" s="50" t="n">
        <v>176</v>
      </c>
      <c r="M183" s="50" t="n">
        <v>176</v>
      </c>
      <c r="N183" s="28">
        <f>IF(O183&lt;&gt;"",O183,IF(P183&lt;&gt;"",P183,""))</f>
        <v/>
      </c>
      <c r="O183" s="50" t="n">
        <v>21</v>
      </c>
      <c r="P183" s="50" t="n">
        <v>21</v>
      </c>
      <c r="Q183" s="50" t="n">
        <v>23.53</v>
      </c>
      <c r="R183" s="50" t="n">
        <v>12.35</v>
      </c>
      <c r="S183" s="28">
        <f>IF(Q183="","",IF(Q183&lt;0,"negative profit",IF(Q183&gt;Notes!$B$4,"unusually high - verify","")))</f>
        <v/>
      </c>
      <c r="T183" s="28" t="inlineStr">
        <is>
          <t>both</t>
        </is>
      </c>
      <c r="U183" s="28">
        <f>IF(T183&lt;&gt;"both",T183&amp;" only",IF(V183="","agree","conflict"))</f>
        <v/>
      </c>
      <c r="V183" s="28">
        <f>IF(T183="both",TRIM(IF(AND(E183&lt;&gt;"",F183&lt;&gt;"",E183&lt;&gt;F183),"level ","")&amp;IF(AND(L183&lt;&gt;"",M183&lt;&gt;"",L183&lt;&gt;M183),"price ","")&amp;IF(AND(O183&lt;&gt;"",P183&lt;&gt;"",O183&lt;&gt;P183),"xp ","")&amp;IF(J183="differs","time","")),"")</f>
        <v/>
      </c>
      <c r="X183" s="50" t="inlineStr">
        <is>
          <t>Cream x1; Sesame x3; Brown Sugar x1</t>
        </is>
      </c>
      <c r="Y183" s="50" t="inlineStr">
        <is>
          <t>Sesame Ice Cream.png</t>
        </is>
      </c>
      <c r="Z183" s="50" t="inlineStr">
        <is>
          <t>icons/Ice Cream Maker/Sesame Ice Cream.png</t>
        </is>
      </c>
      <c r="AA183" s="28" t="inlineStr">
        <is>
          <t>hayday.info /api/production-data (2026-10-13) + Hay Day Wiki infobox via MediaWiki API (2026-10-13)</t>
        </is>
      </c>
      <c r="AB183" s="28" t="inlineStr">
        <is>
          <t>https://hayday.fandom.com/wiki/Sesame_Ice_Cream</t>
        </is>
      </c>
      <c r="AC183" s="50" t="inlineStr">
        <is>
          <t>Sesame ice cream</t>
        </is>
      </c>
    </row>
    <row r="184">
      <c r="A184" s="28" t="inlineStr">
        <is>
          <t>Peanut Butter Milkshake</t>
        </is>
      </c>
      <c r="B184" s="28" t="inlineStr">
        <is>
          <t>Ice Cream Maker</t>
        </is>
      </c>
      <c r="C184" s="50" t="inlineStr">
        <is>
          <t>Product</t>
        </is>
      </c>
      <c r="D184" s="28">
        <f>IF(E184&lt;&gt;"",E184,IF(F184&lt;&gt;"",F184,""))</f>
        <v/>
      </c>
      <c r="E184" s="50" t="n">
        <v>68</v>
      </c>
      <c r="F184" s="50" t="n">
        <v>68</v>
      </c>
      <c r="G184" s="50" t="n">
        <v>85</v>
      </c>
      <c r="H184" s="50" t="n">
        <v>100</v>
      </c>
      <c r="I184" s="50" t="n">
        <v>85</v>
      </c>
      <c r="J184" s="28">
        <f>IF(OR(G184="",AND(H184="",I184="")),"n/a",IF(G184=I184,"mastered",IF(G184=H184,"normal","differs")))</f>
        <v/>
      </c>
      <c r="K184" s="28">
        <f>IF(L184&lt;&gt;"",L184,IF(M184&lt;&gt;"",M184,""))</f>
        <v/>
      </c>
      <c r="L184" s="50" t="n">
        <v>619</v>
      </c>
      <c r="M184" s="50" t="n">
        <v>619</v>
      </c>
      <c r="N184" s="28">
        <f>IF(O184&lt;&gt;"",O184,IF(P184&lt;&gt;"",P184,""))</f>
        <v/>
      </c>
      <c r="O184" s="50" t="n">
        <v>86</v>
      </c>
      <c r="P184" s="50" t="n">
        <v>86</v>
      </c>
      <c r="Q184" s="50" t="n">
        <v>31.76</v>
      </c>
      <c r="R184" s="50" t="n">
        <v>60.71</v>
      </c>
      <c r="S184" s="28">
        <f>IF(Q184="","",IF(Q184&lt;0,"negative profit",IF(Q184&gt;Notes!$B$4,"unusually high - verify","")))</f>
        <v/>
      </c>
      <c r="T184" s="28" t="inlineStr">
        <is>
          <t>both</t>
        </is>
      </c>
      <c r="U184" s="28">
        <f>IF(T184&lt;&gt;"both",T184&amp;" only",IF(V184="","agree","conflict"))</f>
        <v/>
      </c>
      <c r="V184" s="28">
        <f>IF(T184="both",TRIM(IF(AND(E184&lt;&gt;"",F184&lt;&gt;"",E184&lt;&gt;F184),"level ","")&amp;IF(AND(L184&lt;&gt;"",M184&lt;&gt;"",L184&lt;&gt;M184),"price ","")&amp;IF(AND(O184&lt;&gt;"",P184&lt;&gt;"",O184&lt;&gt;P184),"xp ","")&amp;IF(J184="differs","time","")),"")</f>
        <v/>
      </c>
      <c r="X184" s="50" t="inlineStr">
        <is>
          <t>Peanuts x1; Milk x1; Cream x1; Cacao x3</t>
        </is>
      </c>
      <c r="Y184" s="50" t="inlineStr">
        <is>
          <t>Peanut Butter Milkshake.png</t>
        </is>
      </c>
      <c r="Z184" s="50" t="inlineStr">
        <is>
          <t>icons/Ice Cream Maker/Peanut Butter Milkshake.png</t>
        </is>
      </c>
      <c r="AA184" s="28" t="inlineStr">
        <is>
          <t>hayday.info /api/production-data (2026-10-13) + Hay Day Wiki infobox via MediaWiki API (2026-10-13)</t>
        </is>
      </c>
      <c r="AB184" s="28" t="inlineStr">
        <is>
          <t>https://hayday.fandom.com/wiki/Peanut_Butter_Milkshake</t>
        </is>
      </c>
      <c r="AC184" s="50" t="inlineStr">
        <is>
          <t>Peanut butter milkshake</t>
        </is>
      </c>
    </row>
    <row r="185">
      <c r="A185" s="28" t="inlineStr">
        <is>
          <t>Affogato</t>
        </is>
      </c>
      <c r="B185" s="28" t="inlineStr">
        <is>
          <t>Ice Cream Maker</t>
        </is>
      </c>
      <c r="C185" s="50" t="inlineStr">
        <is>
          <t>Product</t>
        </is>
      </c>
      <c r="D185" s="28">
        <f>IF(E185&lt;&gt;"",E185,IF(F185&lt;&gt;"",F185,""))</f>
        <v/>
      </c>
      <c r="E185" s="50" t="n">
        <v>78</v>
      </c>
      <c r="F185" s="50" t="n">
        <v>78</v>
      </c>
      <c r="G185" s="50" t="n">
        <v>17</v>
      </c>
      <c r="H185" s="50" t="n">
        <v>20</v>
      </c>
      <c r="I185" s="50" t="n">
        <v>17</v>
      </c>
      <c r="J185" s="28">
        <f>IF(OR(G185="",AND(H185="",I185="")),"n/a",IF(G185=I185,"mastered",IF(G185=H185,"normal","differs")))</f>
        <v/>
      </c>
      <c r="K185" s="28">
        <f>IF(L185&lt;&gt;"",L185,IF(M185&lt;&gt;"",M185,""))</f>
        <v/>
      </c>
      <c r="L185" s="50" t="n">
        <v>435</v>
      </c>
      <c r="M185" s="50" t="n">
        <v>435</v>
      </c>
      <c r="N185" s="28">
        <f>IF(O185&lt;&gt;"",O185,IF(P185&lt;&gt;"",P185,""))</f>
        <v/>
      </c>
      <c r="O185" s="50" t="n">
        <v>56</v>
      </c>
      <c r="P185" s="50" t="n">
        <v>56</v>
      </c>
      <c r="Q185" s="50" t="n">
        <v>52.94</v>
      </c>
      <c r="R185" s="50" t="n">
        <v>197.65</v>
      </c>
      <c r="S185" s="28">
        <f>IF(Q185="","",IF(Q185&lt;0,"negative profit",IF(Q185&gt;Notes!$B$4,"unusually high - verify","")))</f>
        <v/>
      </c>
      <c r="T185" s="28" t="inlineStr">
        <is>
          <t>both</t>
        </is>
      </c>
      <c r="U185" s="28">
        <f>IF(T185&lt;&gt;"both",T185&amp;" only",IF(V185="","agree","conflict"))</f>
        <v/>
      </c>
      <c r="V185" s="28">
        <f>IF(T185="both",TRIM(IF(AND(E185&lt;&gt;"",F185&lt;&gt;"",E185&lt;&gt;F185),"level ","")&amp;IF(AND(L185&lt;&gt;"",M185&lt;&gt;"",L185&lt;&gt;M185),"price ","")&amp;IF(AND(O185&lt;&gt;"",P185&lt;&gt;"",O185&lt;&gt;P185),"xp ","")&amp;IF(J185="differs","time","")),"")</f>
        <v/>
      </c>
      <c r="W185" s="28" t="inlineStr">
        <is>
          <t>xp 52 (machine page) vs 56 (product page)</t>
        </is>
      </c>
      <c r="X185" s="50" t="inlineStr">
        <is>
          <t>Vanilla Ice Cream x1; Espresso x1</t>
        </is>
      </c>
      <c r="Y185" s="50" t="inlineStr">
        <is>
          <t>Affogato.png</t>
        </is>
      </c>
      <c r="Z185" s="50" t="inlineStr">
        <is>
          <t>icons/Ice Cream Maker/Affogato.png</t>
        </is>
      </c>
      <c r="AA185" s="28" t="inlineStr">
        <is>
          <t>hayday.info /api/production-data (2026-10-13) + Hay Day Wiki infobox via MediaWiki API (2026-10-13)</t>
        </is>
      </c>
      <c r="AB185" s="28" t="inlineStr">
        <is>
          <t>https://hayday.fandom.com/wiki/Affogato</t>
        </is>
      </c>
      <c r="AC185" s="50" t="inlineStr">
        <is>
          <t>Affogato​​​​</t>
        </is>
      </c>
    </row>
    <row r="186">
      <c r="A186" s="28" t="inlineStr">
        <is>
          <t>Orange Sorbet</t>
        </is>
      </c>
      <c r="B186" s="28" t="inlineStr">
        <is>
          <t>Ice Cream Maker</t>
        </is>
      </c>
      <c r="C186" s="50" t="inlineStr">
        <is>
          <t>Product</t>
        </is>
      </c>
      <c r="D186" s="28">
        <f>IF(E186&lt;&gt;"",E186,IF(F186&lt;&gt;"",F186,""))</f>
        <v/>
      </c>
      <c r="E186" s="50" t="n">
        <v>78</v>
      </c>
      <c r="F186" s="50" t="n">
        <v>78</v>
      </c>
      <c r="G186" s="50" t="n">
        <v>178</v>
      </c>
      <c r="H186" s="50" t="n">
        <v>210</v>
      </c>
      <c r="I186" s="50" t="n">
        <v>178</v>
      </c>
      <c r="J186" s="28">
        <f>IF(OR(G186="",AND(H186="",I186="")),"n/a",IF(G186=I186,"mastered",IF(G186=H186,"normal","differs")))</f>
        <v/>
      </c>
      <c r="K186" s="28">
        <f>IF(L186&lt;&gt;"",L186,IF(M186&lt;&gt;"",M186,""))</f>
        <v/>
      </c>
      <c r="L186" s="50" t="n">
        <v>399</v>
      </c>
      <c r="M186" s="50" t="n">
        <v>399</v>
      </c>
      <c r="N186" s="28">
        <f>IF(O186&lt;&gt;"",O186,IF(P186&lt;&gt;"",P186,""))</f>
        <v/>
      </c>
      <c r="O186" s="50" t="n">
        <v>48</v>
      </c>
      <c r="P186" s="50" t="n">
        <v>48</v>
      </c>
      <c r="Q186" s="50" t="n">
        <v>17.14</v>
      </c>
      <c r="R186" s="50" t="n">
        <v>16.13</v>
      </c>
      <c r="S186" s="28">
        <f>IF(Q186="","",IF(Q186&lt;0,"negative profit",IF(Q186&gt;Notes!$B$4,"unusually high - verify","")))</f>
        <v/>
      </c>
      <c r="T186" s="28" t="inlineStr">
        <is>
          <t>both</t>
        </is>
      </c>
      <c r="U186" s="28">
        <f>IF(T186&lt;&gt;"both",T186&amp;" only",IF(V186="","agree","conflict"))</f>
        <v/>
      </c>
      <c r="V186" s="28">
        <f>IF(T186="both",TRIM(IF(AND(E186&lt;&gt;"",F186&lt;&gt;"",E186&lt;&gt;F186),"level ","")&amp;IF(AND(L186&lt;&gt;"",M186&lt;&gt;"",L186&lt;&gt;M186),"price ","")&amp;IF(AND(O186&lt;&gt;"",P186&lt;&gt;"",O186&lt;&gt;P186),"xp ","")&amp;IF(J186="differs","time","")),"")</f>
        <v/>
      </c>
      <c r="X186" s="50" t="inlineStr">
        <is>
          <t>Honey x1; Orange x2</t>
        </is>
      </c>
      <c r="Y186" s="50" t="inlineStr">
        <is>
          <t>Orange Sorbet.png</t>
        </is>
      </c>
      <c r="Z186" s="50" t="inlineStr">
        <is>
          <t>icons/Ice Cream Maker/Orange Sorbet.png</t>
        </is>
      </c>
      <c r="AA186" s="28" t="inlineStr">
        <is>
          <t>hayday.info /api/production-data (2026-10-13) + Hay Day Wiki infobox via MediaWiki API (2026-10-13)</t>
        </is>
      </c>
      <c r="AB186" s="28" t="inlineStr">
        <is>
          <t>https://hayday.fandom.com/wiki/Orange_Sorbet</t>
        </is>
      </c>
      <c r="AC186" s="50" t="inlineStr">
        <is>
          <t>Orange sorbet</t>
        </is>
      </c>
    </row>
    <row r="187">
      <c r="A187" s="28" t="inlineStr">
        <is>
          <t>Peach Ice Cream</t>
        </is>
      </c>
      <c r="B187" s="28" t="inlineStr">
        <is>
          <t>Ice Cream Maker</t>
        </is>
      </c>
      <c r="C187" s="50" t="inlineStr">
        <is>
          <t>Product</t>
        </is>
      </c>
      <c r="D187" s="28">
        <f>IF(E187&lt;&gt;"",E187,IF(F187&lt;&gt;"",F187,""))</f>
        <v/>
      </c>
      <c r="E187" s="50" t="n">
        <v>83</v>
      </c>
      <c r="F187" s="50" t="n">
        <v>83</v>
      </c>
      <c r="G187" s="50" t="n">
        <v>153</v>
      </c>
      <c r="H187" s="50" t="n">
        <v>180</v>
      </c>
      <c r="I187" s="50" t="n">
        <v>153</v>
      </c>
      <c r="J187" s="28">
        <f>IF(OR(G187="",AND(H187="",I187="")),"n/a",IF(G187=I187,"mastered",IF(G187=H187,"normal","differs")))</f>
        <v/>
      </c>
      <c r="K187" s="28">
        <f>IF(L187&lt;&gt;"",L187,IF(M187&lt;&gt;"",M187,""))</f>
        <v/>
      </c>
      <c r="L187" s="50" t="n">
        <v>450</v>
      </c>
      <c r="M187" s="50" t="n">
        <v>450</v>
      </c>
      <c r="N187" s="28">
        <f>IF(O187&lt;&gt;"",O187,IF(P187&lt;&gt;"",P187,""))</f>
        <v/>
      </c>
      <c r="O187" s="50" t="n">
        <v>54</v>
      </c>
      <c r="P187" s="50" t="n">
        <v>54</v>
      </c>
      <c r="Q187" s="50" t="n">
        <v>18.04</v>
      </c>
      <c r="R187" s="50" t="n">
        <v>21.18</v>
      </c>
      <c r="S187" s="28">
        <f>IF(Q187="","",IF(Q187&lt;0,"negative profit",IF(Q187&gt;Notes!$B$4,"unusually high - verify","")))</f>
        <v/>
      </c>
      <c r="T187" s="28" t="inlineStr">
        <is>
          <t>both</t>
        </is>
      </c>
      <c r="U187" s="28">
        <f>IF(T187&lt;&gt;"both",T187&amp;" only",IF(V187="","agree","conflict"))</f>
        <v/>
      </c>
      <c r="V187" s="28">
        <f>IF(T187="both",TRIM(IF(AND(E187&lt;&gt;"",F187&lt;&gt;"",E187&lt;&gt;F187),"level ","")&amp;IF(AND(L187&lt;&gt;"",M187&lt;&gt;"",L187&lt;&gt;M187),"price ","")&amp;IF(AND(O187&lt;&gt;"",P187&lt;&gt;"",O187&lt;&gt;P187),"xp ","")&amp;IF(J187="differs","time","")),"")</f>
        <v/>
      </c>
      <c r="X187" s="50" t="inlineStr">
        <is>
          <t>Cream x1; Honey x1; Peach x2</t>
        </is>
      </c>
      <c r="Y187" s="50" t="inlineStr">
        <is>
          <t>Peach Ice Cream.png</t>
        </is>
      </c>
      <c r="Z187" s="50" t="inlineStr">
        <is>
          <t>icons/Ice Cream Maker/Peach Ice Cream.png</t>
        </is>
      </c>
      <c r="AA187" s="28" t="inlineStr">
        <is>
          <t>hayday.info /api/production-data (2026-10-13) + Hay Day Wiki infobox via MediaWiki API (2026-10-13)</t>
        </is>
      </c>
      <c r="AB187" s="28" t="inlineStr">
        <is>
          <t>https://hayday.fandom.com/wiki/Peach_Ice_Cream</t>
        </is>
      </c>
      <c r="AC187" s="50" t="inlineStr">
        <is>
          <t>Peach ice cream</t>
        </is>
      </c>
    </row>
    <row r="188">
      <c r="A188" s="28" t="inlineStr">
        <is>
          <t>Mint Ice Cream</t>
        </is>
      </c>
      <c r="B188" s="28" t="inlineStr">
        <is>
          <t>Ice Cream Maker</t>
        </is>
      </c>
      <c r="C188" s="50" t="inlineStr">
        <is>
          <t>Product</t>
        </is>
      </c>
      <c r="D188" s="28">
        <f>IF(E188&lt;&gt;"",E188,IF(F188&lt;&gt;"",F188,""))</f>
        <v/>
      </c>
      <c r="E188" s="50" t="n">
        <v>85</v>
      </c>
      <c r="F188" s="50" t="n">
        <v>85</v>
      </c>
      <c r="G188" s="50" t="n">
        <v>114</v>
      </c>
      <c r="H188" s="50" t="n">
        <v>135</v>
      </c>
      <c r="I188" s="50" t="n">
        <v>114</v>
      </c>
      <c r="J188" s="28">
        <f>IF(OR(G188="",AND(H188="",I188="")),"n/a",IF(G188=I188,"mastered",IF(G188=H188,"normal","differs")))</f>
        <v/>
      </c>
      <c r="K188" s="28">
        <f>IF(L188&lt;&gt;"",L188,IF(M188&lt;&gt;"",M188,""))</f>
        <v/>
      </c>
      <c r="L188" s="50" t="n">
        <v>288</v>
      </c>
      <c r="M188" s="50" t="n">
        <v>288</v>
      </c>
      <c r="N188" s="28">
        <f>IF(O188&lt;&gt;"",O188,IF(P188&lt;&gt;"",P188,""))</f>
        <v/>
      </c>
      <c r="O188" s="50" t="n">
        <v>34</v>
      </c>
      <c r="P188" s="50" t="n">
        <v>34</v>
      </c>
      <c r="Q188" s="50" t="n">
        <v>19.87</v>
      </c>
      <c r="R188" s="50" t="n">
        <v>17.78</v>
      </c>
      <c r="S188" s="28">
        <f>IF(Q188="","",IF(Q188&lt;0,"negative profit",IF(Q188&gt;Notes!$B$4,"unusually high - verify","")))</f>
        <v/>
      </c>
      <c r="T188" s="28" t="inlineStr">
        <is>
          <t>both</t>
        </is>
      </c>
      <c r="U188" s="28">
        <f>IF(T188&lt;&gt;"both",T188&amp;" only",IF(V188="","agree","conflict"))</f>
        <v/>
      </c>
      <c r="V188" s="28">
        <f>IF(T188="both",TRIM(IF(AND(E188&lt;&gt;"",F188&lt;&gt;"",E188&lt;&gt;F188),"level ","")&amp;IF(AND(L188&lt;&gt;"",M188&lt;&gt;"",L188&lt;&gt;M188),"price ","")&amp;IF(AND(O188&lt;&gt;"",P188&lt;&gt;"",O188&lt;&gt;P188),"xp ","")&amp;IF(J188="differs","time","")),"")</f>
        <v/>
      </c>
      <c r="X188" s="50" t="inlineStr">
        <is>
          <t>Cream x1; White Sugar x1; Mint x2; Cacao x1</t>
        </is>
      </c>
      <c r="Y188" s="50" t="inlineStr">
        <is>
          <t>Mint Ice Cream.png</t>
        </is>
      </c>
      <c r="Z188" s="50" t="inlineStr">
        <is>
          <t>icons/Ice Cream Maker/Mint Ice Cream.png</t>
        </is>
      </c>
      <c r="AA188" s="28" t="inlineStr">
        <is>
          <t>hayday.info /api/production-data (2026-10-13) + Hay Day Wiki infobox via MediaWiki API (2026-10-13)</t>
        </is>
      </c>
      <c r="AB188" s="28" t="inlineStr">
        <is>
          <t>https://hayday.fandom.com/wiki/Mint_Ice_Cream</t>
        </is>
      </c>
      <c r="AC188" s="50" t="inlineStr">
        <is>
          <t>Mint ice cream</t>
        </is>
      </c>
    </row>
    <row r="189">
      <c r="A189" s="28" t="inlineStr">
        <is>
          <t>Banana Split</t>
        </is>
      </c>
      <c r="B189" s="28" t="inlineStr">
        <is>
          <t>Ice Cream Maker</t>
        </is>
      </c>
      <c r="C189" s="50" t="inlineStr">
        <is>
          <t>Product</t>
        </is>
      </c>
      <c r="D189" s="28">
        <f>IF(E189&lt;&gt;"",E189,IF(F189&lt;&gt;"",F189,""))</f>
        <v/>
      </c>
      <c r="E189" s="50" t="n">
        <v>96</v>
      </c>
      <c r="F189" s="50" t="n">
        <v>96</v>
      </c>
      <c r="G189" s="50" t="n">
        <v>178</v>
      </c>
      <c r="H189" s="50" t="n">
        <v>210</v>
      </c>
      <c r="I189" s="50" t="n">
        <v>178</v>
      </c>
      <c r="J189" s="28">
        <f>IF(OR(G189="",AND(H189="",I189="")),"n/a",IF(G189=I189,"mastered",IF(G189=H189,"normal","differs")))</f>
        <v/>
      </c>
      <c r="K189" s="28">
        <f>IF(L189&lt;&gt;"",L189,IF(M189&lt;&gt;"",M189,""))</f>
        <v/>
      </c>
      <c r="L189" s="50" t="n">
        <v>403</v>
      </c>
      <c r="M189" s="50" t="n">
        <v>403</v>
      </c>
      <c r="N189" s="28">
        <f>IF(O189&lt;&gt;"",O189,IF(P189&lt;&gt;"",P189,""))</f>
        <v/>
      </c>
      <c r="O189" s="50" t="n">
        <v>48</v>
      </c>
      <c r="P189" s="50" t="n">
        <v>48</v>
      </c>
      <c r="Q189" s="50" t="n">
        <v>15.13</v>
      </c>
      <c r="R189" s="50" t="n">
        <v>16.13</v>
      </c>
      <c r="S189" s="28">
        <f>IF(Q189="","",IF(Q189&lt;0,"negative profit",IF(Q189&gt;Notes!$B$4,"unusually high - verify","")))</f>
        <v/>
      </c>
      <c r="T189" s="28" t="inlineStr">
        <is>
          <t>both</t>
        </is>
      </c>
      <c r="U189" s="28">
        <f>IF(T189&lt;&gt;"both",T189&amp;" only",IF(V189="","agree","conflict"))</f>
        <v/>
      </c>
      <c r="V189" s="28">
        <f>IF(T189="both",TRIM(IF(AND(E189&lt;&gt;"",F189&lt;&gt;"",E189&lt;&gt;F189),"level ","")&amp;IF(AND(L189&lt;&gt;"",M189&lt;&gt;"",L189&lt;&gt;M189),"price ","")&amp;IF(AND(O189&lt;&gt;"",P189&lt;&gt;"",O189&lt;&gt;P189),"xp ","")&amp;IF(J189="differs","time","")),"")</f>
        <v/>
      </c>
      <c r="X189" s="50" t="inlineStr">
        <is>
          <t>Banana x1; Cream x1; Cherry x3</t>
        </is>
      </c>
      <c r="Y189" s="50" t="inlineStr">
        <is>
          <t>Banana Split.png</t>
        </is>
      </c>
      <c r="Z189" s="50" t="inlineStr">
        <is>
          <t>icons/Ice Cream Maker/Banana Split.png</t>
        </is>
      </c>
      <c r="AA189" s="28" t="inlineStr">
        <is>
          <t>hayday.info /api/production-data (2026-10-13) + Hay Day Wiki infobox via MediaWiki API (2026-10-13)</t>
        </is>
      </c>
      <c r="AB189" s="28" t="inlineStr">
        <is>
          <t>https://hayday.fandom.com/wiki/Banana_Split</t>
        </is>
      </c>
      <c r="AC189" s="50" t="inlineStr">
        <is>
          <t>Banana split</t>
        </is>
      </c>
    </row>
    <row r="190">
      <c r="A190" s="28" t="inlineStr">
        <is>
          <t>Coconut Ice Cream</t>
        </is>
      </c>
      <c r="B190" s="28" t="inlineStr">
        <is>
          <t>Ice Cream Maker</t>
        </is>
      </c>
      <c r="C190" s="50" t="inlineStr">
        <is>
          <t>Product</t>
        </is>
      </c>
      <c r="D190" s="28">
        <f>IF(E190&lt;&gt;"",E190,IF(F190&lt;&gt;"",F190,""))</f>
        <v/>
      </c>
      <c r="E190" s="50" t="n">
        <v>102</v>
      </c>
      <c r="F190" s="50" t="n">
        <v>102</v>
      </c>
      <c r="G190" s="50" t="n">
        <v>15</v>
      </c>
      <c r="H190" s="50" t="n">
        <v>15</v>
      </c>
      <c r="I190" s="50" t="n">
        <v>12</v>
      </c>
      <c r="J190" s="28">
        <f>IF(OR(G190="",AND(H190="",I190="")),"n/a",IF(G190=I190,"mastered",IF(G190=H190,"normal","differs")))</f>
        <v/>
      </c>
      <c r="K190" s="28">
        <f>IF(L190&lt;&gt;"",L190,IF(M190&lt;&gt;"",M190,""))</f>
        <v/>
      </c>
      <c r="L190" s="50" t="n">
        <v>320</v>
      </c>
      <c r="M190" s="50" t="n">
        <v>320</v>
      </c>
      <c r="N190" s="28">
        <f>IF(O190&lt;&gt;"",O190,IF(P190&lt;&gt;"",P190,""))</f>
        <v/>
      </c>
      <c r="O190" s="50" t="n">
        <v>38</v>
      </c>
      <c r="P190" s="50" t="n">
        <v>38</v>
      </c>
      <c r="Q190" s="50" t="n">
        <v>56</v>
      </c>
      <c r="R190" s="50" t="n">
        <v>152</v>
      </c>
      <c r="S190" s="28">
        <f>IF(Q190="","",IF(Q190&lt;0,"negative profit",IF(Q190&gt;Notes!$B$4,"unusually high - verify","")))</f>
        <v/>
      </c>
      <c r="T190" s="28" t="inlineStr">
        <is>
          <t>both</t>
        </is>
      </c>
      <c r="U190" s="28">
        <f>IF(T190&lt;&gt;"both",T190&amp;" only",IF(V190="","agree","conflict"))</f>
        <v/>
      </c>
      <c r="V190" s="28">
        <f>IF(T190="both",TRIM(IF(AND(E190&lt;&gt;"",F190&lt;&gt;"",E190&lt;&gt;F190),"level ","")&amp;IF(AND(L190&lt;&gt;"",M190&lt;&gt;"",L190&lt;&gt;M190),"price ","")&amp;IF(AND(O190&lt;&gt;"",P190&lt;&gt;"",O190&lt;&gt;P190),"xp ","")&amp;IF(J190="differs","time","")),"")</f>
        <v/>
      </c>
      <c r="X190" s="50" t="inlineStr">
        <is>
          <t>Coconut x2; Syrup x1</t>
        </is>
      </c>
      <c r="Y190" s="50" t="inlineStr">
        <is>
          <t>Coconut Ice Cream.png</t>
        </is>
      </c>
      <c r="Z190" s="50" t="inlineStr">
        <is>
          <t>icons/Ice Cream Maker/Coconut Ice Cream.png</t>
        </is>
      </c>
      <c r="AA190" s="28" t="inlineStr">
        <is>
          <t>hayday.info /api/production-data (2026-10-13) + Hay Day Wiki infobox via MediaWiki API (2026-10-13)</t>
        </is>
      </c>
      <c r="AB190" s="28" t="inlineStr">
        <is>
          <t>https://hayday.fandom.com/wiki/Coconut_Ice_Cream</t>
        </is>
      </c>
      <c r="AC190" s="50" t="inlineStr">
        <is>
          <t>Coconut Ice Cream</t>
        </is>
      </c>
    </row>
    <row r="191">
      <c r="A191" s="28" t="inlineStr">
        <is>
          <t>Fruit Sorbet</t>
        </is>
      </c>
      <c r="B191" s="28" t="inlineStr">
        <is>
          <t>Ice Cream Maker</t>
        </is>
      </c>
      <c r="C191" s="50" t="inlineStr">
        <is>
          <t>Product</t>
        </is>
      </c>
      <c r="D191" s="28">
        <f>IF(E191&lt;&gt;"",E191,IF(F191&lt;&gt;"",F191,""))</f>
        <v/>
      </c>
      <c r="E191" s="50" t="n">
        <v>106</v>
      </c>
      <c r="F191" s="50" t="n">
        <v>106</v>
      </c>
      <c r="G191" s="50" t="n">
        <v>60</v>
      </c>
      <c r="H191" s="50" t="n">
        <v>60</v>
      </c>
      <c r="I191" s="50" t="n">
        <v>51</v>
      </c>
      <c r="J191" s="28">
        <f>IF(OR(G191="",AND(H191="",I191="")),"n/a",IF(G191=I191,"mastered",IF(G191=H191,"normal","differs")))</f>
        <v/>
      </c>
      <c r="K191" s="28">
        <f>IF(L191&lt;&gt;"",L191,IF(M191&lt;&gt;"",M191,""))</f>
        <v/>
      </c>
      <c r="L191" s="50" t="n">
        <v>518</v>
      </c>
      <c r="M191" s="50" t="n">
        <v>518</v>
      </c>
      <c r="N191" s="28">
        <f>IF(O191&lt;&gt;"",O191,IF(P191&lt;&gt;"",P191,""))</f>
        <v/>
      </c>
      <c r="O191" s="50" t="n">
        <v>62</v>
      </c>
      <c r="P191" s="50" t="n">
        <v>62</v>
      </c>
      <c r="Q191" s="50" t="n">
        <v>139</v>
      </c>
      <c r="R191" s="50" t="n">
        <v>62</v>
      </c>
      <c r="S191" s="28">
        <f>IF(Q191="","",IF(Q191&lt;0,"negative profit",IF(Q191&gt;Notes!$B$4,"unusually high - verify","")))</f>
        <v/>
      </c>
      <c r="T191" s="28" t="inlineStr">
        <is>
          <t>both</t>
        </is>
      </c>
      <c r="U191" s="28">
        <f>IF(T191&lt;&gt;"both",T191&amp;" only",IF(V191="","agree","conflict"))</f>
        <v/>
      </c>
      <c r="V191" s="28">
        <f>IF(T191="both",TRIM(IF(AND(E191&lt;&gt;"",F191&lt;&gt;"",E191&lt;&gt;F191),"level ","")&amp;IF(AND(L191&lt;&gt;"",M191&lt;&gt;"",L191&lt;&gt;M191),"price ","")&amp;IF(AND(O191&lt;&gt;"",P191&lt;&gt;"",O191&lt;&gt;P191),"xp ","")&amp;IF(J191="differs","time","")),"")</f>
        <v/>
      </c>
      <c r="X191" s="50" t="inlineStr">
        <is>
          <t>Guava x1; Passion Fruit x1; Mango x2; White Sugar x3</t>
        </is>
      </c>
      <c r="Y191" s="50" t="inlineStr">
        <is>
          <t>Fruit Sorbet.png</t>
        </is>
      </c>
      <c r="Z191" s="50" t="inlineStr">
        <is>
          <t>icons/Ice Cream Maker/Fruit Sorbet.png</t>
        </is>
      </c>
      <c r="AA191" s="28" t="inlineStr">
        <is>
          <t>hayday.info /api/production-data (2026-10-13) + Hay Day Wiki infobox via MediaWiki API (2026-10-13)</t>
        </is>
      </c>
      <c r="AB191" s="28" t="inlineStr">
        <is>
          <t>https://hayday.fandom.com/wiki/Fruit_Sorbet</t>
        </is>
      </c>
      <c r="AC191" s="50" t="inlineStr">
        <is>
          <t>Fruit Sorbet</t>
        </is>
      </c>
    </row>
    <row r="192">
      <c r="A192" s="28" t="inlineStr">
        <is>
          <t>Apple Jam</t>
        </is>
      </c>
      <c r="B192" s="28" t="inlineStr">
        <is>
          <t>Jam Maker</t>
        </is>
      </c>
      <c r="C192" s="50" t="inlineStr">
        <is>
          <t>Product</t>
        </is>
      </c>
      <c r="D192" s="28">
        <f>IF(E192&lt;&gt;"",E192,IF(F192&lt;&gt;"",F192,""))</f>
        <v/>
      </c>
      <c r="E192" s="50" t="n">
        <v>35</v>
      </c>
      <c r="F192" s="50" t="n">
        <v>35</v>
      </c>
      <c r="G192" s="50" t="n">
        <v>306</v>
      </c>
      <c r="H192" s="50" t="n">
        <v>360</v>
      </c>
      <c r="I192" s="50" t="n">
        <v>306</v>
      </c>
      <c r="J192" s="28">
        <f>IF(OR(G192="",AND(H192="",I192="")),"n/a",IF(G192=I192,"mastered",IF(G192=H192,"normal","differs")))</f>
        <v/>
      </c>
      <c r="K192" s="28">
        <f>IF(L192&lt;&gt;"",L192,IF(M192&lt;&gt;"",M192,""))</f>
        <v/>
      </c>
      <c r="L192" s="50" t="n">
        <v>219</v>
      </c>
      <c r="M192" s="50" t="n">
        <v>219</v>
      </c>
      <c r="N192" s="28">
        <f>IF(O192&lt;&gt;"",O192,IF(P192&lt;&gt;"",P192,""))</f>
        <v/>
      </c>
      <c r="O192" s="50" t="n">
        <v>26</v>
      </c>
      <c r="P192" s="50" t="n">
        <v>26</v>
      </c>
      <c r="Q192" s="50" t="n">
        <v>20</v>
      </c>
      <c r="R192" s="50" t="n">
        <v>5.1</v>
      </c>
      <c r="S192" s="28">
        <f>IF(Q192="","",IF(Q192&lt;0,"negative profit",IF(Q192&gt;Notes!$B$4,"unusually high - verify","")))</f>
        <v/>
      </c>
      <c r="T192" s="28" t="inlineStr">
        <is>
          <t>both</t>
        </is>
      </c>
      <c r="U192" s="28">
        <f>IF(T192&lt;&gt;"both",T192&amp;" only",IF(V192="","agree","conflict"))</f>
        <v/>
      </c>
      <c r="V192" s="28">
        <f>IF(T192="both",TRIM(IF(AND(E192&lt;&gt;"",F192&lt;&gt;"",E192&lt;&gt;F192),"level ","")&amp;IF(AND(L192&lt;&gt;"",M192&lt;&gt;"",L192&lt;&gt;M192),"price ","")&amp;IF(AND(O192&lt;&gt;"",P192&lt;&gt;"",O192&lt;&gt;P192),"xp ","")&amp;IF(J192="differs","time","")),"")</f>
        <v/>
      </c>
      <c r="X192" s="50" t="inlineStr">
        <is>
          <t>Apple x3</t>
        </is>
      </c>
      <c r="Y192" s="50" t="inlineStr">
        <is>
          <t>Apple Jam.png</t>
        </is>
      </c>
      <c r="Z192" s="50" t="inlineStr">
        <is>
          <t>icons/Jam Maker/Apple Jam.png</t>
        </is>
      </c>
      <c r="AA192" s="28" t="inlineStr">
        <is>
          <t>hayday.info /api/production-data (2026-10-13) + Hay Day Wiki infobox via MediaWiki API (2026-10-13)</t>
        </is>
      </c>
      <c r="AB192" s="28" t="inlineStr">
        <is>
          <t>https://hayday.fandom.com/wiki/Apple_Jam</t>
        </is>
      </c>
      <c r="AC192" s="50" t="inlineStr">
        <is>
          <t>Apple jam</t>
        </is>
      </c>
    </row>
    <row r="193">
      <c r="A193" s="28" t="inlineStr">
        <is>
          <t>Raspberry Jam</t>
        </is>
      </c>
      <c r="B193" s="28" t="inlineStr">
        <is>
          <t>Jam Maker</t>
        </is>
      </c>
      <c r="C193" s="50" t="inlineStr">
        <is>
          <t>Product</t>
        </is>
      </c>
      <c r="D193" s="28">
        <f>IF(E193&lt;&gt;"",E193,IF(F193&lt;&gt;"",F193,""))</f>
        <v/>
      </c>
      <c r="E193" s="50" t="n">
        <v>36</v>
      </c>
      <c r="F193" s="50" t="n">
        <v>36</v>
      </c>
      <c r="G193" s="50" t="n">
        <v>357</v>
      </c>
      <c r="H193" s="50" t="n">
        <v>420</v>
      </c>
      <c r="I193" s="50" t="n">
        <v>357</v>
      </c>
      <c r="J193" s="28">
        <f>IF(OR(G193="",AND(H193="",I193="")),"n/a",IF(G193=I193,"mastered",IF(G193=H193,"normal","differs")))</f>
        <v/>
      </c>
      <c r="K193" s="28">
        <f>IF(L193&lt;&gt;"",L193,IF(M193&lt;&gt;"",M193,""))</f>
        <v/>
      </c>
      <c r="L193" s="50" t="n">
        <v>252</v>
      </c>
      <c r="M193" s="50" t="n">
        <v>252</v>
      </c>
      <c r="N193" s="28">
        <f>IF(O193&lt;&gt;"",O193,IF(P193&lt;&gt;"",P193,""))</f>
        <v/>
      </c>
      <c r="O193" s="50" t="n">
        <v>30</v>
      </c>
      <c r="P193" s="50" t="n">
        <v>30</v>
      </c>
      <c r="Q193" s="50" t="n">
        <v>19.16</v>
      </c>
      <c r="R193" s="50" t="n">
        <v>5.04</v>
      </c>
      <c r="S193" s="28">
        <f>IF(Q193="","",IF(Q193&lt;0,"negative profit",IF(Q193&gt;Notes!$B$4,"unusually high - verify","")))</f>
        <v/>
      </c>
      <c r="T193" s="28" t="inlineStr">
        <is>
          <t>both</t>
        </is>
      </c>
      <c r="U193" s="28">
        <f>IF(T193&lt;&gt;"both",T193&amp;" only",IF(V193="","agree","conflict"))</f>
        <v/>
      </c>
      <c r="V193" s="28">
        <f>IF(T193="both",TRIM(IF(AND(E193&lt;&gt;"",F193&lt;&gt;"",E193&lt;&gt;F193),"level ","")&amp;IF(AND(L193&lt;&gt;"",M193&lt;&gt;"",L193&lt;&gt;M193),"price ","")&amp;IF(AND(O193&lt;&gt;"",P193&lt;&gt;"",O193&lt;&gt;P193),"xp ","")&amp;IF(J193="differs","time","")),"")</f>
        <v/>
      </c>
      <c r="X193" s="50" t="inlineStr">
        <is>
          <t>Raspberry x3</t>
        </is>
      </c>
      <c r="Y193" s="50" t="inlineStr">
        <is>
          <t>Raspberry Jam.png</t>
        </is>
      </c>
      <c r="Z193" s="50" t="inlineStr">
        <is>
          <t>icons/Jam Maker/Raspberry Jam.png</t>
        </is>
      </c>
      <c r="AA193" s="28" t="inlineStr">
        <is>
          <t>hayday.info /api/production-data (2026-10-13) + Hay Day Wiki infobox via MediaWiki API (2026-10-13)</t>
        </is>
      </c>
      <c r="AB193" s="28" t="inlineStr">
        <is>
          <t>https://hayday.fandom.com/wiki/Raspberry_Jam</t>
        </is>
      </c>
      <c r="AC193" s="50" t="inlineStr">
        <is>
          <t>Raspberry jam</t>
        </is>
      </c>
    </row>
    <row r="194">
      <c r="A194" s="28" t="inlineStr">
        <is>
          <t>Blackberry Jam</t>
        </is>
      </c>
      <c r="B194" s="28" t="inlineStr">
        <is>
          <t>Jam Maker</t>
        </is>
      </c>
      <c r="C194" s="50" t="inlineStr">
        <is>
          <t>Product</t>
        </is>
      </c>
      <c r="D194" s="28">
        <f>IF(E194&lt;&gt;"",E194,IF(F194&lt;&gt;"",F194,""))</f>
        <v/>
      </c>
      <c r="E194" s="50" t="n">
        <v>37</v>
      </c>
      <c r="F194" s="50" t="n">
        <v>37</v>
      </c>
      <c r="G194" s="50" t="n">
        <v>408</v>
      </c>
      <c r="H194" s="50" t="n">
        <v>480</v>
      </c>
      <c r="I194" s="50" t="n">
        <v>408</v>
      </c>
      <c r="J194" s="28">
        <f>IF(OR(G194="",AND(H194="",I194="")),"n/a",IF(G194=I194,"mastered",IF(G194=H194,"normal","differs")))</f>
        <v/>
      </c>
      <c r="K194" s="28">
        <f>IF(L194&lt;&gt;"",L194,IF(M194&lt;&gt;"",M194,""))</f>
        <v/>
      </c>
      <c r="L194" s="50" t="n">
        <v>388</v>
      </c>
      <c r="M194" s="50" t="n">
        <v>388</v>
      </c>
      <c r="N194" s="28">
        <f>IF(O194&lt;&gt;"",O194,IF(P194&lt;&gt;"",P194,""))</f>
        <v/>
      </c>
      <c r="O194" s="50" t="n">
        <v>46</v>
      </c>
      <c r="P194" s="50" t="n">
        <v>46</v>
      </c>
      <c r="Q194" s="50" t="n">
        <v>20.88</v>
      </c>
      <c r="R194" s="50" t="n">
        <v>6.76</v>
      </c>
      <c r="S194" s="28">
        <f>IF(Q194="","",IF(Q194&lt;0,"negative profit",IF(Q194&gt;Notes!$B$4,"unusually high - verify","")))</f>
        <v/>
      </c>
      <c r="T194" s="28" t="inlineStr">
        <is>
          <t>both</t>
        </is>
      </c>
      <c r="U194" s="28">
        <f>IF(T194&lt;&gt;"both",T194&amp;" only",IF(V194="","agree","conflict"))</f>
        <v/>
      </c>
      <c r="V194" s="28">
        <f>IF(T194="both",TRIM(IF(AND(E194&lt;&gt;"",F194&lt;&gt;"",E194&lt;&gt;F194),"level ","")&amp;IF(AND(L194&lt;&gt;"",M194&lt;&gt;"",L194&lt;&gt;M194),"price ","")&amp;IF(AND(O194&lt;&gt;"",P194&lt;&gt;"",O194&lt;&gt;P194),"xp ","")&amp;IF(J194="differs","time","")),"")</f>
        <v/>
      </c>
      <c r="X194" s="50" t="inlineStr">
        <is>
          <t>Blackberry x3</t>
        </is>
      </c>
      <c r="Y194" s="50" t="inlineStr">
        <is>
          <t>Blackberry Jam.png</t>
        </is>
      </c>
      <c r="Z194" s="50" t="inlineStr">
        <is>
          <t>icons/Jam Maker/Blackberry Jam.png</t>
        </is>
      </c>
      <c r="AA194" s="28" t="inlineStr">
        <is>
          <t>hayday.info /api/production-data (2026-10-13) + Hay Day Wiki infobox via MediaWiki API (2026-10-13)</t>
        </is>
      </c>
      <c r="AB194" s="28" t="inlineStr">
        <is>
          <t>https://hayday.fandom.com/wiki/Blackberry_Jam</t>
        </is>
      </c>
      <c r="AC194" s="50" t="inlineStr">
        <is>
          <t>Blackberry jam</t>
        </is>
      </c>
    </row>
    <row r="195">
      <c r="A195" s="28" t="inlineStr">
        <is>
          <t>Cherry Jam</t>
        </is>
      </c>
      <c r="B195" s="28" t="inlineStr">
        <is>
          <t>Jam Maker</t>
        </is>
      </c>
      <c r="C195" s="50" t="inlineStr">
        <is>
          <t>Product</t>
        </is>
      </c>
      <c r="D195" s="28">
        <f>IF(E195&lt;&gt;"",E195,IF(F195&lt;&gt;"",F195,""))</f>
        <v/>
      </c>
      <c r="E195" s="50" t="n">
        <v>38</v>
      </c>
      <c r="F195" s="50" t="n">
        <v>38</v>
      </c>
      <c r="G195" s="50" t="n">
        <v>357</v>
      </c>
      <c r="H195" s="50" t="n">
        <v>420</v>
      </c>
      <c r="I195" s="50" t="n">
        <v>357</v>
      </c>
      <c r="J195" s="28">
        <f>IF(OR(G195="",AND(H195="",I195="")),"n/a",IF(G195=I195,"mastered",IF(G195=H195,"normal","differs")))</f>
        <v/>
      </c>
      <c r="K195" s="28">
        <f>IF(L195&lt;&gt;"",L195,IF(M195&lt;&gt;"",M195,""))</f>
        <v/>
      </c>
      <c r="L195" s="50" t="n">
        <v>334</v>
      </c>
      <c r="M195" s="50" t="n">
        <v>334</v>
      </c>
      <c r="N195" s="28">
        <f>IF(O195&lt;&gt;"",O195,IF(P195&lt;&gt;"",P195,""))</f>
        <v/>
      </c>
      <c r="O195" s="50" t="n">
        <v>40</v>
      </c>
      <c r="P195" s="50" t="n">
        <v>40</v>
      </c>
      <c r="Q195" s="50" t="n">
        <v>21.85</v>
      </c>
      <c r="R195" s="50" t="n">
        <v>6.72</v>
      </c>
      <c r="S195" s="28">
        <f>IF(Q195="","",IF(Q195&lt;0,"negative profit",IF(Q195&gt;Notes!$B$4,"unusually high - verify","")))</f>
        <v/>
      </c>
      <c r="T195" s="28" t="inlineStr">
        <is>
          <t>both</t>
        </is>
      </c>
      <c r="U195" s="28">
        <f>IF(T195&lt;&gt;"both",T195&amp;" only",IF(V195="","agree","conflict"))</f>
        <v/>
      </c>
      <c r="V195" s="28">
        <f>IF(T195="both",TRIM(IF(AND(E195&lt;&gt;"",F195&lt;&gt;"",E195&lt;&gt;F195),"level ","")&amp;IF(AND(L195&lt;&gt;"",M195&lt;&gt;"",L195&lt;&gt;M195),"price ","")&amp;IF(AND(O195&lt;&gt;"",P195&lt;&gt;"",O195&lt;&gt;P195),"xp ","")&amp;IF(J195="differs","time","")),"")</f>
        <v/>
      </c>
      <c r="X195" s="50" t="inlineStr">
        <is>
          <t>Cherry x3</t>
        </is>
      </c>
      <c r="Y195" s="50" t="inlineStr">
        <is>
          <t>Cherry Jam.png</t>
        </is>
      </c>
      <c r="Z195" s="50" t="inlineStr">
        <is>
          <t>icons/Jam Maker/Cherry Jam.png</t>
        </is>
      </c>
      <c r="AA195" s="28" t="inlineStr">
        <is>
          <t>hayday.info /api/production-data (2026-10-13) + Hay Day Wiki infobox via MediaWiki API (2026-10-13)</t>
        </is>
      </c>
      <c r="AB195" s="28" t="inlineStr">
        <is>
          <t>https://hayday.fandom.com/wiki/Cherry_Jam</t>
        </is>
      </c>
      <c r="AC195" s="50" t="inlineStr">
        <is>
          <t>Cherry jam</t>
        </is>
      </c>
    </row>
    <row r="196">
      <c r="A196" s="28" t="inlineStr">
        <is>
          <t>Strawberry Jam</t>
        </is>
      </c>
      <c r="B196" s="28" t="inlineStr">
        <is>
          <t>Jam Maker</t>
        </is>
      </c>
      <c r="C196" s="50" t="inlineStr">
        <is>
          <t>Product</t>
        </is>
      </c>
      <c r="D196" s="28">
        <f>IF(E196&lt;&gt;"",E196,IF(F196&lt;&gt;"",F196,""))</f>
        <v/>
      </c>
      <c r="E196" s="50" t="n">
        <v>50</v>
      </c>
      <c r="F196" s="50" t="n">
        <v>50</v>
      </c>
      <c r="G196" s="50" t="n">
        <v>382</v>
      </c>
      <c r="H196" s="50" t="n">
        <v>450</v>
      </c>
      <c r="I196" s="50" t="n">
        <v>382</v>
      </c>
      <c r="J196" s="28">
        <f>IF(OR(G196="",AND(H196="",I196="")),"n/a",IF(G196=I196,"mastered",IF(G196=H196,"normal","differs")))</f>
        <v/>
      </c>
      <c r="K196" s="28">
        <f>IF(L196&lt;&gt;"",L196,IF(M196&lt;&gt;"",M196,""))</f>
        <v/>
      </c>
      <c r="L196" s="50" t="n">
        <v>270</v>
      </c>
      <c r="M196" s="50" t="n">
        <v>270</v>
      </c>
      <c r="N196" s="28">
        <f>IF(O196&lt;&gt;"",O196,IF(P196&lt;&gt;"",P196,""))</f>
        <v/>
      </c>
      <c r="O196" s="50" t="n">
        <v>32</v>
      </c>
      <c r="P196" s="50" t="n">
        <v>32</v>
      </c>
      <c r="Q196" s="50" t="n">
        <v>18.82</v>
      </c>
      <c r="R196" s="50" t="n">
        <v>5.02</v>
      </c>
      <c r="S196" s="28">
        <f>IF(Q196="","",IF(Q196&lt;0,"negative profit",IF(Q196&gt;Notes!$B$4,"unusually high - verify","")))</f>
        <v/>
      </c>
      <c r="T196" s="28" t="inlineStr">
        <is>
          <t>both</t>
        </is>
      </c>
      <c r="U196" s="28">
        <f>IF(T196&lt;&gt;"both",T196&amp;" only",IF(V196="","agree","conflict"))</f>
        <v/>
      </c>
      <c r="V196" s="28">
        <f>IF(T196="both",TRIM(IF(AND(E196&lt;&gt;"",F196&lt;&gt;"",E196&lt;&gt;F196),"level ","")&amp;IF(AND(L196&lt;&gt;"",M196&lt;&gt;"",L196&lt;&gt;M196),"price ","")&amp;IF(AND(O196&lt;&gt;"",P196&lt;&gt;"",O196&lt;&gt;P196),"xp ","")&amp;IF(J196="differs","time","")),"")</f>
        <v/>
      </c>
      <c r="X196" s="50" t="inlineStr">
        <is>
          <t>Strawberry x3</t>
        </is>
      </c>
      <c r="Y196" s="50" t="inlineStr">
        <is>
          <t>Strawberry Jam.png</t>
        </is>
      </c>
      <c r="Z196" s="50" t="inlineStr">
        <is>
          <t>icons/Jam Maker/Strawberry Jam.png</t>
        </is>
      </c>
      <c r="AA196" s="28" t="inlineStr">
        <is>
          <t>hayday.info /api/production-data (2026-10-13) + Hay Day Wiki infobox via MediaWiki API (2026-10-13)</t>
        </is>
      </c>
      <c r="AB196" s="28" t="inlineStr">
        <is>
          <t>https://hayday.fandom.com/wiki/Strawberry_Jam</t>
        </is>
      </c>
      <c r="AC196" s="50" t="inlineStr">
        <is>
          <t>Strawberry jam</t>
        </is>
      </c>
    </row>
    <row r="197">
      <c r="A197" s="28" t="inlineStr">
        <is>
          <t>Marmalade</t>
        </is>
      </c>
      <c r="B197" s="28" t="inlineStr">
        <is>
          <t>Jam Maker</t>
        </is>
      </c>
      <c r="C197" s="50" t="inlineStr">
        <is>
          <t>Product</t>
        </is>
      </c>
      <c r="D197" s="28">
        <f>IF(E197&lt;&gt;"",E197,IF(F197&lt;&gt;"",F197,""))</f>
        <v/>
      </c>
      <c r="E197" s="50" t="n">
        <v>74</v>
      </c>
      <c r="F197" s="50" t="n">
        <v>74</v>
      </c>
      <c r="G197" s="50" t="n">
        <v>433</v>
      </c>
      <c r="H197" s="50" t="n">
        <v>510</v>
      </c>
      <c r="I197" s="50" t="n">
        <v>433</v>
      </c>
      <c r="J197" s="28">
        <f>IF(OR(G197="",AND(H197="",I197="")),"n/a",IF(G197=I197,"mastered",IF(G197=H197,"normal","differs")))</f>
        <v/>
      </c>
      <c r="K197" s="28">
        <f>IF(L197&lt;&gt;"",L197,IF(M197&lt;&gt;"",M197,""))</f>
        <v/>
      </c>
      <c r="L197" s="50" t="n">
        <v>457</v>
      </c>
      <c r="M197" s="50" t="n">
        <v>457</v>
      </c>
      <c r="N197" s="28">
        <f>IF(O197&lt;&gt;"",O197,IF(P197&lt;&gt;"",P197,""))</f>
        <v/>
      </c>
      <c r="O197" s="50" t="n">
        <v>54</v>
      </c>
      <c r="P197" s="50" t="n">
        <v>54</v>
      </c>
      <c r="Q197" s="50" t="n">
        <v>22.98</v>
      </c>
      <c r="R197" s="50" t="n">
        <v>7.47</v>
      </c>
      <c r="S197" s="28">
        <f>IF(Q197="","",IF(Q197&lt;0,"negative profit",IF(Q197&gt;Notes!$B$4,"unusually high - verify","")))</f>
        <v/>
      </c>
      <c r="T197" s="28" t="inlineStr">
        <is>
          <t>both</t>
        </is>
      </c>
      <c r="U197" s="28">
        <f>IF(T197&lt;&gt;"both",T197&amp;" only",IF(V197="","agree","conflict"))</f>
        <v/>
      </c>
      <c r="V197" s="28">
        <f>IF(T197="both",TRIM(IF(AND(E197&lt;&gt;"",F197&lt;&gt;"",E197&lt;&gt;F197),"level ","")&amp;IF(AND(L197&lt;&gt;"",M197&lt;&gt;"",L197&lt;&gt;M197),"price ","")&amp;IF(AND(O197&lt;&gt;"",P197&lt;&gt;"",O197&lt;&gt;P197),"xp ","")&amp;IF(J197="differs","time","")),"")</f>
        <v/>
      </c>
      <c r="X197" s="50" t="inlineStr">
        <is>
          <t>Orange x3</t>
        </is>
      </c>
      <c r="Y197" s="50" t="inlineStr">
        <is>
          <t>Marmalade.png</t>
        </is>
      </c>
      <c r="Z197" s="50" t="inlineStr">
        <is>
          <t>icons/Jam Maker/Marmalade.png</t>
        </is>
      </c>
      <c r="AA197" s="28" t="inlineStr">
        <is>
          <t>hayday.info /api/production-data (2026-10-13) + Hay Day Wiki infobox via MediaWiki API (2026-10-13)</t>
        </is>
      </c>
      <c r="AB197" s="28" t="inlineStr">
        <is>
          <t>https://hayday.fandom.com/wiki/Marmalade</t>
        </is>
      </c>
      <c r="AC197" s="50" t="inlineStr">
        <is>
          <t>Marmalade</t>
        </is>
      </c>
    </row>
    <row r="198">
      <c r="A198" s="28" t="inlineStr">
        <is>
          <t>Peach Jam</t>
        </is>
      </c>
      <c r="B198" s="28" t="inlineStr">
        <is>
          <t>Jam Maker</t>
        </is>
      </c>
      <c r="C198" s="50" t="inlineStr">
        <is>
          <t>Product</t>
        </is>
      </c>
      <c r="D198" s="28">
        <f>IF(E198&lt;&gt;"",E198,IF(F198&lt;&gt;"",F198,""))</f>
        <v/>
      </c>
      <c r="E198" s="50" t="n">
        <v>79</v>
      </c>
      <c r="F198" s="50" t="n">
        <v>79</v>
      </c>
      <c r="G198" s="50" t="n">
        <v>408</v>
      </c>
      <c r="H198" s="50" t="n">
        <v>480</v>
      </c>
      <c r="I198" s="50" t="n">
        <v>408</v>
      </c>
      <c r="J198" s="28">
        <f>IF(OR(G198="",AND(H198="",I198="")),"n/a",IF(G198=I198,"mastered",IF(G198=H198,"normal","differs")))</f>
        <v/>
      </c>
      <c r="K198" s="28">
        <f>IF(L198&lt;&gt;"",L198,IF(M198&lt;&gt;"",M198,""))</f>
        <v/>
      </c>
      <c r="L198" s="50" t="n">
        <v>464</v>
      </c>
      <c r="M198" s="50" t="n">
        <v>464</v>
      </c>
      <c r="N198" s="28">
        <f>IF(O198&lt;&gt;"",O198,IF(P198&lt;&gt;"",P198,""))</f>
        <v/>
      </c>
      <c r="O198" s="50" t="n">
        <v>55</v>
      </c>
      <c r="P198" s="50" t="n">
        <v>55</v>
      </c>
      <c r="Q198" s="50" t="n">
        <v>24.12</v>
      </c>
      <c r="R198" s="50" t="n">
        <v>8.09</v>
      </c>
      <c r="S198" s="28">
        <f>IF(Q198="","",IF(Q198&lt;0,"negative profit",IF(Q198&gt;Notes!$B$4,"unusually high - verify","")))</f>
        <v/>
      </c>
      <c r="T198" s="28" t="inlineStr">
        <is>
          <t>both</t>
        </is>
      </c>
      <c r="U198" s="28">
        <f>IF(T198&lt;&gt;"both",T198&amp;" only",IF(V198="","agree","conflict"))</f>
        <v/>
      </c>
      <c r="V198" s="28">
        <f>IF(T198="both",TRIM(IF(AND(E198&lt;&gt;"",F198&lt;&gt;"",E198&lt;&gt;F198),"level ","")&amp;IF(AND(L198&lt;&gt;"",M198&lt;&gt;"",L198&lt;&gt;M198),"price ","")&amp;IF(AND(O198&lt;&gt;"",P198&lt;&gt;"",O198&lt;&gt;P198),"xp ","")&amp;IF(J198="differs","time","")),"")</f>
        <v/>
      </c>
      <c r="X198" s="50" t="inlineStr">
        <is>
          <t>Peach x3</t>
        </is>
      </c>
      <c r="Y198" s="50" t="inlineStr">
        <is>
          <t>Peach Jam.png</t>
        </is>
      </c>
      <c r="Z198" s="50" t="inlineStr">
        <is>
          <t>icons/Jam Maker/Peach Jam.png</t>
        </is>
      </c>
      <c r="AA198" s="28" t="inlineStr">
        <is>
          <t>hayday.info /api/production-data (2026-10-13) + Hay Day Wiki infobox via MediaWiki API (2026-10-13)</t>
        </is>
      </c>
      <c r="AB198" s="28" t="inlineStr">
        <is>
          <t>https://hayday.fandom.com/wiki/Peach_Jam</t>
        </is>
      </c>
      <c r="AC198" s="50" t="inlineStr">
        <is>
          <t>Peach jam</t>
        </is>
      </c>
    </row>
    <row r="199">
      <c r="A199" s="28" t="inlineStr">
        <is>
          <t>Grape Jam</t>
        </is>
      </c>
      <c r="B199" s="28" t="inlineStr">
        <is>
          <t>Jam Maker</t>
        </is>
      </c>
      <c r="C199" s="50" t="inlineStr">
        <is>
          <t>Product</t>
        </is>
      </c>
      <c r="D199" s="28">
        <f>IF(E199&lt;&gt;"",E199,IF(F199&lt;&gt;"",F199,""))</f>
        <v/>
      </c>
      <c r="E199" s="50" t="n">
        <v>85</v>
      </c>
      <c r="F199" s="50" t="n">
        <v>85</v>
      </c>
      <c r="G199" s="50" t="n">
        <v>331</v>
      </c>
      <c r="H199" s="50" t="n">
        <v>390</v>
      </c>
      <c r="I199" s="50" t="n">
        <v>331</v>
      </c>
      <c r="J199" s="28">
        <f>IF(OR(G199="",AND(H199="",I199="")),"n/a",IF(G199=I199,"mastered",IF(G199=H199,"normal","differs")))</f>
        <v/>
      </c>
      <c r="K199" s="28">
        <f>IF(L199&lt;&gt;"",L199,IF(M199&lt;&gt;"",M199,""))</f>
        <v/>
      </c>
      <c r="L199" s="50" t="n">
        <v>162</v>
      </c>
      <c r="M199" s="50" t="n">
        <v>162</v>
      </c>
      <c r="N199" s="28">
        <f>IF(O199&lt;&gt;"",O199,IF(P199&lt;&gt;"",P199,""))</f>
        <v/>
      </c>
      <c r="O199" s="50" t="n">
        <v>19</v>
      </c>
      <c r="P199" s="50" t="n">
        <v>19</v>
      </c>
      <c r="Q199" s="50" t="n">
        <v>11.95</v>
      </c>
      <c r="R199" s="50" t="n">
        <v>3.44</v>
      </c>
      <c r="S199" s="28">
        <f>IF(Q199="","",IF(Q199&lt;0,"negative profit",IF(Q199&gt;Notes!$B$4,"unusually high - verify","")))</f>
        <v/>
      </c>
      <c r="T199" s="28" t="inlineStr">
        <is>
          <t>both</t>
        </is>
      </c>
      <c r="U199" s="28">
        <f>IF(T199&lt;&gt;"both",T199&amp;" only",IF(V199="","agree","conflict"))</f>
        <v/>
      </c>
      <c r="V199" s="28">
        <f>IF(T199="both",TRIM(IF(AND(E199&lt;&gt;"",F199&lt;&gt;"",E199&lt;&gt;F199),"level ","")&amp;IF(AND(L199&lt;&gt;"",M199&lt;&gt;"",L199&lt;&gt;M199),"price ","")&amp;IF(AND(O199&lt;&gt;"",P199&lt;&gt;"",O199&lt;&gt;P199),"xp ","")&amp;IF(J199="differs","time","")),"")</f>
        <v/>
      </c>
      <c r="X199" s="50" t="inlineStr">
        <is>
          <t>Grapes x3</t>
        </is>
      </c>
      <c r="Y199" s="50" t="inlineStr">
        <is>
          <t>Grape Jam.png</t>
        </is>
      </c>
      <c r="Z199" s="50" t="inlineStr">
        <is>
          <t>icons/Jam Maker/Grape Jam.png</t>
        </is>
      </c>
      <c r="AA199" s="28" t="inlineStr">
        <is>
          <t>hayday.info /api/production-data (2026-10-13) + Hay Day Wiki infobox via MediaWiki API (2026-10-13)</t>
        </is>
      </c>
      <c r="AB199" s="28" t="inlineStr">
        <is>
          <t>https://hayday.fandom.com/wiki/Grape_Jam</t>
        </is>
      </c>
      <c r="AC199" s="50" t="inlineStr">
        <is>
          <t>Grape jam</t>
        </is>
      </c>
    </row>
    <row r="200">
      <c r="A200" s="28" t="inlineStr">
        <is>
          <t>Plum Jam</t>
        </is>
      </c>
      <c r="B200" s="28" t="inlineStr">
        <is>
          <t>Jam Maker</t>
        </is>
      </c>
      <c r="C200" s="50" t="inlineStr">
        <is>
          <t>Product</t>
        </is>
      </c>
      <c r="D200" s="28">
        <f>IF(E200&lt;&gt;"",E200,IF(F200&lt;&gt;"",F200,""))</f>
        <v/>
      </c>
      <c r="E200" s="50" t="n">
        <v>94</v>
      </c>
      <c r="F200" s="50" t="n">
        <v>94</v>
      </c>
      <c r="G200" s="50" t="n">
        <v>255</v>
      </c>
      <c r="H200" s="50" t="n">
        <v>300</v>
      </c>
      <c r="I200" s="50" t="n">
        <v>255</v>
      </c>
      <c r="J200" s="28">
        <f>IF(OR(G200="",AND(H200="",I200="")),"n/a",IF(G200=I200,"mastered",IF(G200=H200,"normal","differs")))</f>
        <v/>
      </c>
      <c r="K200" s="28">
        <f>IF(L200&lt;&gt;"",L200,IF(M200&lt;&gt;"",M200,""))</f>
        <v/>
      </c>
      <c r="L200" s="50" t="n">
        <v>385</v>
      </c>
      <c r="M200" s="50" t="n">
        <v>385</v>
      </c>
      <c r="N200" s="28">
        <f>IF(O200&lt;&gt;"",O200,IF(P200&lt;&gt;"",P200,""))</f>
        <v/>
      </c>
      <c r="O200" s="50" t="n">
        <v>46</v>
      </c>
      <c r="P200" s="50" t="n">
        <v>46</v>
      </c>
      <c r="Q200" s="50" t="n">
        <v>32.71</v>
      </c>
      <c r="R200" s="50" t="n">
        <v>10.82</v>
      </c>
      <c r="S200" s="28">
        <f>IF(Q200="","",IF(Q200&lt;0,"negative profit",IF(Q200&gt;Notes!$B$4,"unusually high - verify","")))</f>
        <v/>
      </c>
      <c r="T200" s="28" t="inlineStr">
        <is>
          <t>both</t>
        </is>
      </c>
      <c r="U200" s="28">
        <f>IF(T200&lt;&gt;"both",T200&amp;" only",IF(V200="","agree","conflict"))</f>
        <v/>
      </c>
      <c r="V200" s="28">
        <f>IF(T200="both",TRIM(IF(AND(E200&lt;&gt;"",F200&lt;&gt;"",E200&lt;&gt;F200),"level ","")&amp;IF(AND(L200&lt;&gt;"",M200&lt;&gt;"",L200&lt;&gt;M200),"price ","")&amp;IF(AND(O200&lt;&gt;"",P200&lt;&gt;"",O200&lt;&gt;P200),"xp ","")&amp;IF(J200="differs","time","")),"")</f>
        <v/>
      </c>
      <c r="X200" s="50" t="inlineStr">
        <is>
          <t>Plum x3</t>
        </is>
      </c>
      <c r="Y200" s="50" t="inlineStr">
        <is>
          <t>Plum Jam.png</t>
        </is>
      </c>
      <c r="Z200" s="50" t="inlineStr">
        <is>
          <t>icons/Jam Maker/Plum Jam.png</t>
        </is>
      </c>
      <c r="AA200" s="28" t="inlineStr">
        <is>
          <t>hayday.info /api/production-data (2026-10-13) + Hay Day Wiki infobox via MediaWiki API (2026-10-13)</t>
        </is>
      </c>
      <c r="AB200" s="28" t="inlineStr">
        <is>
          <t>https://hayday.fandom.com/wiki/Plum_Jam</t>
        </is>
      </c>
      <c r="AC200" s="50" t="inlineStr">
        <is>
          <t>Plum jam</t>
        </is>
      </c>
    </row>
    <row r="201">
      <c r="A201" s="28" t="inlineStr">
        <is>
          <t>Passion Fruit Jam</t>
        </is>
      </c>
      <c r="B201" s="28" t="inlineStr">
        <is>
          <t>Jam Maker</t>
        </is>
      </c>
      <c r="C201" s="50" t="inlineStr">
        <is>
          <t>Product</t>
        </is>
      </c>
      <c r="D201" s="28">
        <f>IF(E201&lt;&gt;"",E201,IF(F201&lt;&gt;"",F201,""))</f>
        <v/>
      </c>
      <c r="E201" s="50" t="n">
        <v>96</v>
      </c>
      <c r="F201" s="50" t="n">
        <v>96</v>
      </c>
      <c r="G201" s="50" t="n">
        <v>272</v>
      </c>
      <c r="H201" s="50" t="n">
        <v>320</v>
      </c>
      <c r="I201" s="50" t="n">
        <v>272</v>
      </c>
      <c r="J201" s="28">
        <f>IF(OR(G201="",AND(H201="",I201="")),"n/a",IF(G201=I201,"mastered",IF(G201=H201,"normal","differs")))</f>
        <v/>
      </c>
      <c r="K201" s="28">
        <f>IF(L201&lt;&gt;"",L201,IF(M201&lt;&gt;"",M201,""))</f>
        <v/>
      </c>
      <c r="L201" s="50" t="n">
        <v>118</v>
      </c>
      <c r="M201" s="50" t="n">
        <v>118</v>
      </c>
      <c r="N201" s="28">
        <f>IF(O201&lt;&gt;"",O201,IF(P201&lt;&gt;"",P201,""))</f>
        <v/>
      </c>
      <c r="O201" s="50" t="n">
        <v>14</v>
      </c>
      <c r="P201" s="50" t="n">
        <v>14</v>
      </c>
      <c r="Q201" s="50" t="n">
        <v>14.12</v>
      </c>
      <c r="R201" s="50" t="n">
        <v>3.09</v>
      </c>
      <c r="S201" s="28">
        <f>IF(Q201="","",IF(Q201&lt;0,"negative profit",IF(Q201&gt;Notes!$B$4,"unusually high - verify","")))</f>
        <v/>
      </c>
      <c r="T201" s="28" t="inlineStr">
        <is>
          <t>both</t>
        </is>
      </c>
      <c r="U201" s="28">
        <f>IF(T201&lt;&gt;"both",T201&amp;" only",IF(V201="","agree","conflict"))</f>
        <v/>
      </c>
      <c r="V201" s="28">
        <f>IF(T201="both",TRIM(IF(AND(E201&lt;&gt;"",F201&lt;&gt;"",E201&lt;&gt;F201),"level ","")&amp;IF(AND(L201&lt;&gt;"",M201&lt;&gt;"",L201&lt;&gt;M201),"price ","")&amp;IF(AND(O201&lt;&gt;"",P201&lt;&gt;"",O201&lt;&gt;P201),"xp ","")&amp;IF(J201="differs","time","")),"")</f>
        <v/>
      </c>
      <c r="X201" s="50" t="inlineStr">
        <is>
          <t>Passion Fruit x3</t>
        </is>
      </c>
      <c r="Y201" s="50" t="inlineStr">
        <is>
          <t>Passion Fruit Jam.png</t>
        </is>
      </c>
      <c r="Z201" s="50" t="inlineStr">
        <is>
          <t>icons/Jam Maker/Passion Fruit Jam.png</t>
        </is>
      </c>
      <c r="AA201" s="28" t="inlineStr">
        <is>
          <t>hayday.info /api/production-data (2026-10-13) + Hay Day Wiki infobox via MediaWiki API (2026-10-13)</t>
        </is>
      </c>
      <c r="AB201" s="28" t="inlineStr">
        <is>
          <t>https://hayday.fandom.com/wiki/Passion_Fruit_Jam</t>
        </is>
      </c>
      <c r="AC201" s="50" t="inlineStr">
        <is>
          <t>Passion fruit jam</t>
        </is>
      </c>
    </row>
    <row r="202">
      <c r="A202" s="28" t="inlineStr">
        <is>
          <t>Blueberry Chutney</t>
        </is>
      </c>
      <c r="B202" s="28" t="inlineStr">
        <is>
          <t>Jam Maker</t>
        </is>
      </c>
      <c r="C202" s="50" t="inlineStr">
        <is>
          <t>Product</t>
        </is>
      </c>
      <c r="D202" s="28">
        <f>IF(E202&lt;&gt;"",E202,IF(F202&lt;&gt;"",F202,""))</f>
        <v/>
      </c>
      <c r="E202" s="50" t="n"/>
      <c r="F202" s="50" t="n">
        <v>70</v>
      </c>
      <c r="G202" s="50" t="n"/>
      <c r="H202" s="50" t="n">
        <v>240</v>
      </c>
      <c r="I202" s="50" t="n">
        <v>204</v>
      </c>
      <c r="J202" s="28">
        <f>IF(OR(G202="",AND(H202="",I202="")),"n/a",IF(G202=I202,"mastered",IF(G202=H202,"normal","differs")))</f>
        <v/>
      </c>
      <c r="K202" s="28">
        <f>IF(L202&lt;&gt;"",L202,IF(M202&lt;&gt;"",M202,""))</f>
        <v/>
      </c>
      <c r="L202" s="50" t="n"/>
      <c r="M202" s="50" t="n">
        <v>579</v>
      </c>
      <c r="N202" s="28">
        <f>IF(O202&lt;&gt;"",O202,IF(P202&lt;&gt;"",P202,""))</f>
        <v/>
      </c>
      <c r="O202" s="50" t="n"/>
      <c r="P202" s="50" t="n">
        <v>69</v>
      </c>
      <c r="Q202" s="50" t="n"/>
      <c r="R202" s="50" t="n"/>
      <c r="S202" s="28">
        <f>IF(Q202="","",IF(Q202&lt;0,"negative profit",IF(Q202&gt;Notes!$B$4,"unusually high - verify","")))</f>
        <v/>
      </c>
      <c r="T202" s="28" t="inlineStr">
        <is>
          <t>Fandom</t>
        </is>
      </c>
      <c r="U202" s="28">
        <f>IF(T202&lt;&gt;"both",T202&amp;" only",IF(V202="","agree","conflict"))</f>
        <v/>
      </c>
      <c r="V202" s="28">
        <f>IF(T202="both",TRIM(IF(AND(E202&lt;&gt;"",F202&lt;&gt;"",E202&lt;&gt;F202),"level ","")&amp;IF(AND(L202&lt;&gt;"",M202&lt;&gt;"",L202&lt;&gt;M202),"price ","")&amp;IF(AND(O202&lt;&gt;"",P202&lt;&gt;"",O202&lt;&gt;P202),"xp ","")&amp;IF(J202="differs","time","")),"")</f>
        <v/>
      </c>
      <c r="X202" s="50" t="inlineStr">
        <is>
          <t>Brown Sugar x1; Lemon x1; Onion x1; Blueberries x3</t>
        </is>
      </c>
      <c r="Y202" s="50" t="inlineStr">
        <is>
          <t>Blueberry Chutney.png</t>
        </is>
      </c>
      <c r="Z202" s="50" t="inlineStr">
        <is>
          <t>icons/Jam Maker/Blueberry Chutney.png</t>
        </is>
      </c>
      <c r="AA202" s="28" t="inlineStr">
        <is>
          <t>Hay Day Wiki infobox via MediaWiki API (2026-10-13)</t>
        </is>
      </c>
      <c r="AB202" s="28" t="inlineStr">
        <is>
          <t>https://hayday.fandom.com/wiki/Blueberry_Chutney</t>
        </is>
      </c>
      <c r="AC202" s="50" t="n"/>
    </row>
    <row r="203">
      <c r="A203" s="28" t="inlineStr">
        <is>
          <t>Bracelet</t>
        </is>
      </c>
      <c r="B203" s="28" t="inlineStr">
        <is>
          <t>Jeweler</t>
        </is>
      </c>
      <c r="C203" s="50" t="inlineStr">
        <is>
          <t>Product</t>
        </is>
      </c>
      <c r="D203" s="28">
        <f>IF(E203&lt;&gt;"",E203,IF(F203&lt;&gt;"",F203,""))</f>
        <v/>
      </c>
      <c r="E203" s="50" t="n">
        <v>38</v>
      </c>
      <c r="F203" s="50" t="n">
        <v>38</v>
      </c>
      <c r="G203" s="50" t="n">
        <v>102</v>
      </c>
      <c r="H203" s="50" t="n">
        <v>120</v>
      </c>
      <c r="I203" s="50" t="n">
        <v>102</v>
      </c>
      <c r="J203" s="28">
        <f>IF(OR(G203="",AND(H203="",I203="")),"n/a",IF(G203=I203,"mastered",IF(G203=H203,"normal","differs")))</f>
        <v/>
      </c>
      <c r="K203" s="28">
        <f>IF(L203&lt;&gt;"",L203,IF(M203&lt;&gt;"",M203,""))</f>
        <v/>
      </c>
      <c r="L203" s="50" t="n">
        <v>514</v>
      </c>
      <c r="M203" s="50" t="n">
        <v>514</v>
      </c>
      <c r="N203" s="28">
        <f>IF(O203&lt;&gt;"",O203,IF(P203&lt;&gt;"",P203,""))</f>
        <v/>
      </c>
      <c r="O203" s="50" t="n">
        <v>61</v>
      </c>
      <c r="P203" s="50" t="n">
        <v>61</v>
      </c>
      <c r="Q203" s="50" t="n">
        <v>23.53</v>
      </c>
      <c r="R203" s="50" t="n">
        <v>35.88</v>
      </c>
      <c r="S203" s="28">
        <f>IF(Q203="","",IF(Q203&lt;0,"negative profit",IF(Q203&gt;Notes!$B$4,"unusually high - verify","")))</f>
        <v/>
      </c>
      <c r="T203" s="28" t="inlineStr">
        <is>
          <t>both</t>
        </is>
      </c>
      <c r="U203" s="28">
        <f>IF(T203&lt;&gt;"both",T203&amp;" only",IF(V203="","agree","conflict"))</f>
        <v/>
      </c>
      <c r="V203" s="28">
        <f>IF(T203="both",TRIM(IF(AND(E203&lt;&gt;"",F203&lt;&gt;"",E203&lt;&gt;F203),"level ","")&amp;IF(AND(L203&lt;&gt;"",M203&lt;&gt;"",L203&lt;&gt;M203),"price ","")&amp;IF(AND(O203&lt;&gt;"",P203&lt;&gt;"",O203&lt;&gt;P203),"xp ","")&amp;IF(J203="differs","time","")),"")</f>
        <v/>
      </c>
      <c r="X203" s="50" t="inlineStr">
        <is>
          <t>Silver Bar x2; Gold Bar x1</t>
        </is>
      </c>
      <c r="Y203" s="50" t="inlineStr">
        <is>
          <t>Bracelet.png</t>
        </is>
      </c>
      <c r="Z203" s="50" t="inlineStr">
        <is>
          <t>icons/Jeweler/Bracelet.png</t>
        </is>
      </c>
      <c r="AA203" s="28" t="inlineStr">
        <is>
          <t>hayday.info /api/production-data (2026-10-13) + Hay Day Wiki infobox via MediaWiki API (2026-10-13)</t>
        </is>
      </c>
      <c r="AB203" s="28" t="inlineStr">
        <is>
          <t>https://hayday.fandom.com/wiki/Bracelet</t>
        </is>
      </c>
      <c r="AC203" s="50" t="inlineStr">
        <is>
          <t>Bracelet</t>
        </is>
      </c>
    </row>
    <row r="204">
      <c r="A204" s="28" t="inlineStr">
        <is>
          <t>Necklace</t>
        </is>
      </c>
      <c r="B204" s="28" t="inlineStr">
        <is>
          <t>Jeweler</t>
        </is>
      </c>
      <c r="C204" s="50" t="inlineStr">
        <is>
          <t>Product</t>
        </is>
      </c>
      <c r="D204" s="28">
        <f>IF(E204&lt;&gt;"",E204,IF(F204&lt;&gt;"",F204,""))</f>
        <v/>
      </c>
      <c r="E204" s="50" t="n">
        <v>39</v>
      </c>
      <c r="F204" s="50" t="n">
        <v>39</v>
      </c>
      <c r="G204" s="50" t="n">
        <v>153</v>
      </c>
      <c r="H204" s="50" t="n">
        <v>180</v>
      </c>
      <c r="I204" s="50" t="n">
        <v>153</v>
      </c>
      <c r="J204" s="28">
        <f>IF(OR(G204="",AND(H204="",I204="")),"n/a",IF(G204=I204,"mastered",IF(G204=H204,"normal","differs")))</f>
        <v/>
      </c>
      <c r="K204" s="28">
        <f>IF(L204&lt;&gt;"",L204,IF(M204&lt;&gt;"",M204,""))</f>
        <v/>
      </c>
      <c r="L204" s="50" t="n">
        <v>727</v>
      </c>
      <c r="M204" s="50" t="n">
        <v>727</v>
      </c>
      <c r="N204" s="28">
        <f>IF(O204&lt;&gt;"",O204,IF(P204&lt;&gt;"",P204,""))</f>
        <v/>
      </c>
      <c r="O204" s="50" t="n">
        <v>87</v>
      </c>
      <c r="P204" s="50" t="n">
        <v>87</v>
      </c>
      <c r="Q204" s="50" t="n">
        <v>18.82</v>
      </c>
      <c r="R204" s="50" t="n">
        <v>34.12</v>
      </c>
      <c r="S204" s="28">
        <f>IF(Q204="","",IF(Q204&lt;0,"negative profit",IF(Q204&gt;Notes!$B$4,"unusually high - verify","")))</f>
        <v/>
      </c>
      <c r="T204" s="28" t="inlineStr">
        <is>
          <t>both</t>
        </is>
      </c>
      <c r="U204" s="28">
        <f>IF(T204&lt;&gt;"both",T204&amp;" only",IF(V204="","agree","conflict"))</f>
        <v/>
      </c>
      <c r="V204" s="28">
        <f>IF(T204="both",TRIM(IF(AND(E204&lt;&gt;"",F204&lt;&gt;"",E204&lt;&gt;F204),"level ","")&amp;IF(AND(L204&lt;&gt;"",M204&lt;&gt;"",L204&lt;&gt;M204),"price ","")&amp;IF(AND(O204&lt;&gt;"",P204&lt;&gt;"",O204&lt;&gt;P204),"xp ","")&amp;IF(J204="differs","time","")),"")</f>
        <v/>
      </c>
      <c r="X204" s="50" t="inlineStr">
        <is>
          <t>Silver Bar x2; Gold Bar x1; Platinum Bar x1</t>
        </is>
      </c>
      <c r="Y204" s="50" t="inlineStr">
        <is>
          <t>Necklace.png</t>
        </is>
      </c>
      <c r="Z204" s="50" t="inlineStr">
        <is>
          <t>icons/Jeweler/Necklace.png</t>
        </is>
      </c>
      <c r="AA204" s="28" t="inlineStr">
        <is>
          <t>hayday.info /api/production-data (2026-10-13) + Hay Day Wiki infobox via MediaWiki API (2026-10-13)</t>
        </is>
      </c>
      <c r="AB204" s="28" t="inlineStr">
        <is>
          <t>https://hayday.fandom.com/wiki/Necklace</t>
        </is>
      </c>
      <c r="AC204" s="50" t="inlineStr">
        <is>
          <t>Necklace</t>
        </is>
      </c>
    </row>
    <row r="205">
      <c r="A205" s="28" t="inlineStr">
        <is>
          <t>Diamond Ring</t>
        </is>
      </c>
      <c r="B205" s="28" t="inlineStr">
        <is>
          <t>Jeweler</t>
        </is>
      </c>
      <c r="C205" s="50" t="inlineStr">
        <is>
          <t>Product</t>
        </is>
      </c>
      <c r="D205" s="28">
        <f>IF(E205&lt;&gt;"",E205,IF(F205&lt;&gt;"",F205,""))</f>
        <v/>
      </c>
      <c r="E205" s="50" t="n">
        <v>40</v>
      </c>
      <c r="F205" s="50" t="n">
        <v>40</v>
      </c>
      <c r="G205" s="50" t="n">
        <v>204</v>
      </c>
      <c r="H205" s="50" t="n">
        <v>240</v>
      </c>
      <c r="I205" s="50" t="n">
        <v>204</v>
      </c>
      <c r="J205" s="28">
        <f>IF(OR(G205="",AND(H205="",I205="")),"n/a",IF(G205=I205,"mastered",IF(G205=H205,"normal","differs")))</f>
        <v/>
      </c>
      <c r="K205" s="28">
        <f>IF(L205&lt;&gt;"",L205,IF(M205&lt;&gt;"",M205,""))</f>
        <v/>
      </c>
      <c r="L205" s="50" t="n">
        <v>824</v>
      </c>
      <c r="M205" s="50" t="n">
        <v>824</v>
      </c>
      <c r="N205" s="28">
        <f>IF(O205&lt;&gt;"",O205,IF(P205&lt;&gt;"",P205,""))</f>
        <v/>
      </c>
      <c r="O205" s="50" t="n">
        <v>98</v>
      </c>
      <c r="P205" s="50" t="n">
        <v>98</v>
      </c>
      <c r="Q205" s="50" t="n">
        <v>15.88</v>
      </c>
      <c r="R205" s="50" t="n">
        <v>28.82</v>
      </c>
      <c r="S205" s="28">
        <f>IF(Q205="","",IF(Q205&lt;0,"negative profit",IF(Q205&gt;Notes!$B$4,"unusually high - verify","")))</f>
        <v/>
      </c>
      <c r="T205" s="28" t="inlineStr">
        <is>
          <t>both</t>
        </is>
      </c>
      <c r="U205" s="28">
        <f>IF(T205&lt;&gt;"both",T205&amp;" only",IF(V205="","agree","conflict"))</f>
        <v/>
      </c>
      <c r="V205" s="28">
        <f>IF(T205="both",TRIM(IF(AND(E205&lt;&gt;"",F205&lt;&gt;"",E205&lt;&gt;F205),"level ","")&amp;IF(AND(L205&lt;&gt;"",M205&lt;&gt;"",L205&lt;&gt;M205),"price ","")&amp;IF(AND(O205&lt;&gt;"",P205&lt;&gt;"",O205&lt;&gt;P205),"xp ","")&amp;IF(J205="differs","time","")),"")</f>
        <v/>
      </c>
      <c r="X205" s="50" t="inlineStr">
        <is>
          <t>Gold Bar x2; Platinum Bar x2; Diamond x1</t>
        </is>
      </c>
      <c r="Y205" s="50" t="inlineStr">
        <is>
          <t>Diamond Ring.png</t>
        </is>
      </c>
      <c r="Z205" s="50" t="inlineStr">
        <is>
          <t>icons/Jeweler/Diamond Ring.png</t>
        </is>
      </c>
      <c r="AA205" s="28" t="inlineStr">
        <is>
          <t>hayday.info /api/production-data (2026-10-13) + Hay Day Wiki infobox via MediaWiki API (2026-10-13)</t>
        </is>
      </c>
      <c r="AB205" s="28" t="inlineStr">
        <is>
          <t>https://hayday.fandom.com/wiki/Diamond_Ring</t>
        </is>
      </c>
      <c r="AC205" s="50" t="inlineStr">
        <is>
          <t>Diamond ring</t>
        </is>
      </c>
    </row>
    <row r="206">
      <c r="A206" s="28" t="inlineStr">
        <is>
          <t>Iron Bracelet</t>
        </is>
      </c>
      <c r="B206" s="28" t="inlineStr">
        <is>
          <t>Jeweler</t>
        </is>
      </c>
      <c r="C206" s="50" t="inlineStr">
        <is>
          <t>Product</t>
        </is>
      </c>
      <c r="D206" s="28">
        <f>IF(E206&lt;&gt;"",E206,IF(F206&lt;&gt;"",F206,""))</f>
        <v/>
      </c>
      <c r="E206" s="50" t="n">
        <v>41</v>
      </c>
      <c r="F206" s="50" t="n">
        <v>41</v>
      </c>
      <c r="G206" s="50" t="n">
        <v>76</v>
      </c>
      <c r="H206" s="50" t="n">
        <v>90</v>
      </c>
      <c r="I206" s="50" t="n">
        <v>76</v>
      </c>
      <c r="J206" s="28">
        <f>IF(OR(G206="",AND(H206="",I206="")),"n/a",IF(G206=I206,"mastered",IF(G206=H206,"normal","differs")))</f>
        <v/>
      </c>
      <c r="K206" s="28">
        <f>IF(L206&lt;&gt;"",L206,IF(M206&lt;&gt;"",M206,""))</f>
        <v/>
      </c>
      <c r="L206" s="50" t="n">
        <v>658</v>
      </c>
      <c r="M206" s="50" t="n">
        <v>658</v>
      </c>
      <c r="N206" s="28">
        <f>IF(O206&lt;&gt;"",O206,IF(P206&lt;&gt;"",P206,""))</f>
        <v/>
      </c>
      <c r="O206" s="50" t="n">
        <v>79</v>
      </c>
      <c r="P206" s="50" t="n">
        <v>79</v>
      </c>
      <c r="Q206" s="50" t="n">
        <v>29.02</v>
      </c>
      <c r="R206" s="50" t="n">
        <v>61.96</v>
      </c>
      <c r="S206" s="28">
        <f>IF(Q206="","",IF(Q206&lt;0,"negative profit",IF(Q206&gt;Notes!$B$4,"unusually high - verify","")))</f>
        <v/>
      </c>
      <c r="T206" s="28" t="inlineStr">
        <is>
          <t>both</t>
        </is>
      </c>
      <c r="U206" s="28">
        <f>IF(T206&lt;&gt;"both",T206&amp;" only",IF(V206="","agree","conflict"))</f>
        <v/>
      </c>
      <c r="V206" s="28">
        <f>IF(T206="both",TRIM(IF(AND(E206&lt;&gt;"",F206&lt;&gt;"",E206&lt;&gt;F206),"level ","")&amp;IF(AND(L206&lt;&gt;"",M206&lt;&gt;"",L206&lt;&gt;M206),"price ","")&amp;IF(AND(O206&lt;&gt;"",P206&lt;&gt;"",O206&lt;&gt;P206),"xp ","")&amp;IF(J206="differs","time","")),"")</f>
        <v/>
      </c>
      <c r="W206" s="28" t="inlineStr">
        <is>
          <t>xp 78 (machine page) vs 79 (product page)</t>
        </is>
      </c>
      <c r="X206" s="50" t="inlineStr">
        <is>
          <t>Silver Bar x1; Refined Coal x2; Iron Bar x2</t>
        </is>
      </c>
      <c r="Y206" s="50" t="inlineStr">
        <is>
          <t>Iron Bracelet.png</t>
        </is>
      </c>
      <c r="Z206" s="50" t="inlineStr">
        <is>
          <t>icons/Jeweler/Iron Bracelet.png</t>
        </is>
      </c>
      <c r="AA206" s="28" t="inlineStr">
        <is>
          <t>hayday.info /api/production-data (2026-10-13) + Hay Day Wiki infobox via MediaWiki API (2026-10-13)</t>
        </is>
      </c>
      <c r="AB206" s="28" t="inlineStr">
        <is>
          <t>https://hayday.fandom.com/wiki/Iron_Bracelet</t>
        </is>
      </c>
      <c r="AC206" s="50" t="inlineStr">
        <is>
          <t>Iron bracelet</t>
        </is>
      </c>
    </row>
    <row r="207">
      <c r="A207" s="28" t="inlineStr">
        <is>
          <t>Flower Pendant</t>
        </is>
      </c>
      <c r="B207" s="28" t="inlineStr">
        <is>
          <t>Jeweler</t>
        </is>
      </c>
      <c r="C207" s="50" t="inlineStr">
        <is>
          <t>Product</t>
        </is>
      </c>
      <c r="D207" s="28">
        <f>IF(E207&lt;&gt;"",E207,IF(F207&lt;&gt;"",F207,""))</f>
        <v/>
      </c>
      <c r="E207" s="50" t="n">
        <v>98</v>
      </c>
      <c r="F207" s="50" t="n">
        <v>98</v>
      </c>
      <c r="G207" s="50" t="n">
        <v>51</v>
      </c>
      <c r="H207" s="50" t="n">
        <v>60</v>
      </c>
      <c r="I207" s="50" t="n">
        <v>51</v>
      </c>
      <c r="J207" s="28">
        <f>IF(OR(G207="",AND(H207="",I207="")),"n/a",IF(G207=I207,"mastered",IF(G207=H207,"normal","differs")))</f>
        <v/>
      </c>
      <c r="K207" s="28">
        <f>IF(L207&lt;&gt;"",L207,IF(M207&lt;&gt;"",M207,""))</f>
        <v/>
      </c>
      <c r="L207" s="50" t="n">
        <v>698</v>
      </c>
      <c r="M207" s="50" t="n">
        <v>698</v>
      </c>
      <c r="N207" s="28">
        <f>IF(O207&lt;&gt;"",O207,IF(P207&lt;&gt;"",P207,""))</f>
        <v/>
      </c>
      <c r="O207" s="50" t="n">
        <v>83</v>
      </c>
      <c r="P207" s="50" t="n">
        <v>83</v>
      </c>
      <c r="Q207" s="50" t="n">
        <v>29.41</v>
      </c>
      <c r="R207" s="50" t="n">
        <v>97.65000000000001</v>
      </c>
      <c r="S207" s="28">
        <f>IF(Q207="","",IF(Q207&lt;0,"negative profit",IF(Q207&gt;Notes!$B$4,"unusually high - verify","")))</f>
        <v/>
      </c>
      <c r="T207" s="28" t="inlineStr">
        <is>
          <t>both</t>
        </is>
      </c>
      <c r="U207" s="28">
        <f>IF(T207&lt;&gt;"both",T207&amp;" only",IF(V207="","agree","conflict"))</f>
        <v/>
      </c>
      <c r="V207" s="28">
        <f>IF(T207="both",TRIM(IF(AND(E207&lt;&gt;"",F207&lt;&gt;"",E207&lt;&gt;F207),"level ","")&amp;IF(AND(L207&lt;&gt;"",M207&lt;&gt;"",L207&lt;&gt;M207),"price ","")&amp;IF(AND(O207&lt;&gt;"",P207&lt;&gt;"",O207&lt;&gt;P207),"xp ","")&amp;IF(J207="differs","time","")),"")</f>
        <v/>
      </c>
      <c r="X207" s="50" t="inlineStr">
        <is>
          <t>Peony x3; Platinum Bar x1; Gold Bar x2</t>
        </is>
      </c>
      <c r="Y207" s="50" t="inlineStr">
        <is>
          <t>Flower Pendant.png</t>
        </is>
      </c>
      <c r="Z207" s="50" t="inlineStr">
        <is>
          <t>icons/Jeweler/Flower Pendant.png</t>
        </is>
      </c>
      <c r="AA207" s="28" t="inlineStr">
        <is>
          <t>hayday.info /api/production-data (2026-10-13) + Hay Day Wiki infobox via MediaWiki API (2026-10-13)</t>
        </is>
      </c>
      <c r="AB207" s="28" t="inlineStr">
        <is>
          <t>https://hayday.fandom.com/wiki/Flower_Pendant</t>
        </is>
      </c>
      <c r="AC207" s="50" t="inlineStr">
        <is>
          <t>Flower pendant</t>
        </is>
      </c>
    </row>
    <row r="208">
      <c r="A208" s="28" t="inlineStr">
        <is>
          <t>Carrot Juice</t>
        </is>
      </c>
      <c r="B208" s="28" t="inlineStr">
        <is>
          <t>Juice Press</t>
        </is>
      </c>
      <c r="C208" s="50" t="inlineStr">
        <is>
          <t>Product</t>
        </is>
      </c>
      <c r="D208" s="28">
        <f>IF(E208&lt;&gt;"",E208,IF(F208&lt;&gt;"",F208,""))</f>
        <v/>
      </c>
      <c r="E208" s="50" t="n">
        <v>26</v>
      </c>
      <c r="F208" s="50" t="n">
        <v>26</v>
      </c>
      <c r="G208" s="50" t="n">
        <v>25</v>
      </c>
      <c r="H208" s="50" t="n">
        <v>30</v>
      </c>
      <c r="I208" s="50" t="n">
        <v>25</v>
      </c>
      <c r="J208" s="28">
        <f>IF(OR(G208="",AND(H208="",I208="")),"n/a",IF(G208=I208,"mastered",IF(G208=H208,"normal","differs")))</f>
        <v/>
      </c>
      <c r="K208" s="28">
        <f>IF(L208&lt;&gt;"",L208,IF(M208&lt;&gt;"",M208,""))</f>
        <v/>
      </c>
      <c r="L208" s="50" t="n">
        <v>46</v>
      </c>
      <c r="M208" s="50" t="n">
        <v>46</v>
      </c>
      <c r="N208" s="28">
        <f>IF(O208&lt;&gt;"",O208,IF(P208&lt;&gt;"",P208,""))</f>
        <v/>
      </c>
      <c r="O208" s="50" t="n">
        <v>6</v>
      </c>
      <c r="P208" s="50" t="n">
        <v>6</v>
      </c>
      <c r="Q208" s="50" t="n">
        <v>58.82</v>
      </c>
      <c r="R208" s="50" t="n">
        <v>14.12</v>
      </c>
      <c r="S208" s="28">
        <f>IF(Q208="","",IF(Q208&lt;0,"negative profit",IF(Q208&gt;Notes!$B$4,"unusually high - verify","")))</f>
        <v/>
      </c>
      <c r="T208" s="28" t="inlineStr">
        <is>
          <t>both</t>
        </is>
      </c>
      <c r="U208" s="28">
        <f>IF(T208&lt;&gt;"both",T208&amp;" only",IF(V208="","agree","conflict"))</f>
        <v/>
      </c>
      <c r="V208" s="28">
        <f>IF(T208="both",TRIM(IF(AND(E208&lt;&gt;"",F208&lt;&gt;"",E208&lt;&gt;F208),"level ","")&amp;IF(AND(L208&lt;&gt;"",M208&lt;&gt;"",L208&lt;&gt;M208),"price ","")&amp;IF(AND(O208&lt;&gt;"",P208&lt;&gt;"",O208&lt;&gt;P208),"xp ","")&amp;IF(J208="differs","time","")),"")</f>
        <v/>
      </c>
      <c r="X208" s="50" t="inlineStr">
        <is>
          <t>Carrot x3</t>
        </is>
      </c>
      <c r="Y208" s="50" t="inlineStr">
        <is>
          <t>Carrot Juice.png</t>
        </is>
      </c>
      <c r="Z208" s="50" t="inlineStr">
        <is>
          <t>icons/Juice Press/Carrot Juice.png</t>
        </is>
      </c>
      <c r="AA208" s="28" t="inlineStr">
        <is>
          <t>hayday.info /api/production-data (2026-10-13) + Hay Day Wiki infobox via MediaWiki API (2026-10-13)</t>
        </is>
      </c>
      <c r="AB208" s="28" t="inlineStr">
        <is>
          <t>https://hayday.fandom.com/wiki/Carrot_Juice</t>
        </is>
      </c>
      <c r="AC208" s="50" t="inlineStr">
        <is>
          <t>Carrot juice</t>
        </is>
      </c>
    </row>
    <row r="209">
      <c r="A209" s="28" t="inlineStr">
        <is>
          <t>Apple Juice</t>
        </is>
      </c>
      <c r="B209" s="28" t="inlineStr">
        <is>
          <t>Juice Press</t>
        </is>
      </c>
      <c r="C209" s="50" t="inlineStr">
        <is>
          <t>Product</t>
        </is>
      </c>
      <c r="D209" s="28">
        <f>IF(E209&lt;&gt;"",E209,IF(F209&lt;&gt;"",F209,""))</f>
        <v/>
      </c>
      <c r="E209" s="50" t="n">
        <v>28</v>
      </c>
      <c r="F209" s="50" t="n">
        <v>28</v>
      </c>
      <c r="G209" s="50" t="n">
        <v>102</v>
      </c>
      <c r="H209" s="50" t="n">
        <v>120</v>
      </c>
      <c r="I209" s="50" t="n">
        <v>102</v>
      </c>
      <c r="J209" s="28">
        <f>IF(OR(G209="",AND(H209="",I209="")),"n/a",IF(G209=I209,"mastered",IF(G209=H209,"normal","differs")))</f>
        <v/>
      </c>
      <c r="K209" s="28">
        <f>IF(L209&lt;&gt;"",L209,IF(M209&lt;&gt;"",M209,""))</f>
        <v/>
      </c>
      <c r="L209" s="50" t="n">
        <v>129</v>
      </c>
      <c r="M209" s="50" t="n">
        <v>111</v>
      </c>
      <c r="N209" s="28">
        <f>IF(O209&lt;&gt;"",O209,IF(P209&lt;&gt;"",P209,""))</f>
        <v/>
      </c>
      <c r="O209" s="50" t="n">
        <v>15</v>
      </c>
      <c r="P209" s="50" t="n">
        <v>15</v>
      </c>
      <c r="Q209" s="50" t="n">
        <v>30</v>
      </c>
      <c r="R209" s="50" t="n">
        <v>8.82</v>
      </c>
      <c r="S209" s="28">
        <f>IF(Q209="","",IF(Q209&lt;0,"negative profit",IF(Q209&gt;Notes!$B$4,"unusually high - verify","")))</f>
        <v/>
      </c>
      <c r="T209" s="28" t="inlineStr">
        <is>
          <t>both</t>
        </is>
      </c>
      <c r="U209" s="28">
        <f>IF(T209&lt;&gt;"both",T209&amp;" only",IF(V209="","agree","conflict"))</f>
        <v/>
      </c>
      <c r="V209" s="28">
        <f>IF(T209="both",TRIM(IF(AND(E209&lt;&gt;"",F209&lt;&gt;"",E209&lt;&gt;F209),"level ","")&amp;IF(AND(L209&lt;&gt;"",M209&lt;&gt;"",L209&lt;&gt;M209),"price ","")&amp;IF(AND(O209&lt;&gt;"",P209&lt;&gt;"",O209&lt;&gt;P209),"xp ","")&amp;IF(J209="differs","time","")),"")</f>
        <v/>
      </c>
      <c r="X209" s="50" t="inlineStr">
        <is>
          <t>Apple x2</t>
        </is>
      </c>
      <c r="Y209" s="50" t="inlineStr">
        <is>
          <t>Apple Juice.png</t>
        </is>
      </c>
      <c r="Z209" s="50" t="inlineStr">
        <is>
          <t>icons/Juice Press/Apple Juice.png</t>
        </is>
      </c>
      <c r="AA209" s="28" t="inlineStr">
        <is>
          <t>hayday.info /api/production-data (2026-10-13) + Hay Day Wiki infobox via MediaWiki API (2026-10-13)</t>
        </is>
      </c>
      <c r="AB209" s="28" t="inlineStr">
        <is>
          <t>https://hayday.fandom.com/wiki/Apple_Juice</t>
        </is>
      </c>
      <c r="AC209" s="50" t="inlineStr">
        <is>
          <t>Apple juice</t>
        </is>
      </c>
    </row>
    <row r="210">
      <c r="A210" s="28" t="inlineStr">
        <is>
          <t>Cherry Juice</t>
        </is>
      </c>
      <c r="B210" s="28" t="inlineStr">
        <is>
          <t>Juice Press</t>
        </is>
      </c>
      <c r="C210" s="50" t="inlineStr">
        <is>
          <t>Product</t>
        </is>
      </c>
      <c r="D210" s="28">
        <f>IF(E210&lt;&gt;"",E210,IF(F210&lt;&gt;"",F210,""))</f>
        <v/>
      </c>
      <c r="E210" s="50" t="n">
        <v>30</v>
      </c>
      <c r="F210" s="50" t="n">
        <v>30</v>
      </c>
      <c r="G210" s="50" t="n">
        <v>127</v>
      </c>
      <c r="H210" s="50" t="n">
        <v>150</v>
      </c>
      <c r="I210" s="50" t="n">
        <v>127</v>
      </c>
      <c r="J210" s="28">
        <f>IF(OR(G210="",AND(H210="",I210="")),"n/a",IF(G210=I210,"mastered",IF(G210=H210,"normal","differs")))</f>
        <v/>
      </c>
      <c r="K210" s="28">
        <f>IF(L210&lt;&gt;"",L210,IF(M210&lt;&gt;"",M210,""))</f>
        <v/>
      </c>
      <c r="L210" s="50" t="n">
        <v>216</v>
      </c>
      <c r="M210" s="50" t="n">
        <v>216</v>
      </c>
      <c r="N210" s="28">
        <f>IF(O210&lt;&gt;"",O210,IF(P210&lt;&gt;"",P210,""))</f>
        <v/>
      </c>
      <c r="O210" s="50" t="n">
        <v>26</v>
      </c>
      <c r="P210" s="50" t="n">
        <v>26</v>
      </c>
      <c r="Q210" s="50" t="n">
        <v>37.65</v>
      </c>
      <c r="R210" s="50" t="n">
        <v>12.24</v>
      </c>
      <c r="S210" s="28">
        <f>IF(Q210="","",IF(Q210&lt;0,"negative profit",IF(Q210&gt;Notes!$B$4,"unusually high - verify","")))</f>
        <v/>
      </c>
      <c r="T210" s="28" t="inlineStr">
        <is>
          <t>both</t>
        </is>
      </c>
      <c r="U210" s="28">
        <f>IF(T210&lt;&gt;"both",T210&amp;" only",IF(V210="","agree","conflict"))</f>
        <v/>
      </c>
      <c r="V210" s="28">
        <f>IF(T210="both",TRIM(IF(AND(E210&lt;&gt;"",F210&lt;&gt;"",E210&lt;&gt;F210),"level ","")&amp;IF(AND(L210&lt;&gt;"",M210&lt;&gt;"",L210&lt;&gt;M210),"price ","")&amp;IF(AND(O210&lt;&gt;"",P210&lt;&gt;"",O210&lt;&gt;P210),"xp ","")&amp;IF(J210="differs","time","")),"")</f>
        <v/>
      </c>
      <c r="X210" s="50" t="inlineStr">
        <is>
          <t>Cherry x2</t>
        </is>
      </c>
      <c r="Y210" s="50" t="inlineStr">
        <is>
          <t>Cherry Juice.png</t>
        </is>
      </c>
      <c r="Z210" s="50" t="inlineStr">
        <is>
          <t>icons/Juice Press/Cherry Juice.png</t>
        </is>
      </c>
      <c r="AA210" s="28" t="inlineStr">
        <is>
          <t>hayday.info /api/production-data (2026-10-13) + Hay Day Wiki infobox via MediaWiki API (2026-10-13)</t>
        </is>
      </c>
      <c r="AB210" s="28" t="inlineStr">
        <is>
          <t>https://hayday.fandom.com/wiki/Cherry_Juice</t>
        </is>
      </c>
      <c r="AC210" s="50" t="inlineStr">
        <is>
          <t>Cherry juice</t>
        </is>
      </c>
    </row>
    <row r="211">
      <c r="A211" s="28" t="inlineStr">
        <is>
          <t>Berry Juice</t>
        </is>
      </c>
      <c r="B211" s="28" t="inlineStr">
        <is>
          <t>Juice Press</t>
        </is>
      </c>
      <c r="C211" s="50" t="inlineStr">
        <is>
          <t>Product</t>
        </is>
      </c>
      <c r="D211" s="28">
        <f>IF(E211&lt;&gt;"",E211,IF(F211&lt;&gt;"",F211,""))</f>
        <v/>
      </c>
      <c r="E211" s="50" t="n">
        <v>31</v>
      </c>
      <c r="F211" s="50" t="n">
        <v>31</v>
      </c>
      <c r="G211" s="50" t="n">
        <v>153</v>
      </c>
      <c r="H211" s="50" t="n">
        <v>180</v>
      </c>
      <c r="I211" s="50" t="n">
        <v>153</v>
      </c>
      <c r="J211" s="28">
        <f>IF(OR(G211="",AND(H211="",I211="")),"n/a",IF(G211=I211,"mastered",IF(G211=H211,"normal","differs")))</f>
        <v/>
      </c>
      <c r="K211" s="28">
        <f>IF(L211&lt;&gt;"",L211,IF(M211&lt;&gt;"",M211,""))</f>
        <v/>
      </c>
      <c r="L211" s="50" t="n">
        <v>205</v>
      </c>
      <c r="M211" s="50" t="n">
        <v>205</v>
      </c>
      <c r="N211" s="28">
        <f>IF(O211&lt;&gt;"",O211,IF(P211&lt;&gt;"",P211,""))</f>
        <v/>
      </c>
      <c r="O211" s="50" t="n">
        <v>24</v>
      </c>
      <c r="P211" s="50" t="n">
        <v>24</v>
      </c>
      <c r="Q211" s="50" t="n">
        <v>30.2</v>
      </c>
      <c r="R211" s="50" t="n">
        <v>9.41</v>
      </c>
      <c r="S211" s="28">
        <f>IF(Q211="","",IF(Q211&lt;0,"negative profit",IF(Q211&gt;Notes!$B$4,"unusually high - verify","")))</f>
        <v/>
      </c>
      <c r="T211" s="28" t="inlineStr">
        <is>
          <t>both</t>
        </is>
      </c>
      <c r="U211" s="28">
        <f>IF(T211&lt;&gt;"both",T211&amp;" only",IF(V211="","agree","conflict"))</f>
        <v/>
      </c>
      <c r="V211" s="28">
        <f>IF(T211="both",TRIM(IF(AND(E211&lt;&gt;"",F211&lt;&gt;"",E211&lt;&gt;F211),"level ","")&amp;IF(AND(L211&lt;&gt;"",M211&lt;&gt;"",L211&lt;&gt;M211),"price ","")&amp;IF(AND(O211&lt;&gt;"",P211&lt;&gt;"",O211&lt;&gt;P211),"xp ","")&amp;IF(J211="differs","time","")),"")</f>
        <v/>
      </c>
      <c r="X211" s="50" t="inlineStr">
        <is>
          <t>Blackberry x1; Raspberry x1</t>
        </is>
      </c>
      <c r="Y211" s="50" t="inlineStr">
        <is>
          <t>Berry Juice.png</t>
        </is>
      </c>
      <c r="Z211" s="50" t="inlineStr">
        <is>
          <t>icons/Juice Press/Berry Juice.png</t>
        </is>
      </c>
      <c r="AA211" s="28" t="inlineStr">
        <is>
          <t>hayday.info /api/production-data (2026-10-13) + Hay Day Wiki infobox via MediaWiki API (2026-10-13)</t>
        </is>
      </c>
      <c r="AB211" s="28" t="inlineStr">
        <is>
          <t>https://hayday.fandom.com/wiki/Berry_Juice</t>
        </is>
      </c>
      <c r="AC211" s="50" t="inlineStr">
        <is>
          <t>Berry juice</t>
        </is>
      </c>
    </row>
    <row r="212">
      <c r="A212" s="28" t="inlineStr">
        <is>
          <t>Tomato Juice</t>
        </is>
      </c>
      <c r="B212" s="28" t="inlineStr">
        <is>
          <t>Juice Press</t>
        </is>
      </c>
      <c r="C212" s="50" t="inlineStr">
        <is>
          <t>Product</t>
        </is>
      </c>
      <c r="D212" s="28">
        <f>IF(E212&lt;&gt;"",E212,IF(F212&lt;&gt;"",F212,""))</f>
        <v/>
      </c>
      <c r="E212" s="50" t="n">
        <v>31</v>
      </c>
      <c r="F212" s="50" t="n">
        <v>31</v>
      </c>
      <c r="G212" s="50" t="n">
        <v>76</v>
      </c>
      <c r="H212" s="50" t="n">
        <v>90</v>
      </c>
      <c r="I212" s="50" t="n">
        <v>76</v>
      </c>
      <c r="J212" s="28">
        <f>IF(OR(G212="",AND(H212="",I212="")),"n/a",IF(G212=I212,"mastered",IF(G212=H212,"normal","differs")))</f>
        <v/>
      </c>
      <c r="K212" s="28">
        <f>IF(L212&lt;&gt;"",L212,IF(M212&lt;&gt;"",M212,""))</f>
        <v/>
      </c>
      <c r="L212" s="50" t="n">
        <v>162</v>
      </c>
      <c r="M212" s="50" t="n">
        <v>162</v>
      </c>
      <c r="N212" s="28">
        <f>IF(O212&lt;&gt;"",O212,IF(P212&lt;&gt;"",P212,""))</f>
        <v/>
      </c>
      <c r="O212" s="50" t="n">
        <v>19</v>
      </c>
      <c r="P212" s="50" t="n">
        <v>19</v>
      </c>
      <c r="Q212" s="50" t="n">
        <v>25.88</v>
      </c>
      <c r="R212" s="50" t="n">
        <v>14.9</v>
      </c>
      <c r="S212" s="28">
        <f>IF(Q212="","",IF(Q212&lt;0,"negative profit",IF(Q212&gt;Notes!$B$4,"unusually high - verify","")))</f>
        <v/>
      </c>
      <c r="T212" s="28" t="inlineStr">
        <is>
          <t>both</t>
        </is>
      </c>
      <c r="U212" s="28">
        <f>IF(T212&lt;&gt;"both",T212&amp;" only",IF(V212="","agree","conflict"))</f>
        <v/>
      </c>
      <c r="V212" s="28">
        <f>IF(T212="both",TRIM(IF(AND(E212&lt;&gt;"",F212&lt;&gt;"",E212&lt;&gt;F212),"level ","")&amp;IF(AND(L212&lt;&gt;"",M212&lt;&gt;"",L212&lt;&gt;M212),"price ","")&amp;IF(AND(O212&lt;&gt;"",P212&lt;&gt;"",O212&lt;&gt;P212),"xp ","")&amp;IF(J212="differs","time","")),"")</f>
        <v/>
      </c>
      <c r="X212" s="50" t="inlineStr">
        <is>
          <t>Tomato x3</t>
        </is>
      </c>
      <c r="Y212" s="50" t="inlineStr">
        <is>
          <t>Tomato Juice.png</t>
        </is>
      </c>
      <c r="Z212" s="50" t="inlineStr">
        <is>
          <t>icons/Juice Press/Tomato Juice.png</t>
        </is>
      </c>
      <c r="AA212" s="28" t="inlineStr">
        <is>
          <t>hayday.info /api/production-data (2026-10-13) + Hay Day Wiki infobox via MediaWiki API (2026-10-13)</t>
        </is>
      </c>
      <c r="AB212" s="28" t="inlineStr">
        <is>
          <t>https://hayday.fandom.com/wiki/Tomato_Juice</t>
        </is>
      </c>
      <c r="AC212" s="50" t="inlineStr">
        <is>
          <t>Tomato juice</t>
        </is>
      </c>
    </row>
    <row r="213">
      <c r="A213" s="28" t="inlineStr">
        <is>
          <t>Pineapple Juice</t>
        </is>
      </c>
      <c r="B213" s="28" t="inlineStr">
        <is>
          <t>Juice Press</t>
        </is>
      </c>
      <c r="C213" s="50" t="inlineStr">
        <is>
          <t>Product</t>
        </is>
      </c>
      <c r="D213" s="28">
        <f>IF(E213&lt;&gt;"",E213,IF(F213&lt;&gt;"",F213,""))</f>
        <v/>
      </c>
      <c r="E213" s="50" t="n">
        <v>52</v>
      </c>
      <c r="F213" s="50" t="n">
        <v>52</v>
      </c>
      <c r="G213" s="50" t="n">
        <v>38</v>
      </c>
      <c r="H213" s="50" t="n">
        <v>45</v>
      </c>
      <c r="I213" s="50" t="n">
        <v>38</v>
      </c>
      <c r="J213" s="28">
        <f>IF(OR(G213="",AND(H213="",I213="")),"n/a",IF(G213=I213,"mastered",IF(G213=H213,"normal","differs")))</f>
        <v/>
      </c>
      <c r="K213" s="28">
        <f>IF(L213&lt;&gt;"",L213,IF(M213&lt;&gt;"",M213,""))</f>
        <v/>
      </c>
      <c r="L213" s="50" t="n">
        <v>68</v>
      </c>
      <c r="M213" s="50" t="n">
        <v>68</v>
      </c>
      <c r="N213" s="28">
        <f>IF(O213&lt;&gt;"",O213,IF(P213&lt;&gt;"",P213,""))</f>
        <v/>
      </c>
      <c r="O213" s="50" t="n">
        <v>8</v>
      </c>
      <c r="P213" s="50" t="n">
        <v>8</v>
      </c>
      <c r="Q213" s="50" t="n">
        <v>40.78</v>
      </c>
      <c r="R213" s="50" t="n">
        <v>12.55</v>
      </c>
      <c r="S213" s="28">
        <f>IF(Q213="","",IF(Q213&lt;0,"negative profit",IF(Q213&gt;Notes!$B$4,"unusually high - verify","")))</f>
        <v/>
      </c>
      <c r="T213" s="28" t="inlineStr">
        <is>
          <t>both</t>
        </is>
      </c>
      <c r="U213" s="28">
        <f>IF(T213&lt;&gt;"both",T213&amp;" only",IF(V213="","agree","conflict"))</f>
        <v/>
      </c>
      <c r="V213" s="28">
        <f>IF(T213="both",TRIM(IF(AND(E213&lt;&gt;"",F213&lt;&gt;"",E213&lt;&gt;F213),"level ","")&amp;IF(AND(L213&lt;&gt;"",M213&lt;&gt;"",L213&lt;&gt;M213),"price ","")&amp;IF(AND(O213&lt;&gt;"",P213&lt;&gt;"",O213&lt;&gt;P213),"xp ","")&amp;IF(J213="differs","time","")),"")</f>
        <v/>
      </c>
      <c r="X213" s="50" t="inlineStr">
        <is>
          <t>Pineapple x3</t>
        </is>
      </c>
      <c r="Y213" s="50" t="inlineStr">
        <is>
          <t>Pineapple Juice Blue.png</t>
        </is>
      </c>
      <c r="Z213" s="50" t="inlineStr">
        <is>
          <t>icons/Juice Press/Pineapple Juice.png</t>
        </is>
      </c>
      <c r="AA213" s="28" t="inlineStr">
        <is>
          <t>hayday.info /api/production-data (2026-10-13) + Hay Day Wiki infobox via MediaWiki API (2026-10-13)</t>
        </is>
      </c>
      <c r="AB213" s="28" t="inlineStr">
        <is>
          <t>https://hayday.fandom.com/wiki/Pineapple_Juice</t>
        </is>
      </c>
      <c r="AC213" s="50" t="inlineStr">
        <is>
          <t>Pineapple juice</t>
        </is>
      </c>
    </row>
    <row r="214">
      <c r="A214" s="28" t="inlineStr">
        <is>
          <t>Orange Juice</t>
        </is>
      </c>
      <c r="B214" s="28" t="inlineStr">
        <is>
          <t>Juice Press</t>
        </is>
      </c>
      <c r="C214" s="50" t="inlineStr">
        <is>
          <t>Product</t>
        </is>
      </c>
      <c r="D214" s="28">
        <f>IF(E214&lt;&gt;"",E214,IF(F214&lt;&gt;"",F214,""))</f>
        <v/>
      </c>
      <c r="E214" s="50" t="n">
        <v>71</v>
      </c>
      <c r="F214" s="50" t="n">
        <v>71</v>
      </c>
      <c r="G214" s="50" t="n">
        <v>102</v>
      </c>
      <c r="H214" s="50" t="n">
        <v>120</v>
      </c>
      <c r="I214" s="50" t="n">
        <v>102</v>
      </c>
      <c r="J214" s="28">
        <f>IF(OR(G214="",AND(H214="",I214="")),"n/a",IF(G214=I214,"mastered",IF(G214=H214,"normal","differs")))</f>
        <v/>
      </c>
      <c r="K214" s="28">
        <f>IF(L214&lt;&gt;"",L214,IF(M214&lt;&gt;"",M214,""))</f>
        <v/>
      </c>
      <c r="L214" s="50" t="n">
        <v>234</v>
      </c>
      <c r="M214" s="50" t="n">
        <v>234</v>
      </c>
      <c r="N214" s="28">
        <f>IF(O214&lt;&gt;"",O214,IF(P214&lt;&gt;"",P214,""))</f>
        <v/>
      </c>
      <c r="O214" s="50" t="n">
        <v>28</v>
      </c>
      <c r="P214" s="50" t="n">
        <v>28</v>
      </c>
      <c r="Q214" s="50" t="n">
        <v>23.53</v>
      </c>
      <c r="R214" s="50" t="n">
        <v>16.47</v>
      </c>
      <c r="S214" s="28">
        <f>IF(Q214="","",IF(Q214&lt;0,"negative profit",IF(Q214&gt;Notes!$B$4,"unusually high - verify","")))</f>
        <v/>
      </c>
      <c r="T214" s="28" t="inlineStr">
        <is>
          <t>both</t>
        </is>
      </c>
      <c r="U214" s="28">
        <f>IF(T214&lt;&gt;"both",T214&amp;" only",IF(V214="","agree","conflict"))</f>
        <v/>
      </c>
      <c r="V214" s="28">
        <f>IF(T214="both",TRIM(IF(AND(E214&lt;&gt;"",F214&lt;&gt;"",E214&lt;&gt;F214),"level ","")&amp;IF(AND(L214&lt;&gt;"",M214&lt;&gt;"",L214&lt;&gt;M214),"price ","")&amp;IF(AND(O214&lt;&gt;"",P214&lt;&gt;"",O214&lt;&gt;P214),"xp ","")&amp;IF(J214="differs","time","")),"")</f>
        <v/>
      </c>
      <c r="X214" s="50" t="inlineStr">
        <is>
          <t>Orange x2</t>
        </is>
      </c>
      <c r="Y214" s="50" t="inlineStr">
        <is>
          <t>Orange Juice.png</t>
        </is>
      </c>
      <c r="Z214" s="50" t="inlineStr">
        <is>
          <t>icons/Juice Press/Orange Juice.png</t>
        </is>
      </c>
      <c r="AA214" s="28" t="inlineStr">
        <is>
          <t>hayday.info /api/production-data (2026-10-13) + Hay Day Wiki infobox via MediaWiki API (2026-10-13)</t>
        </is>
      </c>
      <c r="AB214" s="28" t="inlineStr">
        <is>
          <t>https://hayday.fandom.com/wiki/Orange_Juice</t>
        </is>
      </c>
      <c r="AC214" s="50" t="inlineStr">
        <is>
          <t>Orange juice</t>
        </is>
      </c>
    </row>
    <row r="215">
      <c r="A215" s="28" t="inlineStr">
        <is>
          <t>Grape Juice</t>
        </is>
      </c>
      <c r="B215" s="28" t="inlineStr">
        <is>
          <t>Juice Press</t>
        </is>
      </c>
      <c r="C215" s="50" t="inlineStr">
        <is>
          <t>Product</t>
        </is>
      </c>
      <c r="D215" s="28">
        <f>IF(E215&lt;&gt;"",E215,IF(F215&lt;&gt;"",F215,""))</f>
        <v/>
      </c>
      <c r="E215" s="50" t="n">
        <v>84</v>
      </c>
      <c r="F215" s="50" t="n">
        <v>84</v>
      </c>
      <c r="G215" s="50" t="n">
        <v>127</v>
      </c>
      <c r="H215" s="50" t="n">
        <v>150</v>
      </c>
      <c r="I215" s="50" t="n">
        <v>127</v>
      </c>
      <c r="J215" s="28">
        <f>IF(OR(G215="",AND(H215="",I215="")),"n/a",IF(G215=I215,"mastered",IF(G215=H215,"normal","differs")))</f>
        <v/>
      </c>
      <c r="K215" s="28">
        <f>IF(L215&lt;&gt;"",L215,IF(M215&lt;&gt;"",M215,""))</f>
        <v/>
      </c>
      <c r="L215" s="50" t="n">
        <v>104</v>
      </c>
      <c r="M215" s="50" t="n">
        <v>104</v>
      </c>
      <c r="N215" s="28">
        <f>IF(O215&lt;&gt;"",O215,IF(P215&lt;&gt;"",P215,""))</f>
        <v/>
      </c>
      <c r="O215" s="50" t="n">
        <v>13</v>
      </c>
      <c r="P215" s="50" t="n">
        <v>13</v>
      </c>
      <c r="Q215" s="50" t="n">
        <v>18.82</v>
      </c>
      <c r="R215" s="50" t="n">
        <v>6.12</v>
      </c>
      <c r="S215" s="28">
        <f>IF(Q215="","",IF(Q215&lt;0,"negative profit",IF(Q215&gt;Notes!$B$4,"unusually high - verify","")))</f>
        <v/>
      </c>
      <c r="T215" s="28" t="inlineStr">
        <is>
          <t>both</t>
        </is>
      </c>
      <c r="U215" s="28">
        <f>IF(T215&lt;&gt;"both",T215&amp;" only",IF(V215="","agree","conflict"))</f>
        <v/>
      </c>
      <c r="V215" s="28">
        <f>IF(T215="both",TRIM(IF(AND(E215&lt;&gt;"",F215&lt;&gt;"",E215&lt;&gt;F215),"level ","")&amp;IF(AND(L215&lt;&gt;"",M215&lt;&gt;"",L215&lt;&gt;M215),"price ","")&amp;IF(AND(O215&lt;&gt;"",P215&lt;&gt;"",O215&lt;&gt;P215),"xp ","")&amp;IF(J215="differs","time","")),"")</f>
        <v/>
      </c>
      <c r="X215" s="50" t="inlineStr">
        <is>
          <t>Grapes x2</t>
        </is>
      </c>
      <c r="Y215" s="50" t="inlineStr">
        <is>
          <t>Grape Juice.png</t>
        </is>
      </c>
      <c r="Z215" s="50" t="inlineStr">
        <is>
          <t>icons/Juice Press/Grape Juice.png</t>
        </is>
      </c>
      <c r="AA215" s="28" t="inlineStr">
        <is>
          <t>hayday.info /api/production-data (2026-10-13) + Hay Day Wiki infobox via MediaWiki API (2026-10-13)</t>
        </is>
      </c>
      <c r="AB215" s="28" t="inlineStr">
        <is>
          <t>https://hayday.fandom.com/wiki/Grape_Juice</t>
        </is>
      </c>
      <c r="AC215" s="50" t="inlineStr">
        <is>
          <t>Grape juice</t>
        </is>
      </c>
    </row>
    <row r="216">
      <c r="A216" s="28" t="inlineStr">
        <is>
          <t>Passion Fruit Juice</t>
        </is>
      </c>
      <c r="B216" s="28" t="inlineStr">
        <is>
          <t>Juice Press</t>
        </is>
      </c>
      <c r="C216" s="50" t="inlineStr">
        <is>
          <t>Product</t>
        </is>
      </c>
      <c r="D216" s="28">
        <f>IF(E216&lt;&gt;"",E216,IF(F216&lt;&gt;"",F216,""))</f>
        <v/>
      </c>
      <c r="E216" s="50" t="n">
        <v>88</v>
      </c>
      <c r="F216" s="50" t="n">
        <v>88</v>
      </c>
      <c r="G216" s="50" t="n">
        <v>38</v>
      </c>
      <c r="H216" s="50" t="n">
        <v>45</v>
      </c>
      <c r="I216" s="50" t="n">
        <v>38</v>
      </c>
      <c r="J216" s="28">
        <f>IF(OR(G216="",AND(H216="",I216="")),"n/a",IF(G216=I216,"mastered",IF(G216=H216,"normal","differs")))</f>
        <v/>
      </c>
      <c r="K216" s="28">
        <f>IF(L216&lt;&gt;"",L216,IF(M216&lt;&gt;"",M216,""))</f>
        <v/>
      </c>
      <c r="L216" s="50" t="n">
        <v>64</v>
      </c>
      <c r="M216" s="50" t="n">
        <v>64</v>
      </c>
      <c r="N216" s="28">
        <f>IF(O216&lt;&gt;"",O216,IF(P216&lt;&gt;"",P216,""))</f>
        <v/>
      </c>
      <c r="O216" s="50" t="n">
        <v>8</v>
      </c>
      <c r="P216" s="50" t="n">
        <v>8</v>
      </c>
      <c r="Q216" s="50" t="n">
        <v>43.92</v>
      </c>
      <c r="R216" s="50" t="n">
        <v>12.55</v>
      </c>
      <c r="S216" s="28">
        <f>IF(Q216="","",IF(Q216&lt;0,"negative profit",IF(Q216&gt;Notes!$B$4,"unusually high - verify","")))</f>
        <v/>
      </c>
      <c r="T216" s="28" t="inlineStr">
        <is>
          <t>both</t>
        </is>
      </c>
      <c r="U216" s="28">
        <f>IF(T216&lt;&gt;"both",T216&amp;" only",IF(V216="","agree","conflict"))</f>
        <v/>
      </c>
      <c r="V216" s="28">
        <f>IF(T216="both",TRIM(IF(AND(E216&lt;&gt;"",F216&lt;&gt;"",E216&lt;&gt;F216),"level ","")&amp;IF(AND(L216&lt;&gt;"",M216&lt;&gt;"",L216&lt;&gt;M216),"price ","")&amp;IF(AND(O216&lt;&gt;"",P216&lt;&gt;"",O216&lt;&gt;P216),"xp ","")&amp;IF(J216="differs","time","")),"")</f>
        <v/>
      </c>
      <c r="X216" s="50" t="inlineStr">
        <is>
          <t>Passion Fruit x2</t>
        </is>
      </c>
      <c r="Y216" s="50" t="inlineStr">
        <is>
          <t>Passion Fruit Juice.png</t>
        </is>
      </c>
      <c r="Z216" s="50" t="inlineStr">
        <is>
          <t>icons/Juice Press/Passion Fruit Juice.png</t>
        </is>
      </c>
      <c r="AA216" s="28" t="inlineStr">
        <is>
          <t>hayday.info /api/production-data (2026-10-13) + Hay Day Wiki infobox via MediaWiki API (2026-10-13)</t>
        </is>
      </c>
      <c r="AB216" s="28" t="inlineStr">
        <is>
          <t>https://hayday.fandom.com/wiki/Passion_Fruit_Juice</t>
        </is>
      </c>
      <c r="AC216" s="50" t="inlineStr">
        <is>
          <t>Passion fruit juice</t>
        </is>
      </c>
    </row>
    <row r="217">
      <c r="A217" s="28" t="inlineStr">
        <is>
          <t>Watermelon Juice</t>
        </is>
      </c>
      <c r="B217" s="28" t="inlineStr">
        <is>
          <t>Juice Press</t>
        </is>
      </c>
      <c r="C217" s="50" t="inlineStr">
        <is>
          <t>Product</t>
        </is>
      </c>
      <c r="D217" s="28">
        <f>IF(E217&lt;&gt;"",E217,IF(F217&lt;&gt;"",F217,""))</f>
        <v/>
      </c>
      <c r="E217" s="50" t="n">
        <v>92</v>
      </c>
      <c r="F217" s="50" t="n">
        <v>92</v>
      </c>
      <c r="G217" s="50" t="n">
        <v>51</v>
      </c>
      <c r="H217" s="50" t="n">
        <v>60</v>
      </c>
      <c r="I217" s="50" t="n">
        <v>51</v>
      </c>
      <c r="J217" s="28">
        <f>IF(OR(G217="",AND(H217="",I217="")),"n/a",IF(G217=I217,"mastered",IF(G217=H217,"normal","differs")))</f>
        <v/>
      </c>
      <c r="K217" s="28">
        <f>IF(L217&lt;&gt;"",L217,IF(M217&lt;&gt;"",M217,""))</f>
        <v/>
      </c>
      <c r="L217" s="50" t="n">
        <v>108</v>
      </c>
      <c r="M217" s="50" t="n">
        <v>108</v>
      </c>
      <c r="N217" s="28">
        <f>IF(O217&lt;&gt;"",O217,IF(P217&lt;&gt;"",P217,""))</f>
        <v/>
      </c>
      <c r="O217" s="50" t="n">
        <v>13</v>
      </c>
      <c r="P217" s="50" t="n">
        <v>13</v>
      </c>
      <c r="Q217" s="50" t="n">
        <v>35.29</v>
      </c>
      <c r="R217" s="50" t="n">
        <v>15.29</v>
      </c>
      <c r="S217" s="28">
        <f>IF(Q217="","",IF(Q217&lt;0,"negative profit",IF(Q217&gt;Notes!$B$4,"unusually high - verify","")))</f>
        <v/>
      </c>
      <c r="T217" s="28" t="inlineStr">
        <is>
          <t>both</t>
        </is>
      </c>
      <c r="U217" s="28">
        <f>IF(T217&lt;&gt;"both",T217&amp;" only",IF(V217="","agree","conflict"))</f>
        <v/>
      </c>
      <c r="V217" s="28">
        <f>IF(T217="both",TRIM(IF(AND(E217&lt;&gt;"",F217&lt;&gt;"",E217&lt;&gt;F217),"level ","")&amp;IF(AND(L217&lt;&gt;"",M217&lt;&gt;"",L217&lt;&gt;M217),"price ","")&amp;IF(AND(O217&lt;&gt;"",P217&lt;&gt;"",O217&lt;&gt;P217),"xp ","")&amp;IF(J217="differs","time","")),"")</f>
        <v/>
      </c>
      <c r="X217" s="50" t="inlineStr">
        <is>
          <t>Watermelon x2</t>
        </is>
      </c>
      <c r="Y217" s="50" t="inlineStr">
        <is>
          <t>Watermelon Juice.png</t>
        </is>
      </c>
      <c r="Z217" s="50" t="inlineStr">
        <is>
          <t>icons/Juice Press/Watermelon Juice.png</t>
        </is>
      </c>
      <c r="AA217" s="28" t="inlineStr">
        <is>
          <t>hayday.info /api/production-data (2026-10-13) + Hay Day Wiki infobox via MediaWiki API (2026-10-13)</t>
        </is>
      </c>
      <c r="AB217" s="28" t="inlineStr">
        <is>
          <t>https://hayday.fandom.com/wiki/Watermelon_Juice</t>
        </is>
      </c>
      <c r="AC217" s="50" t="inlineStr">
        <is>
          <t>Watermelon juice</t>
        </is>
      </c>
    </row>
    <row r="218">
      <c r="A218" s="28" t="inlineStr">
        <is>
          <t>Mango Juice</t>
        </is>
      </c>
      <c r="B218" s="28" t="inlineStr">
        <is>
          <t>Juice Press</t>
        </is>
      </c>
      <c r="C218" s="50" t="inlineStr">
        <is>
          <t>Product</t>
        </is>
      </c>
      <c r="D218" s="28">
        <f>IF(E218&lt;&gt;"",E218,IF(F218&lt;&gt;"",F218,""))</f>
        <v/>
      </c>
      <c r="E218" s="50" t="n">
        <v>97</v>
      </c>
      <c r="F218" s="50" t="n">
        <v>97</v>
      </c>
      <c r="G218" s="50" t="n">
        <v>42</v>
      </c>
      <c r="H218" s="50" t="n">
        <v>50</v>
      </c>
      <c r="I218" s="50" t="n">
        <v>42</v>
      </c>
      <c r="J218" s="28">
        <f>IF(OR(G218="",AND(H218="",I218="")),"n/a",IF(G218=I218,"mastered",IF(G218=H218,"normal","differs")))</f>
        <v/>
      </c>
      <c r="K218" s="28">
        <f>IF(L218&lt;&gt;"",L218,IF(M218&lt;&gt;"",M218,""))</f>
        <v/>
      </c>
      <c r="L218" s="50" t="n">
        <v>230</v>
      </c>
      <c r="M218" s="50" t="n">
        <v>230</v>
      </c>
      <c r="N218" s="28">
        <f>IF(O218&lt;&gt;"",O218,IF(P218&lt;&gt;"",P218,""))</f>
        <v/>
      </c>
      <c r="O218" s="50" t="n">
        <v>27</v>
      </c>
      <c r="P218" s="50" t="n">
        <v>27</v>
      </c>
      <c r="Q218" s="50" t="n">
        <v>42.35</v>
      </c>
      <c r="R218" s="50" t="n">
        <v>38.12</v>
      </c>
      <c r="S218" s="28">
        <f>IF(Q218="","",IF(Q218&lt;0,"negative profit",IF(Q218&gt;Notes!$B$4,"unusually high - verify","")))</f>
        <v/>
      </c>
      <c r="T218" s="28" t="inlineStr">
        <is>
          <t>both</t>
        </is>
      </c>
      <c r="U218" s="28">
        <f>IF(T218&lt;&gt;"both",T218&amp;" only",IF(V218="","agree","conflict"))</f>
        <v/>
      </c>
      <c r="V218" s="28">
        <f>IF(T218="both",TRIM(IF(AND(E218&lt;&gt;"",F218&lt;&gt;"",E218&lt;&gt;F218),"level ","")&amp;IF(AND(L218&lt;&gt;"",M218&lt;&gt;"",L218&lt;&gt;M218),"price ","")&amp;IF(AND(O218&lt;&gt;"",P218&lt;&gt;"",O218&lt;&gt;P218),"xp ","")&amp;IF(J218="differs","time","")),"")</f>
        <v/>
      </c>
      <c r="X218" s="50" t="inlineStr">
        <is>
          <t>Mango x2</t>
        </is>
      </c>
      <c r="Y218" s="50" t="inlineStr">
        <is>
          <t>Mango Juice.png</t>
        </is>
      </c>
      <c r="Z218" s="50" t="inlineStr">
        <is>
          <t>icons/Juice Press/Mango Juice.png</t>
        </is>
      </c>
      <c r="AA218" s="28" t="inlineStr">
        <is>
          <t>hayday.info /api/production-data (2026-10-13) + Hay Day Wiki infobox via MediaWiki API (2026-10-13)</t>
        </is>
      </c>
      <c r="AB218" s="28" t="inlineStr">
        <is>
          <t>https://hayday.fandom.com/wiki/Mango_Juice</t>
        </is>
      </c>
      <c r="AC218" s="50" t="inlineStr">
        <is>
          <t>Mango juice</t>
        </is>
      </c>
    </row>
    <row r="219">
      <c r="A219" s="28" t="inlineStr">
        <is>
          <t>Guava Juice</t>
        </is>
      </c>
      <c r="B219" s="28" t="inlineStr">
        <is>
          <t>Juice Press</t>
        </is>
      </c>
      <c r="C219" s="50" t="inlineStr">
        <is>
          <t>Product</t>
        </is>
      </c>
      <c r="D219" s="28">
        <f>IF(E219&lt;&gt;"",E219,IF(F219&lt;&gt;"",F219,""))</f>
        <v/>
      </c>
      <c r="E219" s="50" t="n">
        <v>104</v>
      </c>
      <c r="F219" s="50" t="n">
        <v>104</v>
      </c>
      <c r="G219" s="50" t="n">
        <v>55</v>
      </c>
      <c r="H219" s="50" t="n">
        <v>55</v>
      </c>
      <c r="I219" s="50" t="n">
        <v>46</v>
      </c>
      <c r="J219" s="28">
        <f>IF(OR(G219="",AND(H219="",I219="")),"n/a",IF(G219=I219,"mastered",IF(G219=H219,"normal","differs")))</f>
        <v/>
      </c>
      <c r="K219" s="28">
        <f>IF(L219&lt;&gt;"",L219,IF(M219&lt;&gt;"",M219,""))</f>
        <v/>
      </c>
      <c r="L219" s="50" t="n">
        <v>252</v>
      </c>
      <c r="M219" s="50" t="n">
        <v>252</v>
      </c>
      <c r="N219" s="28">
        <f>IF(O219&lt;&gt;"",O219,IF(P219&lt;&gt;"",P219,""))</f>
        <v/>
      </c>
      <c r="O219" s="50" t="n">
        <v>30</v>
      </c>
      <c r="P219" s="50" t="n">
        <v>30</v>
      </c>
      <c r="Q219" s="50" t="n">
        <v>31.42</v>
      </c>
      <c r="R219" s="50" t="n">
        <v>32.73</v>
      </c>
      <c r="S219" s="28">
        <f>IF(Q219="","",IF(Q219&lt;0,"negative profit",IF(Q219&gt;Notes!$B$4,"unusually high - verify","")))</f>
        <v/>
      </c>
      <c r="T219" s="28" t="inlineStr">
        <is>
          <t>both</t>
        </is>
      </c>
      <c r="U219" s="28">
        <f>IF(T219&lt;&gt;"both",T219&amp;" only",IF(V219="","agree","conflict"))</f>
        <v/>
      </c>
      <c r="V219" s="28">
        <f>IF(T219="both",TRIM(IF(AND(E219&lt;&gt;"",F219&lt;&gt;"",E219&lt;&gt;F219),"level ","")&amp;IF(AND(L219&lt;&gt;"",M219&lt;&gt;"",L219&lt;&gt;M219),"price ","")&amp;IF(AND(O219&lt;&gt;"",P219&lt;&gt;"",O219&lt;&gt;P219),"xp ","")&amp;IF(J219="differs","time","")),"")</f>
        <v/>
      </c>
      <c r="X219" s="50" t="inlineStr">
        <is>
          <t>Guava x2</t>
        </is>
      </c>
      <c r="Y219" s="50" t="inlineStr">
        <is>
          <t>Guava Juice.png</t>
        </is>
      </c>
      <c r="Z219" s="50" t="inlineStr">
        <is>
          <t>icons/Juice Press/Guava Juice.png</t>
        </is>
      </c>
      <c r="AA219" s="28" t="inlineStr">
        <is>
          <t>hayday.info /api/production-data (2026-10-13) + Hay Day Wiki infobox via MediaWiki API (2026-10-13)</t>
        </is>
      </c>
      <c r="AB219" s="28" t="inlineStr">
        <is>
          <t>https://hayday.fandom.com/wiki/Guava_Juice</t>
        </is>
      </c>
      <c r="AC219" s="50" t="inlineStr">
        <is>
          <t>Guava Juice</t>
        </is>
      </c>
    </row>
    <row r="220">
      <c r="A220" s="28" t="inlineStr">
        <is>
          <t>Lobster Tail</t>
        </is>
      </c>
      <c r="B220" s="28" t="inlineStr">
        <is>
          <t>Lobster Pool</t>
        </is>
      </c>
      <c r="C220" s="50" t="inlineStr">
        <is>
          <t>Animal good</t>
        </is>
      </c>
      <c r="D220" s="28">
        <f>IF(E220&lt;&gt;"",E220,IF(F220&lt;&gt;"",F220,""))</f>
        <v/>
      </c>
      <c r="E220" s="50" t="n">
        <v>44</v>
      </c>
      <c r="F220" s="50" t="n">
        <v>44</v>
      </c>
      <c r="G220" s="50" t="n">
        <v>360</v>
      </c>
      <c r="H220" s="50" t="n">
        <v>360</v>
      </c>
      <c r="I220" s="50" t="n"/>
      <c r="J220" s="28">
        <f>IF(OR(G220="",AND(H220="",I220="")),"n/a",IF(G220=I220,"mastered",IF(G220=H220,"normal","differs")))</f>
        <v/>
      </c>
      <c r="K220" s="28">
        <f>IF(L220&lt;&gt;"",L220,IF(M220&lt;&gt;"",M220,""))</f>
        <v/>
      </c>
      <c r="L220" s="50" t="n">
        <v>201</v>
      </c>
      <c r="M220" s="50" t="n">
        <v>201</v>
      </c>
      <c r="N220" s="28">
        <f>IF(O220&lt;&gt;"",O220,IF(P220&lt;&gt;"",P220,""))</f>
        <v/>
      </c>
      <c r="O220" s="50" t="n">
        <v>24</v>
      </c>
      <c r="P220" s="50" t="n">
        <v>24</v>
      </c>
      <c r="Q220" s="50" t="n">
        <v>33.5</v>
      </c>
      <c r="R220" s="50" t="n">
        <v>4</v>
      </c>
      <c r="S220" s="28">
        <f>IF(Q220="","",IF(Q220&lt;0,"negative profit",IF(Q220&gt;Notes!$B$4,"unusually high - verify","")))</f>
        <v/>
      </c>
      <c r="T220" s="28" t="inlineStr">
        <is>
          <t>both</t>
        </is>
      </c>
      <c r="U220" s="28">
        <f>IF(T220&lt;&gt;"both",T220&amp;" only",IF(V220="","agree","conflict"))</f>
        <v/>
      </c>
      <c r="V220" s="28">
        <f>IF(T220="both",TRIM(IF(AND(E220&lt;&gt;"",F220&lt;&gt;"",E220&lt;&gt;F220),"level ","")&amp;IF(AND(L220&lt;&gt;"",M220&lt;&gt;"",L220&lt;&gt;M220),"price ","")&amp;IF(AND(O220&lt;&gt;"",P220&lt;&gt;"",O220&lt;&gt;P220),"xp ","")&amp;IF(J220="differs","time","")),"")</f>
        <v/>
      </c>
      <c r="X220" s="50" t="n"/>
      <c r="Y220" s="50" t="inlineStr">
        <is>
          <t>Lobster Tail.png</t>
        </is>
      </c>
      <c r="Z220" s="50" t="inlineStr">
        <is>
          <t>icons/Lobster Pool/Lobster Tail.png</t>
        </is>
      </c>
      <c r="AA220" s="28" t="inlineStr">
        <is>
          <t>hayday.info /api/production-data (2026-10-13) + Hay Day Wiki infobox via MediaWiki API (2026-10-13)</t>
        </is>
      </c>
      <c r="AB220" s="28" t="inlineStr">
        <is>
          <t>https://hayday.fandom.com/wiki/Lobster_Tail</t>
        </is>
      </c>
      <c r="AC220" s="50" t="inlineStr">
        <is>
          <t>Lobster tail</t>
        </is>
      </c>
    </row>
    <row r="221">
      <c r="A221" s="28" t="inlineStr">
        <is>
          <t>Sweater</t>
        </is>
      </c>
      <c r="B221" s="28" t="inlineStr">
        <is>
          <t>Loom</t>
        </is>
      </c>
      <c r="C221" s="50" t="inlineStr">
        <is>
          <t>Product</t>
        </is>
      </c>
      <c r="D221" s="28">
        <f>IF(E221&lt;&gt;"",E221,IF(F221&lt;&gt;"",F221,""))</f>
        <v/>
      </c>
      <c r="E221" s="50" t="n">
        <v>17</v>
      </c>
      <c r="F221" s="50" t="n">
        <v>17</v>
      </c>
      <c r="G221" s="50" t="n">
        <v>102</v>
      </c>
      <c r="H221" s="50" t="n">
        <v>120</v>
      </c>
      <c r="I221" s="50" t="n">
        <v>102</v>
      </c>
      <c r="J221" s="28">
        <f>IF(OR(G221="",AND(H221="",I221="")),"n/a",IF(G221=I221,"mastered",IF(G221=H221,"normal","differs")))</f>
        <v/>
      </c>
      <c r="K221" s="28">
        <f>IF(L221&lt;&gt;"",L221,IF(M221&lt;&gt;"",M221,""))</f>
        <v/>
      </c>
      <c r="L221" s="50" t="n">
        <v>151</v>
      </c>
      <c r="M221" s="50" t="n">
        <v>151</v>
      </c>
      <c r="N221" s="28">
        <f>IF(O221&lt;&gt;"",O221,IF(P221&lt;&gt;"",P221,""))</f>
        <v/>
      </c>
      <c r="O221" s="50" t="n">
        <v>18</v>
      </c>
      <c r="P221" s="50" t="n">
        <v>18</v>
      </c>
      <c r="Q221" s="50" t="n">
        <v>25.29</v>
      </c>
      <c r="R221" s="50" t="n">
        <v>10.59</v>
      </c>
      <c r="S221" s="28">
        <f>IF(Q221="","",IF(Q221&lt;0,"negative profit",IF(Q221&gt;Notes!$B$4,"unusually high - verify","")))</f>
        <v/>
      </c>
      <c r="T221" s="28" t="inlineStr">
        <is>
          <t>both</t>
        </is>
      </c>
      <c r="U221" s="28">
        <f>IF(T221&lt;&gt;"both",T221&amp;" only",IF(V221="","agree","conflict"))</f>
        <v/>
      </c>
      <c r="V221" s="28">
        <f>IF(T221="both",TRIM(IF(AND(E221&lt;&gt;"",F221&lt;&gt;"",E221&lt;&gt;F221),"level ","")&amp;IF(AND(L221&lt;&gt;"",M221&lt;&gt;"",L221&lt;&gt;M221),"price ","")&amp;IF(AND(O221&lt;&gt;"",P221&lt;&gt;"",O221&lt;&gt;P221),"xp ","")&amp;IF(J221="differs","time","")),"")</f>
        <v/>
      </c>
      <c r="X221" s="50" t="inlineStr">
        <is>
          <t>Wool x2</t>
        </is>
      </c>
      <c r="Y221" s="50" t="inlineStr">
        <is>
          <t>Sweater.png</t>
        </is>
      </c>
      <c r="Z221" s="50" t="inlineStr">
        <is>
          <t>icons/Loom/Sweater.png</t>
        </is>
      </c>
      <c r="AA221" s="28" t="inlineStr">
        <is>
          <t>hayday.info /api/production-data (2026-10-13) + Hay Day Wiki infobox via MediaWiki API (2026-10-13)</t>
        </is>
      </c>
      <c r="AB221" s="28" t="inlineStr">
        <is>
          <t>https://hayday.fandom.com/wiki/Sweater</t>
        </is>
      </c>
      <c r="AC221" s="50" t="inlineStr">
        <is>
          <t>Sweater</t>
        </is>
      </c>
    </row>
    <row r="222">
      <c r="A222" s="28" t="inlineStr">
        <is>
          <t>Cotton Fabric</t>
        </is>
      </c>
      <c r="B222" s="28" t="inlineStr">
        <is>
          <t>Loom</t>
        </is>
      </c>
      <c r="C222" s="50" t="inlineStr">
        <is>
          <t>Product</t>
        </is>
      </c>
      <c r="D222" s="28">
        <f>IF(E222&lt;&gt;"",E222,IF(F222&lt;&gt;"",F222,""))</f>
        <v/>
      </c>
      <c r="E222" s="50" t="n">
        <v>18</v>
      </c>
      <c r="F222" s="50" t="n">
        <v>18</v>
      </c>
      <c r="G222" s="50" t="n">
        <v>25</v>
      </c>
      <c r="H222" s="50" t="n">
        <v>30</v>
      </c>
      <c r="I222" s="50" t="n">
        <v>25</v>
      </c>
      <c r="J222" s="28">
        <f>IF(OR(G222="",AND(H222="",I222="")),"n/a",IF(G222=I222,"mastered",IF(G222=H222,"normal","differs")))</f>
        <v/>
      </c>
      <c r="K222" s="28">
        <f>IF(L222&lt;&gt;"",L222,IF(M222&lt;&gt;"",M222,""))</f>
        <v/>
      </c>
      <c r="L222" s="50" t="n">
        <v>108</v>
      </c>
      <c r="M222" s="50" t="n">
        <v>108</v>
      </c>
      <c r="N222" s="28">
        <f>IF(O222&lt;&gt;"",O222,IF(P222&lt;&gt;"",P222,""))</f>
        <v/>
      </c>
      <c r="O222" s="50" t="n">
        <v>13</v>
      </c>
      <c r="P222" s="50" t="n">
        <v>13</v>
      </c>
      <c r="Q222" s="50" t="n">
        <v>56.47</v>
      </c>
      <c r="R222" s="50" t="n">
        <v>30.59</v>
      </c>
      <c r="S222" s="28">
        <f>IF(Q222="","",IF(Q222&lt;0,"negative profit",IF(Q222&gt;Notes!$B$4,"unusually high - verify","")))</f>
        <v/>
      </c>
      <c r="T222" s="28" t="inlineStr">
        <is>
          <t>both</t>
        </is>
      </c>
      <c r="U222" s="28">
        <f>IF(T222&lt;&gt;"both",T222&amp;" only",IF(V222="","agree","conflict"))</f>
        <v/>
      </c>
      <c r="V222" s="28">
        <f>IF(T222="both",TRIM(IF(AND(E222&lt;&gt;"",F222&lt;&gt;"",E222&lt;&gt;F222),"level ","")&amp;IF(AND(L222&lt;&gt;"",M222&lt;&gt;"",L222&lt;&gt;M222),"price ","")&amp;IF(AND(O222&lt;&gt;"",P222&lt;&gt;"",O222&lt;&gt;P222),"xp ","")&amp;IF(J222="differs","time","")),"")</f>
        <v/>
      </c>
      <c r="X222" s="50" t="inlineStr">
        <is>
          <t>Cotton x3</t>
        </is>
      </c>
      <c r="Y222" s="50" t="inlineStr">
        <is>
          <t>Cotton Fabric.png</t>
        </is>
      </c>
      <c r="Z222" s="50" t="inlineStr">
        <is>
          <t>icons/Loom/Cotton Fabric.png</t>
        </is>
      </c>
      <c r="AA222" s="28" t="inlineStr">
        <is>
          <t>hayday.info /api/production-data (2026-10-13) + Hay Day Wiki infobox via MediaWiki API (2026-10-13)</t>
        </is>
      </c>
      <c r="AB222" s="28" t="inlineStr">
        <is>
          <t>https://hayday.fandom.com/wiki/Cotton_Fabric</t>
        </is>
      </c>
      <c r="AC222" s="50" t="inlineStr">
        <is>
          <t>Cotton fabric</t>
        </is>
      </c>
    </row>
    <row r="223">
      <c r="A223" s="28" t="inlineStr">
        <is>
          <t>Blue Woolly Hat</t>
        </is>
      </c>
      <c r="B223" s="28" t="inlineStr">
        <is>
          <t>Loom</t>
        </is>
      </c>
      <c r="C223" s="50" t="inlineStr">
        <is>
          <t>Product</t>
        </is>
      </c>
      <c r="D223" s="28">
        <f>IF(E223&lt;&gt;"",E223,IF(F223&lt;&gt;"",F223,""))</f>
        <v/>
      </c>
      <c r="E223" s="50" t="n">
        <v>19</v>
      </c>
      <c r="F223" s="50" t="n">
        <v>19</v>
      </c>
      <c r="G223" s="50" t="n">
        <v>51</v>
      </c>
      <c r="H223" s="50" t="n">
        <v>60</v>
      </c>
      <c r="I223" s="50" t="n">
        <v>51</v>
      </c>
      <c r="J223" s="28">
        <f>IF(OR(G223="",AND(H223="",I223="")),"n/a",IF(G223=I223,"mastered",IF(G223=H223,"normal","differs")))</f>
        <v/>
      </c>
      <c r="K223" s="28">
        <f>IF(L223&lt;&gt;"",L223,IF(M223&lt;&gt;"",M223,""))</f>
        <v/>
      </c>
      <c r="L223" s="50" t="n">
        <v>111</v>
      </c>
      <c r="M223" s="50" t="n">
        <v>111</v>
      </c>
      <c r="N223" s="28">
        <f>IF(O223&lt;&gt;"",O223,IF(P223&lt;&gt;"",P223,""))</f>
        <v/>
      </c>
      <c r="O223" s="50" t="n">
        <v>13</v>
      </c>
      <c r="P223" s="50" t="n">
        <v>13</v>
      </c>
      <c r="Q223" s="50" t="n">
        <v>37.65</v>
      </c>
      <c r="R223" s="50" t="n">
        <v>15.29</v>
      </c>
      <c r="S223" s="28">
        <f>IF(Q223="","",IF(Q223&lt;0,"negative profit",IF(Q223&gt;Notes!$B$4,"unusually high - verify","")))</f>
        <v/>
      </c>
      <c r="T223" s="28" t="inlineStr">
        <is>
          <t>both</t>
        </is>
      </c>
      <c r="U223" s="28">
        <f>IF(T223&lt;&gt;"both",T223&amp;" only",IF(V223="","agree","conflict"))</f>
        <v/>
      </c>
      <c r="V223" s="28">
        <f>IF(T223="both",TRIM(IF(AND(E223&lt;&gt;"",F223&lt;&gt;"",E223&lt;&gt;F223),"level ","")&amp;IF(AND(L223&lt;&gt;"",M223&lt;&gt;"",L223&lt;&gt;M223),"price ","")&amp;IF(AND(O223&lt;&gt;"",P223&lt;&gt;"",O223&lt;&gt;P223),"xp ","")&amp;IF(J223="differs","time","")),"")</f>
        <v/>
      </c>
      <c r="X223" s="50" t="inlineStr">
        <is>
          <t>Wool x1; Indigo x1</t>
        </is>
      </c>
      <c r="Y223" s="50" t="inlineStr">
        <is>
          <t>Blue_Woolly_Hat.png</t>
        </is>
      </c>
      <c r="Z223" s="50" t="inlineStr">
        <is>
          <t>icons/Loom/Blue Woolly Hat.png</t>
        </is>
      </c>
      <c r="AA223" s="28" t="inlineStr">
        <is>
          <t>hayday.info /api/production-data (2026-10-13) + Hay Day Wiki infobox via MediaWiki API (2026-10-13)</t>
        </is>
      </c>
      <c r="AB223" s="28" t="inlineStr">
        <is>
          <t>https://hayday.fandom.com/wiki/Blue_Woolly_Hat</t>
        </is>
      </c>
      <c r="AC223" s="50" t="inlineStr">
        <is>
          <t>Blue woolly hat</t>
        </is>
      </c>
    </row>
    <row r="224">
      <c r="A224" s="28" t="inlineStr">
        <is>
          <t>Blue Sweater</t>
        </is>
      </c>
      <c r="B224" s="28" t="inlineStr">
        <is>
          <t>Loom</t>
        </is>
      </c>
      <c r="C224" s="50" t="inlineStr">
        <is>
          <t>Product</t>
        </is>
      </c>
      <c r="D224" s="28">
        <f>IF(E224&lt;&gt;"",E224,IF(F224&lt;&gt;"",F224,""))</f>
        <v/>
      </c>
      <c r="E224" s="50" t="n">
        <v>20</v>
      </c>
      <c r="F224" s="50" t="n">
        <v>20</v>
      </c>
      <c r="G224" s="50" t="n">
        <v>153</v>
      </c>
      <c r="H224" s="50" t="n">
        <v>180</v>
      </c>
      <c r="I224" s="50" t="n">
        <v>153</v>
      </c>
      <c r="J224" s="28">
        <f>IF(OR(G224="",AND(H224="",I224="")),"n/a",IF(G224=I224,"mastered",IF(G224=H224,"normal","differs")))</f>
        <v/>
      </c>
      <c r="K224" s="28">
        <f>IF(L224&lt;&gt;"",L224,IF(M224&lt;&gt;"",M224,""))</f>
        <v/>
      </c>
      <c r="L224" s="50" t="n">
        <v>208</v>
      </c>
      <c r="M224" s="50" t="n">
        <v>208</v>
      </c>
      <c r="N224" s="28">
        <f>IF(O224&lt;&gt;"",O224,IF(P224&lt;&gt;"",P224,""))</f>
        <v/>
      </c>
      <c r="O224" s="50" t="n">
        <v>25</v>
      </c>
      <c r="P224" s="50" t="n">
        <v>25</v>
      </c>
      <c r="Q224" s="50" t="n">
        <v>19.61</v>
      </c>
      <c r="R224" s="50" t="n">
        <v>9.800000000000001</v>
      </c>
      <c r="S224" s="28">
        <f>IF(Q224="","",IF(Q224&lt;0,"negative profit",IF(Q224&gt;Notes!$B$4,"unusually high - verify","")))</f>
        <v/>
      </c>
      <c r="T224" s="28" t="inlineStr">
        <is>
          <t>both</t>
        </is>
      </c>
      <c r="U224" s="28">
        <f>IF(T224&lt;&gt;"both",T224&amp;" only",IF(V224="","agree","conflict"))</f>
        <v/>
      </c>
      <c r="V224" s="28">
        <f>IF(T224="both",TRIM(IF(AND(E224&lt;&gt;"",F224&lt;&gt;"",E224&lt;&gt;F224),"level ","")&amp;IF(AND(L224&lt;&gt;"",M224&lt;&gt;"",L224&lt;&gt;M224),"price ","")&amp;IF(AND(O224&lt;&gt;"",P224&lt;&gt;"",O224&lt;&gt;P224),"xp ","")&amp;IF(J224="differs","time","")),"")</f>
        <v/>
      </c>
      <c r="X224" s="50" t="inlineStr">
        <is>
          <t>Wool x2; indigo x2</t>
        </is>
      </c>
      <c r="Y224" s="50" t="inlineStr">
        <is>
          <t>Blue_Sweater.png</t>
        </is>
      </c>
      <c r="Z224" s="50" t="inlineStr">
        <is>
          <t>icons/Loom/Blue Sweater.png</t>
        </is>
      </c>
      <c r="AA224" s="28" t="inlineStr">
        <is>
          <t>hayday.info /api/production-data (2026-10-13) + Hay Day Wiki infobox via MediaWiki API (2026-10-13)</t>
        </is>
      </c>
      <c r="AB224" s="28" t="inlineStr">
        <is>
          <t>https://hayday.fandom.com/wiki/Blue_Sweater</t>
        </is>
      </c>
      <c r="AC224" s="50" t="inlineStr">
        <is>
          <t>Blue sweater</t>
        </is>
      </c>
    </row>
    <row r="225">
      <c r="A225" s="28" t="inlineStr">
        <is>
          <t>Red Scarf</t>
        </is>
      </c>
      <c r="B225" s="28" t="inlineStr">
        <is>
          <t>Loom</t>
        </is>
      </c>
      <c r="C225" s="50" t="inlineStr">
        <is>
          <t>Product</t>
        </is>
      </c>
      <c r="D225" s="28">
        <f>IF(E225&lt;&gt;"",E225,IF(F225&lt;&gt;"",F225,""))</f>
        <v/>
      </c>
      <c r="E225" s="50" t="n">
        <v>48</v>
      </c>
      <c r="F225" s="50" t="n">
        <v>48</v>
      </c>
      <c r="G225" s="50" t="n">
        <v>127</v>
      </c>
      <c r="H225" s="50" t="n">
        <v>150</v>
      </c>
      <c r="I225" s="50" t="n">
        <v>127</v>
      </c>
      <c r="J225" s="28">
        <f>IF(OR(G225="",AND(H225="",I225="")),"n/a",IF(G225=I225,"mastered",IF(G225=H225,"normal","differs")))</f>
        <v/>
      </c>
      <c r="K225" s="28">
        <f>IF(L225&lt;&gt;"",L225,IF(M225&lt;&gt;"",M225,""))</f>
        <v/>
      </c>
      <c r="L225" s="50" t="n">
        <v>288</v>
      </c>
      <c r="M225" s="50" t="n">
        <v>288</v>
      </c>
      <c r="N225" s="28">
        <f>IF(O225&lt;&gt;"",O225,IF(P225&lt;&gt;"",P225,""))</f>
        <v/>
      </c>
      <c r="O225" s="50" t="n">
        <v>34</v>
      </c>
      <c r="P225" s="50" t="n">
        <v>34</v>
      </c>
      <c r="Q225" s="50" t="n">
        <v>37.65</v>
      </c>
      <c r="R225" s="50" t="n">
        <v>16</v>
      </c>
      <c r="S225" s="28">
        <f>IF(Q225="","",IF(Q225&lt;0,"negative profit",IF(Q225&gt;Notes!$B$4,"unusually high - verify","")))</f>
        <v/>
      </c>
      <c r="T225" s="28" t="inlineStr">
        <is>
          <t>both</t>
        </is>
      </c>
      <c r="U225" s="28">
        <f>IF(T225&lt;&gt;"both",T225&amp;" only",IF(V225="","agree","conflict"))</f>
        <v/>
      </c>
      <c r="V225" s="28">
        <f>IF(T225="both",TRIM(IF(AND(E225&lt;&gt;"",F225&lt;&gt;"",E225&lt;&gt;F225),"level ","")&amp;IF(AND(L225&lt;&gt;"",M225&lt;&gt;"",L225&lt;&gt;M225),"price ","")&amp;IF(AND(O225&lt;&gt;"",P225&lt;&gt;"",O225&lt;&gt;P225),"xp ","")&amp;IF(J225="differs","time","")),"")</f>
        <v/>
      </c>
      <c r="X225" s="50" t="inlineStr">
        <is>
          <t>Wool x2; Strawberry x2</t>
        </is>
      </c>
      <c r="Y225" s="50" t="inlineStr">
        <is>
          <t>Red Scarf.png</t>
        </is>
      </c>
      <c r="Z225" s="50" t="inlineStr">
        <is>
          <t>icons/Loom/Red Scarf.png</t>
        </is>
      </c>
      <c r="AA225" s="28" t="inlineStr">
        <is>
          <t>hayday.info /api/production-data (2026-10-13) + Hay Day Wiki infobox via MediaWiki API (2026-10-13)</t>
        </is>
      </c>
      <c r="AB225" s="28" t="inlineStr">
        <is>
          <t>https://hayday.fandom.com/wiki/Red_Scarf</t>
        </is>
      </c>
      <c r="AC225" s="50" t="inlineStr">
        <is>
          <t>Red scarf</t>
        </is>
      </c>
    </row>
    <row r="226">
      <c r="A226" s="28" t="inlineStr">
        <is>
          <t>Flower Shawl</t>
        </is>
      </c>
      <c r="B226" s="28" t="inlineStr">
        <is>
          <t>Loom</t>
        </is>
      </c>
      <c r="C226" s="50" t="inlineStr">
        <is>
          <t>Product</t>
        </is>
      </c>
      <c r="D226" s="28">
        <f>IF(E226&lt;&gt;"",E226,IF(F226&lt;&gt;"",F226,""))</f>
        <v/>
      </c>
      <c r="E226" s="50" t="n">
        <v>71</v>
      </c>
      <c r="F226" s="50" t="n">
        <v>71</v>
      </c>
      <c r="G226" s="50" t="n">
        <v>76</v>
      </c>
      <c r="H226" s="50" t="n">
        <v>90</v>
      </c>
      <c r="I226" s="50" t="n">
        <v>76</v>
      </c>
      <c r="J226" s="28">
        <f>IF(OR(G226="",AND(H226="",I226="")),"n/a",IF(G226=I226,"mastered",IF(G226=H226,"normal","differs")))</f>
        <v/>
      </c>
      <c r="K226" s="28">
        <f>IF(L226&lt;&gt;"",L226,IF(M226&lt;&gt;"",M226,""))</f>
        <v/>
      </c>
      <c r="L226" s="50" t="n">
        <v>295</v>
      </c>
      <c r="M226" s="50" t="n">
        <v>295</v>
      </c>
      <c r="N226" s="28">
        <f>IF(O226&lt;&gt;"",O226,IF(P226&lt;&gt;"",P226,""))</f>
        <v/>
      </c>
      <c r="O226" s="50" t="n">
        <v>35</v>
      </c>
      <c r="P226" s="50" t="n">
        <v>35</v>
      </c>
      <c r="Q226" s="50" t="n">
        <v>32.94</v>
      </c>
      <c r="R226" s="50" t="n">
        <v>27.45</v>
      </c>
      <c r="S226" s="28">
        <f>IF(Q226="","",IF(Q226&lt;0,"negative profit",IF(Q226&gt;Notes!$B$4,"unusually high - verify","")))</f>
        <v/>
      </c>
      <c r="T226" s="28" t="inlineStr">
        <is>
          <t>both</t>
        </is>
      </c>
      <c r="U226" s="28">
        <f>IF(T226&lt;&gt;"both",T226&amp;" only",IF(V226="","agree","conflict"))</f>
        <v/>
      </c>
      <c r="V226" s="28">
        <f>IF(T226="both",TRIM(IF(AND(E226&lt;&gt;"",F226&lt;&gt;"",E226&lt;&gt;F226),"level ","")&amp;IF(AND(L226&lt;&gt;"",M226&lt;&gt;"",L226&lt;&gt;M226),"price ","")&amp;IF(AND(O226&lt;&gt;"",P226&lt;&gt;"",O226&lt;&gt;P226),"xp ","")&amp;IF(J226="differs","time","")),"")</f>
        <v/>
      </c>
      <c r="X226" s="50" t="inlineStr">
        <is>
          <t>Wool x2; Sunflower x3; Blackberry x1</t>
        </is>
      </c>
      <c r="Y226" s="50" t="inlineStr">
        <is>
          <t>Flower Shawl.png</t>
        </is>
      </c>
      <c r="Z226" s="50" t="inlineStr">
        <is>
          <t>icons/Loom/Flower Shawl.png</t>
        </is>
      </c>
      <c r="AA226" s="28" t="inlineStr">
        <is>
          <t>hayday.info /api/production-data (2026-10-13) + Hay Day Wiki infobox via MediaWiki API (2026-10-13)</t>
        </is>
      </c>
      <c r="AB226" s="28" t="inlineStr">
        <is>
          <t>https://hayday.fandom.com/wiki/Flower_Shawl</t>
        </is>
      </c>
      <c r="AC226" s="50" t="inlineStr">
        <is>
          <t>Flower shawl</t>
        </is>
      </c>
    </row>
    <row r="227">
      <c r="A227" s="28" t="inlineStr">
        <is>
          <t>Gold Ore</t>
        </is>
      </c>
      <c r="B227" s="28" t="inlineStr">
        <is>
          <t>Mine</t>
        </is>
      </c>
      <c r="C227" s="50" t="inlineStr">
        <is>
          <t>Product</t>
        </is>
      </c>
      <c r="D227" s="28">
        <f>IF(E227&lt;&gt;"",E227,IF(F227&lt;&gt;"",F227,""))</f>
        <v/>
      </c>
      <c r="E227" s="50" t="n"/>
      <c r="F227" s="50" t="n">
        <v>24</v>
      </c>
      <c r="G227" s="50" t="n"/>
      <c r="H227" s="50" t="n"/>
      <c r="I227" s="50" t="n"/>
      <c r="J227" s="28">
        <f>IF(OR(G227="",AND(H227="",I227="")),"n/a",IF(G227=I227,"mastered",IF(G227=H227,"normal","differs")))</f>
        <v/>
      </c>
      <c r="K227" s="28">
        <f>IF(L227&lt;&gt;"",L227,IF(M227&lt;&gt;"",M227,""))</f>
        <v/>
      </c>
      <c r="L227" s="50" t="n"/>
      <c r="M227" s="50" t="n">
        <v>21</v>
      </c>
      <c r="N227" s="28">
        <f>IF(O227&lt;&gt;"",O227,IF(P227&lt;&gt;"",P227,""))</f>
        <v/>
      </c>
      <c r="O227" s="50" t="n"/>
      <c r="P227" s="50" t="n">
        <v>6</v>
      </c>
      <c r="Q227" s="50" t="n"/>
      <c r="R227" s="50" t="n"/>
      <c r="S227" s="28">
        <f>IF(Q227="","",IF(Q227&lt;0,"negative profit",IF(Q227&gt;Notes!$B$4,"unusually high - verify","")))</f>
        <v/>
      </c>
      <c r="T227" s="28" t="inlineStr">
        <is>
          <t>Fandom</t>
        </is>
      </c>
      <c r="U227" s="28">
        <f>IF(T227&lt;&gt;"both",T227&amp;" only",IF(V227="","agree","conflict"))</f>
        <v/>
      </c>
      <c r="V227" s="28">
        <f>IF(T227="both",TRIM(IF(AND(E227&lt;&gt;"",F227&lt;&gt;"",E227&lt;&gt;F227),"level ","")&amp;IF(AND(L227&lt;&gt;"",M227&lt;&gt;"",L227&lt;&gt;M227),"price ","")&amp;IF(AND(O227&lt;&gt;"",P227&lt;&gt;"",O227&lt;&gt;P227),"xp ","")&amp;IF(J227="differs","time","")),"")</f>
        <v/>
      </c>
      <c r="X227" s="50" t="n"/>
      <c r="Y227" s="50" t="inlineStr">
        <is>
          <t>Gold Ore.png</t>
        </is>
      </c>
      <c r="Z227" s="50" t="inlineStr">
        <is>
          <t>icons/Mine/Gold Ore.png</t>
        </is>
      </c>
      <c r="AA227" s="28" t="inlineStr">
        <is>
          <t>Hay Day Wiki infobox via MediaWiki API (2026-10-13)</t>
        </is>
      </c>
      <c r="AB227" s="28" t="inlineStr">
        <is>
          <t>https://hayday.fandom.com/wiki/Gold_Ore</t>
        </is>
      </c>
      <c r="AC227" s="50" t="n"/>
    </row>
    <row r="228">
      <c r="A228" s="28" t="inlineStr">
        <is>
          <t>Platinum Ore</t>
        </is>
      </c>
      <c r="B228" s="28" t="inlineStr">
        <is>
          <t>Mine</t>
        </is>
      </c>
      <c r="C228" s="50" t="inlineStr">
        <is>
          <t>Product</t>
        </is>
      </c>
      <c r="D228" s="28">
        <f>IF(E228&lt;&gt;"",E228,IF(F228&lt;&gt;"",F228,""))</f>
        <v/>
      </c>
      <c r="E228" s="50" t="n"/>
      <c r="F228" s="50" t="n">
        <v>24</v>
      </c>
      <c r="G228" s="50" t="n"/>
      <c r="H228" s="50" t="n"/>
      <c r="I228" s="50" t="n"/>
      <c r="J228" s="28">
        <f>IF(OR(G228="",AND(H228="",I228="")),"n/a",IF(G228=I228,"mastered",IF(G228=H228,"normal","differs")))</f>
        <v/>
      </c>
      <c r="K228" s="28">
        <f>IF(L228&lt;&gt;"",L228,IF(M228&lt;&gt;"",M228,""))</f>
        <v/>
      </c>
      <c r="L228" s="50" t="n"/>
      <c r="M228" s="50" t="n">
        <v>32</v>
      </c>
      <c r="N228" s="28">
        <f>IF(O228&lt;&gt;"",O228,IF(P228&lt;&gt;"",P228,""))</f>
        <v/>
      </c>
      <c r="O228" s="50" t="n"/>
      <c r="P228" s="50" t="n">
        <v>7</v>
      </c>
      <c r="Q228" s="50" t="n"/>
      <c r="R228" s="50" t="n"/>
      <c r="S228" s="28">
        <f>IF(Q228="","",IF(Q228&lt;0,"negative profit",IF(Q228&gt;Notes!$B$4,"unusually high - verify","")))</f>
        <v/>
      </c>
      <c r="T228" s="28" t="inlineStr">
        <is>
          <t>Fandom</t>
        </is>
      </c>
      <c r="U228" s="28">
        <f>IF(T228&lt;&gt;"both",T228&amp;" only",IF(V228="","agree","conflict"))</f>
        <v/>
      </c>
      <c r="V228" s="28">
        <f>IF(T228="both",TRIM(IF(AND(E228&lt;&gt;"",F228&lt;&gt;"",E228&lt;&gt;F228),"level ","")&amp;IF(AND(L228&lt;&gt;"",M228&lt;&gt;"",L228&lt;&gt;M228),"price ","")&amp;IF(AND(O228&lt;&gt;"",P228&lt;&gt;"",O228&lt;&gt;P228),"xp ","")&amp;IF(J228="differs","time","")),"")</f>
        <v/>
      </c>
      <c r="X228" s="50" t="n"/>
      <c r="Y228" s="50" t="inlineStr">
        <is>
          <t>Platinum Ore.png</t>
        </is>
      </c>
      <c r="Z228" s="50" t="inlineStr">
        <is>
          <t>icons/Mine/Platinum Ore.png</t>
        </is>
      </c>
      <c r="AA228" s="28" t="inlineStr">
        <is>
          <t>Hay Day Wiki infobox via MediaWiki API (2026-10-13)</t>
        </is>
      </c>
      <c r="AB228" s="28" t="inlineStr">
        <is>
          <t>https://hayday.fandom.com/wiki/Platinum_Ore</t>
        </is>
      </c>
      <c r="AC228" s="50" t="n"/>
    </row>
    <row r="229">
      <c r="A229" s="28" t="inlineStr">
        <is>
          <t>Silver Ore</t>
        </is>
      </c>
      <c r="B229" s="28" t="inlineStr">
        <is>
          <t>Mine</t>
        </is>
      </c>
      <c r="C229" s="50" t="inlineStr">
        <is>
          <t>Product</t>
        </is>
      </c>
      <c r="D229" s="28">
        <f>IF(E229&lt;&gt;"",E229,IF(F229&lt;&gt;"",F229,""))</f>
        <v/>
      </c>
      <c r="E229" s="50" t="n"/>
      <c r="F229" s="50" t="n">
        <v>24</v>
      </c>
      <c r="G229" s="50" t="n"/>
      <c r="H229" s="50" t="n"/>
      <c r="I229" s="50" t="n"/>
      <c r="J229" s="28">
        <f>IF(OR(G229="",AND(H229="",I229="")),"n/a",IF(G229=I229,"mastered",IF(G229=H229,"normal","differs")))</f>
        <v/>
      </c>
      <c r="K229" s="28">
        <f>IF(L229&lt;&gt;"",L229,IF(M229&lt;&gt;"",M229,""))</f>
        <v/>
      </c>
      <c r="L229" s="50" t="n"/>
      <c r="M229" s="50" t="n">
        <v>18</v>
      </c>
      <c r="N229" s="28">
        <f>IF(O229&lt;&gt;"",O229,IF(P229&lt;&gt;"",P229,""))</f>
        <v/>
      </c>
      <c r="O229" s="50" t="n"/>
      <c r="P229" s="50" t="n">
        <v>5</v>
      </c>
      <c r="Q229" s="50" t="n"/>
      <c r="R229" s="50" t="n"/>
      <c r="S229" s="28">
        <f>IF(Q229="","",IF(Q229&lt;0,"negative profit",IF(Q229&gt;Notes!$B$4,"unusually high - verify","")))</f>
        <v/>
      </c>
      <c r="T229" s="28" t="inlineStr">
        <is>
          <t>Fandom</t>
        </is>
      </c>
      <c r="U229" s="28">
        <f>IF(T229&lt;&gt;"both",T229&amp;" only",IF(V229="","agree","conflict"))</f>
        <v/>
      </c>
      <c r="V229" s="28">
        <f>IF(T229="both",TRIM(IF(AND(E229&lt;&gt;"",F229&lt;&gt;"",E229&lt;&gt;F229),"level ","")&amp;IF(AND(L229&lt;&gt;"",M229&lt;&gt;"",L229&lt;&gt;M229),"price ","")&amp;IF(AND(O229&lt;&gt;"",P229&lt;&gt;"",O229&lt;&gt;P229),"xp ","")&amp;IF(J229="differs","time","")),"")</f>
        <v/>
      </c>
      <c r="X229" s="50" t="n"/>
      <c r="Y229" s="50" t="inlineStr">
        <is>
          <t>Silver Ore.png</t>
        </is>
      </c>
      <c r="Z229" s="50" t="inlineStr">
        <is>
          <t>icons/Mine/Silver Ore.png</t>
        </is>
      </c>
      <c r="AA229" s="28" t="inlineStr">
        <is>
          <t>Hay Day Wiki infobox via MediaWiki API (2026-10-13)</t>
        </is>
      </c>
      <c r="AB229" s="28" t="inlineStr">
        <is>
          <t>https://hayday.fandom.com/wiki/Silver_Ore</t>
        </is>
      </c>
      <c r="AC229" s="50" t="n"/>
    </row>
    <row r="230">
      <c r="A230" s="28" t="inlineStr">
        <is>
          <t>Coal</t>
        </is>
      </c>
      <c r="B230" s="28" t="inlineStr">
        <is>
          <t>Mine</t>
        </is>
      </c>
      <c r="C230" s="50" t="inlineStr">
        <is>
          <t>Product</t>
        </is>
      </c>
      <c r="D230" s="28">
        <f>IF(E230&lt;&gt;"",E230,IF(F230&lt;&gt;"",F230,""))</f>
        <v/>
      </c>
      <c r="E230" s="50" t="n"/>
      <c r="F230" s="50" t="n">
        <v>33</v>
      </c>
      <c r="G230" s="50" t="n"/>
      <c r="H230" s="50" t="n"/>
      <c r="I230" s="50" t="n"/>
      <c r="J230" s="28">
        <f>IF(OR(G230="",AND(H230="",I230="")),"n/a",IF(G230=I230,"mastered",IF(G230=H230,"normal","differs")))</f>
        <v/>
      </c>
      <c r="K230" s="28">
        <f>IF(L230&lt;&gt;"",L230,IF(M230&lt;&gt;"",M230,""))</f>
        <v/>
      </c>
      <c r="L230" s="50" t="n"/>
      <c r="M230" s="50" t="n">
        <v>10</v>
      </c>
      <c r="N230" s="28">
        <f>IF(O230&lt;&gt;"",O230,IF(P230&lt;&gt;"",P230,""))</f>
        <v/>
      </c>
      <c r="O230" s="50" t="n"/>
      <c r="P230" s="50" t="n">
        <v>3</v>
      </c>
      <c r="Q230" s="50" t="n"/>
      <c r="R230" s="50" t="n"/>
      <c r="S230" s="28">
        <f>IF(Q230="","",IF(Q230&lt;0,"negative profit",IF(Q230&gt;Notes!$B$4,"unusually high - verify","")))</f>
        <v/>
      </c>
      <c r="T230" s="28" t="inlineStr">
        <is>
          <t>Fandom</t>
        </is>
      </c>
      <c r="U230" s="28">
        <f>IF(T230&lt;&gt;"both",T230&amp;" only",IF(V230="","agree","conflict"))</f>
        <v/>
      </c>
      <c r="V230" s="28">
        <f>IF(T230="both",TRIM(IF(AND(E230&lt;&gt;"",F230&lt;&gt;"",E230&lt;&gt;F230),"level ","")&amp;IF(AND(L230&lt;&gt;"",M230&lt;&gt;"",L230&lt;&gt;M230),"price ","")&amp;IF(AND(O230&lt;&gt;"",P230&lt;&gt;"",O230&lt;&gt;P230),"xp ","")&amp;IF(J230="differs","time","")),"")</f>
        <v/>
      </c>
      <c r="X230" s="50" t="n"/>
      <c r="Y230" s="50" t="inlineStr">
        <is>
          <t>Coal.png</t>
        </is>
      </c>
      <c r="Z230" s="50" t="inlineStr">
        <is>
          <t>icons/Mine/Coal.png</t>
        </is>
      </c>
      <c r="AA230" s="28" t="inlineStr">
        <is>
          <t>Hay Day Wiki infobox via MediaWiki API (2026-10-13)</t>
        </is>
      </c>
      <c r="AB230" s="28" t="inlineStr">
        <is>
          <t>https://hayday.fandom.com/wiki/Coal</t>
        </is>
      </c>
      <c r="AC230" s="50" t="n"/>
    </row>
    <row r="231">
      <c r="A231" s="28" t="inlineStr">
        <is>
          <t>Iron Ore</t>
        </is>
      </c>
      <c r="B231" s="28" t="inlineStr">
        <is>
          <t>Mine</t>
        </is>
      </c>
      <c r="C231" s="50" t="inlineStr">
        <is>
          <t>Product</t>
        </is>
      </c>
      <c r="D231" s="28">
        <f>IF(E231&lt;&gt;"",E231,IF(F231&lt;&gt;"",F231,""))</f>
        <v/>
      </c>
      <c r="E231" s="50" t="n"/>
      <c r="F231" s="50" t="n">
        <v>34</v>
      </c>
      <c r="G231" s="50" t="n"/>
      <c r="H231" s="50" t="n"/>
      <c r="I231" s="50" t="n"/>
      <c r="J231" s="28">
        <f>IF(OR(G231="",AND(H231="",I231="")),"n/a",IF(G231=I231,"mastered",IF(G231=H231,"normal","differs")))</f>
        <v/>
      </c>
      <c r="K231" s="28">
        <f>IF(L231&lt;&gt;"",L231,IF(M231&lt;&gt;"",M231,""))</f>
        <v/>
      </c>
      <c r="L231" s="50" t="n"/>
      <c r="M231" s="50" t="n">
        <v>14</v>
      </c>
      <c r="N231" s="28">
        <f>IF(O231&lt;&gt;"",O231,IF(P231&lt;&gt;"",P231,""))</f>
        <v/>
      </c>
      <c r="O231" s="50" t="n"/>
      <c r="P231" s="50" t="n">
        <v>4</v>
      </c>
      <c r="Q231" s="50" t="n"/>
      <c r="R231" s="50" t="n"/>
      <c r="S231" s="28">
        <f>IF(Q231="","",IF(Q231&lt;0,"negative profit",IF(Q231&gt;Notes!$B$4,"unusually high - verify","")))</f>
        <v/>
      </c>
      <c r="T231" s="28" t="inlineStr">
        <is>
          <t>Fandom</t>
        </is>
      </c>
      <c r="U231" s="28">
        <f>IF(T231&lt;&gt;"both",T231&amp;" only",IF(V231="","agree","conflict"))</f>
        <v/>
      </c>
      <c r="V231" s="28">
        <f>IF(T231="both",TRIM(IF(AND(E231&lt;&gt;"",F231&lt;&gt;"",E231&lt;&gt;F231),"level ","")&amp;IF(AND(L231&lt;&gt;"",M231&lt;&gt;"",L231&lt;&gt;M231),"price ","")&amp;IF(AND(O231&lt;&gt;"",P231&lt;&gt;"",O231&lt;&gt;P231),"xp ","")&amp;IF(J231="differs","time","")),"")</f>
        <v/>
      </c>
      <c r="X231" s="50" t="n"/>
      <c r="Y231" s="50" t="inlineStr">
        <is>
          <t>Iron Ore.png</t>
        </is>
      </c>
      <c r="Z231" s="50" t="inlineStr">
        <is>
          <t>icons/Mine/Iron Ore.png</t>
        </is>
      </c>
      <c r="AA231" s="28" t="inlineStr">
        <is>
          <t>Hay Day Wiki infobox via MediaWiki API (2026-10-13)</t>
        </is>
      </c>
      <c r="AB231" s="28" t="inlineStr">
        <is>
          <t>https://hayday.fandom.com/wiki/Iron_Ore</t>
        </is>
      </c>
      <c r="AC231" s="50" t="n"/>
    </row>
    <row r="232">
      <c r="A232" s="28" t="inlineStr">
        <is>
          <t>Gnocchi</t>
        </is>
      </c>
      <c r="B232" s="28" t="inlineStr">
        <is>
          <t>Pasta Kitchen</t>
        </is>
      </c>
      <c r="C232" s="50" t="inlineStr">
        <is>
          <t>Product</t>
        </is>
      </c>
      <c r="D232" s="28">
        <f>IF(E232&lt;&gt;"",E232,IF(F232&lt;&gt;"",F232,""))</f>
        <v/>
      </c>
      <c r="E232" s="50" t="n">
        <v>72</v>
      </c>
      <c r="F232" s="50" t="n">
        <v>72</v>
      </c>
      <c r="G232" s="50" t="n">
        <v>68</v>
      </c>
      <c r="H232" s="50" t="n">
        <v>80</v>
      </c>
      <c r="I232" s="50" t="n">
        <v>68</v>
      </c>
      <c r="J232" s="28">
        <f>IF(OR(G232="",AND(H232="",I232="")),"n/a",IF(G232=I232,"mastered",IF(G232=H232,"normal","differs")))</f>
        <v/>
      </c>
      <c r="K232" s="28">
        <f>IF(L232&lt;&gt;"",L232,IF(M232&lt;&gt;"",M232,""))</f>
        <v/>
      </c>
      <c r="L232" s="50" t="n">
        <v>475</v>
      </c>
      <c r="M232" s="50" t="n">
        <v>475</v>
      </c>
      <c r="N232" s="28">
        <f>IF(O232&lt;&gt;"",O232,IF(P232&lt;&gt;"",P232,""))</f>
        <v/>
      </c>
      <c r="O232" s="50" t="n">
        <v>57</v>
      </c>
      <c r="P232" s="50" t="n">
        <v>57</v>
      </c>
      <c r="Q232" s="50" t="n">
        <v>28.24</v>
      </c>
      <c r="R232" s="50" t="n">
        <v>50.29</v>
      </c>
      <c r="S232" s="28">
        <f>IF(Q232="","",IF(Q232&lt;0,"negative profit",IF(Q232&gt;Notes!$B$4,"unusually high - verify","")))</f>
        <v/>
      </c>
      <c r="T232" s="28" t="inlineStr">
        <is>
          <t>both</t>
        </is>
      </c>
      <c r="U232" s="28">
        <f>IF(T232&lt;&gt;"both",T232&amp;" only",IF(V232="","agree","conflict"))</f>
        <v/>
      </c>
      <c r="V232" s="28">
        <f>IF(T232="both",TRIM(IF(AND(E232&lt;&gt;"",F232&lt;&gt;"",E232&lt;&gt;F232),"level ","")&amp;IF(AND(L232&lt;&gt;"",M232&lt;&gt;"",L232&lt;&gt;M232),"price ","")&amp;IF(AND(O232&lt;&gt;"",P232&lt;&gt;"",O232&lt;&gt;P232),"xp ","")&amp;IF(J232="differs","time","")),"")</f>
        <v/>
      </c>
      <c r="X232" s="50" t="inlineStr">
        <is>
          <t>Potato x4; Tomato x3; Wheat x2; Butter x2</t>
        </is>
      </c>
      <c r="Y232" s="50" t="inlineStr">
        <is>
          <t>Gnocchi.png</t>
        </is>
      </c>
      <c r="Z232" s="50" t="inlineStr">
        <is>
          <t>icons/Pasta Kitchen/Gnocchi.png</t>
        </is>
      </c>
      <c r="AA232" s="28" t="inlineStr">
        <is>
          <t>hayday.info /api/production-data (2026-10-13) + Hay Day Wiki infobox via MediaWiki API (2026-10-13)</t>
        </is>
      </c>
      <c r="AB232" s="28" t="inlineStr">
        <is>
          <t>https://hayday.fandom.com/wiki/Gnocchi</t>
        </is>
      </c>
      <c r="AC232" s="50" t="inlineStr">
        <is>
          <t>Gnocchi</t>
        </is>
      </c>
    </row>
    <row r="233">
      <c r="A233" s="28" t="inlineStr">
        <is>
          <t>Veggie Lasagna</t>
        </is>
      </c>
      <c r="B233" s="28" t="inlineStr">
        <is>
          <t>Pasta Kitchen</t>
        </is>
      </c>
      <c r="C233" s="50" t="inlineStr">
        <is>
          <t>Product</t>
        </is>
      </c>
      <c r="D233" s="28">
        <f>IF(E233&lt;&gt;"",E233,IF(F233&lt;&gt;"",F233,""))</f>
        <v/>
      </c>
      <c r="E233" s="50" t="n">
        <v>74</v>
      </c>
      <c r="F233" s="50" t="n">
        <v>74</v>
      </c>
      <c r="G233" s="50" t="n">
        <v>85</v>
      </c>
      <c r="H233" s="50" t="n">
        <v>100</v>
      </c>
      <c r="I233" s="50" t="n">
        <v>85</v>
      </c>
      <c r="J233" s="28">
        <f>IF(OR(G233="",AND(H233="",I233="")),"n/a",IF(G233=I233,"mastered",IF(G233=H233,"normal","differs")))</f>
        <v/>
      </c>
      <c r="K233" s="28">
        <f>IF(L233&lt;&gt;"",L233,IF(M233&lt;&gt;"",M233,""))</f>
        <v/>
      </c>
      <c r="L233" s="50" t="n">
        <v>532</v>
      </c>
      <c r="M233" s="50" t="n">
        <v>532</v>
      </c>
      <c r="N233" s="28">
        <f>IF(O233&lt;&gt;"",O233,IF(P233&lt;&gt;"",P233,""))</f>
        <v/>
      </c>
      <c r="O233" s="50" t="n">
        <v>63</v>
      </c>
      <c r="P233" s="50" t="n">
        <v>63</v>
      </c>
      <c r="Q233" s="50" t="n">
        <v>31.06</v>
      </c>
      <c r="R233" s="50" t="n">
        <v>44.47</v>
      </c>
      <c r="S233" s="28">
        <f>IF(Q233="","",IF(Q233&lt;0,"negative profit",IF(Q233&gt;Notes!$B$4,"unusually high - verify","")))</f>
        <v/>
      </c>
      <c r="T233" s="28" t="inlineStr">
        <is>
          <t>both</t>
        </is>
      </c>
      <c r="U233" s="28">
        <f>IF(T233&lt;&gt;"both",T233&amp;" only",IF(V233="","agree","conflict"))</f>
        <v/>
      </c>
      <c r="V233" s="28">
        <f>IF(T233="both",TRIM(IF(AND(E233&lt;&gt;"",F233&lt;&gt;"",E233&lt;&gt;F233),"level ","")&amp;IF(AND(L233&lt;&gt;"",M233&lt;&gt;"",L233&lt;&gt;M233),"price ","")&amp;IF(AND(O233&lt;&gt;"",P233&lt;&gt;"",O233&lt;&gt;P233),"xp ","")&amp;IF(J233="differs","time","")),"")</f>
        <v/>
      </c>
      <c r="X233" s="50" t="inlineStr">
        <is>
          <t>Carrot x1; Cheese x1; Tomato Sauce x1; Fresh Pasta x3</t>
        </is>
      </c>
      <c r="Y233" s="50" t="inlineStr">
        <is>
          <t>Veggie Lasagna.png</t>
        </is>
      </c>
      <c r="Z233" s="50" t="inlineStr">
        <is>
          <t>icons/Pasta Kitchen/Veggie Lasagna.png</t>
        </is>
      </c>
      <c r="AA233" s="28" t="inlineStr">
        <is>
          <t>hayday.info /api/production-data (2026-10-13) + Hay Day Wiki infobox via MediaWiki API (2026-10-13)</t>
        </is>
      </c>
      <c r="AB233" s="28" t="inlineStr">
        <is>
          <t>https://hayday.fandom.com/wiki/Veggie_Lasagna</t>
        </is>
      </c>
      <c r="AC233" s="50" t="inlineStr">
        <is>
          <t>Veggie lasagna</t>
        </is>
      </c>
    </row>
    <row r="234">
      <c r="A234" s="28" t="inlineStr">
        <is>
          <t>Lobster Pasta</t>
        </is>
      </c>
      <c r="B234" s="28" t="inlineStr">
        <is>
          <t>Pasta Kitchen</t>
        </is>
      </c>
      <c r="C234" s="50" t="inlineStr">
        <is>
          <t>Product</t>
        </is>
      </c>
      <c r="D234" s="28">
        <f>IF(E234&lt;&gt;"",E234,IF(F234&lt;&gt;"",F234,""))</f>
        <v/>
      </c>
      <c r="E234" s="50" t="n">
        <v>79</v>
      </c>
      <c r="F234" s="50" t="n">
        <v>79</v>
      </c>
      <c r="G234" s="50" t="n">
        <v>102</v>
      </c>
      <c r="H234" s="50" t="n">
        <v>120</v>
      </c>
      <c r="I234" s="50" t="n">
        <v>102</v>
      </c>
      <c r="J234" s="28">
        <f>IF(OR(G234="",AND(H234="",I234="")),"n/a",IF(G234=I234,"mastered",IF(G234=H234,"normal","differs")))</f>
        <v/>
      </c>
      <c r="K234" s="28">
        <f>IF(L234&lt;&gt;"",L234,IF(M234&lt;&gt;"",M234,""))</f>
        <v/>
      </c>
      <c r="L234" s="50" t="n">
        <v>637</v>
      </c>
      <c r="M234" s="50" t="n">
        <v>637</v>
      </c>
      <c r="N234" s="28">
        <f>IF(O234&lt;&gt;"",O234,IF(P234&lt;&gt;"",P234,""))</f>
        <v/>
      </c>
      <c r="O234" s="50" t="n">
        <v>76</v>
      </c>
      <c r="P234" s="50" t="n">
        <v>76</v>
      </c>
      <c r="Q234" s="50" t="n">
        <v>20.59</v>
      </c>
      <c r="R234" s="50" t="n">
        <v>44.71</v>
      </c>
      <c r="S234" s="28">
        <f>IF(Q234="","",IF(Q234&lt;0,"negative profit",IF(Q234&gt;Notes!$B$4,"unusually high - verify","")))</f>
        <v/>
      </c>
      <c r="T234" s="28" t="inlineStr">
        <is>
          <t>both</t>
        </is>
      </c>
      <c r="U234" s="28">
        <f>IF(T234&lt;&gt;"both",T234&amp;" only",IF(V234="","agree","conflict"))</f>
        <v/>
      </c>
      <c r="V234" s="28">
        <f>IF(T234="both",TRIM(IF(AND(E234&lt;&gt;"",F234&lt;&gt;"",E234&lt;&gt;F234),"level ","")&amp;IF(AND(L234&lt;&gt;"",M234&lt;&gt;"",L234&lt;&gt;M234),"price ","")&amp;IF(AND(O234&lt;&gt;"",P234&lt;&gt;"",O234&lt;&gt;P234),"xp ","")&amp;IF(J234="differs","time","")),"")</f>
        <v/>
      </c>
      <c r="X234" s="50" t="inlineStr">
        <is>
          <t>Lobster Tail x1; Cream x2; Fresh Pasta x3; Tomato x4</t>
        </is>
      </c>
      <c r="Y234" s="50" t="inlineStr">
        <is>
          <t>Lobster Pasta.png</t>
        </is>
      </c>
      <c r="Z234" s="50" t="inlineStr">
        <is>
          <t>icons/Pasta Kitchen/Lobster Pasta.png</t>
        </is>
      </c>
      <c r="AA234" s="28" t="inlineStr">
        <is>
          <t>hayday.info /api/production-data (2026-10-13) + Hay Day Wiki infobox via MediaWiki API (2026-10-13)</t>
        </is>
      </c>
      <c r="AB234" s="28" t="inlineStr">
        <is>
          <t>https://hayday.fandom.com/wiki/Lobster_Pasta</t>
        </is>
      </c>
      <c r="AC234" s="50" t="inlineStr">
        <is>
          <t>Lobster pasta</t>
        </is>
      </c>
    </row>
    <row r="235">
      <c r="A235" s="28" t="inlineStr">
        <is>
          <t>Broccoli Pasta</t>
        </is>
      </c>
      <c r="B235" s="28" t="inlineStr">
        <is>
          <t>Pasta Kitchen</t>
        </is>
      </c>
      <c r="C235" s="50" t="inlineStr">
        <is>
          <t>Product</t>
        </is>
      </c>
      <c r="D235" s="28">
        <f>IF(E235&lt;&gt;"",E235,IF(F235&lt;&gt;"",F235,""))</f>
        <v/>
      </c>
      <c r="E235" s="50" t="n">
        <v>83</v>
      </c>
      <c r="F235" s="50" t="n">
        <v>83</v>
      </c>
      <c r="G235" s="50" t="n">
        <v>51</v>
      </c>
      <c r="H235" s="50" t="n">
        <v>60</v>
      </c>
      <c r="I235" s="50" t="n">
        <v>51</v>
      </c>
      <c r="J235" s="28">
        <f>IF(OR(G235="",AND(H235="",I235="")),"n/a",IF(G235=I235,"mastered",IF(G235=H235,"normal","differs")))</f>
        <v/>
      </c>
      <c r="K235" s="28">
        <f>IF(L235&lt;&gt;"",L235,IF(M235&lt;&gt;"",M235,""))</f>
        <v/>
      </c>
      <c r="L235" s="50" t="n">
        <v>345</v>
      </c>
      <c r="M235" s="50" t="n">
        <v>345</v>
      </c>
      <c r="N235" s="28">
        <f>IF(O235&lt;&gt;"",O235,IF(P235&lt;&gt;"",P235,""))</f>
        <v/>
      </c>
      <c r="O235" s="50" t="n">
        <v>41</v>
      </c>
      <c r="P235" s="50" t="n">
        <v>41</v>
      </c>
      <c r="Q235" s="50" t="n">
        <v>36.47</v>
      </c>
      <c r="R235" s="50" t="n">
        <v>48.24</v>
      </c>
      <c r="S235" s="28">
        <f>IF(Q235="","",IF(Q235&lt;0,"negative profit",IF(Q235&gt;Notes!$B$4,"unusually high - verify","")))</f>
        <v/>
      </c>
      <c r="T235" s="28" t="inlineStr">
        <is>
          <t>both</t>
        </is>
      </c>
      <c r="U235" s="28">
        <f>IF(T235&lt;&gt;"both",T235&amp;" only",IF(V235="","agree","conflict"))</f>
        <v/>
      </c>
      <c r="V235" s="28">
        <f>IF(T235="both",TRIM(IF(AND(E235&lt;&gt;"",F235&lt;&gt;"",E235&lt;&gt;F235),"level ","")&amp;IF(AND(L235&lt;&gt;"",M235&lt;&gt;"",L235&lt;&gt;M235),"price ","")&amp;IF(AND(O235&lt;&gt;"",P235&lt;&gt;"",O235&lt;&gt;P235),"xp ","")&amp;IF(J235="differs","time","")),"")</f>
        <v/>
      </c>
      <c r="X235" s="50" t="inlineStr">
        <is>
          <t>Broccoli x3; Cheese x1; Fresh Pasta x3</t>
        </is>
      </c>
      <c r="Y235" s="50" t="inlineStr">
        <is>
          <t>Broccoli Pasta.png</t>
        </is>
      </c>
      <c r="Z235" s="50" t="inlineStr">
        <is>
          <t>icons/Pasta Kitchen/Broccoli Pasta.png</t>
        </is>
      </c>
      <c r="AA235" s="28" t="inlineStr">
        <is>
          <t>hayday.info /api/production-data (2026-10-13) + Hay Day Wiki infobox via MediaWiki API (2026-10-13)</t>
        </is>
      </c>
      <c r="AB235" s="28" t="inlineStr">
        <is>
          <t>https://hayday.fandom.com/wiki/Broccoli_Pasta</t>
        </is>
      </c>
      <c r="AC235" s="50" t="inlineStr">
        <is>
          <t>Broccoli pasta</t>
        </is>
      </c>
    </row>
    <row r="236">
      <c r="A236" s="28" t="inlineStr">
        <is>
          <t>Pasta Carbonara</t>
        </is>
      </c>
      <c r="B236" s="28" t="inlineStr">
        <is>
          <t>Pasta Kitchen</t>
        </is>
      </c>
      <c r="C236" s="50" t="inlineStr">
        <is>
          <t>Product</t>
        </is>
      </c>
      <c r="D236" s="28">
        <f>IF(E236&lt;&gt;"",E236,IF(F236&lt;&gt;"",F236,""))</f>
        <v/>
      </c>
      <c r="E236" s="50" t="n">
        <v>83</v>
      </c>
      <c r="F236" s="50" t="n">
        <v>83</v>
      </c>
      <c r="G236" s="50" t="n">
        <v>127</v>
      </c>
      <c r="H236" s="50" t="n">
        <v>150</v>
      </c>
      <c r="I236" s="50" t="n">
        <v>127</v>
      </c>
      <c r="J236" s="28">
        <f>IF(OR(G236="",AND(H236="",I236="")),"n/a",IF(G236=I236,"mastered",IF(G236=H236,"normal","differs")))</f>
        <v/>
      </c>
      <c r="K236" s="28">
        <f>IF(L236&lt;&gt;"",L236,IF(M236&lt;&gt;"",M236,""))</f>
        <v/>
      </c>
      <c r="L236" s="50" t="n">
        <v>410</v>
      </c>
      <c r="M236" s="50" t="n">
        <v>410</v>
      </c>
      <c r="N236" s="28">
        <f>IF(O236&lt;&gt;"",O236,IF(P236&lt;&gt;"",P236,""))</f>
        <v/>
      </c>
      <c r="O236" s="50" t="n">
        <v>49</v>
      </c>
      <c r="P236" s="50" t="n">
        <v>49</v>
      </c>
      <c r="Q236" s="50" t="n">
        <v>19.29</v>
      </c>
      <c r="R236" s="50" t="n">
        <v>23.06</v>
      </c>
      <c r="S236" s="28">
        <f>IF(Q236="","",IF(Q236&lt;0,"negative profit",IF(Q236&gt;Notes!$B$4,"unusually high - verify","")))</f>
        <v/>
      </c>
      <c r="T236" s="28" t="inlineStr">
        <is>
          <t>both</t>
        </is>
      </c>
      <c r="U236" s="28">
        <f>IF(T236&lt;&gt;"both",T236&amp;" only",IF(V236="","agree","conflict"))</f>
        <v/>
      </c>
      <c r="V236" s="28">
        <f>IF(T236="both",TRIM(IF(AND(E236&lt;&gt;"",F236&lt;&gt;"",E236&lt;&gt;F236),"level ","")&amp;IF(AND(L236&lt;&gt;"",M236&lt;&gt;"",L236&lt;&gt;M236),"price ","")&amp;IF(AND(O236&lt;&gt;"",P236&lt;&gt;"",O236&lt;&gt;P236),"xp ","")&amp;IF(J236="differs","time","")),"")</f>
        <v/>
      </c>
      <c r="X236" s="50" t="inlineStr">
        <is>
          <t>Fresh Pasta x3; Bacon x2; Egg x1; Cheese x1</t>
        </is>
      </c>
      <c r="Y236" s="50" t="inlineStr">
        <is>
          <t>Pasta Carbonara.png</t>
        </is>
      </c>
      <c r="Z236" s="50" t="inlineStr">
        <is>
          <t>icons/Pasta Kitchen/Pasta Carbonara.png</t>
        </is>
      </c>
      <c r="AA236" s="28" t="inlineStr">
        <is>
          <t>hayday.info /api/production-data (2026-10-13) + Hay Day Wiki infobox via MediaWiki API (2026-10-13)</t>
        </is>
      </c>
      <c r="AB236" s="28" t="inlineStr">
        <is>
          <t>https://hayday.fandom.com/wiki/Pasta_Carbonara</t>
        </is>
      </c>
      <c r="AC236" s="50" t="inlineStr">
        <is>
          <t>Pasta carbonara</t>
        </is>
      </c>
    </row>
    <row r="237">
      <c r="A237" s="28" t="inlineStr">
        <is>
          <t>Spicy Pasta</t>
        </is>
      </c>
      <c r="B237" s="28" t="inlineStr">
        <is>
          <t>Pasta Kitchen</t>
        </is>
      </c>
      <c r="C237" s="50" t="inlineStr">
        <is>
          <t>Product</t>
        </is>
      </c>
      <c r="D237" s="28">
        <f>IF(E237&lt;&gt;"",E237,IF(F237&lt;&gt;"",F237,""))</f>
        <v/>
      </c>
      <c r="E237" s="50" t="n">
        <v>87</v>
      </c>
      <c r="F237" s="50" t="n">
        <v>87</v>
      </c>
      <c r="G237" s="50" t="n">
        <v>76</v>
      </c>
      <c r="H237" s="50" t="n">
        <v>90</v>
      </c>
      <c r="I237" s="50" t="n">
        <v>76</v>
      </c>
      <c r="J237" s="28">
        <f>IF(OR(G237="",AND(H237="",I237="")),"n/a",IF(G237=I237,"mastered",IF(G237=H237,"normal","differs")))</f>
        <v/>
      </c>
      <c r="K237" s="28">
        <f>IF(L237&lt;&gt;"",L237,IF(M237&lt;&gt;"",M237,""))</f>
        <v/>
      </c>
      <c r="L237" s="50" t="n">
        <v>576</v>
      </c>
      <c r="M237" s="50" t="n">
        <v>576</v>
      </c>
      <c r="N237" s="28">
        <f>IF(O237&lt;&gt;"",O237,IF(P237&lt;&gt;"",P237,""))</f>
        <v/>
      </c>
      <c r="O237" s="50" t="n">
        <v>69</v>
      </c>
      <c r="P237" s="50" t="n">
        <v>69</v>
      </c>
      <c r="Q237" s="50" t="n">
        <v>24.31</v>
      </c>
      <c r="R237" s="50" t="n">
        <v>54.12</v>
      </c>
      <c r="S237" s="28">
        <f>IF(Q237="","",IF(Q237&lt;0,"negative profit",IF(Q237&gt;Notes!$B$4,"unusually high - verify","")))</f>
        <v/>
      </c>
      <c r="T237" s="28" t="inlineStr">
        <is>
          <t>both</t>
        </is>
      </c>
      <c r="U237" s="28">
        <f>IF(T237&lt;&gt;"both",T237&amp;" only",IF(V237="","agree","conflict"))</f>
        <v/>
      </c>
      <c r="V237" s="28">
        <f>IF(T237="both",TRIM(IF(AND(E237&lt;&gt;"",F237&lt;&gt;"",E237&lt;&gt;F237),"level ","")&amp;IF(AND(L237&lt;&gt;"",M237&lt;&gt;"",L237&lt;&gt;M237),"price ","")&amp;IF(AND(O237&lt;&gt;"",P237&lt;&gt;"",O237&lt;&gt;P237),"xp ","")&amp;IF(J237="differs","time","")),"")</f>
        <v/>
      </c>
      <c r="X237" s="50" t="inlineStr">
        <is>
          <t>Fresh Pasta x3; Tomato Sauce x1; Chili Pepper x3; Onion x2</t>
        </is>
      </c>
      <c r="Y237" s="50" t="inlineStr">
        <is>
          <t>Spicy Pasta.png</t>
        </is>
      </c>
      <c r="Z237" s="50" t="inlineStr">
        <is>
          <t>icons/Pasta Kitchen/Spicy Pasta.png</t>
        </is>
      </c>
      <c r="AA237" s="28" t="inlineStr">
        <is>
          <t>hayday.info /api/production-data (2026-10-13) + Hay Day Wiki infobox via MediaWiki API (2026-10-13)</t>
        </is>
      </c>
      <c r="AB237" s="28" t="inlineStr">
        <is>
          <t>https://hayday.fandom.com/wiki/Spicy_Pasta</t>
        </is>
      </c>
      <c r="AC237" s="50" t="inlineStr">
        <is>
          <t>Spicy pasta</t>
        </is>
      </c>
    </row>
    <row r="238">
      <c r="A238" s="28" t="inlineStr">
        <is>
          <t>Mushroom Pasta</t>
        </is>
      </c>
      <c r="B238" s="28" t="inlineStr">
        <is>
          <t>Pasta Kitchen</t>
        </is>
      </c>
      <c r="C238" s="50" t="inlineStr">
        <is>
          <t>Product</t>
        </is>
      </c>
      <c r="D238" s="28">
        <f>IF(E238&lt;&gt;"",E238,IF(F238&lt;&gt;"",F238,""))</f>
        <v/>
      </c>
      <c r="E238" s="50" t="n">
        <v>101</v>
      </c>
      <c r="F238" s="50" t="n">
        <v>101</v>
      </c>
      <c r="G238" s="50" t="n">
        <v>63</v>
      </c>
      <c r="H238" s="50" t="n">
        <v>75</v>
      </c>
      <c r="I238" s="50" t="n">
        <v>63</v>
      </c>
      <c r="J238" s="28">
        <f>IF(OR(G238="",AND(H238="",I238="")),"n/a",IF(G238=I238,"mastered",IF(G238=H238,"normal","differs")))</f>
        <v/>
      </c>
      <c r="K238" s="28">
        <f>IF(L238&lt;&gt;"",L238,IF(M238&lt;&gt;"",M238,""))</f>
        <v/>
      </c>
      <c r="L238" s="50" t="n">
        <v>280</v>
      </c>
      <c r="M238" s="50" t="n">
        <v>280</v>
      </c>
      <c r="N238" s="28">
        <f>IF(O238&lt;&gt;"",O238,IF(P238&lt;&gt;"",P238,""))</f>
        <v/>
      </c>
      <c r="O238" s="50" t="n">
        <v>33</v>
      </c>
      <c r="P238" s="50" t="n">
        <v>33</v>
      </c>
      <c r="Q238" s="50" t="n">
        <v>34.82</v>
      </c>
      <c r="R238" s="50" t="n">
        <v>31.06</v>
      </c>
      <c r="S238" s="28">
        <f>IF(Q238="","",IF(Q238&lt;0,"negative profit",IF(Q238&gt;Notes!$B$4,"unusually high - verify","")))</f>
        <v/>
      </c>
      <c r="T238" s="28" t="inlineStr">
        <is>
          <t>both</t>
        </is>
      </c>
      <c r="U238" s="28">
        <f>IF(T238&lt;&gt;"both",T238&amp;" only",IF(V238="","agree","conflict"))</f>
        <v/>
      </c>
      <c r="V238" s="28">
        <f>IF(T238="both",TRIM(IF(AND(E238&lt;&gt;"",F238&lt;&gt;"",E238&lt;&gt;F238),"level ","")&amp;IF(AND(L238&lt;&gt;"",M238&lt;&gt;"",L238&lt;&gt;M238),"price ","")&amp;IF(AND(O238&lt;&gt;"",P238&lt;&gt;"",O238&lt;&gt;P238),"xp ","")&amp;IF(J238="differs","time","")),"")</f>
        <v/>
      </c>
      <c r="X238" s="50" t="inlineStr">
        <is>
          <t>Mushroom x5; Fresh Pasta x3; Goat Milk x1</t>
        </is>
      </c>
      <c r="Y238" s="50" t="inlineStr">
        <is>
          <t>Mushroom Pasta.png</t>
        </is>
      </c>
      <c r="Z238" s="50" t="inlineStr">
        <is>
          <t>icons/Pasta Kitchen/Mushroom Pasta.png</t>
        </is>
      </c>
      <c r="AA238" s="28" t="inlineStr">
        <is>
          <t>hayday.info /api/production-data (2026-10-13) + Hay Day Wiki infobox via MediaWiki API (2026-10-13)</t>
        </is>
      </c>
      <c r="AB238" s="28" t="inlineStr">
        <is>
          <t>https://hayday.fandom.com/wiki/Mushroom_Pasta</t>
        </is>
      </c>
      <c r="AC238" s="50" t="inlineStr">
        <is>
          <t>Mushroom pasta</t>
        </is>
      </c>
    </row>
    <row r="239">
      <c r="A239" s="28" t="inlineStr">
        <is>
          <t>Mussel Linguine</t>
        </is>
      </c>
      <c r="B239" s="28" t="inlineStr">
        <is>
          <t>Pasta Kitchen</t>
        </is>
      </c>
      <c r="C239" s="50" t="inlineStr">
        <is>
          <t>Product</t>
        </is>
      </c>
      <c r="D239" s="28">
        <f>IF(E239&lt;&gt;"",E239,IF(F239&lt;&gt;"",F239,""))</f>
        <v/>
      </c>
      <c r="E239" s="50" t="n"/>
      <c r="F239" s="50" t="n">
        <v>73</v>
      </c>
      <c r="G239" s="50" t="n"/>
      <c r="H239" s="50" t="n">
        <v>90</v>
      </c>
      <c r="I239" s="50" t="n">
        <v>76</v>
      </c>
      <c r="J239" s="28">
        <f>IF(OR(G239="",AND(H239="",I239="")),"n/a",IF(G239=I239,"mastered",IF(G239=H239,"normal","differs")))</f>
        <v/>
      </c>
      <c r="K239" s="28">
        <f>IF(L239&lt;&gt;"",L239,IF(M239&lt;&gt;"",M239,""))</f>
        <v/>
      </c>
      <c r="L239" s="50" t="n"/>
      <c r="M239" s="50" t="n">
        <v>583</v>
      </c>
      <c r="N239" s="28">
        <f>IF(O239&lt;&gt;"",O239,IF(P239&lt;&gt;"",P239,""))</f>
        <v/>
      </c>
      <c r="O239" s="50" t="n"/>
      <c r="P239" s="50" t="n">
        <v>69</v>
      </c>
      <c r="Q239" s="50" t="n"/>
      <c r="R239" s="50" t="n"/>
      <c r="S239" s="28">
        <f>IF(Q239="","",IF(Q239&lt;0,"negative profit",IF(Q239&gt;Notes!$B$4,"unusually high - verify","")))</f>
        <v/>
      </c>
      <c r="T239" s="28" t="inlineStr">
        <is>
          <t>Fandom</t>
        </is>
      </c>
      <c r="U239" s="28">
        <f>IF(T239&lt;&gt;"both",T239&amp;" only",IF(V239="","agree","conflict"))</f>
        <v/>
      </c>
      <c r="V239" s="28">
        <f>IF(T239="both",TRIM(IF(AND(E239&lt;&gt;"",F239&lt;&gt;"",E239&lt;&gt;F239),"level ","")&amp;IF(AND(L239&lt;&gt;"",M239&lt;&gt;"",L239&lt;&gt;M239),"price ","")&amp;IF(AND(O239&lt;&gt;"",P239&lt;&gt;"",O239&lt;&gt;P239),"xp ","")&amp;IF(J239="differs","time","")),"")</f>
        <v/>
      </c>
      <c r="X239" s="50" t="inlineStr">
        <is>
          <t>Fresh Pasta x3; Mussel Meat x4; Garlic x3; Olive Oil x1</t>
        </is>
      </c>
      <c r="Y239" s="50" t="inlineStr">
        <is>
          <t>Mussel Linguine.png</t>
        </is>
      </c>
      <c r="Z239" s="50" t="inlineStr">
        <is>
          <t>icons/Pasta Kitchen/Mussel Linguine.png</t>
        </is>
      </c>
      <c r="AA239" s="28" t="inlineStr">
        <is>
          <t>Hay Day Wiki infobox via MediaWiki API (2026-10-13)</t>
        </is>
      </c>
      <c r="AB239" s="28" t="inlineStr">
        <is>
          <t>https://hayday.fandom.com/wiki/Mussel_Linguine</t>
        </is>
      </c>
      <c r="AC239" s="50" t="n"/>
    </row>
    <row r="240">
      <c r="A240" s="28" t="inlineStr">
        <is>
          <t>Fresh Pasta</t>
        </is>
      </c>
      <c r="B240" s="28" t="inlineStr">
        <is>
          <t>Pasta Maker</t>
        </is>
      </c>
      <c r="C240" s="50" t="inlineStr">
        <is>
          <t>Product</t>
        </is>
      </c>
      <c r="D240" s="28">
        <f>IF(E240&lt;&gt;"",E240,IF(F240&lt;&gt;"",F240,""))</f>
        <v/>
      </c>
      <c r="E240" s="50" t="n">
        <v>67</v>
      </c>
      <c r="F240" s="50" t="n">
        <v>67</v>
      </c>
      <c r="G240" s="50" t="n">
        <v>12</v>
      </c>
      <c r="H240" s="50" t="n">
        <v>15</v>
      </c>
      <c r="I240" s="50" t="n">
        <v>12</v>
      </c>
      <c r="J240" s="28">
        <f>IF(OR(G240="",AND(H240="",I240="")),"n/a",IF(G240=I240,"mastered",IF(G240=H240,"normal","differs")))</f>
        <v/>
      </c>
      <c r="K240" s="28">
        <f>IF(L240&lt;&gt;"",L240,IF(M240&lt;&gt;"",M240,""))</f>
        <v/>
      </c>
      <c r="L240" s="50" t="n">
        <v>43</v>
      </c>
      <c r="M240" s="50" t="n">
        <v>43</v>
      </c>
      <c r="N240" s="28">
        <f>IF(O240&lt;&gt;"",O240,IF(P240&lt;&gt;"",P240,""))</f>
        <v/>
      </c>
      <c r="O240" s="50" t="n">
        <v>5</v>
      </c>
      <c r="P240" s="50" t="n">
        <v>5</v>
      </c>
      <c r="Q240" s="50" t="n">
        <v>89.41</v>
      </c>
      <c r="R240" s="50" t="n">
        <v>23.53</v>
      </c>
      <c r="S240" s="28">
        <f>IF(Q240="","",IF(Q240&lt;0,"negative profit",IF(Q240&gt;Notes!$B$4,"unusually high - verify","")))</f>
        <v/>
      </c>
      <c r="T240" s="28" t="inlineStr">
        <is>
          <t>both</t>
        </is>
      </c>
      <c r="U240" s="28">
        <f>IF(T240&lt;&gt;"both",T240&amp;" only",IF(V240="","agree","conflict"))</f>
        <v/>
      </c>
      <c r="V240" s="28">
        <f>IF(T240="both",TRIM(IF(AND(E240&lt;&gt;"",F240&lt;&gt;"",E240&lt;&gt;F240),"level ","")&amp;IF(AND(L240&lt;&gt;"",M240&lt;&gt;"",L240&lt;&gt;M240),"price ","")&amp;IF(AND(O240&lt;&gt;"",P240&lt;&gt;"",O240&lt;&gt;P240),"xp ","")&amp;IF(J240="differs","time","")),"")</f>
        <v/>
      </c>
      <c r="X240" s="50" t="inlineStr">
        <is>
          <t>Egg x1; Wheat x2</t>
        </is>
      </c>
      <c r="Y240" s="50" t="inlineStr">
        <is>
          <t>Fresh Pasta.png</t>
        </is>
      </c>
      <c r="Z240" s="50" t="inlineStr">
        <is>
          <t>icons/Pasta Maker/Fresh Pasta.png</t>
        </is>
      </c>
      <c r="AA240" s="28" t="inlineStr">
        <is>
          <t>hayday.info /api/production-data (2026-10-13) + Hay Day Wiki infobox via MediaWiki API (2026-10-13)</t>
        </is>
      </c>
      <c r="AB240" s="28" t="inlineStr">
        <is>
          <t>https://hayday.fandom.com/wiki/Fresh_Pasta</t>
        </is>
      </c>
      <c r="AC240" s="50" t="inlineStr">
        <is>
          <t>Fresh pasta</t>
        </is>
      </c>
    </row>
    <row r="241">
      <c r="A241" s="28" t="inlineStr">
        <is>
          <t>Rice Noodles</t>
        </is>
      </c>
      <c r="B241" s="28" t="inlineStr">
        <is>
          <t>Pasta Maker</t>
        </is>
      </c>
      <c r="C241" s="50" t="inlineStr">
        <is>
          <t>Product</t>
        </is>
      </c>
      <c r="D241" s="28">
        <f>IF(E241&lt;&gt;"",E241,IF(F241&lt;&gt;"",F241,""))</f>
        <v/>
      </c>
      <c r="E241" s="50" t="n">
        <v>73</v>
      </c>
      <c r="F241" s="50" t="n">
        <v>73</v>
      </c>
      <c r="G241" s="50" t="n">
        <v>17</v>
      </c>
      <c r="H241" s="50" t="n">
        <v>20</v>
      </c>
      <c r="I241" s="50" t="n">
        <v>17</v>
      </c>
      <c r="J241" s="28">
        <f>IF(OR(G241="",AND(H241="",I241="")),"n/a",IF(G241=I241,"mastered",IF(G241=H241,"normal","differs")))</f>
        <v/>
      </c>
      <c r="K241" s="28">
        <f>IF(L241&lt;&gt;"",L241,IF(M241&lt;&gt;"",M241,""))</f>
        <v/>
      </c>
      <c r="L241" s="50" t="n">
        <v>100</v>
      </c>
      <c r="M241" s="50" t="n">
        <v>100</v>
      </c>
      <c r="N241" s="28">
        <f>IF(O241&lt;&gt;"",O241,IF(P241&lt;&gt;"",P241,""))</f>
        <v/>
      </c>
      <c r="O241" s="50" t="n">
        <v>12</v>
      </c>
      <c r="P241" s="50" t="n">
        <v>12</v>
      </c>
      <c r="Q241" s="50" t="n">
        <v>35.29</v>
      </c>
      <c r="R241" s="50" t="n">
        <v>42.35</v>
      </c>
      <c r="S241" s="28">
        <f>IF(Q241="","",IF(Q241&lt;0,"negative profit",IF(Q241&gt;Notes!$B$4,"unusually high - verify","")))</f>
        <v/>
      </c>
      <c r="T241" s="28" t="inlineStr">
        <is>
          <t>both</t>
        </is>
      </c>
      <c r="U241" s="28">
        <f>IF(T241&lt;&gt;"both",T241&amp;" only",IF(V241="","agree","conflict"))</f>
        <v/>
      </c>
      <c r="V241" s="28">
        <f>IF(T241="both",TRIM(IF(AND(E241&lt;&gt;"",F241&lt;&gt;"",E241&lt;&gt;F241),"level ","")&amp;IF(AND(L241&lt;&gt;"",M241&lt;&gt;"",L241&lt;&gt;M241),"price ","")&amp;IF(AND(O241&lt;&gt;"",P241&lt;&gt;"",O241&lt;&gt;P241),"xp ","")&amp;IF(J241="differs","time","")),"")</f>
        <v/>
      </c>
      <c r="X241" s="50" t="inlineStr">
        <is>
          <t>Rice x5</t>
        </is>
      </c>
      <c r="Y241" s="50" t="inlineStr">
        <is>
          <t>Rice Noodles.png</t>
        </is>
      </c>
      <c r="Z241" s="50" t="inlineStr">
        <is>
          <t>icons/Pasta Maker/Rice Noodles.png</t>
        </is>
      </c>
      <c r="AA241" s="28" t="inlineStr">
        <is>
          <t>hayday.info /api/production-data (2026-10-13) + Hay Day Wiki infobox via MediaWiki API (2026-10-13)</t>
        </is>
      </c>
      <c r="AB241" s="28" t="inlineStr">
        <is>
          <t>https://hayday.fandom.com/wiki/Rice_Noodles</t>
        </is>
      </c>
      <c r="AC241" s="50" t="inlineStr">
        <is>
          <t>Rice noodles</t>
        </is>
      </c>
    </row>
    <row r="242">
      <c r="A242" s="28" t="inlineStr">
        <is>
          <t>Carrot Pie</t>
        </is>
      </c>
      <c r="B242" s="28" t="inlineStr">
        <is>
          <t>Pie Oven</t>
        </is>
      </c>
      <c r="C242" s="50" t="inlineStr">
        <is>
          <t>Product</t>
        </is>
      </c>
      <c r="D242" s="28">
        <f>IF(E242&lt;&gt;"",E242,IF(F242&lt;&gt;"",F242,""))</f>
        <v/>
      </c>
      <c r="E242" s="50" t="n">
        <v>14</v>
      </c>
      <c r="F242" s="50" t="n">
        <v>14</v>
      </c>
      <c r="G242" s="50" t="n">
        <v>51</v>
      </c>
      <c r="H242" s="50" t="n">
        <v>60</v>
      </c>
      <c r="I242" s="50" t="n">
        <v>51</v>
      </c>
      <c r="J242" s="28">
        <f>IF(OR(G242="",AND(H242="",I242="")),"n/a",IF(G242=I242,"mastered",IF(G242=H242,"normal","differs")))</f>
        <v/>
      </c>
      <c r="K242" s="28">
        <f>IF(L242&lt;&gt;"",L242,IF(M242&lt;&gt;"",M242,""))</f>
        <v/>
      </c>
      <c r="L242" s="50" t="n">
        <v>82</v>
      </c>
      <c r="M242" s="50" t="n">
        <v>82</v>
      </c>
      <c r="N242" s="28">
        <f>IF(O242&lt;&gt;"",O242,IF(P242&lt;&gt;"",P242,""))</f>
        <v/>
      </c>
      <c r="O242" s="50" t="n">
        <v>10</v>
      </c>
      <c r="P242" s="50" t="n">
        <v>10</v>
      </c>
      <c r="Q242" s="50" t="n">
        <v>43.53</v>
      </c>
      <c r="R242" s="50" t="n">
        <v>11.76</v>
      </c>
      <c r="S242" s="28">
        <f>IF(Q242="","",IF(Q242&lt;0,"negative profit",IF(Q242&gt;Notes!$B$4,"unusually high - verify","")))</f>
        <v/>
      </c>
      <c r="T242" s="28" t="inlineStr">
        <is>
          <t>both</t>
        </is>
      </c>
      <c r="U242" s="28">
        <f>IF(T242&lt;&gt;"both",T242&amp;" only",IF(V242="","agree","conflict"))</f>
        <v/>
      </c>
      <c r="V242" s="28">
        <f>IF(T242="both",TRIM(IF(AND(E242&lt;&gt;"",F242&lt;&gt;"",E242&lt;&gt;F242),"level ","")&amp;IF(AND(L242&lt;&gt;"",M242&lt;&gt;"",L242&lt;&gt;M242),"price ","")&amp;IF(AND(O242&lt;&gt;"",P242&lt;&gt;"",O242&lt;&gt;P242),"xp ","")&amp;IF(J242="differs","time","")),"")</f>
        <v/>
      </c>
      <c r="X242" s="50" t="inlineStr">
        <is>
          <t>Carrot x3; Wheat x2; Egg x1</t>
        </is>
      </c>
      <c r="Y242" s="50" t="inlineStr">
        <is>
          <t>Carrot Pie.png</t>
        </is>
      </c>
      <c r="Z242" s="50" t="inlineStr">
        <is>
          <t>icons/Pie Oven/Carrot Pie.png</t>
        </is>
      </c>
      <c r="AA242" s="28" t="inlineStr">
        <is>
          <t>hayday.info /api/production-data (2026-10-13) + Hay Day Wiki infobox via MediaWiki API (2026-10-13)</t>
        </is>
      </c>
      <c r="AB242" s="28" t="inlineStr">
        <is>
          <t>https://hayday.fandom.com/wiki/Carrot_Pie</t>
        </is>
      </c>
      <c r="AC242" s="50" t="inlineStr">
        <is>
          <t>Carrot pie</t>
        </is>
      </c>
    </row>
    <row r="243">
      <c r="A243" s="28" t="inlineStr">
        <is>
          <t>Pumpkin Pie</t>
        </is>
      </c>
      <c r="B243" s="28" t="inlineStr">
        <is>
          <t>Pie Oven</t>
        </is>
      </c>
      <c r="C243" s="50" t="inlineStr">
        <is>
          <t>Product</t>
        </is>
      </c>
      <c r="D243" s="28">
        <f>IF(E243&lt;&gt;"",E243,IF(F243&lt;&gt;"",F243,""))</f>
        <v/>
      </c>
      <c r="E243" s="50" t="n">
        <v>15</v>
      </c>
      <c r="F243" s="50" t="n">
        <v>15</v>
      </c>
      <c r="G243" s="50" t="n">
        <v>102</v>
      </c>
      <c r="H243" s="50" t="n">
        <v>120</v>
      </c>
      <c r="I243" s="50" t="n">
        <v>102</v>
      </c>
      <c r="J243" s="28">
        <f>IF(OR(G243="",AND(H243="",I243="")),"n/a",IF(G243=I243,"mastered",IF(G243=H243,"normal","differs")))</f>
        <v/>
      </c>
      <c r="K243" s="28">
        <f>IF(L243&lt;&gt;"",L243,IF(M243&lt;&gt;"",M243,""))</f>
        <v/>
      </c>
      <c r="L243" s="50" t="n">
        <v>158</v>
      </c>
      <c r="M243" s="50" t="n">
        <v>158</v>
      </c>
      <c r="N243" s="28">
        <f>IF(O243&lt;&gt;"",O243,IF(P243&lt;&gt;"",P243,""))</f>
        <v/>
      </c>
      <c r="O243" s="50" t="n">
        <v>19</v>
      </c>
      <c r="P243" s="50" t="n">
        <v>19</v>
      </c>
      <c r="Q243" s="50" t="n">
        <v>22.35</v>
      </c>
      <c r="R243" s="50" t="n">
        <v>11.18</v>
      </c>
      <c r="S243" s="28">
        <f>IF(Q243="","",IF(Q243&lt;0,"negative profit",IF(Q243&gt;Notes!$B$4,"unusually high - verify","")))</f>
        <v/>
      </c>
      <c r="T243" s="28" t="inlineStr">
        <is>
          <t>both</t>
        </is>
      </c>
      <c r="U243" s="28">
        <f>IF(T243&lt;&gt;"both",T243&amp;" only",IF(V243="","agree","conflict"))</f>
        <v/>
      </c>
      <c r="V243" s="28">
        <f>IF(T243="both",TRIM(IF(AND(E243&lt;&gt;"",F243&lt;&gt;"",E243&lt;&gt;F243),"level ","")&amp;IF(AND(L243&lt;&gt;"",M243&lt;&gt;"",L243&lt;&gt;M243),"price ","")&amp;IF(AND(O243&lt;&gt;"",P243&lt;&gt;"",O243&lt;&gt;P243),"xp ","")&amp;IF(J243="differs","time","")),"")</f>
        <v/>
      </c>
      <c r="W243" s="28" t="inlineStr">
        <is>
          <t>price 97 (machine page) vs 158 (product page)</t>
        </is>
      </c>
      <c r="X243" s="50" t="inlineStr">
        <is>
          <t>Pumpkin x3; Wheat x2; Egg x1</t>
        </is>
      </c>
      <c r="Y243" s="50" t="inlineStr">
        <is>
          <t>Pumpkin Pie.png</t>
        </is>
      </c>
      <c r="Z243" s="50" t="inlineStr">
        <is>
          <t>icons/Pie Oven/Pumpkin Pie.png</t>
        </is>
      </c>
      <c r="AA243" s="28" t="inlineStr">
        <is>
          <t>hayday.info /api/production-data (2026-10-13) + Hay Day Wiki infobox via MediaWiki API (2026-10-13)</t>
        </is>
      </c>
      <c r="AB243" s="28" t="inlineStr">
        <is>
          <t>https://hayday.fandom.com/wiki/Pumpkin_Pie</t>
        </is>
      </c>
      <c r="AC243" s="50" t="inlineStr">
        <is>
          <t>Pumpkin pie</t>
        </is>
      </c>
    </row>
    <row r="244">
      <c r="A244" s="28" t="inlineStr">
        <is>
          <t>Bacon Pie</t>
        </is>
      </c>
      <c r="B244" s="28" t="inlineStr">
        <is>
          <t>Pie Oven</t>
        </is>
      </c>
      <c r="C244" s="50" t="inlineStr">
        <is>
          <t>Product</t>
        </is>
      </c>
      <c r="D244" s="28">
        <f>IF(E244&lt;&gt;"",E244,IF(F244&lt;&gt;"",F244,""))</f>
        <v/>
      </c>
      <c r="E244" s="50" t="n">
        <v>18</v>
      </c>
      <c r="F244" s="50" t="n">
        <v>18</v>
      </c>
      <c r="G244" s="50" t="n">
        <v>153</v>
      </c>
      <c r="H244" s="50" t="n">
        <v>180</v>
      </c>
      <c r="I244" s="50" t="n">
        <v>153</v>
      </c>
      <c r="J244" s="28">
        <f>IF(OR(G244="",AND(H244="",I244="")),"n/a",IF(G244=I244,"mastered",IF(G244=H244,"normal","differs")))</f>
        <v/>
      </c>
      <c r="K244" s="28">
        <f>IF(L244&lt;&gt;"",L244,IF(M244&lt;&gt;"",M244,""))</f>
        <v/>
      </c>
      <c r="L244" s="50" t="n">
        <v>219</v>
      </c>
      <c r="M244" s="50" t="n">
        <v>219</v>
      </c>
      <c r="N244" s="28">
        <f>IF(O244&lt;&gt;"",O244,IF(P244&lt;&gt;"",P244,""))</f>
        <v/>
      </c>
      <c r="O244" s="50" t="n">
        <v>26</v>
      </c>
      <c r="P244" s="50" t="n">
        <v>26</v>
      </c>
      <c r="Q244" s="50" t="n">
        <v>17.65</v>
      </c>
      <c r="R244" s="50" t="n">
        <v>10.2</v>
      </c>
      <c r="S244" s="28">
        <f>IF(Q244="","",IF(Q244&lt;0,"negative profit",IF(Q244&gt;Notes!$B$4,"unusually high - verify","")))</f>
        <v/>
      </c>
      <c r="T244" s="28" t="inlineStr">
        <is>
          <t>both</t>
        </is>
      </c>
      <c r="U244" s="28">
        <f>IF(T244&lt;&gt;"both",T244&amp;" only",IF(V244="","agree","conflict"))</f>
        <v/>
      </c>
      <c r="V244" s="28">
        <f>IF(T244="both",TRIM(IF(AND(E244&lt;&gt;"",F244&lt;&gt;"",E244&lt;&gt;F244),"level ","")&amp;IF(AND(L244&lt;&gt;"",M244&lt;&gt;"",L244&lt;&gt;M244),"price ","")&amp;IF(AND(O244&lt;&gt;"",P244&lt;&gt;"",O244&lt;&gt;P244),"xp ","")&amp;IF(J244="differs","time","")),"")</f>
        <v/>
      </c>
      <c r="W244" s="28" t="inlineStr">
        <is>
          <t>price 180 (machine page) vs 219 (product page)</t>
        </is>
      </c>
      <c r="X244" s="50" t="inlineStr">
        <is>
          <t>Wheat x2; Bacon x3; Egg x1</t>
        </is>
      </c>
      <c r="Y244" s="50" t="inlineStr">
        <is>
          <t>Bacon Pie.png</t>
        </is>
      </c>
      <c r="Z244" s="50" t="inlineStr">
        <is>
          <t>icons/Pie Oven/Bacon Pie.png</t>
        </is>
      </c>
      <c r="AA244" s="28" t="inlineStr">
        <is>
          <t>hayday.info /api/production-data (2026-10-13) + Hay Day Wiki infobox via MediaWiki API (2026-10-13)</t>
        </is>
      </c>
      <c r="AB244" s="28" t="inlineStr">
        <is>
          <t>https://hayday.fandom.com/wiki/Bacon_Pie</t>
        </is>
      </c>
      <c r="AC244" s="50" t="inlineStr">
        <is>
          <t>Bacon pie</t>
        </is>
      </c>
    </row>
    <row r="245">
      <c r="A245" s="28" t="inlineStr">
        <is>
          <t>Apple Pie</t>
        </is>
      </c>
      <c r="B245" s="28" t="inlineStr">
        <is>
          <t>Pie Oven</t>
        </is>
      </c>
      <c r="C245" s="50" t="inlineStr">
        <is>
          <t>Product</t>
        </is>
      </c>
      <c r="D245" s="28">
        <f>IF(E245&lt;&gt;"",E245,IF(F245&lt;&gt;"",F245,""))</f>
        <v/>
      </c>
      <c r="E245" s="50" t="n">
        <v>28</v>
      </c>
      <c r="F245" s="50" t="n">
        <v>28</v>
      </c>
      <c r="G245" s="50" t="n">
        <v>127</v>
      </c>
      <c r="H245" s="50" t="n">
        <v>150</v>
      </c>
      <c r="I245" s="50" t="n">
        <v>127</v>
      </c>
      <c r="J245" s="28">
        <f>IF(OR(G245="",AND(H245="",I245="")),"n/a",IF(G245=I245,"mastered",IF(G245=H245,"normal","differs")))</f>
        <v/>
      </c>
      <c r="K245" s="28">
        <f>IF(L245&lt;&gt;"",L245,IF(M245&lt;&gt;"",M245,""))</f>
        <v/>
      </c>
      <c r="L245" s="50" t="n">
        <v>270</v>
      </c>
      <c r="M245" s="50" t="n">
        <v>270</v>
      </c>
      <c r="N245" s="28">
        <f>IF(O245&lt;&gt;"",O245,IF(P245&lt;&gt;"",P245,""))</f>
        <v/>
      </c>
      <c r="O245" s="50" t="n">
        <v>32</v>
      </c>
      <c r="P245" s="50" t="n">
        <v>32</v>
      </c>
      <c r="Q245" s="50" t="n">
        <v>18.35</v>
      </c>
      <c r="R245" s="50" t="n">
        <v>15.06</v>
      </c>
      <c r="S245" s="28">
        <f>IF(Q245="","",IF(Q245&lt;0,"negative profit",IF(Q245&gt;Notes!$B$4,"unusually high - verify","")))</f>
        <v/>
      </c>
      <c r="T245" s="28" t="inlineStr">
        <is>
          <t>both</t>
        </is>
      </c>
      <c r="U245" s="28">
        <f>IF(T245&lt;&gt;"both",T245&amp;" only",IF(V245="","agree","conflict"))</f>
        <v/>
      </c>
      <c r="V245" s="28">
        <f>IF(T245="both",TRIM(IF(AND(E245&lt;&gt;"",F245&lt;&gt;"",E245&lt;&gt;F245),"level ","")&amp;IF(AND(L245&lt;&gt;"",M245&lt;&gt;"",L245&lt;&gt;M245),"price ","")&amp;IF(AND(O245&lt;&gt;"",P245&lt;&gt;"",O245&lt;&gt;P245),"xp ","")&amp;IF(J245="differs","time","")),"")</f>
        <v/>
      </c>
      <c r="X245" s="50" t="inlineStr">
        <is>
          <t>Apple x3; Wheat x2; Egg x1; Syrup x1</t>
        </is>
      </c>
      <c r="Y245" s="50" t="inlineStr">
        <is>
          <t>Apple Pie.png</t>
        </is>
      </c>
      <c r="Z245" s="50" t="inlineStr">
        <is>
          <t>icons/Pie Oven/Apple Pie.png</t>
        </is>
      </c>
      <c r="AA245" s="28" t="inlineStr">
        <is>
          <t>hayday.info /api/production-data (2026-10-13) + Hay Day Wiki infobox via MediaWiki API (2026-10-13)</t>
        </is>
      </c>
      <c r="AB245" s="28" t="inlineStr">
        <is>
          <t>https://hayday.fandom.com/wiki/Apple_Pie</t>
        </is>
      </c>
      <c r="AC245" s="50" t="inlineStr">
        <is>
          <t>Apple pie</t>
        </is>
      </c>
    </row>
    <row r="246">
      <c r="A246" s="28" t="inlineStr">
        <is>
          <t>Fish Pie</t>
        </is>
      </c>
      <c r="B246" s="28" t="inlineStr">
        <is>
          <t>Pie Oven</t>
        </is>
      </c>
      <c r="C246" s="50" t="inlineStr">
        <is>
          <t>Product</t>
        </is>
      </c>
      <c r="D246" s="28">
        <f>IF(E246&lt;&gt;"",E246,IF(F246&lt;&gt;"",F246,""))</f>
        <v/>
      </c>
      <c r="E246" s="50" t="n">
        <v>28</v>
      </c>
      <c r="F246" s="50" t="n">
        <v>28</v>
      </c>
      <c r="G246" s="50" t="n">
        <v>102</v>
      </c>
      <c r="H246" s="50" t="n">
        <v>120</v>
      </c>
      <c r="I246" s="50" t="n">
        <v>102</v>
      </c>
      <c r="J246" s="28">
        <f>IF(OR(G246="",AND(H246="",I246="")),"n/a",IF(G246=I246,"mastered",IF(G246=H246,"normal","differs")))</f>
        <v/>
      </c>
      <c r="K246" s="28">
        <f>IF(L246&lt;&gt;"",L246,IF(M246&lt;&gt;"",M246,""))</f>
        <v/>
      </c>
      <c r="L246" s="50" t="n">
        <v>226</v>
      </c>
      <c r="M246" s="50" t="n">
        <v>226</v>
      </c>
      <c r="N246" s="28">
        <f>IF(O246&lt;&gt;"",O246,IF(P246&lt;&gt;"",P246,""))</f>
        <v/>
      </c>
      <c r="O246" s="50" t="n">
        <v>27</v>
      </c>
      <c r="P246" s="50" t="n">
        <v>27</v>
      </c>
      <c r="Q246" s="50" t="n">
        <v>23.53</v>
      </c>
      <c r="R246" s="50" t="n">
        <v>15.88</v>
      </c>
      <c r="S246" s="28">
        <f>IF(Q246="","",IF(Q246&lt;0,"negative profit",IF(Q246&gt;Notes!$B$4,"unusually high - verify","")))</f>
        <v/>
      </c>
      <c r="T246" s="28" t="inlineStr">
        <is>
          <t>both</t>
        </is>
      </c>
      <c r="U246" s="28">
        <f>IF(T246&lt;&gt;"both",T246&amp;" only",IF(V246="","agree","conflict"))</f>
        <v/>
      </c>
      <c r="V246" s="28">
        <f>IF(T246="both",TRIM(IF(AND(E246&lt;&gt;"",F246&lt;&gt;"",E246&lt;&gt;F246),"level ","")&amp;IF(AND(L246&lt;&gt;"",M246&lt;&gt;"",L246&lt;&gt;M246),"price ","")&amp;IF(AND(O246&lt;&gt;"",P246&lt;&gt;"",O246&lt;&gt;P246),"xp ","")&amp;IF(J246="differs","time","")),"")</f>
        <v/>
      </c>
      <c r="X246" s="50" t="inlineStr">
        <is>
          <t>Fish Fillet x3; Wheat x2; Egg x1</t>
        </is>
      </c>
      <c r="Y246" s="50" t="inlineStr">
        <is>
          <t>Fish Pie.png</t>
        </is>
      </c>
      <c r="Z246" s="50" t="inlineStr">
        <is>
          <t>icons/Pie Oven/Fish Pie.png</t>
        </is>
      </c>
      <c r="AA246" s="28" t="inlineStr">
        <is>
          <t>hayday.info /api/production-data (2026-10-13) + Hay Day Wiki infobox via MediaWiki API (2026-10-13)</t>
        </is>
      </c>
      <c r="AB246" s="28" t="inlineStr">
        <is>
          <t>https://hayday.fandom.com/wiki/Fish_Pie</t>
        </is>
      </c>
      <c r="AC246" s="50" t="inlineStr">
        <is>
          <t>Fish pie</t>
        </is>
      </c>
    </row>
    <row r="247">
      <c r="A247" s="28" t="inlineStr">
        <is>
          <t>Feta Pie</t>
        </is>
      </c>
      <c r="B247" s="28" t="inlineStr">
        <is>
          <t>Pie Oven</t>
        </is>
      </c>
      <c r="C247" s="50" t="inlineStr">
        <is>
          <t>Product</t>
        </is>
      </c>
      <c r="D247" s="28">
        <f>IF(E247&lt;&gt;"",E247,IF(F247&lt;&gt;"",F247,""))</f>
        <v/>
      </c>
      <c r="E247" s="50" t="n">
        <v>34</v>
      </c>
      <c r="F247" s="50" t="n">
        <v>34</v>
      </c>
      <c r="G247" s="50" t="n">
        <v>76</v>
      </c>
      <c r="H247" s="50" t="n">
        <v>90</v>
      </c>
      <c r="I247" s="50" t="n">
        <v>76</v>
      </c>
      <c r="J247" s="28">
        <f>IF(OR(G247="",AND(H247="",I247="")),"n/a",IF(G247=I247,"mastered",IF(G247=H247,"normal","differs")))</f>
        <v/>
      </c>
      <c r="K247" s="28">
        <f>IF(L247&lt;&gt;"",L247,IF(M247&lt;&gt;"",M247,""))</f>
        <v/>
      </c>
      <c r="L247" s="50" t="n">
        <v>223</v>
      </c>
      <c r="M247" s="50" t="n">
        <v>223</v>
      </c>
      <c r="N247" s="28">
        <f>IF(O247&lt;&gt;"",O247,IF(P247&lt;&gt;"",P247,""))</f>
        <v/>
      </c>
      <c r="O247" s="50" t="n">
        <v>26</v>
      </c>
      <c r="P247" s="50" t="n">
        <v>26</v>
      </c>
      <c r="Q247" s="50" t="n">
        <v>29.02</v>
      </c>
      <c r="R247" s="50" t="n">
        <v>20.39</v>
      </c>
      <c r="S247" s="28">
        <f>IF(Q247="","",IF(Q247&lt;0,"negative profit",IF(Q247&gt;Notes!$B$4,"unusually high - verify","")))</f>
        <v/>
      </c>
      <c r="T247" s="28" t="inlineStr">
        <is>
          <t>both</t>
        </is>
      </c>
      <c r="U247" s="28">
        <f>IF(T247&lt;&gt;"both",T247&amp;" only",IF(V247="","agree","conflict"))</f>
        <v/>
      </c>
      <c r="V247" s="28">
        <f>IF(T247="both",TRIM(IF(AND(E247&lt;&gt;"",F247&lt;&gt;"",E247&lt;&gt;F247),"level ","")&amp;IF(AND(L247&lt;&gt;"",M247&lt;&gt;"",L247&lt;&gt;M247),"price ","")&amp;IF(AND(O247&lt;&gt;"",P247&lt;&gt;"",O247&lt;&gt;P247),"xp ","")&amp;IF(J247="differs","time","")),"")</f>
        <v/>
      </c>
      <c r="X247" s="50" t="inlineStr">
        <is>
          <t>Goat Cheese x1; Wheat x2; Egg x1</t>
        </is>
      </c>
      <c r="Y247" s="50" t="inlineStr">
        <is>
          <t>Feta Pie.png</t>
        </is>
      </c>
      <c r="Z247" s="50" t="inlineStr">
        <is>
          <t>icons/Pie Oven/Feta Pie.png</t>
        </is>
      </c>
      <c r="AA247" s="28" t="inlineStr">
        <is>
          <t>hayday.info /api/production-data (2026-10-13) + Hay Day Wiki infobox via MediaWiki API (2026-10-13)</t>
        </is>
      </c>
      <c r="AB247" s="28" t="inlineStr">
        <is>
          <t>https://hayday.fandom.com/wiki/Feta_Pie</t>
        </is>
      </c>
      <c r="AC247" s="50" t="inlineStr">
        <is>
          <t>Feta pie</t>
        </is>
      </c>
    </row>
    <row r="248">
      <c r="A248" s="28" t="inlineStr">
        <is>
          <t>Casserole</t>
        </is>
      </c>
      <c r="B248" s="28" t="inlineStr">
        <is>
          <t>Pie Oven</t>
        </is>
      </c>
      <c r="C248" s="50" t="inlineStr">
        <is>
          <t>Product</t>
        </is>
      </c>
      <c r="D248" s="28">
        <f>IF(E248&lt;&gt;"",E248,IF(F248&lt;&gt;"",F248,""))</f>
        <v/>
      </c>
      <c r="E248" s="50" t="n">
        <v>36</v>
      </c>
      <c r="F248" s="50" t="n">
        <v>36</v>
      </c>
      <c r="G248" s="50" t="n">
        <v>102</v>
      </c>
      <c r="H248" s="50" t="n">
        <v>120</v>
      </c>
      <c r="I248" s="50" t="n">
        <v>102</v>
      </c>
      <c r="J248" s="28">
        <f>IF(OR(G248="",AND(H248="",I248="")),"n/a",IF(G248=I248,"mastered",IF(G248=H248,"normal","differs")))</f>
        <v/>
      </c>
      <c r="K248" s="28">
        <f>IF(L248&lt;&gt;"",L248,IF(M248&lt;&gt;"",M248,""))</f>
        <v/>
      </c>
      <c r="L248" s="50" t="n">
        <v>367</v>
      </c>
      <c r="M248" s="50" t="n">
        <v>367</v>
      </c>
      <c r="N248" s="28">
        <f>IF(O248&lt;&gt;"",O248,IF(P248&lt;&gt;"",P248,""))</f>
        <v/>
      </c>
      <c r="O248" s="50" t="n">
        <v>44</v>
      </c>
      <c r="P248" s="50" t="n">
        <v>44</v>
      </c>
      <c r="Q248" s="50" t="n">
        <v>21.76</v>
      </c>
      <c r="R248" s="50" t="n">
        <v>25.88</v>
      </c>
      <c r="S248" s="28">
        <f>IF(Q248="","",IF(Q248&lt;0,"negative profit",IF(Q248&gt;Notes!$B$4,"unusually high - verify","")))</f>
        <v/>
      </c>
      <c r="T248" s="28" t="inlineStr">
        <is>
          <t>both</t>
        </is>
      </c>
      <c r="U248" s="28">
        <f>IF(T248&lt;&gt;"both",T248&amp;" only",IF(V248="","agree","conflict"))</f>
        <v/>
      </c>
      <c r="V248" s="28">
        <f>IF(T248="both",TRIM(IF(AND(E248&lt;&gt;"",F248&lt;&gt;"",E248&lt;&gt;F248),"level ","")&amp;IF(AND(L248&lt;&gt;"",M248&lt;&gt;"",L248&lt;&gt;M248),"price ","")&amp;IF(AND(O248&lt;&gt;"",P248&lt;&gt;"",O248&lt;&gt;P248),"xp ","")&amp;IF(J248="differs","time","")),"")</f>
        <v/>
      </c>
      <c r="X248" s="50" t="inlineStr">
        <is>
          <t>Potato x2; Bacon x2; Egg x2; Cheese x1</t>
        </is>
      </c>
      <c r="Y248" s="50" t="inlineStr">
        <is>
          <t>Casserole.png</t>
        </is>
      </c>
      <c r="Z248" s="50" t="inlineStr">
        <is>
          <t>icons/Pie Oven/Casserole.png</t>
        </is>
      </c>
      <c r="AA248" s="28" t="inlineStr">
        <is>
          <t>hayday.info /api/production-data (2026-10-13) + Hay Day Wiki infobox via MediaWiki API (2026-10-13)</t>
        </is>
      </c>
      <c r="AB248" s="28" t="inlineStr">
        <is>
          <t>https://hayday.fandom.com/wiki/Casserole</t>
        </is>
      </c>
      <c r="AC248" s="50" t="inlineStr">
        <is>
          <t>Casserole</t>
        </is>
      </c>
    </row>
    <row r="249">
      <c r="A249" s="28" t="inlineStr">
        <is>
          <t>Shepherd's Pie</t>
        </is>
      </c>
      <c r="B249" s="28" t="inlineStr">
        <is>
          <t>Pie Oven</t>
        </is>
      </c>
      <c r="C249" s="50" t="inlineStr">
        <is>
          <t>Product</t>
        </is>
      </c>
      <c r="D249" s="28">
        <f>IF(E249&lt;&gt;"",E249,IF(F249&lt;&gt;"",F249,""))</f>
        <v/>
      </c>
      <c r="E249" s="50" t="n">
        <v>39</v>
      </c>
      <c r="F249" s="50" t="n">
        <v>39</v>
      </c>
      <c r="G249" s="50" t="n">
        <v>85</v>
      </c>
      <c r="H249" s="50" t="n">
        <v>100</v>
      </c>
      <c r="I249" s="50" t="n">
        <v>85</v>
      </c>
      <c r="J249" s="28">
        <f>IF(OR(G249="",AND(H249="",I249="")),"n/a",IF(G249=I249,"mastered",IF(G249=H249,"normal","differs")))</f>
        <v/>
      </c>
      <c r="K249" s="28">
        <f>IF(L249&lt;&gt;"",L249,IF(M249&lt;&gt;"",M249,""))</f>
        <v/>
      </c>
      <c r="L249" s="50" t="n">
        <v>280</v>
      </c>
      <c r="M249" s="50" t="n">
        <v>280</v>
      </c>
      <c r="N249" s="28">
        <f>IF(O249&lt;&gt;"",O249,IF(P249&lt;&gt;"",P249,""))</f>
        <v/>
      </c>
      <c r="O249" s="50" t="n">
        <v>34</v>
      </c>
      <c r="P249" s="50" t="n">
        <v>34</v>
      </c>
      <c r="Q249" s="50" t="n">
        <v>21.18</v>
      </c>
      <c r="R249" s="50" t="n">
        <v>24</v>
      </c>
      <c r="S249" s="28">
        <f>IF(Q249="","",IF(Q249&lt;0,"negative profit",IF(Q249&gt;Notes!$B$4,"unusually high - verify","")))</f>
        <v/>
      </c>
      <c r="T249" s="28" t="inlineStr">
        <is>
          <t>both</t>
        </is>
      </c>
      <c r="U249" s="28">
        <f>IF(T249&lt;&gt;"both",T249&amp;" only",IF(V249="","agree","conflict"))</f>
        <v/>
      </c>
      <c r="V249" s="28">
        <f>IF(T249="both",TRIM(IF(AND(E249&lt;&gt;"",F249&lt;&gt;"",E249&lt;&gt;F249),"level ","")&amp;IF(AND(L249&lt;&gt;"",M249&lt;&gt;"",L249&lt;&gt;M249),"price ","")&amp;IF(AND(O249&lt;&gt;"",P249&lt;&gt;"",O249&lt;&gt;P249),"xp ","")&amp;IF(J249="differs","time","")),"")</f>
        <v/>
      </c>
      <c r="X249" s="50" t="inlineStr">
        <is>
          <t>Potato x2; Bacon x2; Carrot x2; Pumpkin x2</t>
        </is>
      </c>
      <c r="Y249" s="50" t="inlineStr">
        <is>
          <t>Shepherd's Pie.png</t>
        </is>
      </c>
      <c r="Z249" s="50" t="inlineStr">
        <is>
          <t>icons/Pie Oven/Shepherd's Pie.png</t>
        </is>
      </c>
      <c r="AA249" s="28" t="inlineStr">
        <is>
          <t>hayday.info /api/production-data (2026-10-13) + Hay Day Wiki infobox via MediaWiki API (2026-10-13)</t>
        </is>
      </c>
      <c r="AB249" s="28" t="inlineStr">
        <is>
          <t>https://hayday.fandom.com/wiki/Shepherd's_Pie</t>
        </is>
      </c>
      <c r="AC249" s="50" t="inlineStr">
        <is>
          <t>Shepherd's pie</t>
        </is>
      </c>
    </row>
    <row r="250">
      <c r="A250" s="28" t="inlineStr">
        <is>
          <t>Chocolate Pie</t>
        </is>
      </c>
      <c r="B250" s="28" t="inlineStr">
        <is>
          <t>Pie Oven</t>
        </is>
      </c>
      <c r="C250" s="50" t="inlineStr">
        <is>
          <t>Product</t>
        </is>
      </c>
      <c r="D250" s="28">
        <f>IF(E250&lt;&gt;"",E250,IF(F250&lt;&gt;"",F250,""))</f>
        <v/>
      </c>
      <c r="E250" s="50" t="n">
        <v>65</v>
      </c>
      <c r="F250" s="50" t="n">
        <v>65</v>
      </c>
      <c r="G250" s="50" t="n">
        <v>63</v>
      </c>
      <c r="H250" s="50" t="n">
        <v>75</v>
      </c>
      <c r="I250" s="50" t="n">
        <v>63</v>
      </c>
      <c r="J250" s="28">
        <f>IF(OR(G250="",AND(H250="",I250="")),"n/a",IF(G250=I250,"mastered",IF(G250=H250,"normal","differs")))</f>
        <v/>
      </c>
      <c r="K250" s="28">
        <f>IF(L250&lt;&gt;"",L250,IF(M250&lt;&gt;"",M250,""))</f>
        <v/>
      </c>
      <c r="L250" s="50" t="n">
        <v>514</v>
      </c>
      <c r="M250" s="50" t="n">
        <v>514</v>
      </c>
      <c r="N250" s="28">
        <f>IF(O250&lt;&gt;"",O250,IF(P250&lt;&gt;"",P250,""))</f>
        <v/>
      </c>
      <c r="O250" s="50" t="n">
        <v>70</v>
      </c>
      <c r="P250" s="50" t="n">
        <v>70</v>
      </c>
      <c r="Q250" s="50" t="n">
        <v>76.23999999999999</v>
      </c>
      <c r="R250" s="50" t="n">
        <v>65.88</v>
      </c>
      <c r="S250" s="28">
        <f>IF(Q250="","",IF(Q250&lt;0,"negative profit",IF(Q250&gt;Notes!$B$4,"unusually high - verify","")))</f>
        <v/>
      </c>
      <c r="T250" s="28" t="inlineStr">
        <is>
          <t>both</t>
        </is>
      </c>
      <c r="U250" s="28">
        <f>IF(T250&lt;&gt;"both",T250&amp;" only",IF(V250="","agree","conflict"))</f>
        <v/>
      </c>
      <c r="V250" s="28">
        <f>IF(T250="both",TRIM(IF(AND(E250&lt;&gt;"",F250&lt;&gt;"",E250&lt;&gt;F250),"level ","")&amp;IF(AND(L250&lt;&gt;"",M250&lt;&gt;"",L250&lt;&gt;M250),"price ","")&amp;IF(AND(O250&lt;&gt;"",P250&lt;&gt;"",O250&lt;&gt;P250),"xp ","")&amp;IF(J250="differs","time","")),"")</f>
        <v/>
      </c>
      <c r="X250" s="50" t="inlineStr">
        <is>
          <t>Wheat x3; Cacao x2; Egg x1; Peanuts x1</t>
        </is>
      </c>
      <c r="Y250" s="50" t="inlineStr">
        <is>
          <t>Chocolate Pie.png</t>
        </is>
      </c>
      <c r="Z250" s="50" t="inlineStr">
        <is>
          <t>icons/Pie Oven/Chocolate Pie.png</t>
        </is>
      </c>
      <c r="AA250" s="28" t="inlineStr">
        <is>
          <t>hayday.info /api/production-data (2026-10-13) + Hay Day Wiki infobox via MediaWiki API (2026-10-13)</t>
        </is>
      </c>
      <c r="AB250" s="28" t="inlineStr">
        <is>
          <t>https://hayday.fandom.com/wiki/Chocolate_Pie</t>
        </is>
      </c>
      <c r="AC250" s="50" t="inlineStr">
        <is>
          <t>Chocolate pie</t>
        </is>
      </c>
    </row>
    <row r="251">
      <c r="A251" s="28" t="inlineStr">
        <is>
          <t>Lemon Pie</t>
        </is>
      </c>
      <c r="B251" s="28" t="inlineStr">
        <is>
          <t>Pie Oven</t>
        </is>
      </c>
      <c r="C251" s="50" t="inlineStr">
        <is>
          <t>Product</t>
        </is>
      </c>
      <c r="D251" s="28">
        <f>IF(E251&lt;&gt;"",E251,IF(F251&lt;&gt;"",F251,""))</f>
        <v/>
      </c>
      <c r="E251" s="50" t="n">
        <v>67</v>
      </c>
      <c r="F251" s="50" t="n">
        <v>67</v>
      </c>
      <c r="G251" s="50" t="n">
        <v>114</v>
      </c>
      <c r="H251" s="50" t="n">
        <v>135</v>
      </c>
      <c r="I251" s="50" t="n">
        <v>114</v>
      </c>
      <c r="J251" s="28">
        <f>IF(OR(G251="",AND(H251="",I251="")),"n/a",IF(G251=I251,"mastered",IF(G251=H251,"normal","differs")))</f>
        <v/>
      </c>
      <c r="K251" s="28">
        <f>IF(L251&lt;&gt;"",L251,IF(M251&lt;&gt;"",M251,""))</f>
        <v/>
      </c>
      <c r="L251" s="50" t="n">
        <v>446</v>
      </c>
      <c r="M251" s="50" t="n">
        <v>446</v>
      </c>
      <c r="N251" s="28">
        <f>IF(O251&lt;&gt;"",O251,IF(P251&lt;&gt;"",P251,""))</f>
        <v/>
      </c>
      <c r="O251" s="50" t="n">
        <v>53</v>
      </c>
      <c r="P251" s="50" t="n">
        <v>53</v>
      </c>
      <c r="Q251" s="50" t="n">
        <v>23.01</v>
      </c>
      <c r="R251" s="50" t="n">
        <v>27.71</v>
      </c>
      <c r="S251" s="28">
        <f>IF(Q251="","",IF(Q251&lt;0,"negative profit",IF(Q251&gt;Notes!$B$4,"unusually high - verify","")))</f>
        <v/>
      </c>
      <c r="T251" s="28" t="inlineStr">
        <is>
          <t>both</t>
        </is>
      </c>
      <c r="U251" s="28">
        <f>IF(T251&lt;&gt;"both",T251&amp;" only",IF(V251="","agree","conflict"))</f>
        <v/>
      </c>
      <c r="V251" s="28">
        <f>IF(T251="both",TRIM(IF(AND(E251&lt;&gt;"",F251&lt;&gt;"",E251&lt;&gt;F251),"level ","")&amp;IF(AND(L251&lt;&gt;"",M251&lt;&gt;"",L251&lt;&gt;M251),"price ","")&amp;IF(AND(O251&lt;&gt;"",P251&lt;&gt;"",O251&lt;&gt;P251),"xp ","")&amp;IF(J251="differs","time","")),"")</f>
        <v/>
      </c>
      <c r="X251" s="50" t="inlineStr">
        <is>
          <t>Lemon Curd x1; Wheat x2; Egg x1</t>
        </is>
      </c>
      <c r="Y251" s="50" t="inlineStr">
        <is>
          <t>Lemon Pie.png</t>
        </is>
      </c>
      <c r="Z251" s="50" t="inlineStr">
        <is>
          <t>icons/Pie Oven/Lemon Pie.png</t>
        </is>
      </c>
      <c r="AA251" s="28" t="inlineStr">
        <is>
          <t>hayday.info /api/production-data (2026-10-13) + Hay Day Wiki infobox via MediaWiki API (2026-10-13)</t>
        </is>
      </c>
      <c r="AB251" s="28" t="inlineStr">
        <is>
          <t>https://hayday.fandom.com/wiki/Lemon_Pie</t>
        </is>
      </c>
      <c r="AC251" s="50" t="inlineStr">
        <is>
          <t>Lemon pie</t>
        </is>
      </c>
    </row>
    <row r="252">
      <c r="A252" s="28" t="inlineStr">
        <is>
          <t>Peach Tart</t>
        </is>
      </c>
      <c r="B252" s="28" t="inlineStr">
        <is>
          <t>Pie Oven</t>
        </is>
      </c>
      <c r="C252" s="50" t="inlineStr">
        <is>
          <t>Product</t>
        </is>
      </c>
      <c r="D252" s="28">
        <f>IF(E252&lt;&gt;"",E252,IF(F252&lt;&gt;"",F252,""))</f>
        <v/>
      </c>
      <c r="E252" s="50" t="n">
        <v>76</v>
      </c>
      <c r="F252" s="50" t="n">
        <v>76</v>
      </c>
      <c r="G252" s="50" t="n">
        <v>127</v>
      </c>
      <c r="H252" s="50" t="n">
        <v>150</v>
      </c>
      <c r="I252" s="50" t="n">
        <v>127</v>
      </c>
      <c r="J252" s="28">
        <f>IF(OR(G252="",AND(H252="",I252="")),"n/a",IF(G252=I252,"mastered",IF(G252=H252,"normal","differs")))</f>
        <v/>
      </c>
      <c r="K252" s="28">
        <f>IF(L252&lt;&gt;"",L252,IF(M252&lt;&gt;"",M252,""))</f>
        <v/>
      </c>
      <c r="L252" s="50" t="n">
        <v>435</v>
      </c>
      <c r="M252" s="50" t="n">
        <v>435</v>
      </c>
      <c r="N252" s="28">
        <f>IF(O252&lt;&gt;"",O252,IF(P252&lt;&gt;"",P252,""))</f>
        <v/>
      </c>
      <c r="O252" s="50" t="n">
        <v>52</v>
      </c>
      <c r="P252" s="50" t="n">
        <v>52</v>
      </c>
      <c r="Q252" s="50" t="n">
        <v>20.24</v>
      </c>
      <c r="R252" s="50" t="n">
        <v>24.47</v>
      </c>
      <c r="S252" s="28">
        <f>IF(Q252="","",IF(Q252&lt;0,"negative profit",IF(Q252&gt;Notes!$B$4,"unusually high - verify","")))</f>
        <v/>
      </c>
      <c r="T252" s="28" t="inlineStr">
        <is>
          <t>both</t>
        </is>
      </c>
      <c r="U252" s="28">
        <f>IF(T252&lt;&gt;"both",T252&amp;" only",IF(V252="","agree","conflict"))</f>
        <v/>
      </c>
      <c r="V252" s="28">
        <f>IF(T252="both",TRIM(IF(AND(E252&lt;&gt;"",F252&lt;&gt;"",E252&lt;&gt;F252),"level ","")&amp;IF(AND(L252&lt;&gt;"",M252&lt;&gt;"",L252&lt;&gt;M252),"price ","")&amp;IF(AND(O252&lt;&gt;"",P252&lt;&gt;"",O252&lt;&gt;P252),"xp ","")&amp;IF(J252="differs","time","")),"")</f>
        <v/>
      </c>
      <c r="X252" s="50" t="inlineStr">
        <is>
          <t>Cream x1; Egg x2; Peach x3; Wheat x2</t>
        </is>
      </c>
      <c r="Y252" s="50" t="inlineStr">
        <is>
          <t>Peach Tart.png</t>
        </is>
      </c>
      <c r="Z252" s="50" t="inlineStr">
        <is>
          <t>icons/Pie Oven/Peach Tart.png</t>
        </is>
      </c>
      <c r="AA252" s="28" t="inlineStr">
        <is>
          <t>hayday.info /api/production-data (2026-10-13) + Hay Day Wiki infobox via MediaWiki API (2026-10-13)</t>
        </is>
      </c>
      <c r="AB252" s="28" t="inlineStr">
        <is>
          <t>https://hayday.fandom.com/wiki/Peach_Tart</t>
        </is>
      </c>
      <c r="AC252" s="50" t="inlineStr">
        <is>
          <t>Peach tart</t>
        </is>
      </c>
    </row>
    <row r="253">
      <c r="A253" s="28" t="inlineStr">
        <is>
          <t>Passion Fruit Pie</t>
        </is>
      </c>
      <c r="B253" s="28" t="inlineStr">
        <is>
          <t>Pie Oven</t>
        </is>
      </c>
      <c r="C253" s="50" t="inlineStr">
        <is>
          <t>Product</t>
        </is>
      </c>
      <c r="D253" s="28">
        <f>IF(E253&lt;&gt;"",E253,IF(F253&lt;&gt;"",F253,""))</f>
        <v/>
      </c>
      <c r="E253" s="50" t="n">
        <v>92</v>
      </c>
      <c r="F253" s="50" t="n">
        <v>92</v>
      </c>
      <c r="G253" s="50" t="n">
        <v>42</v>
      </c>
      <c r="H253" s="50" t="n">
        <v>50</v>
      </c>
      <c r="I253" s="50" t="n">
        <v>42</v>
      </c>
      <c r="J253" s="28">
        <f>IF(OR(G253="",AND(H253="",I253="")),"n/a",IF(G253=I253,"mastered",IF(G253=H253,"normal","differs")))</f>
        <v/>
      </c>
      <c r="K253" s="28">
        <f>IF(L253&lt;&gt;"",L253,IF(M253&lt;&gt;"",M253,""))</f>
        <v/>
      </c>
      <c r="L253" s="50" t="n">
        <v>111</v>
      </c>
      <c r="M253" s="50" t="n">
        <v>111</v>
      </c>
      <c r="N253" s="28">
        <f>IF(O253&lt;&gt;"",O253,IF(P253&lt;&gt;"",P253,""))</f>
        <v/>
      </c>
      <c r="O253" s="50" t="n">
        <v>13</v>
      </c>
      <c r="P253" s="50" t="n">
        <v>13</v>
      </c>
      <c r="Q253" s="50" t="n">
        <v>46.59</v>
      </c>
      <c r="R253" s="50" t="n">
        <v>18.35</v>
      </c>
      <c r="S253" s="28">
        <f>IF(Q253="","",IF(Q253&lt;0,"negative profit",IF(Q253&gt;Notes!$B$4,"unusually high - verify","")))</f>
        <v/>
      </c>
      <c r="T253" s="28" t="inlineStr">
        <is>
          <t>both</t>
        </is>
      </c>
      <c r="U253" s="28">
        <f>IF(T253&lt;&gt;"both",T253&amp;" only",IF(V253="","agree","conflict"))</f>
        <v/>
      </c>
      <c r="V253" s="28">
        <f>IF(T253="both",TRIM(IF(AND(E253&lt;&gt;"",F253&lt;&gt;"",E253&lt;&gt;F253),"level ","")&amp;IF(AND(L253&lt;&gt;"",M253&lt;&gt;"",L253&lt;&gt;M253),"price ","")&amp;IF(AND(O253&lt;&gt;"",P253&lt;&gt;"",O253&lt;&gt;P253),"xp ","")&amp;IF(J253="differs","time","")),"")</f>
        <v/>
      </c>
      <c r="X253" s="50" t="inlineStr">
        <is>
          <t>Passion Fruit x3; Wheat x2; Egg x1</t>
        </is>
      </c>
      <c r="Y253" s="50" t="inlineStr">
        <is>
          <t>Passion Fruit Pie.png</t>
        </is>
      </c>
      <c r="Z253" s="50" t="inlineStr">
        <is>
          <t>icons/Pie Oven/Passion Fruit Pie.png</t>
        </is>
      </c>
      <c r="AA253" s="28" t="inlineStr">
        <is>
          <t>hayday.info /api/production-data (2026-10-13) + Hay Day Wiki infobox via MediaWiki API (2026-10-13)</t>
        </is>
      </c>
      <c r="AB253" s="28" t="inlineStr">
        <is>
          <t>https://hayday.fandom.com/wiki/Passion_Fruit_Pie</t>
        </is>
      </c>
      <c r="AC253" s="50" t="inlineStr">
        <is>
          <t>Passion fruit pie</t>
        </is>
      </c>
    </row>
    <row r="254">
      <c r="A254" s="28" t="inlineStr">
        <is>
          <t>Mushroom Pot Pie</t>
        </is>
      </c>
      <c r="B254" s="28" t="inlineStr">
        <is>
          <t>Pie Oven</t>
        </is>
      </c>
      <c r="C254" s="50" t="inlineStr">
        <is>
          <t>Product</t>
        </is>
      </c>
      <c r="D254" s="28">
        <f>IF(E254&lt;&gt;"",E254,IF(F254&lt;&gt;"",F254,""))</f>
        <v/>
      </c>
      <c r="E254" s="50" t="n">
        <v>97</v>
      </c>
      <c r="F254" s="50" t="n">
        <v>97</v>
      </c>
      <c r="G254" s="50" t="n">
        <v>51</v>
      </c>
      <c r="H254" s="50" t="n">
        <v>60</v>
      </c>
      <c r="I254" s="50" t="n">
        <v>51</v>
      </c>
      <c r="J254" s="28">
        <f>IF(OR(G254="",AND(H254="",I254="")),"n/a",IF(G254=I254,"mastered",IF(G254=H254,"normal","differs")))</f>
        <v/>
      </c>
      <c r="K254" s="28">
        <f>IF(L254&lt;&gt;"",L254,IF(M254&lt;&gt;"",M254,""))</f>
        <v/>
      </c>
      <c r="L254" s="50" t="n">
        <v>162</v>
      </c>
      <c r="M254" s="50" t="n">
        <v>162</v>
      </c>
      <c r="N254" s="28">
        <f>IF(O254&lt;&gt;"",O254,IF(P254&lt;&gt;"",P254,""))</f>
        <v/>
      </c>
      <c r="O254" s="50" t="n">
        <v>19</v>
      </c>
      <c r="P254" s="50" t="n">
        <v>19</v>
      </c>
      <c r="Q254" s="50" t="n">
        <v>38.82</v>
      </c>
      <c r="R254" s="50" t="n">
        <v>22.35</v>
      </c>
      <c r="S254" s="28">
        <f>IF(Q254="","",IF(Q254&lt;0,"negative profit",IF(Q254&gt;Notes!$B$4,"unusually high - verify","")))</f>
        <v/>
      </c>
      <c r="T254" s="28" t="inlineStr">
        <is>
          <t>both</t>
        </is>
      </c>
      <c r="U254" s="28">
        <f>IF(T254&lt;&gt;"both",T254&amp;" only",IF(V254="","agree","conflict"))</f>
        <v/>
      </c>
      <c r="V254" s="28">
        <f>IF(T254="both",TRIM(IF(AND(E254&lt;&gt;"",F254&lt;&gt;"",E254&lt;&gt;F254),"level ","")&amp;IF(AND(L254&lt;&gt;"",M254&lt;&gt;"",L254&lt;&gt;M254),"price ","")&amp;IF(AND(O254&lt;&gt;"",P254&lt;&gt;"",O254&lt;&gt;P254),"xp ","")&amp;IF(J254="differs","time","")),"")</f>
        <v/>
      </c>
      <c r="X254" s="50" t="inlineStr">
        <is>
          <t>Mushroom x3; Cabbage x3; Wheat x3; Egg x2</t>
        </is>
      </c>
      <c r="Y254" s="50" t="inlineStr">
        <is>
          <t>Mushroom Pot Pie.png</t>
        </is>
      </c>
      <c r="Z254" s="50" t="inlineStr">
        <is>
          <t>icons/Pie Oven/Mushroom Pot Pie.png</t>
        </is>
      </c>
      <c r="AA254" s="28" t="inlineStr">
        <is>
          <t>hayday.info /api/production-data (2026-10-13) + Hay Day Wiki infobox via MediaWiki API (2026-10-13)</t>
        </is>
      </c>
      <c r="AB254" s="28" t="inlineStr">
        <is>
          <t>https://hayday.fandom.com/wiki/Mushroom_Pot_Pie</t>
        </is>
      </c>
      <c r="AC254" s="50" t="inlineStr">
        <is>
          <t>Mushroom pot pie</t>
        </is>
      </c>
    </row>
    <row r="255">
      <c r="A255" s="28" t="inlineStr">
        <is>
          <t>Eggplant Parmesan</t>
        </is>
      </c>
      <c r="B255" s="28" t="inlineStr">
        <is>
          <t>Pie Oven</t>
        </is>
      </c>
      <c r="C255" s="50" t="inlineStr">
        <is>
          <t>Product</t>
        </is>
      </c>
      <c r="D255" s="28">
        <f>IF(E255&lt;&gt;"",E255,IF(F255&lt;&gt;"",F255,""))</f>
        <v/>
      </c>
      <c r="E255" s="50" t="n">
        <v>99</v>
      </c>
      <c r="F255" s="50" t="n">
        <v>99</v>
      </c>
      <c r="G255" s="50" t="n">
        <v>38</v>
      </c>
      <c r="H255" s="50" t="n">
        <v>45</v>
      </c>
      <c r="I255" s="50" t="n">
        <v>38</v>
      </c>
      <c r="J255" s="28">
        <f>IF(OR(G255="",AND(H255="",I255="")),"n/a",IF(G255=I255,"mastered",IF(G255=H255,"normal","differs")))</f>
        <v/>
      </c>
      <c r="K255" s="28">
        <f>IF(L255&lt;&gt;"",L255,IF(M255&lt;&gt;"",M255,""))</f>
        <v/>
      </c>
      <c r="L255" s="50" t="n">
        <v>442</v>
      </c>
      <c r="M255" s="50" t="n">
        <v>442</v>
      </c>
      <c r="N255" s="28">
        <f>IF(O255&lt;&gt;"",O255,IF(P255&lt;&gt;"",P255,""))</f>
        <v/>
      </c>
      <c r="O255" s="50" t="n">
        <v>53</v>
      </c>
      <c r="P255" s="50" t="n">
        <v>53</v>
      </c>
      <c r="Q255" s="50" t="n">
        <v>75.29000000000001</v>
      </c>
      <c r="R255" s="50" t="n">
        <v>83.14</v>
      </c>
      <c r="S255" s="28">
        <f>IF(Q255="","",IF(Q255&lt;0,"negative profit",IF(Q255&gt;Notes!$B$4,"unusually high - verify","")))</f>
        <v/>
      </c>
      <c r="T255" s="28" t="inlineStr">
        <is>
          <t>both</t>
        </is>
      </c>
      <c r="U255" s="28">
        <f>IF(T255&lt;&gt;"both",T255&amp;" only",IF(V255="","agree","conflict"))</f>
        <v/>
      </c>
      <c r="V255" s="28">
        <f>IF(T255="both",TRIM(IF(AND(E255&lt;&gt;"",F255&lt;&gt;"",E255&lt;&gt;F255),"level ","")&amp;IF(AND(L255&lt;&gt;"",M255&lt;&gt;"",L255&lt;&gt;M255),"price ","")&amp;IF(AND(O255&lt;&gt;"",P255&lt;&gt;"",O255&lt;&gt;P255),"xp ","")&amp;IF(J255="differs","time","")),"")</f>
        <v/>
      </c>
      <c r="X255" s="50" t="inlineStr">
        <is>
          <t>Eggplant x4; Cheese x1; Tomato Sauce x1</t>
        </is>
      </c>
      <c r="Y255" s="50" t="inlineStr">
        <is>
          <t>Eggplant Parmesan.png</t>
        </is>
      </c>
      <c r="Z255" s="50" t="inlineStr">
        <is>
          <t>icons/Pie Oven/Eggplant Parmesan.png</t>
        </is>
      </c>
      <c r="AA255" s="28" t="inlineStr">
        <is>
          <t>hayday.info /api/production-data (2026-10-13) + Hay Day Wiki infobox via MediaWiki API (2026-10-13)</t>
        </is>
      </c>
      <c r="AB255" s="28" t="inlineStr">
        <is>
          <t>https://hayday.fandom.com/wiki/Eggplant_Parmesan</t>
        </is>
      </c>
      <c r="AC255" s="50" t="inlineStr">
        <is>
          <t>Eggplant parmesan</t>
        </is>
      </c>
    </row>
    <row r="256">
      <c r="A256" s="28" t="inlineStr">
        <is>
          <t>Asparagus Quiche</t>
        </is>
      </c>
      <c r="B256" s="28" t="inlineStr">
        <is>
          <t>Pie Oven</t>
        </is>
      </c>
      <c r="C256" s="50" t="inlineStr">
        <is>
          <t>Product</t>
        </is>
      </c>
      <c r="D256" s="28">
        <f>IF(E256&lt;&gt;"",E256,IF(F256&lt;&gt;"",F256,""))</f>
        <v/>
      </c>
      <c r="E256" s="50" t="n"/>
      <c r="F256" s="50" t="n">
        <v>49</v>
      </c>
      <c r="G256" s="50" t="n"/>
      <c r="H256" s="50" t="n">
        <v>120</v>
      </c>
      <c r="I256" s="50" t="n">
        <v>102</v>
      </c>
      <c r="J256" s="28">
        <f>IF(OR(G256="",AND(H256="",I256="")),"n/a",IF(G256=I256,"mastered",IF(G256=H256,"normal","differs")))</f>
        <v/>
      </c>
      <c r="K256" s="28">
        <f>IF(L256&lt;&gt;"",L256,IF(M256&lt;&gt;"",M256,""))</f>
        <v/>
      </c>
      <c r="L256" s="50" t="n"/>
      <c r="M256" s="50" t="n">
        <v>302</v>
      </c>
      <c r="N256" s="28">
        <f>IF(O256&lt;&gt;"",O256,IF(P256&lt;&gt;"",P256,""))</f>
        <v/>
      </c>
      <c r="O256" s="50" t="n"/>
      <c r="P256" s="50" t="n">
        <v>36</v>
      </c>
      <c r="Q256" s="50" t="n"/>
      <c r="R256" s="50" t="n"/>
      <c r="S256" s="28">
        <f>IF(Q256="","",IF(Q256&lt;0,"negative profit",IF(Q256&gt;Notes!$B$4,"unusually high - verify","")))</f>
        <v/>
      </c>
      <c r="T256" s="28" t="inlineStr">
        <is>
          <t>Fandom</t>
        </is>
      </c>
      <c r="U256" s="28">
        <f>IF(T256&lt;&gt;"both",T256&amp;" only",IF(V256="","agree","conflict"))</f>
        <v/>
      </c>
      <c r="V256" s="28">
        <f>IF(T256="both",TRIM(IF(AND(E256&lt;&gt;"",F256&lt;&gt;"",E256&lt;&gt;F256),"level ","")&amp;IF(AND(L256&lt;&gt;"",M256&lt;&gt;"",L256&lt;&gt;M256),"price ","")&amp;IF(AND(O256&lt;&gt;"",P256&lt;&gt;"",O256&lt;&gt;P256),"xp ","")&amp;IF(J256="differs","time","")),"")</f>
        <v/>
      </c>
      <c r="X256" s="50" t="inlineStr">
        <is>
          <t>Asparagus x2; Egg x2; Cheese x1; Wheat x4</t>
        </is>
      </c>
      <c r="Y256" s="50" t="inlineStr">
        <is>
          <t>Asparagus Quiche.png</t>
        </is>
      </c>
      <c r="Z256" s="50" t="inlineStr">
        <is>
          <t>icons/Pie Oven/Asparagus Quiche.png</t>
        </is>
      </c>
      <c r="AA256" s="28" t="inlineStr">
        <is>
          <t>Hay Day Wiki infobox via MediaWiki API (2026-10-13)</t>
        </is>
      </c>
      <c r="AB256" s="28" t="inlineStr">
        <is>
          <t>https://hayday.fandom.com/wiki/Asparagus_Quiche</t>
        </is>
      </c>
      <c r="AC256" s="50" t="n"/>
    </row>
    <row r="257">
      <c r="A257" s="28" t="inlineStr">
        <is>
          <t>Popcorn</t>
        </is>
      </c>
      <c r="B257" s="28" t="inlineStr">
        <is>
          <t>Popcorn Pot</t>
        </is>
      </c>
      <c r="C257" s="50" t="inlineStr">
        <is>
          <t>Product</t>
        </is>
      </c>
      <c r="D257" s="28">
        <f>IF(E257&lt;&gt;"",E257,IF(F257&lt;&gt;"",F257,""))</f>
        <v/>
      </c>
      <c r="E257" s="50" t="n">
        <v>8</v>
      </c>
      <c r="F257" s="50" t="n">
        <v>8</v>
      </c>
      <c r="G257" s="50" t="n">
        <v>25</v>
      </c>
      <c r="H257" s="50" t="n">
        <v>30</v>
      </c>
      <c r="I257" s="50" t="n">
        <v>25</v>
      </c>
      <c r="J257" s="28">
        <f>IF(OR(G257="",AND(H257="",I257="")),"n/a",IF(G257=I257,"mastered",IF(G257=H257,"normal","differs")))</f>
        <v/>
      </c>
      <c r="K257" s="28">
        <f>IF(L257&lt;&gt;"",L257,IF(M257&lt;&gt;"",M257,""))</f>
        <v/>
      </c>
      <c r="L257" s="50" t="n">
        <v>32</v>
      </c>
      <c r="M257" s="50" t="n">
        <v>32</v>
      </c>
      <c r="N257" s="28">
        <f>IF(O257&lt;&gt;"",O257,IF(P257&lt;&gt;"",P257,""))</f>
        <v/>
      </c>
      <c r="O257" s="50" t="n">
        <v>4</v>
      </c>
      <c r="P257" s="50" t="n">
        <v>4</v>
      </c>
      <c r="Q257" s="50" t="n">
        <v>42.35</v>
      </c>
      <c r="R257" s="50" t="n">
        <v>9.41</v>
      </c>
      <c r="S257" s="28">
        <f>IF(Q257="","",IF(Q257&lt;0,"negative profit",IF(Q257&gt;Notes!$B$4,"unusually high - verify","")))</f>
        <v/>
      </c>
      <c r="T257" s="28" t="inlineStr">
        <is>
          <t>both</t>
        </is>
      </c>
      <c r="U257" s="28">
        <f>IF(T257&lt;&gt;"both",T257&amp;" only",IF(V257="","agree","conflict"))</f>
        <v/>
      </c>
      <c r="V257" s="28">
        <f>IF(T257="both",TRIM(IF(AND(E257&lt;&gt;"",F257&lt;&gt;"",E257&lt;&gt;F257),"level ","")&amp;IF(AND(L257&lt;&gt;"",M257&lt;&gt;"",L257&lt;&gt;M257),"price ","")&amp;IF(AND(O257&lt;&gt;"",P257&lt;&gt;"",O257&lt;&gt;P257),"xp ","")&amp;IF(J257="differs","time","")),"")</f>
        <v/>
      </c>
      <c r="X257" s="50" t="inlineStr">
        <is>
          <t>Corn x2</t>
        </is>
      </c>
      <c r="Y257" s="50" t="inlineStr">
        <is>
          <t>Popcorn.png</t>
        </is>
      </c>
      <c r="Z257" s="50" t="inlineStr">
        <is>
          <t>icons/Popcorn Pot/Popcorn.png</t>
        </is>
      </c>
      <c r="AA257" s="28" t="inlineStr">
        <is>
          <t>hayday.info /api/production-data (2026-10-13) + Hay Day Wiki infobox via MediaWiki API (2026-10-13)</t>
        </is>
      </c>
      <c r="AB257" s="28" t="inlineStr">
        <is>
          <t>https://hayday.fandom.com/wiki/Popcorn</t>
        </is>
      </c>
      <c r="AC257" s="50" t="inlineStr">
        <is>
          <t>Popcorn</t>
        </is>
      </c>
    </row>
    <row r="258">
      <c r="A258" s="28" t="inlineStr">
        <is>
          <t>Buttered Popcorn</t>
        </is>
      </c>
      <c r="B258" s="28" t="inlineStr">
        <is>
          <t>Popcorn Pot</t>
        </is>
      </c>
      <c r="C258" s="50" t="inlineStr">
        <is>
          <t>Product</t>
        </is>
      </c>
      <c r="D258" s="28">
        <f>IF(E258&lt;&gt;"",E258,IF(F258&lt;&gt;"",F258,""))</f>
        <v/>
      </c>
      <c r="E258" s="50" t="n">
        <v>16</v>
      </c>
      <c r="F258" s="50" t="n">
        <v>16</v>
      </c>
      <c r="G258" s="50" t="n">
        <v>51</v>
      </c>
      <c r="H258" s="50" t="n">
        <v>60</v>
      </c>
      <c r="I258" s="50" t="n">
        <v>51</v>
      </c>
      <c r="J258" s="28">
        <f>IF(OR(G258="",AND(H258="",I258="")),"n/a",IF(G258=I258,"mastered",IF(G258=H258,"normal","differs")))</f>
        <v/>
      </c>
      <c r="K258" s="28">
        <f>IF(L258&lt;&gt;"",L258,IF(M258&lt;&gt;"",M258,""))</f>
        <v/>
      </c>
      <c r="L258" s="50" t="n">
        <v>126</v>
      </c>
      <c r="M258" s="50" t="n">
        <v>126</v>
      </c>
      <c r="N258" s="28">
        <f>IF(O258&lt;&gt;"",O258,IF(P258&lt;&gt;"",P258,""))</f>
        <v/>
      </c>
      <c r="O258" s="50" t="n">
        <v>15</v>
      </c>
      <c r="P258" s="50" t="n">
        <v>15</v>
      </c>
      <c r="Q258" s="50" t="n">
        <v>35.29</v>
      </c>
      <c r="R258" s="50" t="n">
        <v>17.65</v>
      </c>
      <c r="S258" s="28">
        <f>IF(Q258="","",IF(Q258&lt;0,"negative profit",IF(Q258&gt;Notes!$B$4,"unusually high - verify","")))</f>
        <v/>
      </c>
      <c r="T258" s="28" t="inlineStr">
        <is>
          <t>both</t>
        </is>
      </c>
      <c r="U258" s="28">
        <f>IF(T258&lt;&gt;"both",T258&amp;" only",IF(V258="","agree","conflict"))</f>
        <v/>
      </c>
      <c r="V258" s="28">
        <f>IF(T258="both",TRIM(IF(AND(E258&lt;&gt;"",F258&lt;&gt;"",E258&lt;&gt;F258),"level ","")&amp;IF(AND(L258&lt;&gt;"",M258&lt;&gt;"",L258&lt;&gt;M258),"price ","")&amp;IF(AND(O258&lt;&gt;"",P258&lt;&gt;"",O258&lt;&gt;P258),"xp ","")&amp;IF(J258="differs","time","")),"")</f>
        <v/>
      </c>
      <c r="X258" s="50" t="inlineStr">
        <is>
          <t>Corn x2; Butter x1</t>
        </is>
      </c>
      <c r="Y258" s="50" t="inlineStr">
        <is>
          <t>Buttered_Popcorn.png</t>
        </is>
      </c>
      <c r="Z258" s="50" t="inlineStr">
        <is>
          <t>icons/Popcorn Pot/Buttered Popcorn.png</t>
        </is>
      </c>
      <c r="AA258" s="28" t="inlineStr">
        <is>
          <t>hayday.info /api/production-data (2026-10-13) + Hay Day Wiki infobox via MediaWiki API (2026-10-13)</t>
        </is>
      </c>
      <c r="AB258" s="28" t="inlineStr">
        <is>
          <t>https://hayday.fandom.com/wiki/Buttered_Popcorn</t>
        </is>
      </c>
      <c r="AC258" s="50" t="inlineStr">
        <is>
          <t>Buttered popcorn</t>
        </is>
      </c>
    </row>
    <row r="259">
      <c r="A259" s="28" t="inlineStr">
        <is>
          <t>Chili Popcorn</t>
        </is>
      </c>
      <c r="B259" s="28" t="inlineStr">
        <is>
          <t>Popcorn Pot</t>
        </is>
      </c>
      <c r="C259" s="50" t="inlineStr">
        <is>
          <t>Product</t>
        </is>
      </c>
      <c r="D259" s="28">
        <f>IF(E259&lt;&gt;"",E259,IF(F259&lt;&gt;"",F259,""))</f>
        <v/>
      </c>
      <c r="E259" s="50" t="n">
        <v>25</v>
      </c>
      <c r="F259" s="50" t="n">
        <v>25</v>
      </c>
      <c r="G259" s="50" t="n">
        <v>102</v>
      </c>
      <c r="H259" s="50" t="n">
        <v>120</v>
      </c>
      <c r="I259" s="50" t="n">
        <v>102</v>
      </c>
      <c r="J259" s="28">
        <f>IF(OR(G259="",AND(H259="",I259="")),"n/a",IF(G259=I259,"mastered",IF(G259=H259,"normal","differs")))</f>
        <v/>
      </c>
      <c r="K259" s="28">
        <f>IF(L259&lt;&gt;"",L259,IF(M259&lt;&gt;"",M259,""))</f>
        <v/>
      </c>
      <c r="L259" s="50" t="n">
        <v>122</v>
      </c>
      <c r="M259" s="50" t="n">
        <v>122</v>
      </c>
      <c r="N259" s="28">
        <f>IF(O259&lt;&gt;"",O259,IF(P259&lt;&gt;"",P259,""))</f>
        <v/>
      </c>
      <c r="O259" s="50" t="n">
        <v>15</v>
      </c>
      <c r="P259" s="50" t="n">
        <v>15</v>
      </c>
      <c r="Q259" s="50" t="n">
        <v>21.18</v>
      </c>
      <c r="R259" s="50" t="n">
        <v>8.82</v>
      </c>
      <c r="S259" s="28">
        <f>IF(Q259="","",IF(Q259&lt;0,"negative profit",IF(Q259&gt;Notes!$B$4,"unusually high - verify","")))</f>
        <v/>
      </c>
      <c r="T259" s="28" t="inlineStr">
        <is>
          <t>both</t>
        </is>
      </c>
      <c r="U259" s="28">
        <f>IF(T259&lt;&gt;"both",T259&amp;" only",IF(V259="","agree","conflict"))</f>
        <v/>
      </c>
      <c r="V259" s="28">
        <f>IF(T259="both",TRIM(IF(AND(E259&lt;&gt;"",F259&lt;&gt;"",E259&lt;&gt;F259),"level ","")&amp;IF(AND(L259&lt;&gt;"",M259&lt;&gt;"",L259&lt;&gt;M259),"price ","")&amp;IF(AND(O259&lt;&gt;"",P259&lt;&gt;"",O259&lt;&gt;P259),"xp ","")&amp;IF(J259="differs","time","")),"")</f>
        <v/>
      </c>
      <c r="X259" s="50" t="inlineStr">
        <is>
          <t>Corn x2; Chili Pepper x2</t>
        </is>
      </c>
      <c r="Y259" s="50" t="inlineStr">
        <is>
          <t>Chili_Popcorn.png</t>
        </is>
      </c>
      <c r="Z259" s="50" t="inlineStr">
        <is>
          <t>icons/Popcorn Pot/Chili Popcorn.png</t>
        </is>
      </c>
      <c r="AA259" s="28" t="inlineStr">
        <is>
          <t>hayday.info /api/production-data (2026-10-13) + Hay Day Wiki infobox via MediaWiki API (2026-10-13)</t>
        </is>
      </c>
      <c r="AB259" s="28" t="inlineStr">
        <is>
          <t>https://hayday.fandom.com/wiki/Chili_Popcorn</t>
        </is>
      </c>
      <c r="AC259" s="50" t="inlineStr">
        <is>
          <t>Chili popcorn</t>
        </is>
      </c>
    </row>
    <row r="260">
      <c r="A260" s="28" t="inlineStr">
        <is>
          <t>Honey Popcorn</t>
        </is>
      </c>
      <c r="B260" s="28" t="inlineStr">
        <is>
          <t>Popcorn Pot</t>
        </is>
      </c>
      <c r="C260" s="50" t="inlineStr">
        <is>
          <t>Product</t>
        </is>
      </c>
      <c r="D260" s="28">
        <f>IF(E260&lt;&gt;"",E260,IF(F260&lt;&gt;"",F260,""))</f>
        <v/>
      </c>
      <c r="E260" s="50" t="n">
        <v>40</v>
      </c>
      <c r="F260" s="50" t="n">
        <v>40</v>
      </c>
      <c r="G260" s="50" t="n">
        <v>76</v>
      </c>
      <c r="H260" s="50" t="n">
        <v>90</v>
      </c>
      <c r="I260" s="50" t="n">
        <v>76</v>
      </c>
      <c r="J260" s="28">
        <f>IF(OR(G260="",AND(H260="",I260="")),"n/a",IF(G260=I260,"mastered",IF(G260=H260,"normal","differs")))</f>
        <v/>
      </c>
      <c r="K260" s="28">
        <f>IF(L260&lt;&gt;"",L260,IF(M260&lt;&gt;"",M260,""))</f>
        <v/>
      </c>
      <c r="L260" s="50" t="n">
        <v>360</v>
      </c>
      <c r="M260" s="50" t="n">
        <v>360</v>
      </c>
      <c r="N260" s="28">
        <f>IF(O260&lt;&gt;"",O260,IF(P260&lt;&gt;"",P260,""))</f>
        <v/>
      </c>
      <c r="O260" s="50" t="n">
        <v>43</v>
      </c>
      <c r="P260" s="50" t="n">
        <v>43</v>
      </c>
      <c r="Q260" s="50" t="n">
        <v>29.8</v>
      </c>
      <c r="R260" s="50" t="n">
        <v>33.73</v>
      </c>
      <c r="S260" s="28">
        <f>IF(Q260="","",IF(Q260&lt;0,"negative profit",IF(Q260&gt;Notes!$B$4,"unusually high - verify","")))</f>
        <v/>
      </c>
      <c r="T260" s="28" t="inlineStr">
        <is>
          <t>both</t>
        </is>
      </c>
      <c r="U260" s="28">
        <f>IF(T260&lt;&gt;"both",T260&amp;" only",IF(V260="","agree","conflict"))</f>
        <v/>
      </c>
      <c r="V260" s="28">
        <f>IF(T260="both",TRIM(IF(AND(E260&lt;&gt;"",F260&lt;&gt;"",E260&lt;&gt;F260),"level ","")&amp;IF(AND(L260&lt;&gt;"",M260&lt;&gt;"",L260&lt;&gt;M260),"price ","")&amp;IF(AND(O260&lt;&gt;"",P260&lt;&gt;"",O260&lt;&gt;P260),"xp ","")&amp;IF(J260="differs","time","")),"")</f>
        <v/>
      </c>
      <c r="X260" s="50" t="inlineStr">
        <is>
          <t>Corn x2; Honey x2</t>
        </is>
      </c>
      <c r="Y260" s="50" t="inlineStr">
        <is>
          <t>Honey Popcorn.png</t>
        </is>
      </c>
      <c r="Z260" s="50" t="inlineStr">
        <is>
          <t>icons/Popcorn Pot/Honey Popcorn.png</t>
        </is>
      </c>
      <c r="AA260" s="28" t="inlineStr">
        <is>
          <t>hayday.info /api/production-data (2026-10-13) + Hay Day Wiki infobox via MediaWiki API (2026-10-13)</t>
        </is>
      </c>
      <c r="AB260" s="28" t="inlineStr">
        <is>
          <t>https://hayday.fandom.com/wiki/Honey_Popcorn</t>
        </is>
      </c>
      <c r="AC260" s="50" t="inlineStr">
        <is>
          <t>Honey popcorn</t>
        </is>
      </c>
    </row>
    <row r="261">
      <c r="A261" s="28" t="inlineStr">
        <is>
          <t>Chocolate Popcorn</t>
        </is>
      </c>
      <c r="B261" s="28" t="inlineStr">
        <is>
          <t>Popcorn Pot</t>
        </is>
      </c>
      <c r="C261" s="50" t="inlineStr">
        <is>
          <t>Product</t>
        </is>
      </c>
      <c r="D261" s="28">
        <f>IF(E261&lt;&gt;"",E261,IF(F261&lt;&gt;"",F261,""))</f>
        <v/>
      </c>
      <c r="E261" s="50" t="n">
        <v>44</v>
      </c>
      <c r="F261" s="50" t="n">
        <v>44</v>
      </c>
      <c r="G261" s="50" t="n">
        <v>127</v>
      </c>
      <c r="H261" s="50" t="n">
        <v>150</v>
      </c>
      <c r="I261" s="50" t="n">
        <v>127</v>
      </c>
      <c r="J261" s="28">
        <f>IF(OR(G261="",AND(H261="",I261="")),"n/a",IF(G261=I261,"mastered",IF(G261=H261,"normal","differs")))</f>
        <v/>
      </c>
      <c r="K261" s="28">
        <f>IF(L261&lt;&gt;"",L261,IF(M261&lt;&gt;"",M261,""))</f>
        <v/>
      </c>
      <c r="L261" s="50" t="n">
        <v>248</v>
      </c>
      <c r="M261" s="50" t="n">
        <v>248</v>
      </c>
      <c r="N261" s="28">
        <f>IF(O261&lt;&gt;"",O261,IF(P261&lt;&gt;"",P261,""))</f>
        <v/>
      </c>
      <c r="O261" s="50" t="n">
        <v>29</v>
      </c>
      <c r="P261" s="50" t="n">
        <v>29</v>
      </c>
      <c r="Q261" s="50" t="n">
        <v>29.18</v>
      </c>
      <c r="R261" s="50" t="n">
        <v>13.65</v>
      </c>
      <c r="S261" s="28">
        <f>IF(Q261="","",IF(Q261&lt;0,"negative profit",IF(Q261&gt;Notes!$B$4,"unusually high - verify","")))</f>
        <v/>
      </c>
      <c r="T261" s="28" t="inlineStr">
        <is>
          <t>both</t>
        </is>
      </c>
      <c r="U261" s="28">
        <f>IF(T261&lt;&gt;"both",T261&amp;" only",IF(V261="","agree","conflict"))</f>
        <v/>
      </c>
      <c r="V261" s="28">
        <f>IF(T261="both",TRIM(IF(AND(E261&lt;&gt;"",F261&lt;&gt;"",E261&lt;&gt;F261),"level ","")&amp;IF(AND(L261&lt;&gt;"",M261&lt;&gt;"",L261&lt;&gt;M261),"price ","")&amp;IF(AND(O261&lt;&gt;"",P261&lt;&gt;"",O261&lt;&gt;P261),"xp ","")&amp;IF(J261="differs","time","")),"")</f>
        <v/>
      </c>
      <c r="X261" s="50" t="inlineStr">
        <is>
          <t>Corn x2; Cacao x2</t>
        </is>
      </c>
      <c r="Y261" s="50" t="inlineStr">
        <is>
          <t>Chocolate_Popcorn.png</t>
        </is>
      </c>
      <c r="Z261" s="50" t="inlineStr">
        <is>
          <t>icons/Popcorn Pot/Chocolate Popcorn.png</t>
        </is>
      </c>
      <c r="AA261" s="28" t="inlineStr">
        <is>
          <t>hayday.info /api/production-data (2026-10-13) + Hay Day Wiki infobox via MediaWiki API (2026-10-13)</t>
        </is>
      </c>
      <c r="AB261" s="28" t="inlineStr">
        <is>
          <t>https://hayday.fandom.com/wiki/Chocolate_Popcorn</t>
        </is>
      </c>
      <c r="AC261" s="50" t="inlineStr">
        <is>
          <t>Chocolate popcorn</t>
        </is>
      </c>
    </row>
    <row r="262">
      <c r="A262" s="28" t="inlineStr">
        <is>
          <t>Snack Mix</t>
        </is>
      </c>
      <c r="B262" s="28" t="inlineStr">
        <is>
          <t>Popcorn Pot</t>
        </is>
      </c>
      <c r="C262" s="50" t="inlineStr">
        <is>
          <t>Product</t>
        </is>
      </c>
      <c r="D262" s="28">
        <f>IF(E262&lt;&gt;"",E262,IF(F262&lt;&gt;"",F262,""))</f>
        <v/>
      </c>
      <c r="E262" s="50" t="n">
        <v>64</v>
      </c>
      <c r="F262" s="50" t="n">
        <v>64</v>
      </c>
      <c r="G262" s="50" t="n">
        <v>38</v>
      </c>
      <c r="H262" s="50" t="n">
        <v>45</v>
      </c>
      <c r="I262" s="50" t="n">
        <v>38</v>
      </c>
      <c r="J262" s="28">
        <f>IF(OR(G262="",AND(H262="",I262="")),"n/a",IF(G262=I262,"mastered",IF(G262=H262,"normal","differs")))</f>
        <v/>
      </c>
      <c r="K262" s="28">
        <f>IF(L262&lt;&gt;"",L262,IF(M262&lt;&gt;"",M262,""))</f>
        <v/>
      </c>
      <c r="L262" s="50" t="n">
        <v>309</v>
      </c>
      <c r="M262" s="50" t="n">
        <v>309</v>
      </c>
      <c r="N262" s="28">
        <f>IF(O262&lt;&gt;"",O262,IF(P262&lt;&gt;"",P262,""))</f>
        <v/>
      </c>
      <c r="O262" s="50" t="n">
        <v>50</v>
      </c>
      <c r="P262" s="50" t="n">
        <v>50</v>
      </c>
      <c r="Q262" s="50" t="n">
        <v>67.45</v>
      </c>
      <c r="R262" s="50" t="n">
        <v>78.43000000000001</v>
      </c>
      <c r="S262" s="28">
        <f>IF(Q262="","",IF(Q262&lt;0,"negative profit",IF(Q262&gt;Notes!$B$4,"unusually high - verify","")))</f>
        <v/>
      </c>
      <c r="T262" s="28" t="inlineStr">
        <is>
          <t>both</t>
        </is>
      </c>
      <c r="U262" s="28">
        <f>IF(T262&lt;&gt;"both",T262&amp;" only",IF(V262="","agree","conflict"))</f>
        <v/>
      </c>
      <c r="V262" s="28">
        <f>IF(T262="both",TRIM(IF(AND(E262&lt;&gt;"",F262&lt;&gt;"",E262&lt;&gt;F262),"level ","")&amp;IF(AND(L262&lt;&gt;"",M262&lt;&gt;"",L262&lt;&gt;M262),"price ","")&amp;IF(AND(O262&lt;&gt;"",P262&lt;&gt;"",O262&lt;&gt;P262),"xp ","")&amp;IF(J262="differs","time","")),"")</f>
        <v/>
      </c>
      <c r="X262" s="50" t="inlineStr">
        <is>
          <t>Corn x2; Sesame x1; Peanuts x1</t>
        </is>
      </c>
      <c r="Y262" s="50" t="inlineStr">
        <is>
          <t>Snack Mix.png</t>
        </is>
      </c>
      <c r="Z262" s="50" t="inlineStr">
        <is>
          <t>icons/Popcorn Pot/Snack Mix.png</t>
        </is>
      </c>
      <c r="AA262" s="28" t="inlineStr">
        <is>
          <t>hayday.info /api/production-data (2026-10-13) + Hay Day Wiki infobox via MediaWiki API (2026-10-13)</t>
        </is>
      </c>
      <c r="AB262" s="28" t="inlineStr">
        <is>
          <t>https://hayday.fandom.com/wiki/Snack_Mix</t>
        </is>
      </c>
      <c r="AC262" s="50" t="inlineStr">
        <is>
          <t>Snack mix</t>
        </is>
      </c>
    </row>
    <row r="263">
      <c r="A263" s="28" t="inlineStr">
        <is>
          <t>Tea Pot</t>
        </is>
      </c>
      <c r="B263" s="28" t="inlineStr">
        <is>
          <t>Pottery Studio</t>
        </is>
      </c>
      <c r="C263" s="50" t="inlineStr">
        <is>
          <t>Product</t>
        </is>
      </c>
      <c r="D263" s="28">
        <f>IF(E263&lt;&gt;"",E263,IF(F263&lt;&gt;"",F263,""))</f>
        <v/>
      </c>
      <c r="E263" s="50" t="n">
        <v>94</v>
      </c>
      <c r="F263" s="50" t="n">
        <v>94</v>
      </c>
      <c r="G263" s="50" t="n">
        <v>187</v>
      </c>
      <c r="H263" s="50" t="n">
        <v>220</v>
      </c>
      <c r="I263" s="50" t="n">
        <v>187</v>
      </c>
      <c r="J263" s="28">
        <f>IF(OR(G263="",AND(H263="",I263="")),"n/a",IF(G263=I263,"mastered",IF(G263=H263,"normal","differs")))</f>
        <v/>
      </c>
      <c r="K263" s="28">
        <f>IF(L263&lt;&gt;"",L263,IF(M263&lt;&gt;"",M263,""))</f>
        <v/>
      </c>
      <c r="L263" s="50" t="n">
        <v>219</v>
      </c>
      <c r="M263" s="50" t="n">
        <v>219</v>
      </c>
      <c r="N263" s="28">
        <f>IF(O263&lt;&gt;"",O263,IF(P263&lt;&gt;"",P263,""))</f>
        <v/>
      </c>
      <c r="O263" s="50" t="n">
        <v>26</v>
      </c>
      <c r="P263" s="50" t="n">
        <v>26</v>
      </c>
      <c r="Q263" s="50" t="n">
        <v>25.67</v>
      </c>
      <c r="R263" s="50" t="n">
        <v>8.34</v>
      </c>
      <c r="S263" s="28">
        <f>IF(Q263="","",IF(Q263&lt;0,"negative profit",IF(Q263&gt;Notes!$B$4,"unusually high - verify","")))</f>
        <v/>
      </c>
      <c r="T263" s="28" t="inlineStr">
        <is>
          <t>both</t>
        </is>
      </c>
      <c r="U263" s="28">
        <f>IF(T263&lt;&gt;"both",T263&amp;" only",IF(V263="","agree","conflict"))</f>
        <v/>
      </c>
      <c r="V263" s="28">
        <f>IF(T263="both",TRIM(IF(AND(E263&lt;&gt;"",F263&lt;&gt;"",E263&lt;&gt;F263),"level ","")&amp;IF(AND(L263&lt;&gt;"",M263&lt;&gt;"",L263&lt;&gt;M263),"price ","")&amp;IF(AND(O263&lt;&gt;"",P263&lt;&gt;"",O263&lt;&gt;P263),"xp ","")&amp;IF(J263="differs","time","")),"")</f>
        <v/>
      </c>
      <c r="W263" s="28" t="inlineStr">
        <is>
          <t>time 240 (machine page) vs 220 (product page)</t>
        </is>
      </c>
      <c r="X263" s="50" t="inlineStr">
        <is>
          <t>Clay x3; Coffee Bean x1; Gold Ore x1</t>
        </is>
      </c>
      <c r="Y263" s="50" t="inlineStr">
        <is>
          <t>Tea Pot.png</t>
        </is>
      </c>
      <c r="Z263" s="50" t="inlineStr">
        <is>
          <t>icons/Pottery Studio/Tea Pot.png</t>
        </is>
      </c>
      <c r="AA263" s="28" t="inlineStr">
        <is>
          <t>hayday.info /api/production-data (2026-10-13) + Hay Day Wiki infobox via MediaWiki API (2026-10-13)</t>
        </is>
      </c>
      <c r="AB263" s="28" t="inlineStr">
        <is>
          <t>https://hayday.fandom.com/wiki/Tea_Pot</t>
        </is>
      </c>
      <c r="AC263" s="50" t="inlineStr">
        <is>
          <t>Tea pot</t>
        </is>
      </c>
    </row>
    <row r="264">
      <c r="A264" s="28" t="inlineStr">
        <is>
          <t>Potted Plant</t>
        </is>
      </c>
      <c r="B264" s="28" t="inlineStr">
        <is>
          <t>Pottery Studio</t>
        </is>
      </c>
      <c r="C264" s="50" t="inlineStr">
        <is>
          <t>Product</t>
        </is>
      </c>
      <c r="D264" s="28">
        <f>IF(E264&lt;&gt;"",E264,IF(F264&lt;&gt;"",F264,""))</f>
        <v/>
      </c>
      <c r="E264" s="50" t="n">
        <v>96</v>
      </c>
      <c r="F264" s="50" t="n">
        <v>96</v>
      </c>
      <c r="G264" s="50" t="n">
        <v>187</v>
      </c>
      <c r="H264" s="50" t="n">
        <v>220</v>
      </c>
      <c r="I264" s="50" t="n">
        <v>187</v>
      </c>
      <c r="J264" s="28">
        <f>IF(OR(G264="",AND(H264="",I264="")),"n/a",IF(G264=I264,"mastered",IF(G264=H264,"normal","differs")))</f>
        <v/>
      </c>
      <c r="K264" s="28">
        <f>IF(L264&lt;&gt;"",L264,IF(M264&lt;&gt;"",M264,""))</f>
        <v/>
      </c>
      <c r="L264" s="50" t="n">
        <v>151</v>
      </c>
      <c r="M264" s="50" t="n">
        <v>151</v>
      </c>
      <c r="N264" s="28">
        <f>IF(O264&lt;&gt;"",O264,IF(P264&lt;&gt;"",P264,""))</f>
        <v/>
      </c>
      <c r="O264" s="50" t="n">
        <v>26</v>
      </c>
      <c r="P264" s="50" t="n">
        <v>26</v>
      </c>
      <c r="Q264" s="50" t="n">
        <v>24.39</v>
      </c>
      <c r="R264" s="50" t="n">
        <v>8.34</v>
      </c>
      <c r="S264" s="28">
        <f>IF(Q264="","",IF(Q264&lt;0,"negative profit",IF(Q264&gt;Notes!$B$4,"unusually high - verify","")))</f>
        <v/>
      </c>
      <c r="T264" s="28" t="inlineStr">
        <is>
          <t>both</t>
        </is>
      </c>
      <c r="U264" s="28">
        <f>IF(T264&lt;&gt;"both",T264&amp;" only",IF(V264="","agree","conflict"))</f>
        <v/>
      </c>
      <c r="V264" s="28">
        <f>IF(T264="both",TRIM(IF(AND(E264&lt;&gt;"",F264&lt;&gt;"",E264&lt;&gt;F264),"level ","")&amp;IF(AND(L264&lt;&gt;"",M264&lt;&gt;"",L264&lt;&gt;M264),"price ","")&amp;IF(AND(O264&lt;&gt;"",P264&lt;&gt;"",O264&lt;&gt;P264),"xp ","")&amp;IF(J264="differs","time","")),"")</f>
        <v/>
      </c>
      <c r="X264" s="50" t="inlineStr">
        <is>
          <t>Clay x3; Sunflower x1</t>
        </is>
      </c>
      <c r="Y264" s="50" t="inlineStr">
        <is>
          <t>Potted Plant.png</t>
        </is>
      </c>
      <c r="Z264" s="50" t="inlineStr">
        <is>
          <t>icons/Pottery Studio/Potted Plant.png</t>
        </is>
      </c>
      <c r="AA264" s="28" t="inlineStr">
        <is>
          <t>hayday.info /api/production-data (2026-10-13) + Hay Day Wiki infobox via MediaWiki API (2026-10-13)</t>
        </is>
      </c>
      <c r="AB264" s="28" t="inlineStr">
        <is>
          <t>https://hayday.fandom.com/wiki/Potted_Plant</t>
        </is>
      </c>
      <c r="AC264" s="50" t="inlineStr">
        <is>
          <t>Potted plant</t>
        </is>
      </c>
    </row>
    <row r="265">
      <c r="A265" s="28" t="inlineStr">
        <is>
          <t>Clay Mug</t>
        </is>
      </c>
      <c r="B265" s="28" t="inlineStr">
        <is>
          <t>Pottery Studio</t>
        </is>
      </c>
      <c r="C265" s="50" t="inlineStr">
        <is>
          <t>Product</t>
        </is>
      </c>
      <c r="D265" s="28">
        <f>IF(E265&lt;&gt;"",E265,IF(F265&lt;&gt;"",F265,""))</f>
        <v/>
      </c>
      <c r="E265" s="50" t="n">
        <v>99</v>
      </c>
      <c r="F265" s="50" t="n">
        <v>99</v>
      </c>
      <c r="G265" s="50" t="n">
        <v>170</v>
      </c>
      <c r="H265" s="50" t="n">
        <v>200</v>
      </c>
      <c r="I265" s="50" t="n">
        <v>170</v>
      </c>
      <c r="J265" s="28">
        <f>IF(OR(G265="",AND(H265="",I265="")),"n/a",IF(G265=I265,"mastered",IF(G265=H265,"normal","differs")))</f>
        <v/>
      </c>
      <c r="K265" s="28">
        <f>IF(L265&lt;&gt;"",L265,IF(M265&lt;&gt;"",M265,""))</f>
        <v/>
      </c>
      <c r="L265" s="50" t="n">
        <v>212</v>
      </c>
      <c r="M265" s="50" t="n">
        <v>212</v>
      </c>
      <c r="N265" s="28">
        <f>IF(O265&lt;&gt;"",O265,IF(P265&lt;&gt;"",P265,""))</f>
        <v/>
      </c>
      <c r="O265" s="50" t="n">
        <v>25</v>
      </c>
      <c r="P265" s="50" t="n">
        <v>25</v>
      </c>
      <c r="Q265" s="50" t="n">
        <v>25.41</v>
      </c>
      <c r="R265" s="50" t="n">
        <v>8.82</v>
      </c>
      <c r="S265" s="28">
        <f>IF(Q265="","",IF(Q265&lt;0,"negative profit",IF(Q265&gt;Notes!$B$4,"unusually high - verify","")))</f>
        <v/>
      </c>
      <c r="T265" s="28" t="inlineStr">
        <is>
          <t>both</t>
        </is>
      </c>
      <c r="U265" s="28">
        <f>IF(T265&lt;&gt;"both",T265&amp;" only",IF(V265="","agree","conflict"))</f>
        <v/>
      </c>
      <c r="V265" s="28">
        <f>IF(T265="both",TRIM(IF(AND(E265&lt;&gt;"",F265&lt;&gt;"",E265&lt;&gt;F265),"level ","")&amp;IF(AND(L265&lt;&gt;"",M265&lt;&gt;"",L265&lt;&gt;M265),"price ","")&amp;IF(AND(O265&lt;&gt;"",P265&lt;&gt;"",O265&lt;&gt;P265),"xp ","")&amp;IF(J265="differs","time","")),"")</f>
        <v/>
      </c>
      <c r="X265" s="50" t="inlineStr">
        <is>
          <t>Clay x3; Indigo x2; Peony x1</t>
        </is>
      </c>
      <c r="Y265" s="50" t="inlineStr">
        <is>
          <t>Clay Mug.png</t>
        </is>
      </c>
      <c r="Z265" s="50" t="inlineStr">
        <is>
          <t>icons/Pottery Studio/Clay Mug.png</t>
        </is>
      </c>
      <c r="AA265" s="28" t="inlineStr">
        <is>
          <t>hayday.info /api/production-data (2026-10-13) + Hay Day Wiki infobox via MediaWiki API (2026-10-13)</t>
        </is>
      </c>
      <c r="AB265" s="28" t="inlineStr">
        <is>
          <t>https://hayday.fandom.com/wiki/Clay_Mug</t>
        </is>
      </c>
      <c r="AC265" s="50" t="inlineStr">
        <is>
          <t>Clay mug</t>
        </is>
      </c>
    </row>
    <row r="266">
      <c r="A266" s="28" t="inlineStr">
        <is>
          <t>Pickles</t>
        </is>
      </c>
      <c r="B266" s="28" t="inlineStr">
        <is>
          <t>Preservation Station</t>
        </is>
      </c>
      <c r="C266" s="50" t="inlineStr">
        <is>
          <t>Product</t>
        </is>
      </c>
      <c r="D266" s="28">
        <f>IF(E266&lt;&gt;"",E266,IF(F266&lt;&gt;"",F266,""))</f>
        <v/>
      </c>
      <c r="E266" s="50" t="n">
        <v>91</v>
      </c>
      <c r="F266" s="50" t="n">
        <v>91</v>
      </c>
      <c r="G266" s="50" t="n">
        <v>204</v>
      </c>
      <c r="H266" s="50" t="n">
        <v>240</v>
      </c>
      <c r="I266" s="50" t="n">
        <v>204</v>
      </c>
      <c r="J266" s="28">
        <f>IF(OR(G266="",AND(H266="",I266="")),"n/a",IF(G266=I266,"mastered",IF(G266=H266,"normal","differs")))</f>
        <v/>
      </c>
      <c r="K266" s="28">
        <f>IF(L266&lt;&gt;"",L266,IF(M266&lt;&gt;"",M266,""))</f>
        <v/>
      </c>
      <c r="L266" s="50" t="n">
        <v>270</v>
      </c>
      <c r="M266" s="50" t="n">
        <v>270</v>
      </c>
      <c r="N266" s="28">
        <f>IF(O266&lt;&gt;"",O266,IF(P266&lt;&gt;"",P266,""))</f>
        <v/>
      </c>
      <c r="O266" s="50" t="n">
        <v>32</v>
      </c>
      <c r="P266" s="50" t="n">
        <v>32</v>
      </c>
      <c r="Q266" s="50" t="n">
        <v>16.76</v>
      </c>
      <c r="R266" s="50" t="n">
        <v>9.41</v>
      </c>
      <c r="S266" s="28">
        <f>IF(Q266="","",IF(Q266&lt;0,"negative profit",IF(Q266&gt;Notes!$B$4,"unusually high - verify","")))</f>
        <v/>
      </c>
      <c r="T266" s="28" t="inlineStr">
        <is>
          <t>both</t>
        </is>
      </c>
      <c r="U266" s="28">
        <f>IF(T266&lt;&gt;"both",T266&amp;" only",IF(V266="","agree","conflict"))</f>
        <v/>
      </c>
      <c r="V266" s="28">
        <f>IF(T266="both",TRIM(IF(AND(E266&lt;&gt;"",F266&lt;&gt;"",E266&lt;&gt;F266),"level ","")&amp;IF(AND(L266&lt;&gt;"",M266&lt;&gt;"",L266&lt;&gt;M266),"price ","")&amp;IF(AND(O266&lt;&gt;"",P266&lt;&gt;"",O266&lt;&gt;P266),"xp ","")&amp;IF(J266="differs","time","")),"")</f>
        <v/>
      </c>
      <c r="X266" s="50" t="inlineStr">
        <is>
          <t>Cucumber x3; Onion x2; Lemon x1</t>
        </is>
      </c>
      <c r="Y266" s="50" t="inlineStr">
        <is>
          <t>Pickles.png</t>
        </is>
      </c>
      <c r="Z266" s="50" t="inlineStr">
        <is>
          <t>icons/Preservation Station/Pickles.png</t>
        </is>
      </c>
      <c r="AA266" s="28" t="inlineStr">
        <is>
          <t>hayday.info /api/production-data (2026-10-13) + Hay Day Wiki infobox via MediaWiki API (2026-10-13)</t>
        </is>
      </c>
      <c r="AB266" s="28" t="inlineStr">
        <is>
          <t>https://hayday.fandom.com/wiki/Pickles</t>
        </is>
      </c>
      <c r="AC266" s="50" t="inlineStr">
        <is>
          <t>Pickles</t>
        </is>
      </c>
    </row>
    <row r="267">
      <c r="A267" s="28" t="inlineStr">
        <is>
          <t>Canned Fish</t>
        </is>
      </c>
      <c r="B267" s="28" t="inlineStr">
        <is>
          <t>Preservation Station</t>
        </is>
      </c>
      <c r="C267" s="50" t="inlineStr">
        <is>
          <t>Product</t>
        </is>
      </c>
      <c r="D267" s="28">
        <f>IF(E267&lt;&gt;"",E267,IF(F267&lt;&gt;"",F267,""))</f>
        <v/>
      </c>
      <c r="E267" s="50" t="n">
        <v>95</v>
      </c>
      <c r="F267" s="50" t="n">
        <v>95</v>
      </c>
      <c r="G267" s="50" t="n">
        <v>187</v>
      </c>
      <c r="H267" s="50" t="n">
        <v>220</v>
      </c>
      <c r="I267" s="50" t="n">
        <v>187</v>
      </c>
      <c r="J267" s="28">
        <f>IF(OR(G267="",AND(H267="",I267="")),"n/a",IF(G267=I267,"mastered",IF(G267=H267,"normal","differs")))</f>
        <v/>
      </c>
      <c r="K267" s="28">
        <f>IF(L267&lt;&gt;"",L267,IF(M267&lt;&gt;"",M267,""))</f>
        <v/>
      </c>
      <c r="L267" s="50" t="n">
        <v>471</v>
      </c>
      <c r="M267" s="50" t="n">
        <v>471</v>
      </c>
      <c r="N267" s="28">
        <f>IF(O267&lt;&gt;"",O267,IF(P267&lt;&gt;"",P267,""))</f>
        <v/>
      </c>
      <c r="O267" s="50" t="n">
        <v>56</v>
      </c>
      <c r="P267" s="50" t="n">
        <v>56</v>
      </c>
      <c r="Q267" s="50" t="n">
        <v>16.04</v>
      </c>
      <c r="R267" s="50" t="n">
        <v>17.97</v>
      </c>
      <c r="S267" s="28">
        <f>IF(Q267="","",IF(Q267&lt;0,"negative profit",IF(Q267&gt;Notes!$B$4,"unusually high - verify","")))</f>
        <v/>
      </c>
      <c r="T267" s="28" t="inlineStr">
        <is>
          <t>both</t>
        </is>
      </c>
      <c r="U267" s="28">
        <f>IF(T267&lt;&gt;"both",T267&amp;" only",IF(V267="","agree","conflict"))</f>
        <v/>
      </c>
      <c r="V267" s="28">
        <f>IF(T267="both",TRIM(IF(AND(E267&lt;&gt;"",F267&lt;&gt;"",E267&lt;&gt;F267),"level ","")&amp;IF(AND(L267&lt;&gt;"",M267&lt;&gt;"",L267&lt;&gt;M267),"price ","")&amp;IF(AND(O267&lt;&gt;"",P267&lt;&gt;"",O267&lt;&gt;P267),"xp ","")&amp;IF(J267="differs","time","")),"")</f>
        <v/>
      </c>
      <c r="X267" s="50" t="inlineStr">
        <is>
          <t>Fish Fillet x2; Chili Pepper x1; Olive Oil x1</t>
        </is>
      </c>
      <c r="Y267" s="50" t="inlineStr">
        <is>
          <t>Canned Fish.png</t>
        </is>
      </c>
      <c r="Z267" s="50" t="inlineStr">
        <is>
          <t>icons/Preservation Station/Canned Fish.png</t>
        </is>
      </c>
      <c r="AA267" s="28" t="inlineStr">
        <is>
          <t>hayday.info /api/production-data (2026-10-13) + Hay Day Wiki infobox via MediaWiki API (2026-10-13)</t>
        </is>
      </c>
      <c r="AB267" s="28" t="inlineStr">
        <is>
          <t>https://hayday.fandom.com/wiki/Canned_Fish</t>
        </is>
      </c>
      <c r="AC267" s="50" t="inlineStr">
        <is>
          <t>Canned fish</t>
        </is>
      </c>
    </row>
    <row r="268">
      <c r="A268" s="28" t="inlineStr">
        <is>
          <t>Kimchi</t>
        </is>
      </c>
      <c r="B268" s="28" t="inlineStr">
        <is>
          <t>Preservation Station</t>
        </is>
      </c>
      <c r="C268" s="50" t="inlineStr">
        <is>
          <t>Product</t>
        </is>
      </c>
      <c r="D268" s="28">
        <f>IF(E268&lt;&gt;"",E268,IF(F268&lt;&gt;"",F268,""))</f>
        <v/>
      </c>
      <c r="E268" s="50" t="n">
        <v>98</v>
      </c>
      <c r="F268" s="50" t="n">
        <v>98</v>
      </c>
      <c r="G268" s="50" t="n">
        <v>255</v>
      </c>
      <c r="H268" s="50" t="n">
        <v>300</v>
      </c>
      <c r="I268" s="50" t="n">
        <v>255</v>
      </c>
      <c r="J268" s="28">
        <f>IF(OR(G268="",AND(H268="",I268="")),"n/a",IF(G268=I268,"mastered",IF(G268=H268,"normal","differs")))</f>
        <v/>
      </c>
      <c r="K268" s="28">
        <f>IF(L268&lt;&gt;"",L268,IF(M268&lt;&gt;"",M268,""))</f>
        <v/>
      </c>
      <c r="L268" s="50" t="n">
        <v>219</v>
      </c>
      <c r="M268" s="50" t="n">
        <v>219</v>
      </c>
      <c r="N268" s="28">
        <f>IF(O268&lt;&gt;"",O268,IF(P268&lt;&gt;"",P268,""))</f>
        <v/>
      </c>
      <c r="O268" s="50" t="n">
        <v>26</v>
      </c>
      <c r="P268" s="50" t="n">
        <v>26</v>
      </c>
      <c r="Q268" s="50" t="n">
        <v>12</v>
      </c>
      <c r="R268" s="50" t="n">
        <v>6.12</v>
      </c>
      <c r="S268" s="28">
        <f>IF(Q268="","",IF(Q268&lt;0,"negative profit",IF(Q268&gt;Notes!$B$4,"unusually high - verify","")))</f>
        <v/>
      </c>
      <c r="T268" s="28" t="inlineStr">
        <is>
          <t>both</t>
        </is>
      </c>
      <c r="U268" s="28">
        <f>IF(T268&lt;&gt;"both",T268&amp;" only",IF(V268="","agree","conflict"))</f>
        <v/>
      </c>
      <c r="V268" s="28">
        <f>IF(T268="both",TRIM(IF(AND(E268&lt;&gt;"",F268&lt;&gt;"",E268&lt;&gt;F268),"level ","")&amp;IF(AND(L268&lt;&gt;"",M268&lt;&gt;"",L268&lt;&gt;M268),"price ","")&amp;IF(AND(O268&lt;&gt;"",P268&lt;&gt;"",O268&lt;&gt;P268),"xp ","")&amp;IF(J268="differs","time","")),"")</f>
        <v/>
      </c>
      <c r="X268" s="50" t="inlineStr">
        <is>
          <t>Cabbage x5; Ginger x1; Chili Pepper x1; Garlic x1</t>
        </is>
      </c>
      <c r="Y268" s="50" t="inlineStr">
        <is>
          <t>Kimchi.png</t>
        </is>
      </c>
      <c r="Z268" s="50" t="inlineStr">
        <is>
          <t>icons/Preservation Station/Kimchi.png</t>
        </is>
      </c>
      <c r="AA268" s="28" t="inlineStr">
        <is>
          <t>hayday.info /api/production-data (2026-10-13) + Hay Day Wiki infobox via MediaWiki API (2026-10-13)</t>
        </is>
      </c>
      <c r="AB268" s="28" t="inlineStr">
        <is>
          <t>https://hayday.fandom.com/wiki/Kimchi</t>
        </is>
      </c>
      <c r="AC268" s="50" t="inlineStr">
        <is>
          <t>Kimchi</t>
        </is>
      </c>
    </row>
    <row r="269">
      <c r="A269" s="28" t="inlineStr">
        <is>
          <t>Dried Fruit</t>
        </is>
      </c>
      <c r="B269" s="28" t="inlineStr">
        <is>
          <t>Preservation Station</t>
        </is>
      </c>
      <c r="C269" s="50" t="inlineStr">
        <is>
          <t>Product</t>
        </is>
      </c>
      <c r="D269" s="28">
        <f>IF(E269&lt;&gt;"",E269,IF(F269&lt;&gt;"",F269,""))</f>
        <v/>
      </c>
      <c r="E269" s="50" t="n">
        <v>102</v>
      </c>
      <c r="F269" s="50" t="n">
        <v>102</v>
      </c>
      <c r="G269" s="50" t="n">
        <v>153</v>
      </c>
      <c r="H269" s="50" t="n">
        <v>180</v>
      </c>
      <c r="I269" s="50" t="n">
        <v>153</v>
      </c>
      <c r="J269" s="28">
        <f>IF(OR(G269="",AND(H269="",I269="")),"n/a",IF(G269=I269,"mastered",IF(G269=H269,"normal","differs")))</f>
        <v/>
      </c>
      <c r="K269" s="28">
        <f>IF(L269&lt;&gt;"",L269,IF(M269&lt;&gt;"",M269,""))</f>
        <v/>
      </c>
      <c r="L269" s="50" t="n">
        <v>266</v>
      </c>
      <c r="M269" s="50" t="n">
        <v>266</v>
      </c>
      <c r="N269" s="28">
        <f>IF(O269&lt;&gt;"",O269,IF(P269&lt;&gt;"",P269,""))</f>
        <v/>
      </c>
      <c r="O269" s="50" t="n">
        <v>32</v>
      </c>
      <c r="P269" s="50" t="n">
        <v>32</v>
      </c>
      <c r="Q269" s="50" t="n">
        <v>16.08</v>
      </c>
      <c r="R269" s="50" t="n">
        <v>12.55</v>
      </c>
      <c r="S269" s="28">
        <f>IF(Q269="","",IF(Q269&lt;0,"negative profit",IF(Q269&gt;Notes!$B$4,"unusually high - verify","")))</f>
        <v/>
      </c>
      <c r="T269" s="28" t="inlineStr">
        <is>
          <t>both</t>
        </is>
      </c>
      <c r="U269" s="28">
        <f>IF(T269&lt;&gt;"both",T269&amp;" only",IF(V269="","agree","conflict"))</f>
        <v/>
      </c>
      <c r="V269" s="28">
        <f>IF(T269="both",TRIM(IF(AND(E269&lt;&gt;"",F269&lt;&gt;"",E269&lt;&gt;F269),"level ","")&amp;IF(AND(L269&lt;&gt;"",M269&lt;&gt;"",L269&lt;&gt;M269),"price ","")&amp;IF(AND(O269&lt;&gt;"",P269&lt;&gt;"",O269&lt;&gt;P269),"xp ","")&amp;IF(J269="differs","time","")),"")</f>
        <v/>
      </c>
      <c r="X269" s="50" t="inlineStr">
        <is>
          <t>Grapes x1; Raspberry x1; Strawberry x1; Orange x1</t>
        </is>
      </c>
      <c r="Y269" s="50" t="inlineStr">
        <is>
          <t>Dried Fruits.png</t>
        </is>
      </c>
      <c r="Z269" s="50" t="inlineStr">
        <is>
          <t>icons/Preservation Station/Dried Fruit.png</t>
        </is>
      </c>
      <c r="AA269" s="28" t="inlineStr">
        <is>
          <t>hayday.info /api/production-data (2026-10-13) + Hay Day Wiki infobox via MediaWiki API (2026-10-13)</t>
        </is>
      </c>
      <c r="AB269" s="28" t="inlineStr">
        <is>
          <t>https://hayday.fandom.com/wiki/Dried_Fruit</t>
        </is>
      </c>
      <c r="AC269" s="50" t="inlineStr">
        <is>
          <t>Dried fruit</t>
        </is>
      </c>
    </row>
    <row r="270">
      <c r="A270" s="28" t="inlineStr">
        <is>
          <t>Guava Compote</t>
        </is>
      </c>
      <c r="B270" s="28" t="inlineStr">
        <is>
          <t>Preservation Station</t>
        </is>
      </c>
      <c r="C270" s="50" t="inlineStr">
        <is>
          <t>Product</t>
        </is>
      </c>
      <c r="D270" s="28">
        <f>IF(E270&lt;&gt;"",E270,IF(F270&lt;&gt;"",F270,""))</f>
        <v/>
      </c>
      <c r="E270" s="50" t="n">
        <v>104</v>
      </c>
      <c r="F270" s="50" t="n">
        <v>104</v>
      </c>
      <c r="G270" s="50" t="n">
        <v>260</v>
      </c>
      <c r="H270" s="50" t="n">
        <v>260</v>
      </c>
      <c r="I270" s="50" t="n">
        <v>221</v>
      </c>
      <c r="J270" s="28">
        <f>IF(OR(G270="",AND(H270="",I270="")),"n/a",IF(G270=I270,"mastered",IF(G270=H270,"normal","differs")))</f>
        <v/>
      </c>
      <c r="K270" s="28">
        <f>IF(L270&lt;&gt;"",L270,IF(M270&lt;&gt;"",M270,""))</f>
        <v/>
      </c>
      <c r="L270" s="50" t="n">
        <v>421</v>
      </c>
      <c r="M270" s="50" t="n">
        <v>421</v>
      </c>
      <c r="N270" s="28">
        <f>IF(O270&lt;&gt;"",O270,IF(P270&lt;&gt;"",P270,""))</f>
        <v/>
      </c>
      <c r="O270" s="50" t="n">
        <v>50</v>
      </c>
      <c r="P270" s="50" t="n">
        <v>50</v>
      </c>
      <c r="Q270" s="50" t="n">
        <v>12.92</v>
      </c>
      <c r="R270" s="50" t="n">
        <v>11.54</v>
      </c>
      <c r="S270" s="28">
        <f>IF(Q270="","",IF(Q270&lt;0,"negative profit",IF(Q270&gt;Notes!$B$4,"unusually high - verify","")))</f>
        <v/>
      </c>
      <c r="T270" s="28" t="inlineStr">
        <is>
          <t>both</t>
        </is>
      </c>
      <c r="U270" s="28">
        <f>IF(T270&lt;&gt;"both",T270&amp;" only",IF(V270="","agree","conflict"))</f>
        <v/>
      </c>
      <c r="V270" s="28">
        <f>IF(T270="both",TRIM(IF(AND(E270&lt;&gt;"",F270&lt;&gt;"",E270&lt;&gt;F270),"level ","")&amp;IF(AND(L270&lt;&gt;"",M270&lt;&gt;"",L270&lt;&gt;M270),"price ","")&amp;IF(AND(O270&lt;&gt;"",P270&lt;&gt;"",O270&lt;&gt;P270),"xp ","")&amp;IF(J270="differs","time","")),"")</f>
        <v/>
      </c>
      <c r="X270" s="50" t="inlineStr">
        <is>
          <t>Guava x2; Lemon x1; White Sugar x1</t>
        </is>
      </c>
      <c r="Y270" s="50" t="inlineStr">
        <is>
          <t>Guava Compote.png</t>
        </is>
      </c>
      <c r="Z270" s="50" t="inlineStr">
        <is>
          <t>icons/Preservation Station/Guava Compote.png</t>
        </is>
      </c>
      <c r="AA270" s="28" t="inlineStr">
        <is>
          <t>hayday.info /api/production-data (2026-10-13) + Hay Day Wiki infobox via MediaWiki API (2026-10-13)</t>
        </is>
      </c>
      <c r="AB270" s="28" t="inlineStr">
        <is>
          <t>https://hayday.fandom.com/wiki/Guava_Compote</t>
        </is>
      </c>
      <c r="AC270" s="50" t="inlineStr">
        <is>
          <t>Guava Compote</t>
        </is>
      </c>
    </row>
    <row r="271">
      <c r="A271" s="28" t="inlineStr">
        <is>
          <t>Feta Salad</t>
        </is>
      </c>
      <c r="B271" s="28" t="inlineStr">
        <is>
          <t>Salad Bar</t>
        </is>
      </c>
      <c r="C271" s="50" t="inlineStr">
        <is>
          <t>Product</t>
        </is>
      </c>
      <c r="D271" s="28">
        <f>IF(E271&lt;&gt;"",E271,IF(F271&lt;&gt;"",F271,""))</f>
        <v/>
      </c>
      <c r="E271" s="50" t="n">
        <v>58</v>
      </c>
      <c r="F271" s="50" t="n">
        <v>58</v>
      </c>
      <c r="G271" s="50" t="n">
        <v>76</v>
      </c>
      <c r="H271" s="50" t="n">
        <v>90</v>
      </c>
      <c r="I271" s="50" t="n">
        <v>76</v>
      </c>
      <c r="J271" s="28">
        <f>IF(OR(G271="",AND(H271="",I271="")),"n/a",IF(G271=I271,"mastered",IF(G271=H271,"normal","differs")))</f>
        <v/>
      </c>
      <c r="K271" s="28">
        <f>IF(L271&lt;&gt;"",L271,IF(M271&lt;&gt;"",M271,""))</f>
        <v/>
      </c>
      <c r="L271" s="50" t="n">
        <v>745</v>
      </c>
      <c r="M271" s="50" t="n">
        <v>745</v>
      </c>
      <c r="N271" s="28">
        <f>IF(O271&lt;&gt;"",O271,IF(P271&lt;&gt;"",P271,""))</f>
        <v/>
      </c>
      <c r="O271" s="50" t="n">
        <v>89</v>
      </c>
      <c r="P271" s="50" t="n">
        <v>89</v>
      </c>
      <c r="Q271" s="50" t="n">
        <v>33.73</v>
      </c>
      <c r="R271" s="50" t="n">
        <v>69.8</v>
      </c>
      <c r="S271" s="28">
        <f>IF(Q271="","",IF(Q271&lt;0,"negative profit",IF(Q271&gt;Notes!$B$4,"unusually high - verify","")))</f>
        <v/>
      </c>
      <c r="T271" s="28" t="inlineStr">
        <is>
          <t>both</t>
        </is>
      </c>
      <c r="U271" s="28">
        <f>IF(T271&lt;&gt;"both",T271&amp;" only",IF(V271="","agree","conflict"))</f>
        <v/>
      </c>
      <c r="V271" s="28">
        <f>IF(T271="both",TRIM(IF(AND(E271&lt;&gt;"",F271&lt;&gt;"",E271&lt;&gt;F271),"level ","")&amp;IF(AND(L271&lt;&gt;"",M271&lt;&gt;"",L271&lt;&gt;M271),"price ","")&amp;IF(AND(O271&lt;&gt;"",P271&lt;&gt;"",O271&lt;&gt;P271),"xp ","")&amp;IF(J271="differs","time","")),"")</f>
        <v/>
      </c>
      <c r="X271" s="50" t="inlineStr">
        <is>
          <t>Lettuce x3; Roasted Tomatoes x1; Goat Cheese x2; Olive x2</t>
        </is>
      </c>
      <c r="Y271" s="50" t="inlineStr">
        <is>
          <t>Feta Salad.png</t>
        </is>
      </c>
      <c r="Z271" s="50" t="inlineStr">
        <is>
          <t>icons/Salad Bar/Feta Salad.png</t>
        </is>
      </c>
      <c r="AA271" s="28" t="inlineStr">
        <is>
          <t>hayday.info /api/production-data (2026-10-13) + Hay Day Wiki infobox via MediaWiki API (2026-10-13)</t>
        </is>
      </c>
      <c r="AB271" s="28" t="inlineStr">
        <is>
          <t>https://hayday.fandom.com/wiki/Feta_Salad</t>
        </is>
      </c>
      <c r="AC271" s="50" t="inlineStr">
        <is>
          <t>Feta salad</t>
        </is>
      </c>
    </row>
    <row r="272">
      <c r="A272" s="28" t="inlineStr">
        <is>
          <t>BLT Salad</t>
        </is>
      </c>
      <c r="B272" s="28" t="inlineStr">
        <is>
          <t>Salad Bar</t>
        </is>
      </c>
      <c r="C272" s="50" t="inlineStr">
        <is>
          <t>Product</t>
        </is>
      </c>
      <c r="D272" s="28">
        <f>IF(E272&lt;&gt;"",E272,IF(F272&lt;&gt;"",F272,""))</f>
        <v/>
      </c>
      <c r="E272" s="50" t="n">
        <v>62</v>
      </c>
      <c r="F272" s="50" t="n">
        <v>62</v>
      </c>
      <c r="G272" s="50" t="n">
        <v>89</v>
      </c>
      <c r="H272" s="50" t="n">
        <v>105</v>
      </c>
      <c r="I272" s="50" t="n">
        <v>89</v>
      </c>
      <c r="J272" s="28">
        <f>IF(OR(G272="",AND(H272="",I272="")),"n/a",IF(G272=I272,"mastered",IF(G272=H272,"normal","differs")))</f>
        <v/>
      </c>
      <c r="K272" s="28">
        <f>IF(L272&lt;&gt;"",L272,IF(M272&lt;&gt;"",M272,""))</f>
        <v/>
      </c>
      <c r="L272" s="50" t="n">
        <v>723</v>
      </c>
      <c r="M272" s="50" t="n">
        <v>723</v>
      </c>
      <c r="N272" s="28">
        <f>IF(O272&lt;&gt;"",O272,IF(P272&lt;&gt;"",P272,""))</f>
        <v/>
      </c>
      <c r="O272" s="50" t="n">
        <v>86</v>
      </c>
      <c r="P272" s="50" t="n">
        <v>86</v>
      </c>
      <c r="Q272" s="50" t="n">
        <v>28.24</v>
      </c>
      <c r="R272" s="50" t="n">
        <v>57.82</v>
      </c>
      <c r="S272" s="28">
        <f>IF(Q272="","",IF(Q272&lt;0,"negative profit",IF(Q272&gt;Notes!$B$4,"unusually high - verify","")))</f>
        <v/>
      </c>
      <c r="T272" s="28" t="inlineStr">
        <is>
          <t>both</t>
        </is>
      </c>
      <c r="U272" s="28">
        <f>IF(T272&lt;&gt;"both",T272&amp;" only",IF(V272="","agree","conflict"))</f>
        <v/>
      </c>
      <c r="V272" s="28">
        <f>IF(T272="both",TRIM(IF(AND(E272&lt;&gt;"",F272&lt;&gt;"",E272&lt;&gt;F272),"level ","")&amp;IF(AND(L272&lt;&gt;"",M272&lt;&gt;"",L272&lt;&gt;M272),"price ","")&amp;IF(AND(O272&lt;&gt;"",P272&lt;&gt;"",O272&lt;&gt;P272),"xp ","")&amp;IF(J272="differs","time","")),"")</f>
        <v/>
      </c>
      <c r="X272" s="50" t="inlineStr">
        <is>
          <t>Lettuce x3; Roasted Tomatoes x1; Bacon x2; Mayonnaise x1</t>
        </is>
      </c>
      <c r="Y272" s="50" t="inlineStr">
        <is>
          <t>BLT_Salad.png</t>
        </is>
      </c>
      <c r="Z272" s="50" t="inlineStr">
        <is>
          <t>icons/Salad Bar/BLT Salad.png</t>
        </is>
      </c>
      <c r="AA272" s="28" t="inlineStr">
        <is>
          <t>hayday.info /api/production-data (2026-10-13) + Hay Day Wiki infobox via MediaWiki API (2026-10-13)</t>
        </is>
      </c>
      <c r="AB272" s="28" t="inlineStr">
        <is>
          <t>https://hayday.fandom.com/wiki/BLT_Salad</t>
        </is>
      </c>
      <c r="AC272" s="50" t="inlineStr">
        <is>
          <t>BLT salad</t>
        </is>
      </c>
    </row>
    <row r="273">
      <c r="A273" s="28" t="inlineStr">
        <is>
          <t>Seafood Salad</t>
        </is>
      </c>
      <c r="B273" s="28" t="inlineStr">
        <is>
          <t>Salad Bar</t>
        </is>
      </c>
      <c r="C273" s="50" t="inlineStr">
        <is>
          <t>Product</t>
        </is>
      </c>
      <c r="D273" s="28">
        <f>IF(E273&lt;&gt;"",E273,IF(F273&lt;&gt;"",F273,""))</f>
        <v/>
      </c>
      <c r="E273" s="50" t="n">
        <v>64</v>
      </c>
      <c r="F273" s="50" t="n">
        <v>64</v>
      </c>
      <c r="G273" s="50" t="n">
        <v>102</v>
      </c>
      <c r="H273" s="50" t="n">
        <v>120</v>
      </c>
      <c r="I273" s="50" t="n">
        <v>102</v>
      </c>
      <c r="J273" s="28">
        <f>IF(OR(G273="",AND(H273="",I273="")),"n/a",IF(G273=I273,"mastered",IF(G273=H273,"normal","differs")))</f>
        <v/>
      </c>
      <c r="K273" s="28">
        <f>IF(L273&lt;&gt;"",L273,IF(M273&lt;&gt;"",M273,""))</f>
        <v/>
      </c>
      <c r="L273" s="50" t="n">
        <v>763</v>
      </c>
      <c r="M273" s="50" t="n">
        <v>763</v>
      </c>
      <c r="N273" s="28">
        <f>IF(O273&lt;&gt;"",O273,IF(P273&lt;&gt;"",P273,""))</f>
        <v/>
      </c>
      <c r="O273" s="50" t="n">
        <v>91</v>
      </c>
      <c r="P273" s="50" t="n">
        <v>91</v>
      </c>
      <c r="Q273" s="50" t="n">
        <v>26.47</v>
      </c>
      <c r="R273" s="50" t="n">
        <v>53.53</v>
      </c>
      <c r="S273" s="28">
        <f>IF(Q273="","",IF(Q273&lt;0,"negative profit",IF(Q273&gt;Notes!$B$4,"unusually high - verify","")))</f>
        <v/>
      </c>
      <c r="T273" s="28" t="inlineStr">
        <is>
          <t>both</t>
        </is>
      </c>
      <c r="U273" s="28">
        <f>IF(T273&lt;&gt;"both",T273&amp;" only",IF(V273="","agree","conflict"))</f>
        <v/>
      </c>
      <c r="V273" s="28">
        <f>IF(T273="both",TRIM(IF(AND(E273&lt;&gt;"",F273&lt;&gt;"",E273&lt;&gt;F273),"level ","")&amp;IF(AND(L273&lt;&gt;"",M273&lt;&gt;"",L273&lt;&gt;M273),"price ","")&amp;IF(AND(O273&lt;&gt;"",P273&lt;&gt;"",O273&lt;&gt;P273),"xp ","")&amp;IF(J273="differs","time","")),"")</f>
        <v/>
      </c>
      <c r="X273" s="50" t="inlineStr">
        <is>
          <t>Lettuce x3; Fish Fillet x1; Lobster Tail x1; Mayonnaise x1</t>
        </is>
      </c>
      <c r="Y273" s="50" t="inlineStr">
        <is>
          <t>Seafood_Salad.png</t>
        </is>
      </c>
      <c r="Z273" s="50" t="inlineStr">
        <is>
          <t>icons/Salad Bar/Seafood Salad.png</t>
        </is>
      </c>
      <c r="AA273" s="28" t="inlineStr">
        <is>
          <t>hayday.info /api/production-data (2026-10-13) + Hay Day Wiki infobox via MediaWiki API (2026-10-13)</t>
        </is>
      </c>
      <c r="AB273" s="28" t="inlineStr">
        <is>
          <t>https://hayday.fandom.com/wiki/Seafood_Salad</t>
        </is>
      </c>
      <c r="AC273" s="50" t="inlineStr">
        <is>
          <t>Seafood salad</t>
        </is>
      </c>
    </row>
    <row r="274">
      <c r="A274" s="28" t="inlineStr">
        <is>
          <t>Pasta Salad</t>
        </is>
      </c>
      <c r="B274" s="28" t="inlineStr">
        <is>
          <t>Salad Bar</t>
        </is>
      </c>
      <c r="C274" s="50" t="inlineStr">
        <is>
          <t>Product</t>
        </is>
      </c>
      <c r="D274" s="28">
        <f>IF(E274&lt;&gt;"",E274,IF(F274&lt;&gt;"",F274,""))</f>
        <v/>
      </c>
      <c r="E274" s="50" t="n">
        <v>67</v>
      </c>
      <c r="F274" s="50" t="n">
        <v>67</v>
      </c>
      <c r="G274" s="50" t="n">
        <v>127</v>
      </c>
      <c r="H274" s="50" t="n">
        <v>150</v>
      </c>
      <c r="I274" s="50" t="n">
        <v>127</v>
      </c>
      <c r="J274" s="28">
        <f>IF(OR(G274="",AND(H274="",I274="")),"n/a",IF(G274=I274,"mastered",IF(G274=H274,"normal","differs")))</f>
        <v/>
      </c>
      <c r="K274" s="28">
        <f>IF(L274&lt;&gt;"",L274,IF(M274&lt;&gt;"",M274,""))</f>
        <v/>
      </c>
      <c r="L274" s="50" t="n">
        <v>759</v>
      </c>
      <c r="M274" s="50" t="n">
        <v>759</v>
      </c>
      <c r="N274" s="28">
        <f>IF(O274&lt;&gt;"",O274,IF(P274&lt;&gt;"",P274,""))</f>
        <v/>
      </c>
      <c r="O274" s="50" t="n">
        <v>90</v>
      </c>
      <c r="P274" s="50" t="n">
        <v>90</v>
      </c>
      <c r="Q274" s="50" t="n">
        <v>17.88</v>
      </c>
      <c r="R274" s="50" t="n">
        <v>42.35</v>
      </c>
      <c r="S274" s="28">
        <f>IF(Q274="","",IF(Q274&lt;0,"negative profit",IF(Q274&gt;Notes!$B$4,"unusually high - verify","")))</f>
        <v/>
      </c>
      <c r="T274" s="28" t="inlineStr">
        <is>
          <t>both</t>
        </is>
      </c>
      <c r="U274" s="28">
        <f>IF(T274&lt;&gt;"both",T274&amp;" only",IF(V274="","agree","conflict"))</f>
        <v/>
      </c>
      <c r="V274" s="28">
        <f>IF(T274="both",TRIM(IF(AND(E274&lt;&gt;"",F274&lt;&gt;"",E274&lt;&gt;F274),"level ","")&amp;IF(AND(L274&lt;&gt;"",M274&lt;&gt;"",L274&lt;&gt;M274),"price ","")&amp;IF(AND(O274&lt;&gt;"",P274&lt;&gt;"",O274&lt;&gt;P274),"xp ","")&amp;IF(J274="differs","time","")),"")</f>
        <v/>
      </c>
      <c r="X274" s="50" t="inlineStr">
        <is>
          <t>Fresh Pasta x4; Lemon x2; Olive Oil x1; Tomato x2</t>
        </is>
      </c>
      <c r="Y274" s="50" t="inlineStr">
        <is>
          <t>Pasta Salad.png</t>
        </is>
      </c>
      <c r="Z274" s="50" t="inlineStr">
        <is>
          <t>icons/Salad Bar/Pasta Salad.png</t>
        </is>
      </c>
      <c r="AA274" s="28" t="inlineStr">
        <is>
          <t>hayday.info /api/production-data (2026-10-13) + Hay Day Wiki infobox via MediaWiki API (2026-10-13)</t>
        </is>
      </c>
      <c r="AB274" s="28" t="inlineStr">
        <is>
          <t>https://hayday.fandom.com/wiki/Pasta_Salad</t>
        </is>
      </c>
      <c r="AC274" s="50" t="inlineStr">
        <is>
          <t>Pasta salad</t>
        </is>
      </c>
    </row>
    <row r="275">
      <c r="A275" s="28" t="inlineStr">
        <is>
          <t>Veggie Platter</t>
        </is>
      </c>
      <c r="B275" s="28" t="inlineStr">
        <is>
          <t>Salad Bar</t>
        </is>
      </c>
      <c r="C275" s="50" t="inlineStr">
        <is>
          <t>Product</t>
        </is>
      </c>
      <c r="D275" s="28">
        <f>IF(E275&lt;&gt;"",E275,IF(F275&lt;&gt;"",F275,""))</f>
        <v/>
      </c>
      <c r="E275" s="50" t="n">
        <v>74</v>
      </c>
      <c r="F275" s="50" t="n">
        <v>74</v>
      </c>
      <c r="G275" s="50" t="n">
        <v>102</v>
      </c>
      <c r="H275" s="50" t="n">
        <v>120</v>
      </c>
      <c r="I275" s="50" t="n">
        <v>102</v>
      </c>
      <c r="J275" s="28">
        <f>IF(OR(G275="",AND(H275="",I275="")),"n/a",IF(G275=I275,"mastered",IF(G275=H275,"normal","differs")))</f>
        <v/>
      </c>
      <c r="K275" s="28">
        <f>IF(L275&lt;&gt;"",L275,IF(M275&lt;&gt;"",M275,""))</f>
        <v/>
      </c>
      <c r="L275" s="50" t="n">
        <v>266</v>
      </c>
      <c r="M275" s="50" t="n">
        <v>266</v>
      </c>
      <c r="N275" s="28">
        <f>IF(O275&lt;&gt;"",O275,IF(P275&lt;&gt;"",P275,""))</f>
        <v/>
      </c>
      <c r="O275" s="50" t="n">
        <v>32</v>
      </c>
      <c r="P275" s="50" t="n">
        <v>32</v>
      </c>
      <c r="Q275" s="50" t="n">
        <v>25.88</v>
      </c>
      <c r="R275" s="50" t="n">
        <v>18.82</v>
      </c>
      <c r="S275" s="28">
        <f>IF(Q275="","",IF(Q275&lt;0,"negative profit",IF(Q275&gt;Notes!$B$4,"unusually high - verify","")))</f>
        <v/>
      </c>
      <c r="T275" s="28" t="inlineStr">
        <is>
          <t>both</t>
        </is>
      </c>
      <c r="U275" s="28">
        <f>IF(T275&lt;&gt;"both",T275&amp;" only",IF(V275="","agree","conflict"))</f>
        <v/>
      </c>
      <c r="V275" s="28">
        <f>IF(T275="both",TRIM(IF(AND(E275&lt;&gt;"",F275&lt;&gt;"",E275&lt;&gt;F275),"level ","")&amp;IF(AND(L275&lt;&gt;"",M275&lt;&gt;"",L275&lt;&gt;M275),"price ","")&amp;IF(AND(O275&lt;&gt;"",P275&lt;&gt;"",O275&lt;&gt;P275),"xp ","")&amp;IF(J275="differs","time","")),"")</f>
        <v/>
      </c>
      <c r="X275" s="50" t="inlineStr">
        <is>
          <t>Bell Pepper x2; Carrot x2; Tomato x2; Cream x1</t>
        </is>
      </c>
      <c r="Y275" s="50" t="inlineStr">
        <is>
          <t>Veggie Platter.png</t>
        </is>
      </c>
      <c r="Z275" s="50" t="inlineStr">
        <is>
          <t>icons/Salad Bar/Veggie Platter.png</t>
        </is>
      </c>
      <c r="AA275" s="28" t="inlineStr">
        <is>
          <t>hayday.info /api/production-data (2026-10-13) + Hay Day Wiki infobox via MediaWiki API (2026-10-13)</t>
        </is>
      </c>
      <c r="AB275" s="28" t="inlineStr">
        <is>
          <t>https://hayday.fandom.com/wiki/Veggie_Platter</t>
        </is>
      </c>
      <c r="AC275" s="50" t="inlineStr">
        <is>
          <t>Veggie platter</t>
        </is>
      </c>
    </row>
    <row r="276">
      <c r="A276" s="28" t="inlineStr">
        <is>
          <t>Coleslaw</t>
        </is>
      </c>
      <c r="B276" s="28" t="inlineStr">
        <is>
          <t>Salad Bar</t>
        </is>
      </c>
      <c r="C276" s="50" t="inlineStr">
        <is>
          <t>product</t>
        </is>
      </c>
      <c r="D276" s="28">
        <f>IF(E276&lt;&gt;"",E276,IF(F276&lt;&gt;"",F276,""))</f>
        <v/>
      </c>
      <c r="E276" s="50" t="n">
        <v>75</v>
      </c>
      <c r="F276" s="50" t="n">
        <v>75</v>
      </c>
      <c r="G276" s="50" t="n">
        <v>63</v>
      </c>
      <c r="H276" s="50" t="n">
        <v>75</v>
      </c>
      <c r="I276" s="50" t="n">
        <v>63</v>
      </c>
      <c r="J276" s="28">
        <f>IF(OR(G276="",AND(H276="",I276="")),"n/a",IF(G276=I276,"mastered",IF(G276=H276,"normal","differs")))</f>
        <v/>
      </c>
      <c r="K276" s="28">
        <f>IF(L276&lt;&gt;"",L276,IF(M276&lt;&gt;"",M276,""))</f>
        <v/>
      </c>
      <c r="L276" s="50" t="n">
        <v>468</v>
      </c>
      <c r="M276" s="50" t="n">
        <v>468</v>
      </c>
      <c r="N276" s="28">
        <f>IF(O276&lt;&gt;"",O276,IF(P276&lt;&gt;"",P276,""))</f>
        <v/>
      </c>
      <c r="O276" s="50" t="n">
        <v>56</v>
      </c>
      <c r="P276" s="50" t="n">
        <v>56</v>
      </c>
      <c r="Q276" s="50" t="n">
        <v>31.06</v>
      </c>
      <c r="R276" s="50" t="n">
        <v>52.71</v>
      </c>
      <c r="S276" s="28">
        <f>IF(Q276="","",IF(Q276&lt;0,"negative profit",IF(Q276&gt;Notes!$B$4,"unusually high - verify","")))</f>
        <v/>
      </c>
      <c r="T276" s="28" t="inlineStr">
        <is>
          <t>both</t>
        </is>
      </c>
      <c r="U276" s="28">
        <f>IF(T276&lt;&gt;"both",T276&amp;" only",IF(V276="","agree","conflict"))</f>
        <v/>
      </c>
      <c r="V276" s="28">
        <f>IF(T276="both",TRIM(IF(AND(E276&lt;&gt;"",F276&lt;&gt;"",E276&lt;&gt;F276),"level ","")&amp;IF(AND(L276&lt;&gt;"",M276&lt;&gt;"",L276&lt;&gt;M276),"price ","")&amp;IF(AND(O276&lt;&gt;"",P276&lt;&gt;"",O276&lt;&gt;P276),"xp ","")&amp;IF(J276="differs","time","")),"")</f>
        <v/>
      </c>
      <c r="X276" s="50" t="inlineStr">
        <is>
          <t>Cabbage x3; Carrot x2; Mayonnaise x1</t>
        </is>
      </c>
      <c r="Y276" s="50" t="inlineStr">
        <is>
          <t>Coleslaw.png</t>
        </is>
      </c>
      <c r="Z276" s="50" t="inlineStr">
        <is>
          <t>icons/Salad Bar/Coleslaw.png</t>
        </is>
      </c>
      <c r="AA276" s="28" t="inlineStr">
        <is>
          <t>hayday.info /api/production-data (2026-10-13) + Hay Day Wiki infobox via MediaWiki API (2026-10-13)</t>
        </is>
      </c>
      <c r="AB276" s="28" t="inlineStr">
        <is>
          <t>https://hayday.fandom.com/wiki/Coleslaw</t>
        </is>
      </c>
      <c r="AC276" s="50" t="inlineStr">
        <is>
          <t>Coleslaw</t>
        </is>
      </c>
    </row>
    <row r="277">
      <c r="A277" s="28" t="inlineStr">
        <is>
          <t>Beetroot Salad</t>
        </is>
      </c>
      <c r="B277" s="28" t="inlineStr">
        <is>
          <t>Salad Bar</t>
        </is>
      </c>
      <c r="C277" s="50" t="inlineStr">
        <is>
          <t>product</t>
        </is>
      </c>
      <c r="D277" s="28">
        <f>IF(E277&lt;&gt;"",E277,IF(F277&lt;&gt;"",F277,""))</f>
        <v/>
      </c>
      <c r="E277" s="50" t="n">
        <v>76</v>
      </c>
      <c r="F277" s="50" t="n">
        <v>76</v>
      </c>
      <c r="G277" s="50" t="n">
        <v>38</v>
      </c>
      <c r="H277" s="50" t="n">
        <v>45</v>
      </c>
      <c r="I277" s="50" t="n">
        <v>38</v>
      </c>
      <c r="J277" s="28">
        <f>IF(OR(G277="",AND(H277="",I277="")),"n/a",IF(G277=I277,"mastered",IF(G277=H277,"normal","differs")))</f>
        <v/>
      </c>
      <c r="K277" s="28">
        <f>IF(L277&lt;&gt;"",L277,IF(M277&lt;&gt;"",M277,""))</f>
        <v/>
      </c>
      <c r="L277" s="50" t="n">
        <v>234</v>
      </c>
      <c r="M277" s="50" t="n">
        <v>234</v>
      </c>
      <c r="N277" s="28">
        <f>IF(O277&lt;&gt;"",O277,IF(P277&lt;&gt;"",P277,""))</f>
        <v/>
      </c>
      <c r="O277" s="50" t="n">
        <v>28</v>
      </c>
      <c r="P277" s="50" t="n">
        <v>28</v>
      </c>
      <c r="Q277" s="50" t="n">
        <v>47.06</v>
      </c>
      <c r="R277" s="50" t="n">
        <v>43.92</v>
      </c>
      <c r="S277" s="28">
        <f>IF(Q277="","",IF(Q277&lt;0,"negative profit",IF(Q277&gt;Notes!$B$4,"unusually high - verify","")))</f>
        <v/>
      </c>
      <c r="T277" s="28" t="inlineStr">
        <is>
          <t>both</t>
        </is>
      </c>
      <c r="U277" s="28">
        <f>IF(T277&lt;&gt;"both",T277&amp;" only",IF(V277="","agree","conflict"))</f>
        <v/>
      </c>
      <c r="V277" s="28">
        <f>IF(T277="both",TRIM(IF(AND(E277&lt;&gt;"",F277&lt;&gt;"",E277&lt;&gt;F277),"level ","")&amp;IF(AND(L277&lt;&gt;"",M277&lt;&gt;"",L277&lt;&gt;M277),"price ","")&amp;IF(AND(O277&lt;&gt;"",P277&lt;&gt;"",O277&lt;&gt;P277),"xp ","")&amp;IF(J277="differs","time","")),"")</f>
        <v/>
      </c>
      <c r="X277" s="50" t="inlineStr">
        <is>
          <t>Beetroot x3; Goat Cheese x1</t>
        </is>
      </c>
      <c r="Y277" s="50" t="inlineStr">
        <is>
          <t>Beetroot Salad.png</t>
        </is>
      </c>
      <c r="Z277" s="50" t="inlineStr">
        <is>
          <t>icons/Salad Bar/Beetroot Salad.png</t>
        </is>
      </c>
      <c r="AA277" s="28" t="inlineStr">
        <is>
          <t>hayday.info /api/production-data (2026-10-13) + Hay Day Wiki infobox via MediaWiki API (2026-10-13)</t>
        </is>
      </c>
      <c r="AB277" s="28" t="inlineStr">
        <is>
          <t>https://hayday.fandom.com/wiki/Beetroot_Salad</t>
        </is>
      </c>
      <c r="AC277" s="50" t="inlineStr">
        <is>
          <t>Beetroot salad</t>
        </is>
      </c>
    </row>
    <row r="278">
      <c r="A278" s="28" t="inlineStr">
        <is>
          <t>Summer Rolls</t>
        </is>
      </c>
      <c r="B278" s="28" t="inlineStr">
        <is>
          <t>Salad Bar</t>
        </is>
      </c>
      <c r="C278" s="50" t="inlineStr">
        <is>
          <t>Product</t>
        </is>
      </c>
      <c r="D278" s="28">
        <f>IF(E278&lt;&gt;"",E278,IF(F278&lt;&gt;"",F278,""))</f>
        <v/>
      </c>
      <c r="E278" s="50" t="n">
        <v>78</v>
      </c>
      <c r="F278" s="50" t="n">
        <v>78</v>
      </c>
      <c r="G278" s="50" t="n">
        <v>51</v>
      </c>
      <c r="H278" s="50" t="n">
        <v>60</v>
      </c>
      <c r="I278" s="50" t="n">
        <v>51</v>
      </c>
      <c r="J278" s="28">
        <f>IF(OR(G278="",AND(H278="",I278="")),"n/a",IF(G278=I278,"mastered",IF(G278=H278,"normal","differs")))</f>
        <v/>
      </c>
      <c r="K278" s="28">
        <f>IF(L278&lt;&gt;"",L278,IF(M278&lt;&gt;"",M278,""))</f>
        <v/>
      </c>
      <c r="L278" s="50" t="n">
        <v>316</v>
      </c>
      <c r="M278" s="50" t="n">
        <v>316</v>
      </c>
      <c r="N278" s="28">
        <f>IF(O278&lt;&gt;"",O278,IF(P278&lt;&gt;"",P278,""))</f>
        <v/>
      </c>
      <c r="O278" s="50" t="n">
        <v>38</v>
      </c>
      <c r="P278" s="50" t="n">
        <v>38</v>
      </c>
      <c r="Q278" s="50" t="n">
        <v>40</v>
      </c>
      <c r="R278" s="50" t="n">
        <v>44.71</v>
      </c>
      <c r="S278" s="28">
        <f>IF(Q278="","",IF(Q278&lt;0,"negative profit",IF(Q278&gt;Notes!$B$4,"unusually high - verify","")))</f>
        <v/>
      </c>
      <c r="T278" s="28" t="inlineStr">
        <is>
          <t>both</t>
        </is>
      </c>
      <c r="U278" s="28">
        <f>IF(T278&lt;&gt;"both",T278&amp;" only",IF(V278="","agree","conflict"))</f>
        <v/>
      </c>
      <c r="V278" s="28">
        <f>IF(T278="both",TRIM(IF(AND(E278&lt;&gt;"",F278&lt;&gt;"",E278&lt;&gt;F278),"level ","")&amp;IF(AND(L278&lt;&gt;"",M278&lt;&gt;"",L278&lt;&gt;M278),"price ","")&amp;IF(AND(O278&lt;&gt;"",P278&lt;&gt;"",O278&lt;&gt;P278),"xp ","")&amp;IF(J278="differs","time","")),"")</f>
        <v/>
      </c>
      <c r="X278" s="50" t="inlineStr">
        <is>
          <t>Rice Noodles x2; Carrot x2; Lettuce x1; Chili Pepper x1</t>
        </is>
      </c>
      <c r="Y278" s="50" t="inlineStr">
        <is>
          <t>Summer Rolls.png</t>
        </is>
      </c>
      <c r="Z278" s="50" t="inlineStr">
        <is>
          <t>icons/Salad Bar/Summer Rolls.png</t>
        </is>
      </c>
      <c r="AA278" s="28" t="inlineStr">
        <is>
          <t>hayday.info /api/production-data (2026-10-13) + Hay Day Wiki infobox via MediaWiki API (2026-10-13)</t>
        </is>
      </c>
      <c r="AB278" s="28" t="inlineStr">
        <is>
          <t>https://hayday.fandom.com/wiki/Summer_Rolls</t>
        </is>
      </c>
      <c r="AC278" s="50" t="inlineStr">
        <is>
          <t>Summer rolls</t>
        </is>
      </c>
    </row>
    <row r="279">
      <c r="A279" s="28" t="inlineStr">
        <is>
          <t>Fruit Salad</t>
        </is>
      </c>
      <c r="B279" s="28" t="inlineStr">
        <is>
          <t>Salad Bar</t>
        </is>
      </c>
      <c r="C279" s="50" t="inlineStr">
        <is>
          <t>Product</t>
        </is>
      </c>
      <c r="D279" s="28">
        <f>IF(E279&lt;&gt;"",E279,IF(F279&lt;&gt;"",F279,""))</f>
        <v/>
      </c>
      <c r="E279" s="50" t="n">
        <v>82</v>
      </c>
      <c r="F279" s="50" t="n">
        <v>82</v>
      </c>
      <c r="G279" s="50" t="n">
        <v>102</v>
      </c>
      <c r="H279" s="50" t="n">
        <v>120</v>
      </c>
      <c r="I279" s="50" t="n">
        <v>102</v>
      </c>
      <c r="J279" s="28">
        <f>IF(OR(G279="",AND(H279="",I279="")),"n/a",IF(G279=I279,"mastered",IF(G279=H279,"normal","differs")))</f>
        <v/>
      </c>
      <c r="K279" s="28">
        <f>IF(L279&lt;&gt;"",L279,IF(M279&lt;&gt;"",M279,""))</f>
        <v/>
      </c>
      <c r="L279" s="50" t="n">
        <v>597</v>
      </c>
      <c r="M279" s="50" t="n">
        <v>597</v>
      </c>
      <c r="N279" s="28">
        <f>IF(O279&lt;&gt;"",O279,IF(P279&lt;&gt;"",P279,""))</f>
        <v/>
      </c>
      <c r="O279" s="50" t="n">
        <v>71</v>
      </c>
      <c r="P279" s="50" t="n">
        <v>71</v>
      </c>
      <c r="Q279" s="50" t="n">
        <v>18.82</v>
      </c>
      <c r="R279" s="50" t="n">
        <v>41.76</v>
      </c>
      <c r="S279" s="28">
        <f>IF(Q279="","",IF(Q279&lt;0,"negative profit",IF(Q279&gt;Notes!$B$4,"unusually high - verify","")))</f>
        <v/>
      </c>
      <c r="T279" s="28" t="inlineStr">
        <is>
          <t>both</t>
        </is>
      </c>
      <c r="U279" s="28">
        <f>IF(T279&lt;&gt;"both",T279&amp;" only",IF(V279="","agree","conflict"))</f>
        <v/>
      </c>
      <c r="V279" s="28">
        <f>IF(T279="both",TRIM(IF(AND(E279&lt;&gt;"",F279&lt;&gt;"",E279&lt;&gt;F279),"level ","")&amp;IF(AND(L279&lt;&gt;"",M279&lt;&gt;"",L279&lt;&gt;M279),"price ","")&amp;IF(AND(O279&lt;&gt;"",P279&lt;&gt;"",O279&lt;&gt;P279),"xp ","")&amp;IF(J279="differs","time","")),"")</f>
        <v/>
      </c>
      <c r="X279" s="50" t="inlineStr">
        <is>
          <t>Blackberry x2; Honey x1; Orange x1; Strawberry x3</t>
        </is>
      </c>
      <c r="Y279" s="50" t="inlineStr">
        <is>
          <t>Fruit Salad.png</t>
        </is>
      </c>
      <c r="Z279" s="50" t="inlineStr">
        <is>
          <t>icons/Salad Bar/Fruit Salad.png</t>
        </is>
      </c>
      <c r="AA279" s="28" t="inlineStr">
        <is>
          <t>hayday.info /api/production-data (2026-10-13) + Hay Day Wiki infobox via MediaWiki API (2026-10-13)</t>
        </is>
      </c>
      <c r="AB279" s="28" t="inlineStr">
        <is>
          <t>https://hayday.fandom.com/wiki/Fruit_Salad</t>
        </is>
      </c>
      <c r="AC279" s="50" t="inlineStr">
        <is>
          <t>Fruit salad</t>
        </is>
      </c>
    </row>
    <row r="280">
      <c r="A280" s="28" t="inlineStr">
        <is>
          <t>Summer Salad</t>
        </is>
      </c>
      <c r="B280" s="28" t="inlineStr">
        <is>
          <t>Salad Bar</t>
        </is>
      </c>
      <c r="C280" s="50" t="inlineStr">
        <is>
          <t>Product</t>
        </is>
      </c>
      <c r="D280" s="28">
        <f>IF(E280&lt;&gt;"",E280,IF(F280&lt;&gt;"",F280,""))</f>
        <v/>
      </c>
      <c r="E280" s="50" t="n">
        <v>84</v>
      </c>
      <c r="F280" s="50" t="n">
        <v>84</v>
      </c>
      <c r="G280" s="50" t="n">
        <v>153</v>
      </c>
      <c r="H280" s="50" t="n">
        <v>180</v>
      </c>
      <c r="I280" s="50" t="n">
        <v>153</v>
      </c>
      <c r="J280" s="28">
        <f>IF(OR(G280="",AND(H280="",I280="")),"n/a",IF(G280=I280,"mastered",IF(G280=H280,"normal","differs")))</f>
        <v/>
      </c>
      <c r="K280" s="28">
        <f>IF(L280&lt;&gt;"",L280,IF(M280&lt;&gt;"",M280,""))</f>
        <v/>
      </c>
      <c r="L280" s="50" t="n">
        <v>554</v>
      </c>
      <c r="M280" s="50" t="n">
        <v>554</v>
      </c>
      <c r="N280" s="28">
        <f>IF(O280&lt;&gt;"",O280,IF(P280&lt;&gt;"",P280,""))</f>
        <v/>
      </c>
      <c r="O280" s="50" t="n">
        <v>66</v>
      </c>
      <c r="P280" s="50" t="n">
        <v>66</v>
      </c>
      <c r="Q280" s="50" t="n">
        <v>18.04</v>
      </c>
      <c r="R280" s="50" t="n">
        <v>25.88</v>
      </c>
      <c r="S280" s="28">
        <f>IF(Q280="","",IF(Q280&lt;0,"negative profit",IF(Q280&gt;Notes!$B$4,"unusually high - verify","")))</f>
        <v/>
      </c>
      <c r="T280" s="28" t="inlineStr">
        <is>
          <t>both</t>
        </is>
      </c>
      <c r="U280" s="28">
        <f>IF(T280&lt;&gt;"both",T280&amp;" only",IF(V280="","agree","conflict"))</f>
        <v/>
      </c>
      <c r="V280" s="28">
        <f>IF(T280="both",TRIM(IF(AND(E280&lt;&gt;"",F280&lt;&gt;"",E280&lt;&gt;F280),"level ","")&amp;IF(AND(L280&lt;&gt;"",M280&lt;&gt;"",L280&lt;&gt;M280),"price ","")&amp;IF(AND(O280&lt;&gt;"",P280&lt;&gt;"",O280&lt;&gt;P280),"xp ","")&amp;IF(J280="differs","time","")),"")</f>
        <v/>
      </c>
      <c r="X280" s="50" t="inlineStr">
        <is>
          <t>Goat Cheese x1; Onion x3; Peach x1; Tomato x3</t>
        </is>
      </c>
      <c r="Y280" s="50" t="inlineStr">
        <is>
          <t>Summer Salad.png</t>
        </is>
      </c>
      <c r="Z280" s="50" t="inlineStr">
        <is>
          <t>icons/Salad Bar/Summer Salad.png</t>
        </is>
      </c>
      <c r="AA280" s="28" t="inlineStr">
        <is>
          <t>hayday.info /api/production-data (2026-10-13) + Hay Day Wiki infobox via MediaWiki API (2026-10-13)</t>
        </is>
      </c>
      <c r="AB280" s="28" t="inlineStr">
        <is>
          <t>https://hayday.fandom.com/wiki/Summer_Salad</t>
        </is>
      </c>
      <c r="AC280" s="50" t="inlineStr">
        <is>
          <t>Summer salad</t>
        </is>
      </c>
    </row>
    <row r="281">
      <c r="A281" s="28" t="inlineStr">
        <is>
          <t>Mushroom Salad</t>
        </is>
      </c>
      <c r="B281" s="28" t="inlineStr">
        <is>
          <t>Salad Bar</t>
        </is>
      </c>
      <c r="C281" s="50" t="inlineStr">
        <is>
          <t>Product</t>
        </is>
      </c>
      <c r="D281" s="28">
        <f>IF(E281&lt;&gt;"",E281,IF(F281&lt;&gt;"",F281,""))</f>
        <v/>
      </c>
      <c r="E281" s="50" t="n">
        <v>89</v>
      </c>
      <c r="F281" s="50" t="n">
        <v>89</v>
      </c>
      <c r="G281" s="50" t="n">
        <v>51</v>
      </c>
      <c r="H281" s="50" t="n">
        <v>60</v>
      </c>
      <c r="I281" s="50" t="n">
        <v>51</v>
      </c>
      <c r="J281" s="28">
        <f>IF(OR(G281="",AND(H281="",I281="")),"n/a",IF(G281=I281,"mastered",IF(G281=H281,"normal","differs")))</f>
        <v/>
      </c>
      <c r="K281" s="28">
        <f>IF(L281&lt;&gt;"",L281,IF(M281&lt;&gt;"",M281,""))</f>
        <v/>
      </c>
      <c r="L281" s="50" t="n">
        <v>216</v>
      </c>
      <c r="M281" s="50" t="n">
        <v>216</v>
      </c>
      <c r="N281" s="28">
        <f>IF(O281&lt;&gt;"",O281,IF(P281&lt;&gt;"",P281,""))</f>
        <v/>
      </c>
      <c r="O281" s="50" t="n">
        <v>26</v>
      </c>
      <c r="P281" s="50" t="n">
        <v>26</v>
      </c>
      <c r="Q281" s="50" t="n">
        <v>37.65</v>
      </c>
      <c r="R281" s="50" t="n">
        <v>30.59</v>
      </c>
      <c r="S281" s="28">
        <f>IF(Q281="","",IF(Q281&lt;0,"negative profit",IF(Q281&gt;Notes!$B$4,"unusually high - verify","")))</f>
        <v/>
      </c>
      <c r="T281" s="28" t="inlineStr">
        <is>
          <t>both</t>
        </is>
      </c>
      <c r="U281" s="28">
        <f>IF(T281&lt;&gt;"both",T281&amp;" only",IF(V281="","agree","conflict"))</f>
        <v/>
      </c>
      <c r="V281" s="28">
        <f>IF(T281="both",TRIM(IF(AND(E281&lt;&gt;"",F281&lt;&gt;"",E281&lt;&gt;F281),"level ","")&amp;IF(AND(L281&lt;&gt;"",M281&lt;&gt;"",L281&lt;&gt;M281),"price ","")&amp;IF(AND(O281&lt;&gt;"",P281&lt;&gt;"",O281&lt;&gt;P281),"xp ","")&amp;IF(J281="differs","time","")),"")</f>
        <v/>
      </c>
      <c r="X281" s="50" t="inlineStr">
        <is>
          <t>Mushroom x3; Lettuce x1; Potato x2; Bacon x1</t>
        </is>
      </c>
      <c r="Y281" s="50" t="inlineStr">
        <is>
          <t>Mushroom Salad.png</t>
        </is>
      </c>
      <c r="Z281" s="50" t="inlineStr">
        <is>
          <t>icons/Salad Bar/Mushroom Salad.png</t>
        </is>
      </c>
      <c r="AA281" s="28" t="inlineStr">
        <is>
          <t>hayday.info /api/production-data (2026-10-13) + Hay Day Wiki infobox via MediaWiki API (2026-10-13)</t>
        </is>
      </c>
      <c r="AB281" s="28" t="inlineStr">
        <is>
          <t>https://hayday.fandom.com/wiki/Mushroom_Salad</t>
        </is>
      </c>
      <c r="AC281" s="50" t="inlineStr">
        <is>
          <t>Mushroom salad</t>
        </is>
      </c>
    </row>
    <row r="282">
      <c r="A282" s="28" t="inlineStr">
        <is>
          <t>Bean Salad</t>
        </is>
      </c>
      <c r="B282" s="28" t="inlineStr">
        <is>
          <t>Salad Bar</t>
        </is>
      </c>
      <c r="C282" s="50" t="inlineStr">
        <is>
          <t>Product</t>
        </is>
      </c>
      <c r="D282" s="28">
        <f>IF(E282&lt;&gt;"",E282,IF(F282&lt;&gt;"",F282,""))</f>
        <v/>
      </c>
      <c r="E282" s="50" t="n"/>
      <c r="F282" s="50" t="n">
        <v>58</v>
      </c>
      <c r="G282" s="50" t="n"/>
      <c r="H282" s="50" t="n">
        <v>60</v>
      </c>
      <c r="I282" s="50" t="n">
        <v>51</v>
      </c>
      <c r="J282" s="28">
        <f>IF(OR(G282="",AND(H282="",I282="")),"n/a",IF(G282=I282,"mastered",IF(G282=H282,"normal","differs")))</f>
        <v/>
      </c>
      <c r="K282" s="28">
        <f>IF(L282&lt;&gt;"",L282,IF(M282&lt;&gt;"",M282,""))</f>
        <v/>
      </c>
      <c r="L282" s="50" t="n"/>
      <c r="M282" s="50" t="n">
        <v>169</v>
      </c>
      <c r="N282" s="28">
        <f>IF(O282&lt;&gt;"",O282,IF(P282&lt;&gt;"",P282,""))</f>
        <v/>
      </c>
      <c r="O282" s="50" t="n"/>
      <c r="P282" s="50" t="n">
        <v>20</v>
      </c>
      <c r="Q282" s="50" t="n"/>
      <c r="R282" s="50" t="n"/>
      <c r="S282" s="28">
        <f>IF(Q282="","",IF(Q282&lt;0,"negative profit",IF(Q282&gt;Notes!$B$4,"unusually high - verify","")))</f>
        <v/>
      </c>
      <c r="T282" s="28" t="inlineStr">
        <is>
          <t>Fandom</t>
        </is>
      </c>
      <c r="U282" s="28">
        <f>IF(T282&lt;&gt;"both",T282&amp;" only",IF(V282="","agree","conflict"))</f>
        <v/>
      </c>
      <c r="V282" s="28">
        <f>IF(T282="both",TRIM(IF(AND(E282&lt;&gt;"",F282&lt;&gt;"",E282&lt;&gt;F282),"level ","")&amp;IF(AND(L282&lt;&gt;"",M282&lt;&gt;"",L282&lt;&gt;M282),"price ","")&amp;IF(AND(O282&lt;&gt;"",P282&lt;&gt;"",O282&lt;&gt;P282),"xp ","")&amp;IF(J282="differs","time","")),"")</f>
        <v/>
      </c>
      <c r="X282" s="50" t="inlineStr">
        <is>
          <t>Black Bean x3; Tomato x1; Lettuce x2; Corn x1</t>
        </is>
      </c>
      <c r="Y282" s="50" t="inlineStr">
        <is>
          <t>Bean Salad.png</t>
        </is>
      </c>
      <c r="Z282" s="50" t="inlineStr">
        <is>
          <t>icons/Salad Bar/Bean Salad.png</t>
        </is>
      </c>
      <c r="AA282" s="28" t="inlineStr">
        <is>
          <t>Hay Day Wiki infobox via MediaWiki API (2026-10-13)</t>
        </is>
      </c>
      <c r="AB282" s="28" t="inlineStr">
        <is>
          <t>https://hayday.fandom.com/wiki/Bean_Salad</t>
        </is>
      </c>
      <c r="AC282" s="50" t="n"/>
    </row>
    <row r="283">
      <c r="A283" s="28" t="inlineStr">
        <is>
          <t>Orange Salad</t>
        </is>
      </c>
      <c r="B283" s="28" t="inlineStr">
        <is>
          <t>Salad Bar</t>
        </is>
      </c>
      <c r="C283" s="50" t="inlineStr">
        <is>
          <t>Product</t>
        </is>
      </c>
      <c r="D283" s="28">
        <f>IF(E283&lt;&gt;"",E283,IF(F283&lt;&gt;"",F283,""))</f>
        <v/>
      </c>
      <c r="E283" s="50" t="n"/>
      <c r="F283" s="50" t="n">
        <v>117</v>
      </c>
      <c r="G283" s="50" t="n"/>
      <c r="H283" s="50" t="n">
        <v>45</v>
      </c>
      <c r="I283" s="50" t="n">
        <v>38</v>
      </c>
      <c r="J283" s="28">
        <f>IF(OR(G283="",AND(H283="",I283="")),"n/a",IF(G283=I283,"mastered",IF(G283=H283,"normal","differs")))</f>
        <v/>
      </c>
      <c r="K283" s="28">
        <f>IF(L283&lt;&gt;"",L283,IF(M283&lt;&gt;"",M283,""))</f>
        <v/>
      </c>
      <c r="L283" s="50" t="n"/>
      <c r="M283" s="50" t="n">
        <v>558</v>
      </c>
      <c r="N283" s="28">
        <f>IF(O283&lt;&gt;"",O283,IF(P283&lt;&gt;"",P283,""))</f>
        <v/>
      </c>
      <c r="O283" s="50" t="n"/>
      <c r="P283" s="50" t="n">
        <v>66</v>
      </c>
      <c r="Q283" s="50" t="n"/>
      <c r="R283" s="50" t="n"/>
      <c r="S283" s="28">
        <f>IF(Q283="","",IF(Q283&lt;0,"negative profit",IF(Q283&gt;Notes!$B$4,"unusually high - verify","")))</f>
        <v/>
      </c>
      <c r="T283" s="28" t="inlineStr">
        <is>
          <t>Fandom</t>
        </is>
      </c>
      <c r="U283" s="28">
        <f>IF(T283&lt;&gt;"both",T283&amp;" only",IF(V283="","agree","conflict"))</f>
        <v/>
      </c>
      <c r="V283" s="28">
        <f>IF(T283="both",TRIM(IF(AND(E283&lt;&gt;"",F283&lt;&gt;"",E283&lt;&gt;F283),"level ","")&amp;IF(AND(L283&lt;&gt;"",M283&lt;&gt;"",L283&lt;&gt;M283),"price ","")&amp;IF(AND(O283&lt;&gt;"",P283&lt;&gt;"",O283&lt;&gt;P283),"xp ","")&amp;IF(J283="differs","time","")),"")</f>
        <v/>
      </c>
      <c r="X283" s="50" t="inlineStr">
        <is>
          <t>Cheese x1; Lettuce x3; Pomegranate x1; Orange x2</t>
        </is>
      </c>
      <c r="Y283" s="50" t="inlineStr">
        <is>
          <t>Orange Salad.png</t>
        </is>
      </c>
      <c r="Z283" s="50" t="inlineStr">
        <is>
          <t>icons/Salad Bar/Orange Salad.png</t>
        </is>
      </c>
      <c r="AA283" s="28" t="inlineStr">
        <is>
          <t>Hay Day Wiki infobox via MediaWiki API (2026-10-13)</t>
        </is>
      </c>
      <c r="AB283" s="28" t="inlineStr">
        <is>
          <t>https://hayday.fandom.com/wiki/Orange_Salad</t>
        </is>
      </c>
      <c r="AC283" s="50" t="n"/>
    </row>
    <row r="284">
      <c r="A284" s="28" t="inlineStr">
        <is>
          <t>Veggie Bagel</t>
        </is>
      </c>
      <c r="B284" s="28" t="inlineStr">
        <is>
          <t>Sandwich Bar</t>
        </is>
      </c>
      <c r="C284" s="50" t="inlineStr">
        <is>
          <t>Product</t>
        </is>
      </c>
      <c r="D284" s="28">
        <f>IF(E284&lt;&gt;"",E284,IF(F284&lt;&gt;"",F284,""))</f>
        <v/>
      </c>
      <c r="E284" s="50" t="n">
        <v>61</v>
      </c>
      <c r="F284" s="50" t="n">
        <v>61</v>
      </c>
      <c r="G284" s="50" t="n">
        <v>34</v>
      </c>
      <c r="H284" s="50" t="n">
        <v>40</v>
      </c>
      <c r="I284" s="50" t="n">
        <v>34</v>
      </c>
      <c r="J284" s="28">
        <f>IF(OR(G284="",AND(H284="",I284="")),"n/a",IF(G284=I284,"mastered",IF(G284=H284,"normal","differs")))</f>
        <v/>
      </c>
      <c r="K284" s="28">
        <f>IF(L284&lt;&gt;"",L284,IF(M284&lt;&gt;"",M284,""))</f>
        <v/>
      </c>
      <c r="L284" s="50" t="n">
        <v>532</v>
      </c>
      <c r="M284" s="50" t="n">
        <v>532</v>
      </c>
      <c r="N284" s="28">
        <f>IF(O284&lt;&gt;"",O284,IF(P284&lt;&gt;"",P284,""))</f>
        <v/>
      </c>
      <c r="O284" s="50" t="n">
        <v>63</v>
      </c>
      <c r="P284" s="50" t="n">
        <v>63</v>
      </c>
      <c r="Q284" s="50" t="n">
        <v>54.71</v>
      </c>
      <c r="R284" s="50" t="n">
        <v>111.18</v>
      </c>
      <c r="S284" s="28">
        <f>IF(Q284="","",IF(Q284&lt;0,"negative profit",IF(Q284&gt;Notes!$B$4,"unusually high - verify","")))</f>
        <v/>
      </c>
      <c r="T284" s="28" t="inlineStr">
        <is>
          <t>both</t>
        </is>
      </c>
      <c r="U284" s="28">
        <f>IF(T284&lt;&gt;"both",T284&amp;" only",IF(V284="","agree","conflict"))</f>
        <v/>
      </c>
      <c r="V284" s="28">
        <f>IF(T284="both",TRIM(IF(AND(E284&lt;&gt;"",F284&lt;&gt;"",E284&lt;&gt;F284),"level ","")&amp;IF(AND(L284&lt;&gt;"",M284&lt;&gt;"",L284&lt;&gt;M284),"price ","")&amp;IF(AND(O284&lt;&gt;"",P284&lt;&gt;"",O284&lt;&gt;P284),"xp ","")&amp;IF(J284="differs","time","")),"")</f>
        <v/>
      </c>
      <c r="X284" s="50" t="inlineStr">
        <is>
          <t>Bread x2; Tomato x2; Lettuce x3; Olive Oil x1</t>
        </is>
      </c>
      <c r="Y284" s="50" t="inlineStr">
        <is>
          <t>Veggie Bagel.png</t>
        </is>
      </c>
      <c r="Z284" s="50" t="inlineStr">
        <is>
          <t>icons/Sandwich Bar/Veggie Bagel.png</t>
        </is>
      </c>
      <c r="AA284" s="28" t="inlineStr">
        <is>
          <t>hayday.info /api/production-data (2026-10-13) + Hay Day Wiki infobox via MediaWiki API (2026-10-13)</t>
        </is>
      </c>
      <c r="AB284" s="28" t="inlineStr">
        <is>
          <t>https://hayday.fandom.com/wiki/Veggie_Bagel</t>
        </is>
      </c>
      <c r="AC284" s="50" t="inlineStr">
        <is>
          <t>Veggie bagel</t>
        </is>
      </c>
    </row>
    <row r="285">
      <c r="A285" s="28" t="inlineStr">
        <is>
          <t>Bacon Toast</t>
        </is>
      </c>
      <c r="B285" s="28" t="inlineStr">
        <is>
          <t>Sandwich Bar</t>
        </is>
      </c>
      <c r="C285" s="50" t="inlineStr">
        <is>
          <t>Product</t>
        </is>
      </c>
      <c r="D285" s="28">
        <f>IF(E285&lt;&gt;"",E285,IF(F285&lt;&gt;"",F285,""))</f>
        <v/>
      </c>
      <c r="E285" s="50" t="n">
        <v>65</v>
      </c>
      <c r="F285" s="50" t="n">
        <v>65</v>
      </c>
      <c r="G285" s="50" t="n">
        <v>85</v>
      </c>
      <c r="H285" s="50" t="n">
        <v>100</v>
      </c>
      <c r="I285" s="50" t="n">
        <v>85</v>
      </c>
      <c r="J285" s="28">
        <f>IF(OR(G285="",AND(H285="",I285="")),"n/a",IF(G285=I285,"mastered",IF(G285=H285,"normal","differs")))</f>
        <v/>
      </c>
      <c r="K285" s="28">
        <f>IF(L285&lt;&gt;"",L285,IF(M285&lt;&gt;"",M285,""))</f>
        <v/>
      </c>
      <c r="L285" s="50" t="n">
        <v>648</v>
      </c>
      <c r="M285" s="50" t="n">
        <v>648</v>
      </c>
      <c r="N285" s="28">
        <f>IF(O285&lt;&gt;"",O285,IF(P285&lt;&gt;"",P285,""))</f>
        <v/>
      </c>
      <c r="O285" s="50" t="n">
        <v>77</v>
      </c>
      <c r="P285" s="50" t="n">
        <v>77</v>
      </c>
      <c r="Q285" s="50" t="n">
        <v>30.35</v>
      </c>
      <c r="R285" s="50" t="n">
        <v>54.35</v>
      </c>
      <c r="S285" s="28">
        <f>IF(Q285="","",IF(Q285&lt;0,"negative profit",IF(Q285&gt;Notes!$B$4,"unusually high - verify","")))</f>
        <v/>
      </c>
      <c r="T285" s="28" t="inlineStr">
        <is>
          <t>both</t>
        </is>
      </c>
      <c r="U285" s="28">
        <f>IF(T285&lt;&gt;"both",T285&amp;" only",IF(V285="","agree","conflict"))</f>
        <v/>
      </c>
      <c r="V285" s="28">
        <f>IF(T285="both",TRIM(IF(AND(E285&lt;&gt;"",F285&lt;&gt;"",E285&lt;&gt;F285),"level ","")&amp;IF(AND(L285&lt;&gt;"",M285&lt;&gt;"",L285&lt;&gt;M285),"price ","")&amp;IF(AND(O285&lt;&gt;"",P285&lt;&gt;"",O285&lt;&gt;P285),"xp ","")&amp;IF(J285="differs","time","")),"")</f>
        <v/>
      </c>
      <c r="X285" s="50" t="inlineStr">
        <is>
          <t>Bacon x2; Bread x2; Lettuce x3; Mayonnaise x1</t>
        </is>
      </c>
      <c r="Y285" s="50" t="inlineStr">
        <is>
          <t>Bacon_Toast.png</t>
        </is>
      </c>
      <c r="Z285" s="50" t="inlineStr">
        <is>
          <t>icons/Sandwich Bar/Bacon Toast.png</t>
        </is>
      </c>
      <c r="AA285" s="28" t="inlineStr">
        <is>
          <t>hayday.info /api/production-data (2026-10-13) + Hay Day Wiki infobox via MediaWiki API (2026-10-13)</t>
        </is>
      </c>
      <c r="AB285" s="28" t="inlineStr">
        <is>
          <t>https://hayday.fandom.com/wiki/Bacon_Toast</t>
        </is>
      </c>
      <c r="AC285" s="50" t="inlineStr">
        <is>
          <t>Bacon toast</t>
        </is>
      </c>
    </row>
    <row r="286">
      <c r="A286" s="28" t="inlineStr">
        <is>
          <t>Egg Sandwich</t>
        </is>
      </c>
      <c r="B286" s="28" t="inlineStr">
        <is>
          <t>Sandwich Bar</t>
        </is>
      </c>
      <c r="C286" s="50" t="inlineStr">
        <is>
          <t>Product</t>
        </is>
      </c>
      <c r="D286" s="28">
        <f>IF(E286&lt;&gt;"",E286,IF(F286&lt;&gt;"",F286,""))</f>
        <v/>
      </c>
      <c r="E286" s="50" t="n">
        <v>66</v>
      </c>
      <c r="F286" s="50" t="n">
        <v>66</v>
      </c>
      <c r="G286" s="50" t="n">
        <v>68</v>
      </c>
      <c r="H286" s="50" t="n">
        <v>80</v>
      </c>
      <c r="I286" s="50" t="n">
        <v>68</v>
      </c>
      <c r="J286" s="28">
        <f>IF(OR(G286="",AND(H286="",I286="")),"n/a",IF(G286=I286,"mastered",IF(G286=H286,"normal","differs")))</f>
        <v/>
      </c>
      <c r="K286" s="28">
        <f>IF(L286&lt;&gt;"",L286,IF(M286&lt;&gt;"",M286,""))</f>
        <v/>
      </c>
      <c r="L286" s="50" t="n">
        <v>583</v>
      </c>
      <c r="M286" s="50" t="n">
        <v>583</v>
      </c>
      <c r="N286" s="28">
        <f>IF(O286&lt;&gt;"",O286,IF(P286&lt;&gt;"",P286,""))</f>
        <v/>
      </c>
      <c r="O286" s="50" t="n">
        <v>69</v>
      </c>
      <c r="P286" s="50" t="n">
        <v>69</v>
      </c>
      <c r="Q286" s="50" t="n">
        <v>37.06</v>
      </c>
      <c r="R286" s="50" t="n">
        <v>60.88</v>
      </c>
      <c r="S286" s="28">
        <f>IF(Q286="","",IF(Q286&lt;0,"negative profit",IF(Q286&gt;Notes!$B$4,"unusually high - verify","")))</f>
        <v/>
      </c>
      <c r="T286" s="28" t="inlineStr">
        <is>
          <t>both</t>
        </is>
      </c>
      <c r="U286" s="28">
        <f>IF(T286&lt;&gt;"both",T286&amp;" only",IF(V286="","agree","conflict"))</f>
        <v/>
      </c>
      <c r="V286" s="28">
        <f>IF(T286="both",TRIM(IF(AND(E286&lt;&gt;"",F286&lt;&gt;"",E286&lt;&gt;F286),"level ","")&amp;IF(AND(L286&lt;&gt;"",M286&lt;&gt;"",L286&lt;&gt;M286),"price ","")&amp;IF(AND(O286&lt;&gt;"",P286&lt;&gt;"",O286&lt;&gt;P286),"xp ","")&amp;IF(J286="differs","time","")),"")</f>
        <v/>
      </c>
      <c r="X286" s="50" t="inlineStr">
        <is>
          <t>Bread x2; Egg x2; Lettuce x3; Mayonnaise x1</t>
        </is>
      </c>
      <c r="Y286" s="50" t="inlineStr">
        <is>
          <t>Egg Sandwich.png</t>
        </is>
      </c>
      <c r="Z286" s="50" t="inlineStr">
        <is>
          <t>icons/Sandwich Bar/Egg Sandwich.png</t>
        </is>
      </c>
      <c r="AA286" s="28" t="inlineStr">
        <is>
          <t>hayday.info /api/production-data (2026-10-13) + Hay Day Wiki infobox via MediaWiki API (2026-10-13)</t>
        </is>
      </c>
      <c r="AB286" s="28" t="inlineStr">
        <is>
          <t>https://hayday.fandom.com/wiki/Egg_Sandwich</t>
        </is>
      </c>
      <c r="AC286" s="50" t="inlineStr">
        <is>
          <t>Egg sandwich</t>
        </is>
      </c>
    </row>
    <row r="287">
      <c r="A287" s="28" t="inlineStr">
        <is>
          <t>Honey Toast</t>
        </is>
      </c>
      <c r="B287" s="28" t="inlineStr">
        <is>
          <t>Sandwich Bar</t>
        </is>
      </c>
      <c r="C287" s="50" t="inlineStr">
        <is>
          <t>Product</t>
        </is>
      </c>
      <c r="D287" s="28">
        <f>IF(E287&lt;&gt;"",E287,IF(F287&lt;&gt;"",F287,""))</f>
        <v/>
      </c>
      <c r="E287" s="50" t="n">
        <v>69</v>
      </c>
      <c r="F287" s="50" t="n">
        <v>69</v>
      </c>
      <c r="G287" s="50" t="n">
        <v>51</v>
      </c>
      <c r="H287" s="50" t="n">
        <v>60</v>
      </c>
      <c r="I287" s="50" t="n">
        <v>51</v>
      </c>
      <c r="J287" s="28">
        <f>IF(OR(G287="",AND(H287="",I287="")),"n/a",IF(G287=I287,"mastered",IF(G287=H287,"normal","differs")))</f>
        <v/>
      </c>
      <c r="K287" s="28">
        <f>IF(L287&lt;&gt;"",L287,IF(M287&lt;&gt;"",M287,""))</f>
        <v/>
      </c>
      <c r="L287" s="50" t="n">
        <v>255</v>
      </c>
      <c r="M287" s="50" t="n">
        <v>255</v>
      </c>
      <c r="N287" s="28">
        <f>IF(O287&lt;&gt;"",O287,IF(P287&lt;&gt;"",P287,""))</f>
        <v/>
      </c>
      <c r="O287" s="50" t="n">
        <v>31</v>
      </c>
      <c r="P287" s="50" t="n">
        <v>31</v>
      </c>
      <c r="Q287" s="50" t="n">
        <v>35.29</v>
      </c>
      <c r="R287" s="50" t="n">
        <v>36.47</v>
      </c>
      <c r="S287" s="28">
        <f>IF(Q287="","",IF(Q287&lt;0,"negative profit",IF(Q287&gt;Notes!$B$4,"unusually high - verify","")))</f>
        <v/>
      </c>
      <c r="T287" s="28" t="inlineStr">
        <is>
          <t>both</t>
        </is>
      </c>
      <c r="U287" s="28">
        <f>IF(T287&lt;&gt;"both",T287&amp;" only",IF(V287="","agree","conflict"))</f>
        <v/>
      </c>
      <c r="V287" s="28">
        <f>IF(T287="both",TRIM(IF(AND(E287&lt;&gt;"",F287&lt;&gt;"",E287&lt;&gt;F287),"level ","")&amp;IF(AND(L287&lt;&gt;"",M287&lt;&gt;"",L287&lt;&gt;M287),"price ","")&amp;IF(AND(O287&lt;&gt;"",P287&lt;&gt;"",O287&lt;&gt;P287),"xp ","")&amp;IF(J287="differs","time","")),"")</f>
        <v/>
      </c>
      <c r="X287" s="50" t="inlineStr">
        <is>
          <t>Bread x1; Egg x1; Milk x1; Honey x1</t>
        </is>
      </c>
      <c r="Y287" s="50" t="inlineStr">
        <is>
          <t>Honey Toast.png</t>
        </is>
      </c>
      <c r="Z287" s="50" t="inlineStr">
        <is>
          <t>icons/Sandwich Bar/Honey Toast.png</t>
        </is>
      </c>
      <c r="AA287" s="28" t="inlineStr">
        <is>
          <t>hayday.info /api/production-data (2026-10-13) + Hay Day Wiki infobox via MediaWiki API (2026-10-13)</t>
        </is>
      </c>
      <c r="AB287" s="28" t="inlineStr">
        <is>
          <t>https://hayday.fandom.com/wiki/Honey_Toast</t>
        </is>
      </c>
      <c r="AC287" s="50" t="inlineStr">
        <is>
          <t>Honey toast</t>
        </is>
      </c>
    </row>
    <row r="288">
      <c r="A288" s="28" t="inlineStr">
        <is>
          <t>Peanut Butter and Jelly Sandwich</t>
        </is>
      </c>
      <c r="B288" s="28" t="inlineStr">
        <is>
          <t>Sandwich Bar</t>
        </is>
      </c>
      <c r="C288" s="50" t="inlineStr">
        <is>
          <t>Product</t>
        </is>
      </c>
      <c r="D288" s="28">
        <f>IF(E288&lt;&gt;"",E288,IF(F288&lt;&gt;"",F288,""))</f>
        <v/>
      </c>
      <c r="E288" s="50" t="n">
        <v>71</v>
      </c>
      <c r="F288" s="50" t="n">
        <v>71</v>
      </c>
      <c r="G288" s="50" t="n">
        <v>21</v>
      </c>
      <c r="H288" s="50" t="n">
        <v>25</v>
      </c>
      <c r="I288" s="50" t="n">
        <v>21</v>
      </c>
      <c r="J288" s="28">
        <f>IF(OR(G288="",AND(H288="",I288="")),"n/a",IF(G288=I288,"mastered",IF(G288=H288,"normal","differs")))</f>
        <v/>
      </c>
      <c r="K288" s="28">
        <f>IF(L288&lt;&gt;"",L288,IF(M288&lt;&gt;"",M288,""))</f>
        <v/>
      </c>
      <c r="L288" s="50" t="n">
        <v>673</v>
      </c>
      <c r="M288" s="50" t="n">
        <v>601</v>
      </c>
      <c r="N288" s="28">
        <f>IF(O288&lt;&gt;"",O288,IF(P288&lt;&gt;"",P288,""))</f>
        <v/>
      </c>
      <c r="O288" s="50" t="n">
        <v>80</v>
      </c>
      <c r="P288" s="50" t="n">
        <v>80</v>
      </c>
      <c r="Q288" s="50" t="n">
        <v>409.41</v>
      </c>
      <c r="R288" s="50" t="n">
        <v>225.88</v>
      </c>
      <c r="S288" s="28">
        <f>IF(Q288="","",IF(Q288&lt;0,"negative profit",IF(Q288&gt;Notes!$B$4,"unusually high - verify","")))</f>
        <v/>
      </c>
      <c r="T288" s="28" t="inlineStr">
        <is>
          <t>both</t>
        </is>
      </c>
      <c r="U288" s="28">
        <f>IF(T288&lt;&gt;"both",T288&amp;" only",IF(V288="","agree","conflict"))</f>
        <v/>
      </c>
      <c r="V288" s="28">
        <f>IF(T288="both",TRIM(IF(AND(E288&lt;&gt;"",F288&lt;&gt;"",E288&lt;&gt;F288),"level ","")&amp;IF(AND(L288&lt;&gt;"",M288&lt;&gt;"",L288&lt;&gt;M288),"price ","")&amp;IF(AND(O288&lt;&gt;"",P288&lt;&gt;"",O288&lt;&gt;P288),"xp ","")&amp;IF(J288="differs","time","")),"")</f>
        <v/>
      </c>
      <c r="X288" s="50" t="inlineStr">
        <is>
          <t>Bread x2; Raspberry Jam x1; Peanuts x1</t>
        </is>
      </c>
      <c r="Y288" s="50" t="inlineStr">
        <is>
          <t>Peanut Butter and Jelly Sandwich.png</t>
        </is>
      </c>
      <c r="Z288" s="50" t="inlineStr">
        <is>
          <t>icons/Sandwich Bar/Peanut Butter and Jelly Sandwich.png</t>
        </is>
      </c>
      <c r="AA288" s="28" t="inlineStr">
        <is>
          <t>hayday.info /api/production-data (2026-10-13) + Hay Day Wiki infobox via MediaWiki API (2026-10-13)</t>
        </is>
      </c>
      <c r="AB288" s="28" t="inlineStr">
        <is>
          <t>https://hayday.fandom.com/wiki/Peanut_Butter_and_Jelly_Sandwich</t>
        </is>
      </c>
      <c r="AC288" s="50" t="inlineStr">
        <is>
          <t>Peanut butter and jelly sandwich</t>
        </is>
      </c>
    </row>
    <row r="289">
      <c r="A289" s="28" t="inlineStr">
        <is>
          <t>Cucumber Sandwich</t>
        </is>
      </c>
      <c r="B289" s="28" t="inlineStr">
        <is>
          <t>Sandwich Bar</t>
        </is>
      </c>
      <c r="C289" s="50" t="inlineStr">
        <is>
          <t>Product</t>
        </is>
      </c>
      <c r="D289" s="28">
        <f>IF(E289&lt;&gt;"",E289,IF(F289&lt;&gt;"",F289,""))</f>
        <v/>
      </c>
      <c r="E289" s="50" t="n">
        <v>79</v>
      </c>
      <c r="F289" s="50" t="n">
        <v>79</v>
      </c>
      <c r="G289" s="50" t="n">
        <v>29</v>
      </c>
      <c r="H289" s="50" t="n">
        <v>35</v>
      </c>
      <c r="I289" s="50" t="n">
        <v>29</v>
      </c>
      <c r="J289" s="28">
        <f>IF(OR(G289="",AND(H289="",I289="")),"n/a",IF(G289=I289,"mastered",IF(G289=H289,"normal","differs")))</f>
        <v/>
      </c>
      <c r="K289" s="28">
        <f>IF(L289&lt;&gt;"",L289,IF(M289&lt;&gt;"",M289,""))</f>
        <v/>
      </c>
      <c r="L289" s="50" t="n">
        <v>464</v>
      </c>
      <c r="M289" s="50" t="n">
        <v>464</v>
      </c>
      <c r="N289" s="28">
        <f>IF(O289&lt;&gt;"",O289,IF(P289&lt;&gt;"",P289,""))</f>
        <v/>
      </c>
      <c r="O289" s="50" t="n">
        <v>55</v>
      </c>
      <c r="P289" s="50" t="n">
        <v>55</v>
      </c>
      <c r="Q289" s="50" t="n">
        <v>54.45</v>
      </c>
      <c r="R289" s="50" t="n">
        <v>110.92</v>
      </c>
      <c r="S289" s="28">
        <f>IF(Q289="","",IF(Q289&lt;0,"negative profit",IF(Q289&gt;Notes!$B$4,"unusually high - verify","")))</f>
        <v/>
      </c>
      <c r="T289" s="28" t="inlineStr">
        <is>
          <t>both</t>
        </is>
      </c>
      <c r="U289" s="28">
        <f>IF(T289&lt;&gt;"both",T289&amp;" only",IF(V289="","agree","conflict"))</f>
        <v/>
      </c>
      <c r="V289" s="28">
        <f>IF(T289="both",TRIM(IF(AND(E289&lt;&gt;"",F289&lt;&gt;"",E289&lt;&gt;F289),"level ","")&amp;IF(AND(L289&lt;&gt;"",M289&lt;&gt;"",L289&lt;&gt;M289),"price ","")&amp;IF(AND(O289&lt;&gt;"",P289&lt;&gt;"",O289&lt;&gt;P289),"xp ","")&amp;IF(J289="differs","time","")),"")</f>
        <v/>
      </c>
      <c r="X289" s="50" t="inlineStr">
        <is>
          <t>Cucumber x2; Mayonnaise x1; Bread x2</t>
        </is>
      </c>
      <c r="Y289" s="50" t="inlineStr">
        <is>
          <t>Cucumber Sandwich.png</t>
        </is>
      </c>
      <c r="Z289" s="50" t="inlineStr">
        <is>
          <t>icons/Sandwich Bar/Cucumber Sandwich.png</t>
        </is>
      </c>
      <c r="AA289" s="28" t="inlineStr">
        <is>
          <t>hayday.info /api/production-data (2026-10-13) + Hay Day Wiki infobox via MediaWiki API (2026-10-13)</t>
        </is>
      </c>
      <c r="AB289" s="28" t="inlineStr">
        <is>
          <t>https://hayday.fandom.com/wiki/Cucumber_Sandwich</t>
        </is>
      </c>
      <c r="AC289" s="50" t="inlineStr">
        <is>
          <t>Cucumber sandwich</t>
        </is>
      </c>
    </row>
    <row r="290">
      <c r="A290" s="28" t="inlineStr">
        <is>
          <t>Onion Melt</t>
        </is>
      </c>
      <c r="B290" s="28" t="inlineStr">
        <is>
          <t>Sandwich Bar</t>
        </is>
      </c>
      <c r="C290" s="50" t="inlineStr">
        <is>
          <t>Product</t>
        </is>
      </c>
      <c r="D290" s="28">
        <f>IF(E290&lt;&gt;"",E290,IF(F290&lt;&gt;"",F290,""))</f>
        <v/>
      </c>
      <c r="E290" s="50" t="n">
        <v>84</v>
      </c>
      <c r="F290" s="50" t="n">
        <v>84</v>
      </c>
      <c r="G290" s="50" t="n">
        <v>76</v>
      </c>
      <c r="H290" s="50" t="n">
        <v>90</v>
      </c>
      <c r="I290" s="50" t="n">
        <v>76</v>
      </c>
      <c r="J290" s="28">
        <f>IF(OR(G290="",AND(H290="",I290="")),"n/a",IF(G290=I290,"mastered",IF(G290=H290,"normal","differs")))</f>
        <v/>
      </c>
      <c r="K290" s="28">
        <f>IF(L290&lt;&gt;"",L290,IF(M290&lt;&gt;"",M290,""))</f>
        <v/>
      </c>
      <c r="L290" s="50" t="n">
        <v>471</v>
      </c>
      <c r="M290" s="50" t="n">
        <v>417</v>
      </c>
      <c r="N290" s="28">
        <f>IF(O290&lt;&gt;"",O290,IF(P290&lt;&gt;"",P290,""))</f>
        <v/>
      </c>
      <c r="O290" s="50" t="n">
        <v>50</v>
      </c>
      <c r="P290" s="50" t="n">
        <v>50</v>
      </c>
      <c r="Q290" s="50" t="n">
        <v>69.02</v>
      </c>
      <c r="R290" s="50" t="n">
        <v>39.22</v>
      </c>
      <c r="S290" s="28">
        <f>IF(Q290="","",IF(Q290&lt;0,"negative profit",IF(Q290&gt;Notes!$B$4,"unusually high - verify","")))</f>
        <v/>
      </c>
      <c r="T290" s="28" t="inlineStr">
        <is>
          <t>both</t>
        </is>
      </c>
      <c r="U290" s="28">
        <f>IF(T290&lt;&gt;"both",T290&amp;" only",IF(V290="","agree","conflict"))</f>
        <v/>
      </c>
      <c r="V290" s="28">
        <f>IF(T290="both",TRIM(IF(AND(E290&lt;&gt;"",F290&lt;&gt;"",E290&lt;&gt;F290),"level ","")&amp;IF(AND(L290&lt;&gt;"",M290&lt;&gt;"",L290&lt;&gt;M290),"price ","")&amp;IF(AND(O290&lt;&gt;"",P290&lt;&gt;"",O290&lt;&gt;P290),"xp ","")&amp;IF(J290="differs","time","")),"")</f>
        <v/>
      </c>
      <c r="X290" s="50" t="inlineStr">
        <is>
          <t>Corn Bread x2; Onion x3; Cheese x1</t>
        </is>
      </c>
      <c r="Y290" s="50" t="inlineStr">
        <is>
          <t>Onion Melt.png</t>
        </is>
      </c>
      <c r="Z290" s="50" t="inlineStr">
        <is>
          <t>icons/Sandwich Bar/Onion Melt.png</t>
        </is>
      </c>
      <c r="AA290" s="28" t="inlineStr">
        <is>
          <t>hayday.info /api/production-data (2026-10-13) + Hay Day Wiki infobox via MediaWiki API (2026-10-13)</t>
        </is>
      </c>
      <c r="AB290" s="28" t="inlineStr">
        <is>
          <t>https://hayday.fandom.com/wiki/Onion_Melt</t>
        </is>
      </c>
      <c r="AC290" s="50" t="inlineStr">
        <is>
          <t>Onion melt</t>
        </is>
      </c>
    </row>
    <row r="291">
      <c r="A291" s="28" t="inlineStr">
        <is>
          <t>Goat Cheese Toast</t>
        </is>
      </c>
      <c r="B291" s="28" t="inlineStr">
        <is>
          <t>Sandwich Bar</t>
        </is>
      </c>
      <c r="C291" s="50" t="inlineStr">
        <is>
          <t>Product</t>
        </is>
      </c>
      <c r="D291" s="28">
        <f>IF(E291&lt;&gt;"",E291,IF(F291&lt;&gt;"",F291,""))</f>
        <v/>
      </c>
      <c r="E291" s="50" t="n">
        <v>92</v>
      </c>
      <c r="F291" s="50" t="n">
        <v>92</v>
      </c>
      <c r="G291" s="50" t="n">
        <v>42</v>
      </c>
      <c r="H291" s="50" t="n">
        <v>50</v>
      </c>
      <c r="I291" s="50" t="n">
        <v>42</v>
      </c>
      <c r="J291" s="28">
        <f>IF(OR(G291="",AND(H291="",I291="")),"n/a",IF(G291=I291,"mastered",IF(G291=H291,"normal","differs")))</f>
        <v/>
      </c>
      <c r="K291" s="28">
        <f>IF(L291&lt;&gt;"",L291,IF(M291&lt;&gt;"",M291,""))</f>
        <v/>
      </c>
      <c r="L291" s="50" t="n">
        <v>302</v>
      </c>
      <c r="M291" s="50" t="n">
        <v>302</v>
      </c>
      <c r="N291" s="28">
        <f>IF(O291&lt;&gt;"",O291,IF(P291&lt;&gt;"",P291,""))</f>
        <v/>
      </c>
      <c r="O291" s="50" t="n">
        <v>36</v>
      </c>
      <c r="P291" s="50" t="n">
        <v>36</v>
      </c>
      <c r="Q291" s="50" t="n">
        <v>32.47</v>
      </c>
      <c r="R291" s="50" t="n">
        <v>50.82</v>
      </c>
      <c r="S291" s="28">
        <f>IF(Q291="","",IF(Q291&lt;0,"negative profit",IF(Q291&gt;Notes!$B$4,"unusually high - verify","")))</f>
        <v/>
      </c>
      <c r="T291" s="28" t="inlineStr">
        <is>
          <t>both</t>
        </is>
      </c>
      <c r="U291" s="28">
        <f>IF(T291&lt;&gt;"both",T291&amp;" only",IF(V291="","agree","conflict"))</f>
        <v/>
      </c>
      <c r="V291" s="28">
        <f>IF(T291="both",TRIM(IF(AND(E291&lt;&gt;"",F291&lt;&gt;"",E291&lt;&gt;F291),"level ","")&amp;IF(AND(L291&lt;&gt;"",M291&lt;&gt;"",L291&lt;&gt;M291),"price ","")&amp;IF(AND(O291&lt;&gt;"",P291&lt;&gt;"",O291&lt;&gt;P291),"xp ","")&amp;IF(J291="differs","time","")),"")</f>
        <v/>
      </c>
      <c r="X291" s="50" t="inlineStr">
        <is>
          <t>Grapes x3; Goat Cheese x1; Bread x1</t>
        </is>
      </c>
      <c r="Y291" s="50" t="inlineStr">
        <is>
          <t>Goat Cheese Toast.png</t>
        </is>
      </c>
      <c r="Z291" s="50" t="inlineStr">
        <is>
          <t>icons/Sandwich Bar/Goat Cheese Toast.png</t>
        </is>
      </c>
      <c r="AA291" s="28" t="inlineStr">
        <is>
          <t>hayday.info /api/production-data (2026-10-13) + Hay Day Wiki infobox via MediaWiki API (2026-10-13)</t>
        </is>
      </c>
      <c r="AB291" s="28" t="inlineStr">
        <is>
          <t>https://hayday.fandom.com/wiki/Goat_Cheese_Toast</t>
        </is>
      </c>
      <c r="AC291" s="50" t="inlineStr">
        <is>
          <t>Goat cheese toast</t>
        </is>
      </c>
    </row>
    <row r="292">
      <c r="A292" s="28" t="inlineStr">
        <is>
          <t>Hummus Wrap</t>
        </is>
      </c>
      <c r="B292" s="28" t="inlineStr">
        <is>
          <t>Sandwich Bar</t>
        </is>
      </c>
      <c r="C292" s="50" t="inlineStr">
        <is>
          <t>Product</t>
        </is>
      </c>
      <c r="D292" s="28">
        <f>IF(E292&lt;&gt;"",E292,IF(F292&lt;&gt;"",F292,""))</f>
        <v/>
      </c>
      <c r="E292" s="50" t="n">
        <v>109</v>
      </c>
      <c r="F292" s="50" t="n">
        <v>109</v>
      </c>
      <c r="G292" s="50" t="n">
        <v>25</v>
      </c>
      <c r="H292" s="50" t="n">
        <v>30</v>
      </c>
      <c r="I292" s="50" t="n">
        <v>25</v>
      </c>
      <c r="J292" s="28">
        <f>IF(OR(G292="",AND(H292="",I292="")),"n/a",IF(G292=I292,"mastered",IF(G292=H292,"normal","differs")))</f>
        <v/>
      </c>
      <c r="K292" s="28">
        <f>IF(L292&lt;&gt;"",L292,IF(M292&lt;&gt;"",M292,""))</f>
        <v/>
      </c>
      <c r="L292" s="50" t="n">
        <v>374</v>
      </c>
      <c r="M292" s="50" t="n">
        <v>374</v>
      </c>
      <c r="N292" s="28">
        <f>IF(O292&lt;&gt;"",O292,IF(P292&lt;&gt;"",P292,""))</f>
        <v/>
      </c>
      <c r="O292" s="50" t="n">
        <v>45</v>
      </c>
      <c r="P292" s="50" t="n">
        <v>45</v>
      </c>
      <c r="Q292" s="50" t="n">
        <v>54.12</v>
      </c>
      <c r="R292" s="50" t="n">
        <v>105.88</v>
      </c>
      <c r="S292" s="28">
        <f>IF(Q292="","",IF(Q292&lt;0,"negative profit",IF(Q292&gt;Notes!$B$4,"unusually high - verify","")))</f>
        <v/>
      </c>
      <c r="T292" s="28" t="inlineStr">
        <is>
          <t>both</t>
        </is>
      </c>
      <c r="U292" s="28">
        <f>IF(T292&lt;&gt;"both",T292&amp;" only",IF(V292="","agree","conflict"))</f>
        <v/>
      </c>
      <c r="V292" s="28">
        <f>IF(T292="both",TRIM(IF(AND(E292&lt;&gt;"",F292&lt;&gt;"",E292&lt;&gt;F292),"level ","")&amp;IF(AND(L292&lt;&gt;"",M292&lt;&gt;"",L292&lt;&gt;M292),"price ","")&amp;IF(AND(O292&lt;&gt;"",P292&lt;&gt;"",O292&lt;&gt;P292),"xp ","")&amp;IF(J292="differs","time","")),"")</f>
        <v/>
      </c>
      <c r="W292" s="28" t="inlineStr">
        <is>
          <t>time 25 (machine page) vs 30 (product page)</t>
        </is>
      </c>
      <c r="X292" s="50" t="inlineStr">
        <is>
          <t>Hummus x1; Bread x2; Lettuce x1</t>
        </is>
      </c>
      <c r="Y292" s="50" t="inlineStr">
        <is>
          <t>Hummus Wrap.png</t>
        </is>
      </c>
      <c r="Z292" s="50" t="inlineStr">
        <is>
          <t>icons/Sandwich Bar/Hummus Wrap.png</t>
        </is>
      </c>
      <c r="AA292" s="28" t="inlineStr">
        <is>
          <t>hayday.info /api/production-data (2026-10-13) + Hay Day Wiki infobox via MediaWiki API (2026-10-13)</t>
        </is>
      </c>
      <c r="AB292" s="28" t="inlineStr">
        <is>
          <t>https://hayday.fandom.com/wiki/Hummus_Wrap</t>
        </is>
      </c>
      <c r="AC292" s="50" t="inlineStr">
        <is>
          <t>Hummus wrap</t>
        </is>
      </c>
    </row>
    <row r="293">
      <c r="A293" s="28" t="inlineStr">
        <is>
          <t>Soy Sauce</t>
        </is>
      </c>
      <c r="B293" s="28" t="inlineStr">
        <is>
          <t>Sauce Maker</t>
        </is>
      </c>
      <c r="C293" s="50" t="inlineStr">
        <is>
          <t>Product</t>
        </is>
      </c>
      <c r="D293" s="28">
        <f>IF(E293&lt;&gt;"",E293,IF(F293&lt;&gt;"",F293,""))</f>
        <v/>
      </c>
      <c r="E293" s="50" t="n">
        <v>54</v>
      </c>
      <c r="F293" s="50" t="n">
        <v>54</v>
      </c>
      <c r="G293" s="50" t="n">
        <v>153</v>
      </c>
      <c r="H293" s="50" t="n">
        <v>180</v>
      </c>
      <c r="I293" s="50" t="n">
        <v>153</v>
      </c>
      <c r="J293" s="28">
        <f>IF(OR(G293="",AND(H293="",I293="")),"n/a",IF(G293=I293,"mastered",IF(G293=H293,"normal","differs")))</f>
        <v/>
      </c>
      <c r="K293" s="28">
        <f>IF(L293&lt;&gt;"",L293,IF(M293&lt;&gt;"",M293,""))</f>
        <v/>
      </c>
      <c r="L293" s="50" t="n">
        <v>154</v>
      </c>
      <c r="M293" s="50" t="n">
        <v>154</v>
      </c>
      <c r="N293" s="28">
        <f>IF(O293&lt;&gt;"",O293,IF(P293&lt;&gt;"",P293,""))</f>
        <v/>
      </c>
      <c r="O293" s="50" t="n">
        <v>19</v>
      </c>
      <c r="P293" s="50" t="n">
        <v>19</v>
      </c>
      <c r="Q293" s="50" t="n">
        <v>23.92</v>
      </c>
      <c r="R293" s="50" t="n">
        <v>7.45</v>
      </c>
      <c r="S293" s="28">
        <f>IF(Q293="","",IF(Q293&lt;0,"negative profit",IF(Q293&gt;Notes!$B$4,"unusually high - verify","")))</f>
        <v/>
      </c>
      <c r="T293" s="28" t="inlineStr">
        <is>
          <t>both</t>
        </is>
      </c>
      <c r="U293" s="28">
        <f>IF(T293&lt;&gt;"both",T293&amp;" only",IF(V293="","agree","conflict"))</f>
        <v/>
      </c>
      <c r="V293" s="28">
        <f>IF(T293="both",TRIM(IF(AND(E293&lt;&gt;"",F293&lt;&gt;"",E293&lt;&gt;F293),"level ","")&amp;IF(AND(L293&lt;&gt;"",M293&lt;&gt;"",L293&lt;&gt;M293),"price ","")&amp;IF(AND(O293&lt;&gt;"",P293&lt;&gt;"",O293&lt;&gt;P293),"xp ","")&amp;IF(J293="differs","time","")),"")</f>
        <v/>
      </c>
      <c r="W293" s="28" t="inlineStr">
        <is>
          <t>xp 18 (machine page) vs 19 (product page)</t>
        </is>
      </c>
      <c r="X293" s="50" t="inlineStr">
        <is>
          <t>Soybean x9; Wheat x1</t>
        </is>
      </c>
      <c r="Y293" s="50" t="inlineStr">
        <is>
          <t>Soy Sauce.png</t>
        </is>
      </c>
      <c r="Z293" s="50" t="inlineStr">
        <is>
          <t>icons/Sauce Maker/Soy Sauce.png</t>
        </is>
      </c>
      <c r="AA293" s="28" t="inlineStr">
        <is>
          <t>hayday.info /api/production-data (2026-10-13) + Hay Day Wiki infobox via MediaWiki API (2026-10-13)</t>
        </is>
      </c>
      <c r="AB293" s="28" t="inlineStr">
        <is>
          <t>https://hayday.fandom.com/wiki/Soy_Sauce</t>
        </is>
      </c>
      <c r="AC293" s="50" t="inlineStr">
        <is>
          <t>Soy sauce</t>
        </is>
      </c>
    </row>
    <row r="294">
      <c r="A294" s="28" t="inlineStr">
        <is>
          <t>Olive Oil</t>
        </is>
      </c>
      <c r="B294" s="28" t="inlineStr">
        <is>
          <t>Sauce Maker</t>
        </is>
      </c>
      <c r="C294" s="50" t="inlineStr">
        <is>
          <t>Product</t>
        </is>
      </c>
      <c r="D294" s="28">
        <f>IF(E294&lt;&gt;"",E294,IF(F294&lt;&gt;"",F294,""))</f>
        <v/>
      </c>
      <c r="E294" s="50" t="n">
        <v>60</v>
      </c>
      <c r="F294" s="50" t="n">
        <v>60</v>
      </c>
      <c r="G294" s="50" t="n">
        <v>38</v>
      </c>
      <c r="H294" s="50" t="n">
        <v>45</v>
      </c>
      <c r="I294" s="50" t="n">
        <v>38</v>
      </c>
      <c r="J294" s="28">
        <f>IF(OR(G294="",AND(H294="",I294="")),"n/a",IF(G294=I294,"mastered",IF(G294=H294,"normal","differs")))</f>
        <v/>
      </c>
      <c r="K294" s="28">
        <f>IF(L294&lt;&gt;"",L294,IF(M294&lt;&gt;"",M294,""))</f>
        <v/>
      </c>
      <c r="L294" s="50" t="n">
        <v>277</v>
      </c>
      <c r="M294" s="50" t="n">
        <v>277</v>
      </c>
      <c r="N294" s="28">
        <f>IF(O294&lt;&gt;"",O294,IF(P294&lt;&gt;"",P294,""))</f>
        <v/>
      </c>
      <c r="O294" s="50" t="n">
        <v>33</v>
      </c>
      <c r="P294" s="50" t="n">
        <v>33</v>
      </c>
      <c r="Q294" s="50" t="n">
        <v>48.63</v>
      </c>
      <c r="R294" s="50" t="n">
        <v>51.76</v>
      </c>
      <c r="S294" s="28">
        <f>IF(Q294="","",IF(Q294&lt;0,"negative profit",IF(Q294&gt;Notes!$B$4,"unusually high - verify","")))</f>
        <v/>
      </c>
      <c r="T294" s="28" t="inlineStr">
        <is>
          <t>both</t>
        </is>
      </c>
      <c r="U294" s="28">
        <f>IF(T294&lt;&gt;"both",T294&amp;" only",IF(V294="","agree","conflict"))</f>
        <v/>
      </c>
      <c r="V294" s="28">
        <f>IF(T294="both",TRIM(IF(AND(E294&lt;&gt;"",F294&lt;&gt;"",E294&lt;&gt;F294),"level ","")&amp;IF(AND(L294&lt;&gt;"",M294&lt;&gt;"",L294&lt;&gt;M294),"price ","")&amp;IF(AND(O294&lt;&gt;"",P294&lt;&gt;"",O294&lt;&gt;P294),"xp ","")&amp;IF(J294="differs","time","")),"")</f>
        <v/>
      </c>
      <c r="X294" s="50" t="inlineStr">
        <is>
          <t>Olive x3</t>
        </is>
      </c>
      <c r="Y294" s="50" t="inlineStr">
        <is>
          <t>Olive Oil.png</t>
        </is>
      </c>
      <c r="Z294" s="50" t="inlineStr">
        <is>
          <t>icons/Sauce Maker/Olive Oil.png</t>
        </is>
      </c>
      <c r="AA294" s="28" t="inlineStr">
        <is>
          <t>hayday.info /api/production-data (2026-10-13) + Hay Day Wiki infobox via MediaWiki API (2026-10-13)</t>
        </is>
      </c>
      <c r="AB294" s="28" t="inlineStr">
        <is>
          <t>https://hayday.fandom.com/wiki/Olive_Oil</t>
        </is>
      </c>
      <c r="AC294" s="50" t="inlineStr">
        <is>
          <t>Olive oil</t>
        </is>
      </c>
    </row>
    <row r="295">
      <c r="A295" s="28" t="inlineStr">
        <is>
          <t>Mayonnaise</t>
        </is>
      </c>
      <c r="B295" s="28" t="inlineStr">
        <is>
          <t>Sauce Maker</t>
        </is>
      </c>
      <c r="C295" s="50" t="inlineStr">
        <is>
          <t>Product</t>
        </is>
      </c>
      <c r="D295" s="28">
        <f>IF(E295&lt;&gt;"",E295,IF(F295&lt;&gt;"",F295,""))</f>
        <v/>
      </c>
      <c r="E295" s="50" t="n">
        <v>62</v>
      </c>
      <c r="F295" s="50" t="n">
        <v>62</v>
      </c>
      <c r="G295" s="50" t="n">
        <v>12</v>
      </c>
      <c r="H295" s="50" t="n">
        <v>15</v>
      </c>
      <c r="I295" s="50" t="n">
        <v>12</v>
      </c>
      <c r="J295" s="28">
        <f>IF(OR(G295="",AND(H295="",I295="")),"n/a",IF(G295=I295,"mastered",IF(G295=H295,"normal","differs")))</f>
        <v/>
      </c>
      <c r="K295" s="28">
        <f>IF(L295&lt;&gt;"",L295,IF(M295&lt;&gt;"",M295,""))</f>
        <v/>
      </c>
      <c r="L295" s="50" t="n">
        <v>367</v>
      </c>
      <c r="M295" s="50" t="n">
        <v>367</v>
      </c>
      <c r="N295" s="28">
        <f>IF(O295&lt;&gt;"",O295,IF(P295&lt;&gt;"",P295,""))</f>
        <v/>
      </c>
      <c r="O295" s="50" t="n">
        <v>44</v>
      </c>
      <c r="P295" s="50" t="n">
        <v>44</v>
      </c>
      <c r="Q295" s="50" t="n">
        <v>84.70999999999999</v>
      </c>
      <c r="R295" s="50" t="n">
        <v>207.06</v>
      </c>
      <c r="S295" s="28">
        <f>IF(Q295="","",IF(Q295&lt;0,"negative profit",IF(Q295&gt;Notes!$B$4,"unusually high - verify","")))</f>
        <v/>
      </c>
      <c r="T295" s="28" t="inlineStr">
        <is>
          <t>both</t>
        </is>
      </c>
      <c r="U295" s="28">
        <f>IF(T295&lt;&gt;"both",T295&amp;" only",IF(V295="","agree","conflict"))</f>
        <v/>
      </c>
      <c r="V295" s="28">
        <f>IF(T295="both",TRIM(IF(AND(E295&lt;&gt;"",F295&lt;&gt;"",E295&lt;&gt;F295),"level ","")&amp;IF(AND(L295&lt;&gt;"",M295&lt;&gt;"",L295&lt;&gt;M295),"price ","")&amp;IF(AND(O295&lt;&gt;"",P295&lt;&gt;"",O295&lt;&gt;P295),"xp ","")&amp;IF(J295="differs","time","")),"")</f>
        <v/>
      </c>
      <c r="X295" s="50" t="inlineStr">
        <is>
          <t>Egg x4; Olive Oil x1</t>
        </is>
      </c>
      <c r="Y295" s="50" t="inlineStr">
        <is>
          <t>Mayonnaise.png</t>
        </is>
      </c>
      <c r="Z295" s="50" t="inlineStr">
        <is>
          <t>icons/Sauce Maker/Mayonnaise.png</t>
        </is>
      </c>
      <c r="AA295" s="28" t="inlineStr">
        <is>
          <t>hayday.info /api/production-data (2026-10-13) + Hay Day Wiki infobox via MediaWiki API (2026-10-13)</t>
        </is>
      </c>
      <c r="AB295" s="28" t="inlineStr">
        <is>
          <t>https://hayday.fandom.com/wiki/Mayonnaise</t>
        </is>
      </c>
      <c r="AC295" s="50" t="inlineStr">
        <is>
          <t>Mayonnaise</t>
        </is>
      </c>
    </row>
    <row r="296">
      <c r="A296" s="28" t="inlineStr">
        <is>
          <t>Lemon Curd</t>
        </is>
      </c>
      <c r="B296" s="28" t="inlineStr">
        <is>
          <t>Sauce Maker</t>
        </is>
      </c>
      <c r="C296" s="50" t="inlineStr">
        <is>
          <t>Product</t>
        </is>
      </c>
      <c r="D296" s="28">
        <f>IF(E296&lt;&gt;"",E296,IF(F296&lt;&gt;"",F296,""))</f>
        <v/>
      </c>
      <c r="E296" s="50" t="n">
        <v>66</v>
      </c>
      <c r="F296" s="50" t="n">
        <v>66</v>
      </c>
      <c r="G296" s="50" t="n">
        <v>21</v>
      </c>
      <c r="H296" s="50" t="n">
        <v>25</v>
      </c>
      <c r="I296" s="50" t="n">
        <v>21</v>
      </c>
      <c r="J296" s="28">
        <f>IF(OR(G296="",AND(H296="",I296="")),"n/a",IF(G296=I296,"mastered",IF(G296=H296,"normal","differs")))</f>
        <v/>
      </c>
      <c r="K296" s="28">
        <f>IF(L296&lt;&gt;"",L296,IF(M296&lt;&gt;"",M296,""))</f>
        <v/>
      </c>
      <c r="L296" s="50" t="n">
        <v>378</v>
      </c>
      <c r="M296" s="50" t="n">
        <v>378</v>
      </c>
      <c r="N296" s="28">
        <f>IF(O296&lt;&gt;"",O296,IF(P296&lt;&gt;"",P296,""))</f>
        <v/>
      </c>
      <c r="O296" s="50" t="n">
        <v>45</v>
      </c>
      <c r="P296" s="50" t="n">
        <v>45</v>
      </c>
      <c r="Q296" s="50" t="n">
        <v>67.76000000000001</v>
      </c>
      <c r="R296" s="50" t="n">
        <v>127.06</v>
      </c>
      <c r="S296" s="28">
        <f>IF(Q296="","",IF(Q296&lt;0,"negative profit",IF(Q296&gt;Notes!$B$4,"unusually high - verify","")))</f>
        <v/>
      </c>
      <c r="T296" s="28" t="inlineStr">
        <is>
          <t>both</t>
        </is>
      </c>
      <c r="U296" s="28">
        <f>IF(T296&lt;&gt;"both",T296&amp;" only",IF(V296="","agree","conflict"))</f>
        <v/>
      </c>
      <c r="V296" s="28">
        <f>IF(T296="both",TRIM(IF(AND(E296&lt;&gt;"",F296&lt;&gt;"",E296&lt;&gt;F296),"level ","")&amp;IF(AND(L296&lt;&gt;"",M296&lt;&gt;"",L296&lt;&gt;M296),"price ","")&amp;IF(AND(O296&lt;&gt;"",P296&lt;&gt;"",O296&lt;&gt;P296),"xp ","")&amp;IF(J296="differs","time","")),"")</f>
        <v/>
      </c>
      <c r="X296" s="50" t="inlineStr">
        <is>
          <t>Lemon x2; Butter x1; Egg x2; White Sugar x1</t>
        </is>
      </c>
      <c r="Y296" s="50" t="inlineStr">
        <is>
          <t>Lemon Curd.png</t>
        </is>
      </c>
      <c r="Z296" s="50" t="inlineStr">
        <is>
          <t>icons/Sauce Maker/Lemon Curd.png</t>
        </is>
      </c>
      <c r="AA296" s="28" t="inlineStr">
        <is>
          <t>hayday.info /api/production-data (2026-10-13) + Hay Day Wiki infobox via MediaWiki API (2026-10-13)</t>
        </is>
      </c>
      <c r="AB296" s="28" t="inlineStr">
        <is>
          <t>https://hayday.fandom.com/wiki/Lemon_Curd</t>
        </is>
      </c>
      <c r="AC296" s="50" t="inlineStr">
        <is>
          <t>Lemon curd</t>
        </is>
      </c>
    </row>
    <row r="297">
      <c r="A297" s="28" t="inlineStr">
        <is>
          <t>Olive Dip</t>
        </is>
      </c>
      <c r="B297" s="28" t="inlineStr">
        <is>
          <t>Sauce Maker</t>
        </is>
      </c>
      <c r="C297" s="50" t="inlineStr">
        <is>
          <t>Product</t>
        </is>
      </c>
      <c r="D297" s="28">
        <f>IF(E297&lt;&gt;"",E297,IF(F297&lt;&gt;"",F297,""))</f>
        <v/>
      </c>
      <c r="E297" s="50" t="n">
        <v>66</v>
      </c>
      <c r="F297" s="50" t="n">
        <v>66</v>
      </c>
      <c r="G297" s="50" t="n">
        <v>38</v>
      </c>
      <c r="H297" s="50" t="n">
        <v>45</v>
      </c>
      <c r="I297" s="50" t="n">
        <v>38</v>
      </c>
      <c r="J297" s="28">
        <f>IF(OR(G297="",AND(H297="",I297="")),"n/a",IF(G297=I297,"mastered",IF(G297=H297,"normal","differs")))</f>
        <v/>
      </c>
      <c r="K297" s="28">
        <f>IF(L297&lt;&gt;"",L297,IF(M297&lt;&gt;"",M297,""))</f>
        <v/>
      </c>
      <c r="L297" s="50" t="n">
        <v>468</v>
      </c>
      <c r="M297" s="50" t="n">
        <v>468</v>
      </c>
      <c r="N297" s="28">
        <f>IF(O297&lt;&gt;"",O297,IF(P297&lt;&gt;"",P297,""))</f>
        <v/>
      </c>
      <c r="O297" s="50" t="n">
        <v>56</v>
      </c>
      <c r="P297" s="50" t="n">
        <v>56</v>
      </c>
      <c r="Q297" s="50" t="n">
        <v>51.76</v>
      </c>
      <c r="R297" s="50" t="n">
        <v>87.84</v>
      </c>
      <c r="S297" s="28">
        <f>IF(Q297="","",IF(Q297&lt;0,"negative profit",IF(Q297&gt;Notes!$B$4,"unusually high - verify","")))</f>
        <v/>
      </c>
      <c r="T297" s="28" t="inlineStr">
        <is>
          <t>both</t>
        </is>
      </c>
      <c r="U297" s="28">
        <f>IF(T297&lt;&gt;"both",T297&amp;" only",IF(V297="","agree","conflict"))</f>
        <v/>
      </c>
      <c r="V297" s="28">
        <f>IF(T297="both",TRIM(IF(AND(E297&lt;&gt;"",F297&lt;&gt;"",E297&lt;&gt;F297),"level ","")&amp;IF(AND(L297&lt;&gt;"",M297&lt;&gt;"",L297&lt;&gt;M297),"price ","")&amp;IF(AND(O297&lt;&gt;"",P297&lt;&gt;"",O297&lt;&gt;P297),"xp ","")&amp;IF(J297="differs","time","")),"")</f>
        <v/>
      </c>
      <c r="X297" s="50" t="inlineStr">
        <is>
          <t>Olive x3; Bread x2; Fish Fillet x1; Lemon x1</t>
        </is>
      </c>
      <c r="Y297" s="50" t="inlineStr">
        <is>
          <t>Olive Dip.png</t>
        </is>
      </c>
      <c r="Z297" s="50" t="inlineStr">
        <is>
          <t>icons/Sauce Maker/Olive Dip.png</t>
        </is>
      </c>
      <c r="AA297" s="28" t="inlineStr">
        <is>
          <t>hayday.info /api/production-data (2026-10-13) + Hay Day Wiki infobox via MediaWiki API (2026-10-13)</t>
        </is>
      </c>
      <c r="AB297" s="28" t="inlineStr">
        <is>
          <t>https://hayday.fandom.com/wiki/Olive_Dip</t>
        </is>
      </c>
      <c r="AC297" s="50" t="inlineStr">
        <is>
          <t>Olive dip</t>
        </is>
      </c>
    </row>
    <row r="298">
      <c r="A298" s="28" t="inlineStr">
        <is>
          <t>Tomato Sauce</t>
        </is>
      </c>
      <c r="B298" s="28" t="inlineStr">
        <is>
          <t>Sauce Maker</t>
        </is>
      </c>
      <c r="C298" s="50" t="inlineStr">
        <is>
          <t>Product</t>
        </is>
      </c>
      <c r="D298" s="28">
        <f>IF(E298&lt;&gt;"",E298,IF(F298&lt;&gt;"",F298,""))</f>
        <v/>
      </c>
      <c r="E298" s="50" t="n">
        <v>69</v>
      </c>
      <c r="F298" s="50" t="n">
        <v>69</v>
      </c>
      <c r="G298" s="50" t="n">
        <v>25</v>
      </c>
      <c r="H298" s="50" t="n">
        <v>30</v>
      </c>
      <c r="I298" s="50" t="n">
        <v>25</v>
      </c>
      <c r="J298" s="28">
        <f>IF(OR(G298="",AND(H298="",I298="")),"n/a",IF(G298=I298,"mastered",IF(G298=H298,"normal","differs")))</f>
        <v/>
      </c>
      <c r="K298" s="28">
        <f>IF(L298&lt;&gt;"",L298,IF(M298&lt;&gt;"",M298,""))</f>
        <v/>
      </c>
      <c r="L298" s="50" t="n">
        <v>230</v>
      </c>
      <c r="M298" s="50" t="n">
        <v>230</v>
      </c>
      <c r="N298" s="28">
        <f>IF(O298&lt;&gt;"",O298,IF(P298&lt;&gt;"",P298,""))</f>
        <v/>
      </c>
      <c r="O298" s="50" t="n">
        <v>27</v>
      </c>
      <c r="P298" s="50" t="n">
        <v>27</v>
      </c>
      <c r="Q298" s="50" t="n">
        <v>44.71</v>
      </c>
      <c r="R298" s="50" t="n">
        <v>63.53</v>
      </c>
      <c r="S298" s="28">
        <f>IF(Q298="","",IF(Q298&lt;0,"negative profit",IF(Q298&gt;Notes!$B$4,"unusually high - verify","")))</f>
        <v/>
      </c>
      <c r="T298" s="28" t="inlineStr">
        <is>
          <t>both</t>
        </is>
      </c>
      <c r="U298" s="28">
        <f>IF(T298&lt;&gt;"both",T298&amp;" only",IF(V298="","agree","conflict"))</f>
        <v/>
      </c>
      <c r="V298" s="28">
        <f>IF(T298="both",TRIM(IF(AND(E298&lt;&gt;"",F298&lt;&gt;"",E298&lt;&gt;F298),"level ","")&amp;IF(AND(L298&lt;&gt;"",M298&lt;&gt;"",L298&lt;&gt;M298),"price ","")&amp;IF(AND(O298&lt;&gt;"",P298&lt;&gt;"",O298&lt;&gt;P298),"xp ","")&amp;IF(J298="differs","time","")),"")</f>
        <v/>
      </c>
      <c r="X298" s="50" t="inlineStr">
        <is>
          <t>Brown Sugar x1; Lemon x1; Tomato x2</t>
        </is>
      </c>
      <c r="Y298" s="50" t="inlineStr">
        <is>
          <t>Tomato Sauce.png</t>
        </is>
      </c>
      <c r="Z298" s="50" t="inlineStr">
        <is>
          <t>icons/Sauce Maker/Tomato Sauce.png</t>
        </is>
      </c>
      <c r="AA298" s="28" t="inlineStr">
        <is>
          <t>hayday.info /api/production-data (2026-10-13) + Hay Day Wiki infobox via MediaWiki API (2026-10-13)</t>
        </is>
      </c>
      <c r="AB298" s="28" t="inlineStr">
        <is>
          <t>https://hayday.fandom.com/wiki/Tomato_Sauce</t>
        </is>
      </c>
      <c r="AC298" s="50" t="inlineStr">
        <is>
          <t>Tomato sauce</t>
        </is>
      </c>
    </row>
    <row r="299">
      <c r="A299" s="28" t="inlineStr">
        <is>
          <t>Salsa</t>
        </is>
      </c>
      <c r="B299" s="28" t="inlineStr">
        <is>
          <t>Sauce Maker</t>
        </is>
      </c>
      <c r="C299" s="50" t="inlineStr">
        <is>
          <t>Product</t>
        </is>
      </c>
      <c r="D299" s="28">
        <f>IF(E299&lt;&gt;"",E299,IF(F299&lt;&gt;"",F299,""))</f>
        <v/>
      </c>
      <c r="E299" s="50" t="n">
        <v>77</v>
      </c>
      <c r="F299" s="50" t="n">
        <v>77</v>
      </c>
      <c r="G299" s="50" t="n">
        <v>17</v>
      </c>
      <c r="H299" s="50" t="n">
        <v>20</v>
      </c>
      <c r="I299" s="50" t="n">
        <v>17</v>
      </c>
      <c r="J299" s="28">
        <f>IF(OR(G299="",AND(H299="",I299="")),"n/a",IF(G299=I299,"mastered",IF(G299=H299,"normal","differs")))</f>
        <v/>
      </c>
      <c r="K299" s="28">
        <f>IF(L299&lt;&gt;"",L299,IF(M299&lt;&gt;"",M299,""))</f>
        <v/>
      </c>
      <c r="L299" s="50" t="n">
        <v>252</v>
      </c>
      <c r="M299" s="50" t="n">
        <v>252</v>
      </c>
      <c r="N299" s="28">
        <f>IF(O299&lt;&gt;"",O299,IF(P299&lt;&gt;"",P299,""))</f>
        <v/>
      </c>
      <c r="O299" s="50" t="n">
        <v>30</v>
      </c>
      <c r="P299" s="50" t="n">
        <v>30</v>
      </c>
      <c r="Q299" s="50" t="n">
        <v>56.47</v>
      </c>
      <c r="R299" s="50" t="n">
        <v>105.88</v>
      </c>
      <c r="S299" s="28">
        <f>IF(Q299="","",IF(Q299&lt;0,"negative profit",IF(Q299&gt;Notes!$B$4,"unusually high - verify","")))</f>
        <v/>
      </c>
      <c r="T299" s="28" t="inlineStr">
        <is>
          <t>both</t>
        </is>
      </c>
      <c r="U299" s="28">
        <f>IF(T299&lt;&gt;"both",T299&amp;" only",IF(V299="","agree","conflict"))</f>
        <v/>
      </c>
      <c r="V299" s="28">
        <f>IF(T299="both",TRIM(IF(AND(E299&lt;&gt;"",F299&lt;&gt;"",E299&lt;&gt;F299),"level ","")&amp;IF(AND(L299&lt;&gt;"",M299&lt;&gt;"",L299&lt;&gt;M299),"price ","")&amp;IF(AND(O299&lt;&gt;"",P299&lt;&gt;"",O299&lt;&gt;P299),"xp ","")&amp;IF(J299="differs","time","")),"")</f>
        <v/>
      </c>
      <c r="X299" s="50" t="inlineStr">
        <is>
          <t>Chili Pepper x2; Onion x2; Tomato x2</t>
        </is>
      </c>
      <c r="Y299" s="50" t="inlineStr">
        <is>
          <t>Salsa.png</t>
        </is>
      </c>
      <c r="Z299" s="50" t="inlineStr">
        <is>
          <t>icons/Sauce Maker/Salsa.png</t>
        </is>
      </c>
      <c r="AA299" s="28" t="inlineStr">
        <is>
          <t>hayday.info /api/production-data (2026-10-13) + Hay Day Wiki infobox via MediaWiki API (2026-10-13)</t>
        </is>
      </c>
      <c r="AB299" s="28" t="inlineStr">
        <is>
          <t>https://hayday.fandom.com/wiki/Salsa</t>
        </is>
      </c>
      <c r="AC299" s="50" t="inlineStr">
        <is>
          <t>Salsa</t>
        </is>
      </c>
    </row>
    <row r="300">
      <c r="A300" s="28" t="inlineStr">
        <is>
          <t>Hummus</t>
        </is>
      </c>
      <c r="B300" s="28" t="inlineStr">
        <is>
          <t>Sauce Maker</t>
        </is>
      </c>
      <c r="C300" s="50" t="inlineStr">
        <is>
          <t>Product</t>
        </is>
      </c>
      <c r="D300" s="28">
        <f>IF(E300&lt;&gt;"",E300,IF(F300&lt;&gt;"",F300,""))</f>
        <v/>
      </c>
      <c r="E300" s="50" t="n">
        <v>95</v>
      </c>
      <c r="F300" s="50" t="n">
        <v>95</v>
      </c>
      <c r="G300" s="50" t="n">
        <v>25</v>
      </c>
      <c r="H300" s="50" t="n">
        <v>30</v>
      </c>
      <c r="I300" s="50" t="n">
        <v>25</v>
      </c>
      <c r="J300" s="28">
        <f>IF(OR(G300="",AND(H300="",I300="")),"n/a",IF(G300=I300,"mastered",IF(G300=H300,"normal","differs")))</f>
        <v/>
      </c>
      <c r="K300" s="28">
        <f>IF(L300&lt;&gt;"",L300,IF(M300&lt;&gt;"",M300,""))</f>
        <v/>
      </c>
      <c r="L300" s="50" t="n">
        <v>277</v>
      </c>
      <c r="M300" s="50" t="n">
        <v>277</v>
      </c>
      <c r="N300" s="28">
        <f>IF(O300&lt;&gt;"",O300,IF(P300&lt;&gt;"",P300,""))</f>
        <v/>
      </c>
      <c r="O300" s="50" t="n">
        <v>33</v>
      </c>
      <c r="P300" s="50" t="n">
        <v>33</v>
      </c>
      <c r="Q300" s="50" t="n">
        <v>54.12</v>
      </c>
      <c r="R300" s="50" t="n">
        <v>77.65000000000001</v>
      </c>
      <c r="S300" s="28">
        <f>IF(Q300="","",IF(Q300&lt;0,"negative profit",IF(Q300&gt;Notes!$B$4,"unusually high - verify","")))</f>
        <v/>
      </c>
      <c r="T300" s="28" t="inlineStr">
        <is>
          <t>both</t>
        </is>
      </c>
      <c r="U300" s="28">
        <f>IF(T300&lt;&gt;"both",T300&amp;" only",IF(V300="","agree","conflict"))</f>
        <v/>
      </c>
      <c r="V300" s="28">
        <f>IF(T300="both",TRIM(IF(AND(E300&lt;&gt;"",F300&lt;&gt;"",E300&lt;&gt;F300),"level ","")&amp;IF(AND(L300&lt;&gt;"",M300&lt;&gt;"",L300&lt;&gt;M300),"price ","")&amp;IF(AND(O300&lt;&gt;"",P300&lt;&gt;"",O300&lt;&gt;P300),"xp ","")&amp;IF(J300="differs","time","")),"")</f>
        <v/>
      </c>
      <c r="X300" s="50" t="inlineStr">
        <is>
          <t>Chickpea x3; Lemon x2; Garlic x1</t>
        </is>
      </c>
      <c r="Y300" s="50" t="inlineStr">
        <is>
          <t>Hummus.png</t>
        </is>
      </c>
      <c r="Z300" s="50" t="inlineStr">
        <is>
          <t>icons/Sauce Maker/Hummus.png</t>
        </is>
      </c>
      <c r="AA300" s="28" t="inlineStr">
        <is>
          <t>hayday.info /api/production-data (2026-10-13) + Hay Day Wiki infobox via MediaWiki API (2026-10-13)</t>
        </is>
      </c>
      <c r="AB300" s="28" t="inlineStr">
        <is>
          <t>https://hayday.fandom.com/wiki/Hummus</t>
        </is>
      </c>
      <c r="AC300" s="50" t="inlineStr">
        <is>
          <t>Hummus</t>
        </is>
      </c>
    </row>
    <row r="301">
      <c r="A301" s="28" t="inlineStr">
        <is>
          <t>Tart Dressing</t>
        </is>
      </c>
      <c r="B301" s="28" t="inlineStr">
        <is>
          <t>Sauce Maker</t>
        </is>
      </c>
      <c r="C301" s="50" t="inlineStr">
        <is>
          <t>Product</t>
        </is>
      </c>
      <c r="D301" s="28">
        <f>IF(E301&lt;&gt;"",E301,IF(F301&lt;&gt;"",F301,""))</f>
        <v/>
      </c>
      <c r="E301" s="50" t="n">
        <v>100</v>
      </c>
      <c r="F301" s="50" t="n">
        <v>100</v>
      </c>
      <c r="G301" s="50" t="n">
        <v>25</v>
      </c>
      <c r="H301" s="50" t="n">
        <v>30</v>
      </c>
      <c r="I301" s="50" t="n">
        <v>25</v>
      </c>
      <c r="J301" s="28">
        <f>IF(OR(G301="",AND(H301="",I301="")),"n/a",IF(G301=I301,"mastered",IF(G301=H301,"normal","differs")))</f>
        <v/>
      </c>
      <c r="K301" s="28">
        <f>IF(L301&lt;&gt;"",L301,IF(M301&lt;&gt;"",M301,""))</f>
        <v/>
      </c>
      <c r="L301" s="50" t="n">
        <v>288</v>
      </c>
      <c r="M301" s="50" t="n">
        <v>288</v>
      </c>
      <c r="N301" s="28">
        <f>IF(O301&lt;&gt;"",O301,IF(P301&lt;&gt;"",P301,""))</f>
        <v/>
      </c>
      <c r="O301" s="50" t="n">
        <v>34</v>
      </c>
      <c r="P301" s="50" t="n">
        <v>34</v>
      </c>
      <c r="Q301" s="50" t="n">
        <v>61.18</v>
      </c>
      <c r="R301" s="50" t="n">
        <v>80</v>
      </c>
      <c r="S301" s="28">
        <f>IF(Q301="","",IF(Q301&lt;0,"negative profit",IF(Q301&gt;Notes!$B$4,"unusually high - verify","")))</f>
        <v/>
      </c>
      <c r="T301" s="28" t="inlineStr">
        <is>
          <t>both</t>
        </is>
      </c>
      <c r="U301" s="28">
        <f>IF(T301&lt;&gt;"both",T301&amp;" only",IF(V301="","agree","conflict"))</f>
        <v/>
      </c>
      <c r="V301" s="28">
        <f>IF(T301="both",TRIM(IF(AND(E301&lt;&gt;"",F301&lt;&gt;"",E301&lt;&gt;F301),"level ","")&amp;IF(AND(L301&lt;&gt;"",M301&lt;&gt;"",L301&lt;&gt;M301),"price ","")&amp;IF(AND(O301&lt;&gt;"",P301&lt;&gt;"",O301&lt;&gt;P301),"xp ","")&amp;IF(J301="differs","time","")),"")</f>
        <v/>
      </c>
      <c r="X301" s="50" t="inlineStr">
        <is>
          <t>Passion Fruit x2; Chili Pepper x2; Honey x1</t>
        </is>
      </c>
      <c r="Y301" s="50" t="inlineStr">
        <is>
          <t>Tart Dressing.png</t>
        </is>
      </c>
      <c r="Z301" s="50" t="inlineStr">
        <is>
          <t>icons/Sauce Maker/Tart Dressing.png</t>
        </is>
      </c>
      <c r="AA301" s="28" t="inlineStr">
        <is>
          <t>hayday.info /api/production-data (2026-10-13) + Hay Day Wiki infobox via MediaWiki API (2026-10-13)</t>
        </is>
      </c>
      <c r="AB301" s="28" t="inlineStr">
        <is>
          <t>https://hayday.fandom.com/wiki/Tart_Dressing</t>
        </is>
      </c>
      <c r="AC301" s="50" t="inlineStr">
        <is>
          <t>Tart dressing</t>
        </is>
      </c>
    </row>
    <row r="302">
      <c r="A302" s="28" t="inlineStr">
        <is>
          <t>Bean Dip</t>
        </is>
      </c>
      <c r="B302" s="28" t="inlineStr">
        <is>
          <t>Sauce Maker</t>
        </is>
      </c>
      <c r="C302" s="50" t="inlineStr">
        <is>
          <t>Product</t>
        </is>
      </c>
      <c r="D302" s="28">
        <f>IF(E302&lt;&gt;"",E302,IF(F302&lt;&gt;"",F302,""))</f>
        <v/>
      </c>
      <c r="E302" s="50" t="n"/>
      <c r="F302" s="50" t="n">
        <v>54</v>
      </c>
      <c r="G302" s="50" t="n"/>
      <c r="H302" s="50" t="n">
        <v>40</v>
      </c>
      <c r="I302" s="50" t="n">
        <v>34</v>
      </c>
      <c r="J302" s="28">
        <f>IF(OR(G302="",AND(H302="",I302="")),"n/a",IF(G302=I302,"mastered",IF(G302=H302,"normal","differs")))</f>
        <v/>
      </c>
      <c r="K302" s="28">
        <f>IF(L302&lt;&gt;"",L302,IF(M302&lt;&gt;"",M302,""))</f>
        <v/>
      </c>
      <c r="L302" s="50" t="n"/>
      <c r="M302" s="50" t="n">
        <v>126</v>
      </c>
      <c r="N302" s="28">
        <f>IF(O302&lt;&gt;"",O302,IF(P302&lt;&gt;"",P302,""))</f>
        <v/>
      </c>
      <c r="O302" s="50" t="n"/>
      <c r="P302" s="50" t="n">
        <v>15</v>
      </c>
      <c r="Q302" s="50" t="n"/>
      <c r="R302" s="50" t="n"/>
      <c r="S302" s="28">
        <f>IF(Q302="","",IF(Q302&lt;0,"negative profit",IF(Q302&gt;Notes!$B$4,"unusually high - verify","")))</f>
        <v/>
      </c>
      <c r="T302" s="28" t="inlineStr">
        <is>
          <t>Fandom</t>
        </is>
      </c>
      <c r="U302" s="28">
        <f>IF(T302&lt;&gt;"both",T302&amp;" only",IF(V302="","agree","conflict"))</f>
        <v/>
      </c>
      <c r="V302" s="28">
        <f>IF(T302="both",TRIM(IF(AND(E302&lt;&gt;"",F302&lt;&gt;"",E302&lt;&gt;F302),"level ","")&amp;IF(AND(L302&lt;&gt;"",M302&lt;&gt;"",L302&lt;&gt;M302),"price ","")&amp;IF(AND(O302&lt;&gt;"",P302&lt;&gt;"",O302&lt;&gt;P302),"xp ","")&amp;IF(J302="differs","time","")),"")</f>
        <v/>
      </c>
      <c r="X302" s="50" t="inlineStr">
        <is>
          <t>Black Bean x3; Tomato x1; Chili Pepper x1</t>
        </is>
      </c>
      <c r="Y302" s="50" t="inlineStr">
        <is>
          <t>Bean Dip.png</t>
        </is>
      </c>
      <c r="Z302" s="50" t="inlineStr">
        <is>
          <t>icons/Sauce Maker/Bean Dip.png</t>
        </is>
      </c>
      <c r="AA302" s="28" t="inlineStr">
        <is>
          <t>Hay Day Wiki infobox via MediaWiki API (2026-10-13)</t>
        </is>
      </c>
      <c r="AB302" s="28" t="inlineStr">
        <is>
          <t>https://hayday.fandom.com/wiki/Bean_Dip</t>
        </is>
      </c>
      <c r="AC302" s="50" t="n"/>
    </row>
    <row r="303">
      <c r="A303" s="28" t="inlineStr">
        <is>
          <t>Cotton Shirt</t>
        </is>
      </c>
      <c r="B303" s="28" t="inlineStr">
        <is>
          <t>Sewing Machine</t>
        </is>
      </c>
      <c r="C303" s="50" t="inlineStr">
        <is>
          <t>Product</t>
        </is>
      </c>
      <c r="D303" s="28">
        <f>IF(E303&lt;&gt;"",E303,IF(F303&lt;&gt;"",F303,""))</f>
        <v/>
      </c>
      <c r="E303" s="50" t="n">
        <v>19</v>
      </c>
      <c r="F303" s="50" t="n">
        <v>19</v>
      </c>
      <c r="G303" s="50" t="n">
        <v>38</v>
      </c>
      <c r="H303" s="50" t="n">
        <v>45</v>
      </c>
      <c r="I303" s="50" t="n">
        <v>38</v>
      </c>
      <c r="J303" s="28">
        <f>IF(OR(G303="",AND(H303="",I303="")),"n/a",IF(G303=I303,"mastered",IF(G303=H303,"normal","differs")))</f>
        <v/>
      </c>
      <c r="K303" s="28">
        <f>IF(L303&lt;&gt;"",L303,IF(M303&lt;&gt;"",M303,""))</f>
        <v/>
      </c>
      <c r="L303" s="50" t="n">
        <v>241</v>
      </c>
      <c r="M303" s="50" t="n">
        <v>241</v>
      </c>
      <c r="N303" s="28">
        <f>IF(O303&lt;&gt;"",O303,IF(P303&lt;&gt;"",P303,""))</f>
        <v/>
      </c>
      <c r="O303" s="50" t="n">
        <v>29</v>
      </c>
      <c r="P303" s="50" t="n">
        <v>29</v>
      </c>
      <c r="Q303" s="50" t="n">
        <v>39.22</v>
      </c>
      <c r="R303" s="50" t="n">
        <v>45.49</v>
      </c>
      <c r="S303" s="28">
        <f>IF(Q303="","",IF(Q303&lt;0,"negative profit",IF(Q303&gt;Notes!$B$4,"unusually high - verify","")))</f>
        <v/>
      </c>
      <c r="T303" s="28" t="inlineStr">
        <is>
          <t>both</t>
        </is>
      </c>
      <c r="U303" s="28">
        <f>IF(T303&lt;&gt;"both",T303&amp;" only",IF(V303="","agree","conflict"))</f>
        <v/>
      </c>
      <c r="V303" s="28">
        <f>IF(T303="both",TRIM(IF(AND(E303&lt;&gt;"",F303&lt;&gt;"",E303&lt;&gt;F303),"level ","")&amp;IF(AND(L303&lt;&gt;"",M303&lt;&gt;"",L303&lt;&gt;M303),"price ","")&amp;IF(AND(O303&lt;&gt;"",P303&lt;&gt;"",O303&lt;&gt;P303),"xp ","")&amp;IF(J303="differs","time","")),"")</f>
        <v/>
      </c>
      <c r="X303" s="50" t="inlineStr">
        <is>
          <t>Cotton Fabric x2</t>
        </is>
      </c>
      <c r="Y303" s="50" t="inlineStr">
        <is>
          <t>Cotton Shirt.png</t>
        </is>
      </c>
      <c r="Z303" s="50" t="inlineStr">
        <is>
          <t>icons/Sewing Machine/Cotton Shirt.png</t>
        </is>
      </c>
      <c r="AA303" s="28" t="inlineStr">
        <is>
          <t>hayday.info /api/production-data (2026-10-13) + Hay Day Wiki infobox via MediaWiki API (2026-10-13)</t>
        </is>
      </c>
      <c r="AB303" s="28" t="inlineStr">
        <is>
          <t>https://hayday.fandom.com/wiki/Cotton_Shirt</t>
        </is>
      </c>
      <c r="AC303" s="50" t="inlineStr">
        <is>
          <t>Cotton shirt</t>
        </is>
      </c>
    </row>
    <row r="304">
      <c r="A304" s="28" t="inlineStr">
        <is>
          <t>Wooly Chaps</t>
        </is>
      </c>
      <c r="B304" s="28" t="inlineStr">
        <is>
          <t>Sewing Machine</t>
        </is>
      </c>
      <c r="C304" s="50" t="inlineStr">
        <is>
          <t>Product</t>
        </is>
      </c>
      <c r="D304" s="28">
        <f>IF(E304&lt;&gt;"",E304,IF(F304&lt;&gt;"",F304,""))</f>
        <v/>
      </c>
      <c r="E304" s="50" t="n">
        <v>21</v>
      </c>
      <c r="F304" s="50" t="n">
        <v>21</v>
      </c>
      <c r="G304" s="50" t="n">
        <v>76</v>
      </c>
      <c r="H304" s="50" t="n">
        <v>90</v>
      </c>
      <c r="I304" s="50" t="n">
        <v>76</v>
      </c>
      <c r="J304" s="28">
        <f>IF(OR(G304="",AND(H304="",I304="")),"n/a",IF(G304=I304,"mastered",IF(G304=H304,"normal","differs")))</f>
        <v/>
      </c>
      <c r="K304" s="28">
        <f>IF(L304&lt;&gt;"",L304,IF(M304&lt;&gt;"",M304,""))</f>
        <v/>
      </c>
      <c r="L304" s="50" t="n">
        <v>309</v>
      </c>
      <c r="M304" s="50" t="n">
        <v>309</v>
      </c>
      <c r="N304" s="28">
        <f>IF(O304&lt;&gt;"",O304,IF(P304&lt;&gt;"",P304,""))</f>
        <v/>
      </c>
      <c r="O304" s="50" t="n">
        <v>37</v>
      </c>
      <c r="P304" s="50" t="n">
        <v>37</v>
      </c>
      <c r="Q304" s="50" t="n">
        <v>30.59</v>
      </c>
      <c r="R304" s="50" t="n">
        <v>29.02</v>
      </c>
      <c r="S304" s="28">
        <f>IF(Q304="","",IF(Q304&lt;0,"negative profit",IF(Q304&gt;Notes!$B$4,"unusually high - verify","")))</f>
        <v/>
      </c>
      <c r="T304" s="28" t="inlineStr">
        <is>
          <t>both</t>
        </is>
      </c>
      <c r="U304" s="28">
        <f>IF(T304&lt;&gt;"both",T304&amp;" only",IF(V304="","agree","conflict"))</f>
        <v/>
      </c>
      <c r="V304" s="28">
        <f>IF(T304="both",TRIM(IF(AND(E304&lt;&gt;"",F304&lt;&gt;"",E304&lt;&gt;F304),"level ","")&amp;IF(AND(L304&lt;&gt;"",M304&lt;&gt;"",L304&lt;&gt;M304),"price ","")&amp;IF(AND(O304&lt;&gt;"",P304&lt;&gt;"",O304&lt;&gt;P304),"xp ","")&amp;IF(J304="differs","time","")),"")</f>
        <v/>
      </c>
      <c r="X304" s="50" t="inlineStr">
        <is>
          <t>Cotton Fabric x1; Wool x3</t>
        </is>
      </c>
      <c r="Y304" s="50" t="inlineStr">
        <is>
          <t>Wooly Chaps.png</t>
        </is>
      </c>
      <c r="Z304" s="50" t="inlineStr">
        <is>
          <t>icons/Sewing Machine/Wooly Chaps.png</t>
        </is>
      </c>
      <c r="AA304" s="28" t="inlineStr">
        <is>
          <t>hayday.info /api/production-data (2026-10-13) + Hay Day Wiki infobox via MediaWiki API (2026-10-13)</t>
        </is>
      </c>
      <c r="AB304" s="28" t="inlineStr">
        <is>
          <t>https://hayday.fandom.com/wiki/Wooly_Chaps</t>
        </is>
      </c>
      <c r="AC304" s="50" t="inlineStr">
        <is>
          <t>Wooly chaps</t>
        </is>
      </c>
    </row>
    <row r="305">
      <c r="A305" s="28" t="inlineStr">
        <is>
          <t>Violet Dress</t>
        </is>
      </c>
      <c r="B305" s="28" t="inlineStr">
        <is>
          <t>Sewing Machine</t>
        </is>
      </c>
      <c r="C305" s="50" t="inlineStr">
        <is>
          <t>Product</t>
        </is>
      </c>
      <c r="D305" s="28">
        <f>IF(E305&lt;&gt;"",E305,IF(F305&lt;&gt;"",F305,""))</f>
        <v/>
      </c>
      <c r="E305" s="50" t="n">
        <v>25</v>
      </c>
      <c r="F305" s="50" t="n">
        <v>25</v>
      </c>
      <c r="G305" s="50" t="n">
        <v>114</v>
      </c>
      <c r="H305" s="50" t="n">
        <v>135</v>
      </c>
      <c r="I305" s="50" t="n">
        <v>114</v>
      </c>
      <c r="J305" s="28">
        <f>IF(OR(G305="",AND(H305="",I305="")),"n/a",IF(G305=I305,"mastered",IF(G305=H305,"normal","differs")))</f>
        <v/>
      </c>
      <c r="K305" s="28">
        <f>IF(L305&lt;&gt;"",L305,IF(M305&lt;&gt;"",M305,""))</f>
        <v/>
      </c>
      <c r="L305" s="50" t="n">
        <v>327</v>
      </c>
      <c r="M305" s="50" t="n">
        <v>327</v>
      </c>
      <c r="N305" s="28">
        <f>IF(O305&lt;&gt;"",O305,IF(P305&lt;&gt;"",P305,""))</f>
        <v/>
      </c>
      <c r="O305" s="50" t="n">
        <v>39</v>
      </c>
      <c r="P305" s="50" t="n">
        <v>39</v>
      </c>
      <c r="Q305" s="50" t="n">
        <v>20.92</v>
      </c>
      <c r="R305" s="50" t="n">
        <v>20.39</v>
      </c>
      <c r="S305" s="28">
        <f>IF(Q305="","",IF(Q305&lt;0,"negative profit",IF(Q305&gt;Notes!$B$4,"unusually high - verify","")))</f>
        <v/>
      </c>
      <c r="T305" s="28" t="inlineStr">
        <is>
          <t>both</t>
        </is>
      </c>
      <c r="U305" s="28">
        <f>IF(T305&lt;&gt;"both",T305&amp;" only",IF(V305="","agree","conflict"))</f>
        <v/>
      </c>
      <c r="V305" s="28">
        <f>IF(T305="both",TRIM(IF(AND(E305&lt;&gt;"",F305&lt;&gt;"",E305&lt;&gt;F305),"level ","")&amp;IF(AND(L305&lt;&gt;"",M305&lt;&gt;"",L305&lt;&gt;M305),"price ","")&amp;IF(AND(O305&lt;&gt;"",P305&lt;&gt;"",O305&lt;&gt;P305),"xp ","")&amp;IF(J305="differs","time","")),"")</f>
        <v/>
      </c>
      <c r="X305" s="50" t="inlineStr">
        <is>
          <t>Cotton Fabric x2; Raspberry x1; Indigo x1</t>
        </is>
      </c>
      <c r="Y305" s="50" t="inlineStr">
        <is>
          <t>Violet Dress.png</t>
        </is>
      </c>
      <c r="Z305" s="50" t="inlineStr">
        <is>
          <t>icons/Sewing Machine/Violet Dress.png</t>
        </is>
      </c>
      <c r="AA305" s="28" t="inlineStr">
        <is>
          <t>hayday.info /api/production-data (2026-10-13) + Hay Day Wiki infobox via MediaWiki API (2026-10-13)</t>
        </is>
      </c>
      <c r="AB305" s="28" t="inlineStr">
        <is>
          <t>https://hayday.fandom.com/wiki/Violet_Dress</t>
        </is>
      </c>
      <c r="AC305" s="50" t="inlineStr">
        <is>
          <t>Violet dress</t>
        </is>
      </c>
    </row>
    <row r="306">
      <c r="A306" s="28" t="inlineStr">
        <is>
          <t>Pillow</t>
        </is>
      </c>
      <c r="B306" s="28" t="inlineStr">
        <is>
          <t>Sewing Machine</t>
        </is>
      </c>
      <c r="C306" s="50" t="inlineStr">
        <is>
          <t>Product</t>
        </is>
      </c>
      <c r="D306" s="28">
        <f>IF(E306&lt;&gt;"",E306,IF(F306&lt;&gt;"",F306,""))</f>
        <v/>
      </c>
      <c r="E306" s="50" t="n">
        <v>51</v>
      </c>
      <c r="F306" s="50" t="n">
        <v>51</v>
      </c>
      <c r="G306" s="50" t="n">
        <v>153</v>
      </c>
      <c r="H306" s="50" t="n">
        <v>180</v>
      </c>
      <c r="I306" s="50" t="n">
        <v>153</v>
      </c>
      <c r="J306" s="28">
        <f>IF(OR(G306="",AND(H306="",I306="")),"n/a",IF(G306=I306,"mastered",IF(G306=H306,"normal","differs")))</f>
        <v/>
      </c>
      <c r="K306" s="28">
        <f>IF(L306&lt;&gt;"",L306,IF(M306&lt;&gt;"",M306,""))</f>
        <v/>
      </c>
      <c r="L306" s="50" t="n">
        <v>676</v>
      </c>
      <c r="M306" s="50" t="n">
        <v>676</v>
      </c>
      <c r="N306" s="28">
        <f>IF(O306&lt;&gt;"",O306,IF(P306&lt;&gt;"",P306,""))</f>
        <v/>
      </c>
      <c r="O306" s="50" t="n">
        <v>81</v>
      </c>
      <c r="P306" s="50" t="n">
        <v>81</v>
      </c>
      <c r="Q306" s="50" t="n">
        <v>15.69</v>
      </c>
      <c r="R306" s="50" t="n">
        <v>31.76</v>
      </c>
      <c r="S306" s="28">
        <f>IF(Q306="","",IF(Q306&lt;0,"negative profit",IF(Q306&gt;Notes!$B$4,"unusually high - verify","")))</f>
        <v/>
      </c>
      <c r="T306" s="28" t="inlineStr">
        <is>
          <t>both</t>
        </is>
      </c>
      <c r="U306" s="28">
        <f>IF(T306&lt;&gt;"both",T306&amp;" only",IF(V306="","agree","conflict"))</f>
        <v/>
      </c>
      <c r="V306" s="28">
        <f>IF(T306="both",TRIM(IF(AND(E306&lt;&gt;"",F306&lt;&gt;"",E306&lt;&gt;F306),"level ","")&amp;IF(AND(L306&lt;&gt;"",M306&lt;&gt;"",L306&lt;&gt;M306),"price ","")&amp;IF(AND(O306&lt;&gt;"",P306&lt;&gt;"",O306&lt;&gt;P306),"xp ","")&amp;IF(J306="differs","time","")),"")</f>
        <v/>
      </c>
      <c r="X306" s="50" t="inlineStr">
        <is>
          <t>Cotton Fabric x2; Duck Feather x3</t>
        </is>
      </c>
      <c r="Y306" s="50" t="inlineStr">
        <is>
          <t>Pillow.png</t>
        </is>
      </c>
      <c r="Z306" s="50" t="inlineStr">
        <is>
          <t>icons/Sewing Machine/Pillow.png</t>
        </is>
      </c>
      <c r="AA306" s="28" t="inlineStr">
        <is>
          <t>hayday.info /api/production-data (2026-10-13) + Hay Day Wiki infobox via MediaWiki API (2026-10-13)</t>
        </is>
      </c>
      <c r="AB306" s="28" t="inlineStr">
        <is>
          <t>https://hayday.fandom.com/wiki/Pillow</t>
        </is>
      </c>
      <c r="AC306" s="50" t="inlineStr">
        <is>
          <t>Pillow</t>
        </is>
      </c>
    </row>
    <row r="307">
      <c r="A307" s="28" t="inlineStr">
        <is>
          <t>Blanket</t>
        </is>
      </c>
      <c r="B307" s="28" t="inlineStr">
        <is>
          <t>Sewing Machine</t>
        </is>
      </c>
      <c r="C307" s="50" t="inlineStr">
        <is>
          <t>Product</t>
        </is>
      </c>
      <c r="D307" s="28">
        <f>IF(E307&lt;&gt;"",E307,IF(F307&lt;&gt;"",F307,""))</f>
        <v/>
      </c>
      <c r="E307" s="50" t="n">
        <v>59</v>
      </c>
      <c r="F307" s="50" t="n">
        <v>59</v>
      </c>
      <c r="G307" s="50" t="n">
        <v>178</v>
      </c>
      <c r="H307" s="50" t="n">
        <v>210</v>
      </c>
      <c r="I307" s="50" t="n">
        <v>178</v>
      </c>
      <c r="J307" s="28">
        <f>IF(OR(G307="",AND(H307="",I307="")),"n/a",IF(G307=I307,"mastered",IF(G307=H307,"normal","differs")))</f>
        <v/>
      </c>
      <c r="K307" s="28">
        <f>IF(L307&lt;&gt;"",L307,IF(M307&lt;&gt;"",M307,""))</f>
        <v/>
      </c>
      <c r="L307" s="50" t="n">
        <v>1098</v>
      </c>
      <c r="M307" s="50" t="n">
        <v>1098</v>
      </c>
      <c r="N307" s="28">
        <f>IF(O307&lt;&gt;"",O307,IF(P307&lt;&gt;"",P307,""))</f>
        <v/>
      </c>
      <c r="O307" s="50" t="n">
        <v>131</v>
      </c>
      <c r="P307" s="50" t="n">
        <v>131</v>
      </c>
      <c r="Q307" s="50" t="n">
        <v>14.12</v>
      </c>
      <c r="R307" s="50" t="n">
        <v>44.03</v>
      </c>
      <c r="S307" s="28">
        <f>IF(Q307="","",IF(Q307&lt;0,"negative profit",IF(Q307&gt;Notes!$B$4,"unusually high - verify","")))</f>
        <v/>
      </c>
      <c r="T307" s="28" t="inlineStr">
        <is>
          <t>both</t>
        </is>
      </c>
      <c r="U307" s="28">
        <f>IF(T307&lt;&gt;"both",T307&amp;" only",IF(V307="","agree","conflict"))</f>
        <v/>
      </c>
      <c r="V307" s="28">
        <f>IF(T307="both",TRIM(IF(AND(E307&lt;&gt;"",F307&lt;&gt;"",E307&lt;&gt;F307),"level ","")&amp;IF(AND(L307&lt;&gt;"",M307&lt;&gt;"",L307&lt;&gt;M307),"price ","")&amp;IF(AND(O307&lt;&gt;"",P307&lt;&gt;"",O307&lt;&gt;P307),"xp ","")&amp;IF(J307="differs","time","")),"")</f>
        <v/>
      </c>
      <c r="X307" s="50" t="inlineStr">
        <is>
          <t>Cotton Fabric x3; Pumpkin x1; Duck Feather x5</t>
        </is>
      </c>
      <c r="Y307" s="50" t="inlineStr">
        <is>
          <t>Blanket.png</t>
        </is>
      </c>
      <c r="Z307" s="50" t="inlineStr">
        <is>
          <t>icons/Sewing Machine/Blanket.png</t>
        </is>
      </c>
      <c r="AA307" s="28" t="inlineStr">
        <is>
          <t>hayday.info /api/production-data (2026-10-13) + Hay Day Wiki infobox via MediaWiki API (2026-10-13)</t>
        </is>
      </c>
      <c r="AB307" s="28" t="inlineStr">
        <is>
          <t>https://hayday.fandom.com/wiki/Blanket</t>
        </is>
      </c>
      <c r="AC307" s="50" t="inlineStr">
        <is>
          <t>Blanket</t>
        </is>
      </c>
    </row>
    <row r="308">
      <c r="A308" s="28" t="inlineStr">
        <is>
          <t>Soothing Pad</t>
        </is>
      </c>
      <c r="B308" s="28" t="inlineStr">
        <is>
          <t>Sewing Machine</t>
        </is>
      </c>
      <c r="C308" s="50" t="inlineStr">
        <is>
          <t>Product</t>
        </is>
      </c>
      <c r="D308" s="28">
        <f>IF(E308&lt;&gt;"",E308,IF(F308&lt;&gt;"",F308,""))</f>
        <v/>
      </c>
      <c r="E308" s="50" t="n"/>
      <c r="F308" s="50" t="n">
        <v>45</v>
      </c>
      <c r="G308" s="50" t="n"/>
      <c r="H308" s="50" t="n">
        <v>60</v>
      </c>
      <c r="I308" s="50" t="n">
        <v>51</v>
      </c>
      <c r="J308" s="28">
        <f>IF(OR(G308="",AND(H308="",I308="")),"n/a",IF(G308=I308,"mastered",IF(G308=H308,"normal","differs")))</f>
        <v/>
      </c>
      <c r="K308" s="28">
        <f>IF(L308&lt;&gt;"",L308,IF(M308&lt;&gt;"",M308,""))</f>
        <v/>
      </c>
      <c r="L308" s="50" t="n"/>
      <c r="M308" s="50" t="n">
        <v>324</v>
      </c>
      <c r="N308" s="28">
        <f>IF(O308&lt;&gt;"",O308,IF(P308&lt;&gt;"",P308,""))</f>
        <v/>
      </c>
      <c r="O308" s="50" t="n"/>
      <c r="P308" s="50" t="n">
        <v>39</v>
      </c>
      <c r="Q308" s="50" t="n"/>
      <c r="R308" s="50" t="n"/>
      <c r="S308" s="28">
        <f>IF(Q308="","",IF(Q308&lt;0,"negative profit",IF(Q308&gt;Notes!$B$4,"unusually high - verify","")))</f>
        <v/>
      </c>
      <c r="T308" s="28" t="inlineStr">
        <is>
          <t>Fandom</t>
        </is>
      </c>
      <c r="U308" s="28">
        <f>IF(T308&lt;&gt;"both",T308&amp;" only",IF(V308="","agree","conflict"))</f>
        <v/>
      </c>
      <c r="V308" s="28">
        <f>IF(T308="both",TRIM(IF(AND(E308&lt;&gt;"",F308&lt;&gt;"",E308&lt;&gt;F308),"level ","")&amp;IF(AND(L308&lt;&gt;"",M308&lt;&gt;"",L308&lt;&gt;M308),"price ","")&amp;IF(AND(O308&lt;&gt;"",P308&lt;&gt;"",O308&lt;&gt;P308),"xp ","")&amp;IF(J308="differs","time","")),"")</f>
        <v/>
      </c>
      <c r="X308" s="50" t="inlineStr">
        <is>
          <t>Cotton Fabric x2; Wheat x5; Chamomile x5</t>
        </is>
      </c>
      <c r="Y308" s="50" t="inlineStr">
        <is>
          <t>Soothing Pad.png</t>
        </is>
      </c>
      <c r="Z308" s="50" t="inlineStr">
        <is>
          <t>icons/Sewing Machine/Soothing Pad.png</t>
        </is>
      </c>
      <c r="AA308" s="28" t="inlineStr">
        <is>
          <t>Hay Day Wiki infobox via MediaWiki API (2026-10-13)</t>
        </is>
      </c>
      <c r="AB308" s="28" t="inlineStr">
        <is>
          <t>https://hayday.fandom.com/wiki/Soothing_Pad</t>
        </is>
      </c>
      <c r="AC308" s="50" t="n"/>
    </row>
    <row r="309">
      <c r="A309" s="28" t="inlineStr">
        <is>
          <t>Silver Bar</t>
        </is>
      </c>
      <c r="B309" s="28" t="inlineStr">
        <is>
          <t>Smelter</t>
        </is>
      </c>
      <c r="C309" s="50" t="inlineStr">
        <is>
          <t>Product</t>
        </is>
      </c>
      <c r="D309" s="28">
        <f>IF(E309&lt;&gt;"",E309,IF(F309&lt;&gt;"",F309,""))</f>
        <v/>
      </c>
      <c r="E309" s="50" t="n">
        <v>24</v>
      </c>
      <c r="F309" s="50" t="n">
        <v>24</v>
      </c>
      <c r="G309" s="50" t="n">
        <v>408</v>
      </c>
      <c r="H309" s="50" t="n">
        <v>480</v>
      </c>
      <c r="I309" s="50" t="n">
        <v>408</v>
      </c>
      <c r="J309" s="28">
        <f>IF(OR(G309="",AND(H309="",I309="")),"n/a",IF(G309=I309,"mastered",IF(G309=H309,"normal","differs")))</f>
        <v/>
      </c>
      <c r="K309" s="28">
        <f>IF(L309&lt;&gt;"",L309,IF(M309&lt;&gt;"",M309,""))</f>
        <v/>
      </c>
      <c r="L309" s="50" t="n">
        <v>147</v>
      </c>
      <c r="M309" s="50" t="n">
        <v>147</v>
      </c>
      <c r="N309" s="28">
        <f>IF(O309&lt;&gt;"",O309,IF(P309&lt;&gt;"",P309,""))</f>
        <v/>
      </c>
      <c r="O309" s="50" t="n">
        <v>14</v>
      </c>
      <c r="P309" s="50" t="n">
        <v>18</v>
      </c>
      <c r="Q309" s="50" t="n">
        <v>13.68</v>
      </c>
      <c r="R309" s="50" t="n">
        <v>2.06</v>
      </c>
      <c r="S309" s="28">
        <f>IF(Q309="","",IF(Q309&lt;0,"negative profit",IF(Q309&gt;Notes!$B$4,"unusually high - verify","")))</f>
        <v/>
      </c>
      <c r="T309" s="28" t="inlineStr">
        <is>
          <t>both</t>
        </is>
      </c>
      <c r="U309" s="28">
        <f>IF(T309&lt;&gt;"both",T309&amp;" only",IF(V309="","agree","conflict"))</f>
        <v/>
      </c>
      <c r="V309" s="28">
        <f>IF(T309="both",TRIM(IF(AND(E309&lt;&gt;"",F309&lt;&gt;"",E309&lt;&gt;F309),"level ","")&amp;IF(AND(L309&lt;&gt;"",M309&lt;&gt;"",L309&lt;&gt;M309),"price ","")&amp;IF(AND(O309&lt;&gt;"",P309&lt;&gt;"",O309&lt;&gt;P309),"xp ","")&amp;IF(J309="differs","time","")),"")</f>
        <v/>
      </c>
      <c r="X309" s="50" t="inlineStr">
        <is>
          <t>Silver Ore x3</t>
        </is>
      </c>
      <c r="Y309" s="50" t="inlineStr">
        <is>
          <t>Silver Bar.png</t>
        </is>
      </c>
      <c r="Z309" s="50" t="inlineStr">
        <is>
          <t>icons/Smelter/Silver Bar.png</t>
        </is>
      </c>
      <c r="AA309" s="28" t="inlineStr">
        <is>
          <t>hayday.info /api/production-data (2026-10-13) + Hay Day Wiki infobox via MediaWiki API (2026-10-13)</t>
        </is>
      </c>
      <c r="AB309" s="28" t="inlineStr">
        <is>
          <t>https://hayday.fandom.com/wiki/Silver_Bar</t>
        </is>
      </c>
      <c r="AC309" s="50" t="inlineStr">
        <is>
          <t>Silver bar</t>
        </is>
      </c>
    </row>
    <row r="310">
      <c r="A310" s="28" t="inlineStr">
        <is>
          <t>Gold Bar</t>
        </is>
      </c>
      <c r="B310" s="28" t="inlineStr">
        <is>
          <t>Smelter</t>
        </is>
      </c>
      <c r="C310" s="50" t="inlineStr">
        <is>
          <t>Product</t>
        </is>
      </c>
      <c r="D310" s="28">
        <f>IF(E310&lt;&gt;"",E310,IF(F310&lt;&gt;"",F310,""))</f>
        <v/>
      </c>
      <c r="E310" s="50" t="n">
        <v>25</v>
      </c>
      <c r="F310" s="50" t="n">
        <v>25</v>
      </c>
      <c r="G310" s="50" t="n">
        <v>612</v>
      </c>
      <c r="H310" s="50" t="n">
        <v>720</v>
      </c>
      <c r="I310" s="50" t="n">
        <v>612</v>
      </c>
      <c r="J310" s="28">
        <f>IF(OR(G310="",AND(H310="",I310="")),"n/a",IF(G310=I310,"mastered",IF(G310=H310,"normal","differs")))</f>
        <v/>
      </c>
      <c r="K310" s="28">
        <f>IF(L310&lt;&gt;"",L310,IF(M310&lt;&gt;"",M310,""))</f>
        <v/>
      </c>
      <c r="L310" s="50" t="n">
        <v>180</v>
      </c>
      <c r="M310" s="50" t="n">
        <v>180</v>
      </c>
      <c r="N310" s="28">
        <f>IF(O310&lt;&gt;"",O310,IF(P310&lt;&gt;"",P310,""))</f>
        <v/>
      </c>
      <c r="O310" s="50" t="n">
        <v>18</v>
      </c>
      <c r="P310" s="50" t="n">
        <v>21</v>
      </c>
      <c r="Q310" s="50" t="n">
        <v>11.47</v>
      </c>
      <c r="R310" s="50" t="n">
        <v>1.76</v>
      </c>
      <c r="S310" s="28">
        <f>IF(Q310="","",IF(Q310&lt;0,"negative profit",IF(Q310&gt;Notes!$B$4,"unusually high - verify","")))</f>
        <v/>
      </c>
      <c r="T310" s="28" t="inlineStr">
        <is>
          <t>both</t>
        </is>
      </c>
      <c r="U310" s="28">
        <f>IF(T310&lt;&gt;"both",T310&amp;" only",IF(V310="","agree","conflict"))</f>
        <v/>
      </c>
      <c r="V310" s="28">
        <f>IF(T310="both",TRIM(IF(AND(E310&lt;&gt;"",F310&lt;&gt;"",E310&lt;&gt;F310),"level ","")&amp;IF(AND(L310&lt;&gt;"",M310&lt;&gt;"",L310&lt;&gt;M310),"price ","")&amp;IF(AND(O310&lt;&gt;"",P310&lt;&gt;"",O310&lt;&gt;P310),"xp ","")&amp;IF(J310="differs","time","")),"")</f>
        <v/>
      </c>
      <c r="X310" s="50" t="inlineStr">
        <is>
          <t>Gold Ore x3</t>
        </is>
      </c>
      <c r="Y310" s="50" t="inlineStr">
        <is>
          <t>Gold Bar.png</t>
        </is>
      </c>
      <c r="Z310" s="50" t="inlineStr">
        <is>
          <t>icons/Smelter/Gold Bar.png</t>
        </is>
      </c>
      <c r="AA310" s="28" t="inlineStr">
        <is>
          <t>hayday.info /api/production-data (2026-10-13) + Hay Day Wiki infobox via MediaWiki API (2026-10-13)</t>
        </is>
      </c>
      <c r="AB310" s="28" t="inlineStr">
        <is>
          <t>https://hayday.fandom.com/wiki/Gold_Bar</t>
        </is>
      </c>
      <c r="AC310" s="50" t="inlineStr">
        <is>
          <t>Gold bar</t>
        </is>
      </c>
    </row>
    <row r="311">
      <c r="A311" s="28" t="inlineStr">
        <is>
          <t>Platinum Bar</t>
        </is>
      </c>
      <c r="B311" s="28" t="inlineStr">
        <is>
          <t>Smelter</t>
        </is>
      </c>
      <c r="C311" s="50" t="inlineStr">
        <is>
          <t>Product</t>
        </is>
      </c>
      <c r="D311" s="28">
        <f>IF(E311&lt;&gt;"",E311,IF(F311&lt;&gt;"",F311,""))</f>
        <v/>
      </c>
      <c r="E311" s="50" t="n">
        <v>25</v>
      </c>
      <c r="F311" s="50" t="n">
        <v>25</v>
      </c>
      <c r="G311" s="50" t="n">
        <v>816</v>
      </c>
      <c r="H311" s="50" t="n">
        <v>960</v>
      </c>
      <c r="I311" s="50" t="n">
        <v>816</v>
      </c>
      <c r="J311" s="28">
        <f>IF(OR(G311="",AND(H311="",I311="")),"n/a",IF(G311=I311,"mastered",IF(G311=H311,"normal","differs")))</f>
        <v/>
      </c>
      <c r="K311" s="28">
        <f>IF(L311&lt;&gt;"",L311,IF(M311&lt;&gt;"",M311,""))</f>
        <v/>
      </c>
      <c r="L311" s="50" t="n">
        <v>205</v>
      </c>
      <c r="M311" s="50" t="n">
        <v>205</v>
      </c>
      <c r="N311" s="28">
        <f>IF(O311&lt;&gt;"",O311,IF(P311&lt;&gt;"",P311,""))</f>
        <v/>
      </c>
      <c r="O311" s="50" t="n">
        <v>21</v>
      </c>
      <c r="P311" s="50" t="n">
        <v>24</v>
      </c>
      <c r="Q311" s="50" t="n">
        <v>8.01</v>
      </c>
      <c r="R311" s="50" t="n">
        <v>1.54</v>
      </c>
      <c r="S311" s="28">
        <f>IF(Q311="","",IF(Q311&lt;0,"negative profit",IF(Q311&gt;Notes!$B$4,"unusually high - verify","")))</f>
        <v/>
      </c>
      <c r="T311" s="28" t="inlineStr">
        <is>
          <t>both</t>
        </is>
      </c>
      <c r="U311" s="28">
        <f>IF(T311&lt;&gt;"both",T311&amp;" only",IF(V311="","agree","conflict"))</f>
        <v/>
      </c>
      <c r="V311" s="28">
        <f>IF(T311="both",TRIM(IF(AND(E311&lt;&gt;"",F311&lt;&gt;"",E311&lt;&gt;F311),"level ","")&amp;IF(AND(L311&lt;&gt;"",M311&lt;&gt;"",L311&lt;&gt;M311),"price ","")&amp;IF(AND(O311&lt;&gt;"",P311&lt;&gt;"",O311&lt;&gt;P311),"xp ","")&amp;IF(J311="differs","time","")),"")</f>
        <v/>
      </c>
      <c r="X311" s="50" t="inlineStr">
        <is>
          <t>Platinum Ore x3</t>
        </is>
      </c>
      <c r="Y311" s="50" t="inlineStr">
        <is>
          <t>Platinum Bar.png</t>
        </is>
      </c>
      <c r="Z311" s="50" t="inlineStr">
        <is>
          <t>icons/Smelter/Platinum Bar.png</t>
        </is>
      </c>
      <c r="AA311" s="28" t="inlineStr">
        <is>
          <t>hayday.info /api/production-data (2026-10-13) + Hay Day Wiki infobox via MediaWiki API (2026-10-13)</t>
        </is>
      </c>
      <c r="AB311" s="28" t="inlineStr">
        <is>
          <t>https://hayday.fandom.com/wiki/Platinum_Bar</t>
        </is>
      </c>
      <c r="AC311" s="50" t="inlineStr">
        <is>
          <t>Platinum bar</t>
        </is>
      </c>
    </row>
    <row r="312">
      <c r="A312" s="28" t="inlineStr">
        <is>
          <t>Refined Coal</t>
        </is>
      </c>
      <c r="B312" s="28" t="inlineStr">
        <is>
          <t>Smelter</t>
        </is>
      </c>
      <c r="C312" s="50" t="inlineStr">
        <is>
          <t>Product</t>
        </is>
      </c>
      <c r="D312" s="28">
        <f>IF(E312&lt;&gt;"",E312,IF(F312&lt;&gt;"",F312,""))</f>
        <v/>
      </c>
      <c r="E312" s="50" t="n">
        <v>33</v>
      </c>
      <c r="F312" s="50" t="n">
        <v>33</v>
      </c>
      <c r="G312" s="50" t="n">
        <v>306</v>
      </c>
      <c r="H312" s="50" t="n">
        <v>360</v>
      </c>
      <c r="I312" s="50" t="n">
        <v>306</v>
      </c>
      <c r="J312" s="28">
        <f>IF(OR(G312="",AND(H312="",I312="")),"n/a",IF(G312=I312,"mastered",IF(G312=H312,"normal","differs")))</f>
        <v/>
      </c>
      <c r="K312" s="28">
        <f>IF(L312&lt;&gt;"",L312,IF(M312&lt;&gt;"",M312,""))</f>
        <v/>
      </c>
      <c r="L312" s="50" t="n">
        <v>108</v>
      </c>
      <c r="M312" s="50" t="n">
        <v>108</v>
      </c>
      <c r="N312" s="28">
        <f>IF(O312&lt;&gt;"",O312,IF(P312&lt;&gt;"",P312,""))</f>
        <v/>
      </c>
      <c r="O312" s="50" t="n">
        <v>13</v>
      </c>
      <c r="P312" s="50" t="n">
        <v>13</v>
      </c>
      <c r="Q312" s="50" t="n">
        <v>15.29</v>
      </c>
      <c r="R312" s="50" t="n">
        <v>2.55</v>
      </c>
      <c r="S312" s="28">
        <f>IF(Q312="","",IF(Q312&lt;0,"negative profit",IF(Q312&gt;Notes!$B$4,"unusually high - verify","")))</f>
        <v/>
      </c>
      <c r="T312" s="28" t="inlineStr">
        <is>
          <t>both</t>
        </is>
      </c>
      <c r="U312" s="28">
        <f>IF(T312&lt;&gt;"both",T312&amp;" only",IF(V312="","agree","conflict"))</f>
        <v/>
      </c>
      <c r="V312" s="28">
        <f>IF(T312="both",TRIM(IF(AND(E312&lt;&gt;"",F312&lt;&gt;"",E312&lt;&gt;F312),"level ","")&amp;IF(AND(L312&lt;&gt;"",M312&lt;&gt;"",L312&lt;&gt;M312),"price ","")&amp;IF(AND(O312&lt;&gt;"",P312&lt;&gt;"",O312&lt;&gt;P312),"xp ","")&amp;IF(J312="differs","time","")),"")</f>
        <v/>
      </c>
      <c r="X312" s="50" t="inlineStr">
        <is>
          <t>Coal x3</t>
        </is>
      </c>
      <c r="Y312" s="50" t="inlineStr">
        <is>
          <t>Refined Coal.png</t>
        </is>
      </c>
      <c r="Z312" s="50" t="inlineStr">
        <is>
          <t>icons/Smelter/Refined Coal.png</t>
        </is>
      </c>
      <c r="AA312" s="28" t="inlineStr">
        <is>
          <t>hayday.info /api/production-data (2026-10-13) + Hay Day Wiki infobox via MediaWiki API (2026-10-13)</t>
        </is>
      </c>
      <c r="AB312" s="28" t="inlineStr">
        <is>
          <t>https://hayday.fandom.com/wiki/Refined_Coal</t>
        </is>
      </c>
      <c r="AC312" s="50" t="inlineStr">
        <is>
          <t>Refined coal</t>
        </is>
      </c>
    </row>
    <row r="313">
      <c r="A313" s="28" t="inlineStr">
        <is>
          <t>Iron Bar</t>
        </is>
      </c>
      <c r="B313" s="28" t="inlineStr">
        <is>
          <t>Smelter</t>
        </is>
      </c>
      <c r="C313" s="50" t="inlineStr">
        <is>
          <t>Product</t>
        </is>
      </c>
      <c r="D313" s="28">
        <f>IF(E313&lt;&gt;"",E313,IF(F313&lt;&gt;"",F313,""))</f>
        <v/>
      </c>
      <c r="E313" s="50" t="n">
        <v>34</v>
      </c>
      <c r="F313" s="50" t="n">
        <v>34</v>
      </c>
      <c r="G313" s="50" t="n">
        <v>357</v>
      </c>
      <c r="H313" s="50" t="n">
        <v>420</v>
      </c>
      <c r="I313" s="50" t="n">
        <v>357</v>
      </c>
      <c r="J313" s="28">
        <f>IF(OR(G313="",AND(H313="",I313="")),"n/a",IF(G313=I313,"mastered",IF(G313=H313,"normal","differs")))</f>
        <v/>
      </c>
      <c r="K313" s="28">
        <f>IF(L313&lt;&gt;"",L313,IF(M313&lt;&gt;"",M313,""))</f>
        <v/>
      </c>
      <c r="L313" s="50" t="n">
        <v>129</v>
      </c>
      <c r="M313" s="50" t="n">
        <v>129</v>
      </c>
      <c r="N313" s="28">
        <f>IF(O313&lt;&gt;"",O313,IF(P313&lt;&gt;"",P313,""))</f>
        <v/>
      </c>
      <c r="O313" s="50" t="n">
        <v>15</v>
      </c>
      <c r="P313" s="50" t="n">
        <v>15</v>
      </c>
      <c r="Q313" s="50" t="n">
        <v>14.62</v>
      </c>
      <c r="R313" s="50" t="n">
        <v>2.52</v>
      </c>
      <c r="S313" s="28">
        <f>IF(Q313="","",IF(Q313&lt;0,"negative profit",IF(Q313&gt;Notes!$B$4,"unusually high - verify","")))</f>
        <v/>
      </c>
      <c r="T313" s="28" t="inlineStr">
        <is>
          <t>both</t>
        </is>
      </c>
      <c r="U313" s="28">
        <f>IF(T313&lt;&gt;"both",T313&amp;" only",IF(V313="","agree","conflict"))</f>
        <v/>
      </c>
      <c r="V313" s="28">
        <f>IF(T313="both",TRIM(IF(AND(E313&lt;&gt;"",F313&lt;&gt;"",E313&lt;&gt;F313),"level ","")&amp;IF(AND(L313&lt;&gt;"",M313&lt;&gt;"",L313&lt;&gt;M313),"price ","")&amp;IF(AND(O313&lt;&gt;"",P313&lt;&gt;"",O313&lt;&gt;P313),"xp ","")&amp;IF(J313="differs","time","")),"")</f>
        <v/>
      </c>
      <c r="X313" s="50" t="inlineStr">
        <is>
          <t>Iron Ore x3</t>
        </is>
      </c>
      <c r="Y313" s="50" t="inlineStr">
        <is>
          <t>Iron Bar.png</t>
        </is>
      </c>
      <c r="Z313" s="50" t="inlineStr">
        <is>
          <t>icons/Smelter/Iron Bar.png</t>
        </is>
      </c>
      <c r="AA313" s="28" t="inlineStr">
        <is>
          <t>hayday.info /api/production-data (2026-10-13) + Hay Day Wiki infobox via MediaWiki API (2026-10-13)</t>
        </is>
      </c>
      <c r="AB313" s="28" t="inlineStr">
        <is>
          <t>https://hayday.fandom.com/wiki/Iron_Bar</t>
        </is>
      </c>
      <c r="AC313" s="50" t="inlineStr">
        <is>
          <t>Iron bar</t>
        </is>
      </c>
    </row>
    <row r="314">
      <c r="A314" s="28" t="inlineStr">
        <is>
          <t>Berry Smoothie</t>
        </is>
      </c>
      <c r="B314" s="28" t="inlineStr">
        <is>
          <t>Smoothie Mixer</t>
        </is>
      </c>
      <c r="C314" s="50" t="inlineStr">
        <is>
          <t>Product</t>
        </is>
      </c>
      <c r="D314" s="28">
        <f>IF(E314&lt;&gt;"",E314,IF(F314&lt;&gt;"",F314,""))</f>
        <v/>
      </c>
      <c r="E314" s="50" t="n">
        <v>64</v>
      </c>
      <c r="F314" s="50" t="n">
        <v>64</v>
      </c>
      <c r="G314" s="50" t="n">
        <v>63</v>
      </c>
      <c r="H314" s="50" t="n">
        <v>75</v>
      </c>
      <c r="I314" s="50" t="n">
        <v>63</v>
      </c>
      <c r="J314" s="28">
        <f>IF(OR(G314="",AND(H314="",I314="")),"n/a",IF(G314=I314,"mastered",IF(G314=H314,"normal","differs")))</f>
        <v/>
      </c>
      <c r="K314" s="28">
        <f>IF(L314&lt;&gt;"",L314,IF(M314&lt;&gt;"",M314,""))</f>
        <v/>
      </c>
      <c r="L314" s="50" t="n">
        <v>547</v>
      </c>
      <c r="M314" s="50" t="n">
        <v>547</v>
      </c>
      <c r="N314" s="28">
        <f>IF(O314&lt;&gt;"",O314,IF(P314&lt;&gt;"",P314,""))</f>
        <v/>
      </c>
      <c r="O314" s="50" t="n">
        <v>65</v>
      </c>
      <c r="P314" s="50" t="n">
        <v>65</v>
      </c>
      <c r="Q314" s="50" t="n">
        <v>12.24</v>
      </c>
      <c r="R314" s="50" t="n">
        <v>61.18</v>
      </c>
      <c r="S314" s="28">
        <f>IF(Q314="","",IF(Q314&lt;0,"negative profit",IF(Q314&gt;Notes!$B$4,"unusually high - verify","")))</f>
        <v/>
      </c>
      <c r="T314" s="28" t="inlineStr">
        <is>
          <t>both</t>
        </is>
      </c>
      <c r="U314" s="28">
        <f>IF(T314&lt;&gt;"both",T314&amp;" only",IF(V314="","agree","conflict"))</f>
        <v/>
      </c>
      <c r="V314" s="28">
        <f>IF(T314="both",TRIM(IF(AND(E314&lt;&gt;"",F314&lt;&gt;"",E314&lt;&gt;F314),"level ","")&amp;IF(AND(L314&lt;&gt;"",M314&lt;&gt;"",L314&lt;&gt;M314),"price ","")&amp;IF(AND(O314&lt;&gt;"",P314&lt;&gt;"",O314&lt;&gt;P314),"xp ","")&amp;IF(J314="differs","time","")),"")</f>
        <v/>
      </c>
      <c r="X314" s="50" t="inlineStr">
        <is>
          <t>Raspberry x3; Strawberry x3; Blackberry x3</t>
        </is>
      </c>
      <c r="Y314" s="50" t="inlineStr">
        <is>
          <t>Berry Smoothie.png</t>
        </is>
      </c>
      <c r="Z314" s="50" t="inlineStr">
        <is>
          <t>icons/Smoothie Mixer/Berry Smoothie.png</t>
        </is>
      </c>
      <c r="AA314" s="28" t="inlineStr">
        <is>
          <t>hayday.info /api/production-data (2026-10-13) + Hay Day Wiki infobox via MediaWiki API (2026-10-13)</t>
        </is>
      </c>
      <c r="AB314" s="28" t="inlineStr">
        <is>
          <t>https://hayday.fandom.com/wiki/Berry_Smoothie</t>
        </is>
      </c>
      <c r="AC314" s="50" t="inlineStr">
        <is>
          <t>Berry smoothie</t>
        </is>
      </c>
    </row>
    <row r="315">
      <c r="A315" s="28" t="inlineStr">
        <is>
          <t>Green Smoothie</t>
        </is>
      </c>
      <c r="B315" s="28" t="inlineStr">
        <is>
          <t>Smoothie Mixer</t>
        </is>
      </c>
      <c r="C315" s="50" t="inlineStr">
        <is>
          <t>Product</t>
        </is>
      </c>
      <c r="D315" s="28">
        <f>IF(E315&lt;&gt;"",E315,IF(F315&lt;&gt;"",F315,""))</f>
        <v/>
      </c>
      <c r="E315" s="50" t="n">
        <v>66</v>
      </c>
      <c r="F315" s="50" t="n">
        <v>66</v>
      </c>
      <c r="G315" s="50" t="n">
        <v>38</v>
      </c>
      <c r="H315" s="50" t="n">
        <v>45</v>
      </c>
      <c r="I315" s="50" t="n">
        <v>38</v>
      </c>
      <c r="J315" s="28">
        <f>IF(OR(G315="",AND(H315="",I315="")),"n/a",IF(G315=I315,"mastered",IF(G315=H315,"normal","differs")))</f>
        <v/>
      </c>
      <c r="K315" s="28">
        <f>IF(L315&lt;&gt;"",L315,IF(M315&lt;&gt;"",M315,""))</f>
        <v/>
      </c>
      <c r="L315" s="50" t="n">
        <v>320</v>
      </c>
      <c r="M315" s="50" t="n">
        <v>320</v>
      </c>
      <c r="N315" s="28">
        <f>IF(O315&lt;&gt;"",O315,IF(P315&lt;&gt;"",P315,""))</f>
        <v/>
      </c>
      <c r="O315" s="50" t="n">
        <v>38</v>
      </c>
      <c r="P315" s="50" t="n">
        <v>38</v>
      </c>
      <c r="Q315" s="50" t="n">
        <v>43.92</v>
      </c>
      <c r="R315" s="50" t="n">
        <v>59.61</v>
      </c>
      <c r="S315" s="28">
        <f>IF(Q315="","",IF(Q315&lt;0,"negative profit",IF(Q315&gt;Notes!$B$4,"unusually high - verify","")))</f>
        <v/>
      </c>
      <c r="T315" s="28" t="inlineStr">
        <is>
          <t>both</t>
        </is>
      </c>
      <c r="U315" s="28">
        <f>IF(T315&lt;&gt;"both",T315&amp;" only",IF(V315="","agree","conflict"))</f>
        <v/>
      </c>
      <c r="V315" s="28">
        <f>IF(T315="both",TRIM(IF(AND(E315&lt;&gt;"",F315&lt;&gt;"",E315&lt;&gt;F315),"level ","")&amp;IF(AND(L315&lt;&gt;"",M315&lt;&gt;"",L315&lt;&gt;M315),"price ","")&amp;IF(AND(O315&lt;&gt;"",P315&lt;&gt;"",O315&lt;&gt;P315),"xp ","")&amp;IF(J315="differs","time","")),"")</f>
        <v/>
      </c>
      <c r="X315" s="50" t="inlineStr">
        <is>
          <t>Lettuce x5; Lemon x1; Apple x1</t>
        </is>
      </c>
      <c r="Y315" s="50" t="inlineStr">
        <is>
          <t>Green Smoothie.png</t>
        </is>
      </c>
      <c r="Z315" s="50" t="inlineStr">
        <is>
          <t>icons/Smoothie Mixer/Green Smoothie.png</t>
        </is>
      </c>
      <c r="AA315" s="28" t="inlineStr">
        <is>
          <t>hayday.info /api/production-data (2026-10-13) + Hay Day Wiki infobox via MediaWiki API (2026-10-13)</t>
        </is>
      </c>
      <c r="AB315" s="28" t="inlineStr">
        <is>
          <t>https://hayday.fandom.com/wiki/Green_Smoothie</t>
        </is>
      </c>
      <c r="AC315" s="50" t="inlineStr">
        <is>
          <t>Green smoothie</t>
        </is>
      </c>
    </row>
    <row r="316">
      <c r="A316" s="28" t="inlineStr">
        <is>
          <t>Cucumber Smoothie</t>
        </is>
      </c>
      <c r="B316" s="28" t="inlineStr">
        <is>
          <t>Smoothie Mixer</t>
        </is>
      </c>
      <c r="C316" s="50" t="inlineStr">
        <is>
          <t>Product</t>
        </is>
      </c>
      <c r="D316" s="28">
        <f>IF(E316&lt;&gt;"",E316,IF(F316&lt;&gt;"",F316,""))</f>
        <v/>
      </c>
      <c r="E316" s="50" t="n">
        <v>70</v>
      </c>
      <c r="F316" s="50" t="n">
        <v>70</v>
      </c>
      <c r="G316" s="50" t="n">
        <v>34</v>
      </c>
      <c r="H316" s="50" t="n">
        <v>40</v>
      </c>
      <c r="I316" s="50" t="n">
        <v>34</v>
      </c>
      <c r="J316" s="28">
        <f>IF(OR(G316="",AND(H316="",I316="")),"n/a",IF(G316=I316,"mastered",IF(G316=H316,"normal","differs")))</f>
        <v/>
      </c>
      <c r="K316" s="28">
        <f>IF(L316&lt;&gt;"",L316,IF(M316&lt;&gt;"",M316,""))</f>
        <v/>
      </c>
      <c r="L316" s="50" t="n">
        <v>266</v>
      </c>
      <c r="M316" s="50" t="n">
        <v>266</v>
      </c>
      <c r="N316" s="28">
        <f>IF(O316&lt;&gt;"",O316,IF(P316&lt;&gt;"",P316,""))</f>
        <v/>
      </c>
      <c r="O316" s="50" t="n">
        <v>32</v>
      </c>
      <c r="P316" s="50" t="n">
        <v>32</v>
      </c>
      <c r="Q316" s="50" t="n">
        <v>49.41</v>
      </c>
      <c r="R316" s="50" t="n">
        <v>56.47</v>
      </c>
      <c r="S316" s="28">
        <f>IF(Q316="","",IF(Q316&lt;0,"negative profit",IF(Q316&gt;Notes!$B$4,"unusually high - verify","")))</f>
        <v/>
      </c>
      <c r="T316" s="28" t="inlineStr">
        <is>
          <t>both</t>
        </is>
      </c>
      <c r="U316" s="28">
        <f>IF(T316&lt;&gt;"both",T316&amp;" only",IF(V316="","agree","conflict"))</f>
        <v/>
      </c>
      <c r="V316" s="28">
        <f>IF(T316="both",TRIM(IF(AND(E316&lt;&gt;"",F316&lt;&gt;"",E316&lt;&gt;F316),"level ","")&amp;IF(AND(L316&lt;&gt;"",M316&lt;&gt;"",L316&lt;&gt;M316),"price ","")&amp;IF(AND(O316&lt;&gt;"",P316&lt;&gt;"",O316&lt;&gt;P316),"xp ","")&amp;IF(J316="differs","time","")),"")</f>
        <v/>
      </c>
      <c r="X316" s="50" t="inlineStr">
        <is>
          <t>Cucumber x3; Honey x1; Pineapple x3</t>
        </is>
      </c>
      <c r="Y316" s="50" t="inlineStr">
        <is>
          <t>Cucumber Smoothie.png</t>
        </is>
      </c>
      <c r="Z316" s="50" t="inlineStr">
        <is>
          <t>icons/Smoothie Mixer/Cucumber Smoothie.png</t>
        </is>
      </c>
      <c r="AA316" s="28" t="inlineStr">
        <is>
          <t>hayday.info /api/production-data (2026-10-13) + Hay Day Wiki infobox via MediaWiki API (2026-10-13)</t>
        </is>
      </c>
      <c r="AB316" s="28" t="inlineStr">
        <is>
          <t>https://hayday.fandom.com/wiki/Cucumber_Smoothie</t>
        </is>
      </c>
      <c r="AC316" s="50" t="inlineStr">
        <is>
          <t>Cucumber smoothie</t>
        </is>
      </c>
    </row>
    <row r="317">
      <c r="A317" s="28" t="inlineStr">
        <is>
          <t>Yogurt Smoothie</t>
        </is>
      </c>
      <c r="B317" s="28" t="inlineStr">
        <is>
          <t>Smoothie Mixer</t>
        </is>
      </c>
      <c r="C317" s="50" t="inlineStr">
        <is>
          <t>Product</t>
        </is>
      </c>
      <c r="D317" s="28">
        <f>IF(E317&lt;&gt;"",E317,IF(F317&lt;&gt;"",F317,""))</f>
        <v/>
      </c>
      <c r="E317" s="50" t="n">
        <v>70</v>
      </c>
      <c r="F317" s="50" t="n">
        <v>70</v>
      </c>
      <c r="G317" s="50" t="n">
        <v>51</v>
      </c>
      <c r="H317" s="50" t="n">
        <v>60</v>
      </c>
      <c r="I317" s="50" t="n">
        <v>51</v>
      </c>
      <c r="J317" s="28">
        <f>IF(OR(G317="",AND(H317="",I317="")),"n/a",IF(G317=I317,"mastered",IF(G317=H317,"normal","differs")))</f>
        <v/>
      </c>
      <c r="K317" s="28">
        <f>IF(L317&lt;&gt;"",L317,IF(M317&lt;&gt;"",M317,""))</f>
        <v/>
      </c>
      <c r="L317" s="50" t="n">
        <v>349</v>
      </c>
      <c r="M317" s="50" t="n">
        <v>349</v>
      </c>
      <c r="N317" s="28">
        <f>IF(O317&lt;&gt;"",O317,IF(P317&lt;&gt;"",P317,""))</f>
        <v/>
      </c>
      <c r="O317" s="50" t="n">
        <v>42</v>
      </c>
      <c r="P317" s="50" t="n">
        <v>42</v>
      </c>
      <c r="Q317" s="50" t="n">
        <v>104.71</v>
      </c>
      <c r="R317" s="50" t="n">
        <v>49.41</v>
      </c>
      <c r="S317" s="28">
        <f>IF(Q317="","",IF(Q317&lt;0,"negative profit",IF(Q317&gt;Notes!$B$4,"unusually high - verify","")))</f>
        <v/>
      </c>
      <c r="T317" s="28" t="inlineStr">
        <is>
          <t>both</t>
        </is>
      </c>
      <c r="U317" s="28">
        <f>IF(T317&lt;&gt;"both",T317&amp;" only",IF(V317="","agree","conflict"))</f>
        <v/>
      </c>
      <c r="V317" s="28">
        <f>IF(T317="both",TRIM(IF(AND(E317&lt;&gt;"",F317&lt;&gt;"",E317&lt;&gt;F317),"level ","")&amp;IF(AND(L317&lt;&gt;"",M317&lt;&gt;"",L317&lt;&gt;M317),"price ","")&amp;IF(AND(O317&lt;&gt;"",P317&lt;&gt;"",O317&lt;&gt;P317),"xp ","")&amp;IF(J317="differs","time","")),"")</f>
        <v/>
      </c>
      <c r="X317" s="50" t="inlineStr">
        <is>
          <t>Cream x1; Raspberry x2; Cherry x1; White Sugar x1</t>
        </is>
      </c>
      <c r="Y317" s="50" t="inlineStr">
        <is>
          <t>Yogurt Smoothie.png</t>
        </is>
      </c>
      <c r="Z317" s="50" t="inlineStr">
        <is>
          <t>icons/Smoothie Mixer/Yogurt Smoothie.png</t>
        </is>
      </c>
      <c r="AA317" s="28" t="inlineStr">
        <is>
          <t>hayday.info /api/production-data (2026-10-13) + Hay Day Wiki infobox via MediaWiki API (2026-10-13)</t>
        </is>
      </c>
      <c r="AB317" s="28" t="inlineStr">
        <is>
          <t>https://hayday.fandom.com/wiki/Yogurt_Smoothie</t>
        </is>
      </c>
      <c r="AC317" s="50" t="inlineStr">
        <is>
          <t>Yogurt smoothie</t>
        </is>
      </c>
    </row>
    <row r="318">
      <c r="A318" s="28" t="inlineStr">
        <is>
          <t>Mixed Smoothie</t>
        </is>
      </c>
      <c r="B318" s="28" t="inlineStr">
        <is>
          <t>Smoothie Mixer</t>
        </is>
      </c>
      <c r="C318" s="50" t="inlineStr">
        <is>
          <t>Product</t>
        </is>
      </c>
      <c r="D318" s="28">
        <f>IF(E318&lt;&gt;"",E318,IF(F318&lt;&gt;"",F318,""))</f>
        <v/>
      </c>
      <c r="E318" s="50" t="n">
        <v>88</v>
      </c>
      <c r="F318" s="50" t="n">
        <v>88</v>
      </c>
      <c r="G318" s="50" t="n">
        <v>25</v>
      </c>
      <c r="H318" s="50" t="n">
        <v>30</v>
      </c>
      <c r="I318" s="50" t="n">
        <v>25</v>
      </c>
      <c r="J318" s="28">
        <f>IF(OR(G318="",AND(H318="",I318="")),"n/a",IF(G318=I318,"mastered",IF(G318=H318,"normal","differs")))</f>
        <v/>
      </c>
      <c r="K318" s="28">
        <f>IF(L318&lt;&gt;"",L318,IF(M318&lt;&gt;"",M318,""))</f>
        <v/>
      </c>
      <c r="L318" s="50" t="n">
        <v>504</v>
      </c>
      <c r="M318" s="50" t="n">
        <v>504</v>
      </c>
      <c r="N318" s="28">
        <f>IF(O318&lt;&gt;"",O318,IF(P318&lt;&gt;"",P318,""))</f>
        <v/>
      </c>
      <c r="O318" s="50" t="n">
        <v>60</v>
      </c>
      <c r="P318" s="50" t="n">
        <v>60</v>
      </c>
      <c r="Q318" s="50" t="n">
        <v>40</v>
      </c>
      <c r="R318" s="50" t="n">
        <v>141.18</v>
      </c>
      <c r="S318" s="28">
        <f>IF(Q318="","",IF(Q318&lt;0,"negative profit",IF(Q318&gt;Notes!$B$4,"unusually high - verify","")))</f>
        <v/>
      </c>
      <c r="T318" s="28" t="inlineStr">
        <is>
          <t>both</t>
        </is>
      </c>
      <c r="U318" s="28">
        <f>IF(T318&lt;&gt;"both",T318&amp;" only",IF(V318="","agree","conflict"))</f>
        <v/>
      </c>
      <c r="V318" s="28">
        <f>IF(T318="both",TRIM(IF(AND(E318&lt;&gt;"",F318&lt;&gt;"",E318&lt;&gt;F318),"level ","")&amp;IF(AND(L318&lt;&gt;"",M318&lt;&gt;"",L318&lt;&gt;M318),"price ","")&amp;IF(AND(O318&lt;&gt;"",P318&lt;&gt;"",O318&lt;&gt;P318),"xp ","")&amp;IF(J318="differs","time","")),"")</f>
        <v/>
      </c>
      <c r="X318" s="50" t="inlineStr">
        <is>
          <t>Lemon x1; Orange x2; Peach x2</t>
        </is>
      </c>
      <c r="Y318" s="50" t="inlineStr">
        <is>
          <t>Mixed Smoothie.png</t>
        </is>
      </c>
      <c r="Z318" s="50" t="inlineStr">
        <is>
          <t>icons/Smoothie Mixer/Mixed Smoothie.png</t>
        </is>
      </c>
      <c r="AA318" s="28" t="inlineStr">
        <is>
          <t>hayday.info /api/production-data (2026-10-13) + Hay Day Wiki infobox via MediaWiki API (2026-10-13)</t>
        </is>
      </c>
      <c r="AB318" s="28" t="inlineStr">
        <is>
          <t>https://hayday.fandom.com/wiki/Mixed_Smoothie</t>
        </is>
      </c>
      <c r="AC318" s="50" t="inlineStr">
        <is>
          <t>Mixed smoothie</t>
        </is>
      </c>
    </row>
    <row r="319">
      <c r="A319" s="28" t="inlineStr">
        <is>
          <t>Black Sesame Smoothie</t>
        </is>
      </c>
      <c r="B319" s="28" t="inlineStr">
        <is>
          <t>Smoothie Mixer</t>
        </is>
      </c>
      <c r="C319" s="50" t="inlineStr">
        <is>
          <t>Product</t>
        </is>
      </c>
      <c r="D319" s="28">
        <f>IF(E319&lt;&gt;"",E319,IF(F319&lt;&gt;"",F319,""))</f>
        <v/>
      </c>
      <c r="E319" s="50" t="n">
        <v>93</v>
      </c>
      <c r="F319" s="50" t="n">
        <v>93</v>
      </c>
      <c r="G319" s="50" t="n">
        <v>38</v>
      </c>
      <c r="H319" s="50" t="n">
        <v>45</v>
      </c>
      <c r="I319" s="50" t="n">
        <v>38</v>
      </c>
      <c r="J319" s="28">
        <f>IF(OR(G319="",AND(H319="",I319="")),"n/a",IF(G319=I319,"mastered",IF(G319=H319,"normal","differs")))</f>
        <v/>
      </c>
      <c r="K319" s="28">
        <f>IF(L319&lt;&gt;"",L319,IF(M319&lt;&gt;"",M319,""))</f>
        <v/>
      </c>
      <c r="L319" s="50" t="n">
        <v>313</v>
      </c>
      <c r="M319" s="50" t="n">
        <v>313</v>
      </c>
      <c r="N319" s="28">
        <f>IF(O319&lt;&gt;"",O319,IF(P319&lt;&gt;"",P319,""))</f>
        <v/>
      </c>
      <c r="O319" s="50" t="n">
        <v>37</v>
      </c>
      <c r="P319" s="50" t="n">
        <v>37</v>
      </c>
      <c r="Q319" s="50" t="n">
        <v>42.35</v>
      </c>
      <c r="R319" s="50" t="n">
        <v>58.04</v>
      </c>
      <c r="S319" s="28">
        <f>IF(Q319="","",IF(Q319&lt;0,"negative profit",IF(Q319&gt;Notes!$B$4,"unusually high - verify","")))</f>
        <v/>
      </c>
      <c r="T319" s="28" t="inlineStr">
        <is>
          <t>both</t>
        </is>
      </c>
      <c r="U319" s="28">
        <f>IF(T319&lt;&gt;"both",T319&amp;" only",IF(V319="","agree","conflict"))</f>
        <v/>
      </c>
      <c r="V319" s="28">
        <f>IF(T319="both",TRIM(IF(AND(E319&lt;&gt;"",F319&lt;&gt;"",E319&lt;&gt;F319),"level ","")&amp;IF(AND(L319&lt;&gt;"",M319&lt;&gt;"",L319&lt;&gt;M319),"price ","")&amp;IF(AND(O319&lt;&gt;"",P319&lt;&gt;"",O319&lt;&gt;P319),"xp ","")&amp;IF(J319="differs","time","")),"")</f>
        <v/>
      </c>
      <c r="X319" s="50" t="inlineStr">
        <is>
          <t>Sesame x3; Banana x1; Goat Milk x2</t>
        </is>
      </c>
      <c r="Y319" s="50" t="inlineStr">
        <is>
          <t>Black Sesame Smoothie.png</t>
        </is>
      </c>
      <c r="Z319" s="50" t="inlineStr">
        <is>
          <t>icons/Smoothie Mixer/Black Sesame Smoothie.png</t>
        </is>
      </c>
      <c r="AA319" s="28" t="inlineStr">
        <is>
          <t>hayday.info /api/production-data (2026-10-13) + Hay Day Wiki infobox via MediaWiki API (2026-10-13)</t>
        </is>
      </c>
      <c r="AB319" s="28" t="inlineStr">
        <is>
          <t>https://hayday.fandom.com/wiki/Black_Sesame_Smoothie</t>
        </is>
      </c>
      <c r="AC319" s="50" t="inlineStr">
        <is>
          <t>Black sesame smoothie</t>
        </is>
      </c>
    </row>
    <row r="320">
      <c r="A320" s="28" t="inlineStr">
        <is>
          <t>Cocoa Smoothie</t>
        </is>
      </c>
      <c r="B320" s="28" t="inlineStr">
        <is>
          <t>Smoothie Mixer</t>
        </is>
      </c>
      <c r="C320" s="50" t="inlineStr">
        <is>
          <t>Product</t>
        </is>
      </c>
      <c r="D320" s="28">
        <f>IF(E320&lt;&gt;"",E320,IF(F320&lt;&gt;"",F320,""))</f>
        <v/>
      </c>
      <c r="E320" s="50" t="n">
        <v>100</v>
      </c>
      <c r="F320" s="50" t="n">
        <v>100</v>
      </c>
      <c r="G320" s="50" t="n">
        <v>34</v>
      </c>
      <c r="H320" s="50" t="n">
        <v>40</v>
      </c>
      <c r="I320" s="50" t="n">
        <v>34</v>
      </c>
      <c r="J320" s="28">
        <f>IF(OR(G320="",AND(H320="",I320="")),"n/a",IF(G320=I320,"mastered",IF(G320=H320,"normal","differs")))</f>
        <v/>
      </c>
      <c r="K320" s="28">
        <f>IF(L320&lt;&gt;"",L320,IF(M320&lt;&gt;"",M320,""))</f>
        <v/>
      </c>
      <c r="L320" s="50" t="n">
        <v>511</v>
      </c>
      <c r="M320" s="50" t="n">
        <v>511</v>
      </c>
      <c r="N320" s="28">
        <f>IF(O320&lt;&gt;"",O320,IF(P320&lt;&gt;"",P320,""))</f>
        <v/>
      </c>
      <c r="O320" s="50" t="n">
        <v>61</v>
      </c>
      <c r="P320" s="50" t="n">
        <v>61</v>
      </c>
      <c r="Q320" s="50" t="n">
        <v>22.94</v>
      </c>
      <c r="R320" s="50" t="n">
        <v>107.65</v>
      </c>
      <c r="S320" s="28">
        <f>IF(Q320="","",IF(Q320&lt;0,"negative profit",IF(Q320&gt;Notes!$B$4,"unusually high - verify","")))</f>
        <v/>
      </c>
      <c r="T320" s="28" t="inlineStr">
        <is>
          <t>both</t>
        </is>
      </c>
      <c r="U320" s="28">
        <f>IF(T320&lt;&gt;"both",T320&amp;" only",IF(V320="","agree","conflict"))</f>
        <v/>
      </c>
      <c r="V320" s="28">
        <f>IF(T320="both",TRIM(IF(AND(E320&lt;&gt;"",F320&lt;&gt;"",E320&lt;&gt;F320),"level ","")&amp;IF(AND(L320&lt;&gt;"",M320&lt;&gt;"",L320&lt;&gt;M320),"price ","")&amp;IF(AND(O320&lt;&gt;"",P320&lt;&gt;"",O320&lt;&gt;P320),"xp ","")&amp;IF(J320="differs","time","")),"")</f>
        <v/>
      </c>
      <c r="X320" s="50" t="inlineStr">
        <is>
          <t>Banana x2; Cacao x3; Milk x1</t>
        </is>
      </c>
      <c r="Y320" s="50" t="inlineStr">
        <is>
          <t>Cocoa Smoothie.png</t>
        </is>
      </c>
      <c r="Z320" s="50" t="inlineStr">
        <is>
          <t>icons/Smoothie Mixer/Cocoa Smoothie.png</t>
        </is>
      </c>
      <c r="AA320" s="28" t="inlineStr">
        <is>
          <t>hayday.info /api/production-data (2026-10-13) + Hay Day Wiki infobox via MediaWiki API (2026-10-13)</t>
        </is>
      </c>
      <c r="AB320" s="28" t="inlineStr">
        <is>
          <t>https://hayday.fandom.com/wiki/Cocoa_Smoothie</t>
        </is>
      </c>
      <c r="AC320" s="50" t="inlineStr">
        <is>
          <t>Cocoa smoothie</t>
        </is>
      </c>
    </row>
    <row r="321">
      <c r="A321" s="28" t="inlineStr">
        <is>
          <t>Plum Smoothie</t>
        </is>
      </c>
      <c r="B321" s="28" t="inlineStr">
        <is>
          <t>Smoothie Mixer</t>
        </is>
      </c>
      <c r="C321" s="50" t="inlineStr">
        <is>
          <t>Product</t>
        </is>
      </c>
      <c r="D321" s="28">
        <f>IF(E321&lt;&gt;"",E321,IF(F321&lt;&gt;"",F321,""))</f>
        <v/>
      </c>
      <c r="E321" s="50" t="n">
        <v>102</v>
      </c>
      <c r="F321" s="50" t="n">
        <v>102</v>
      </c>
      <c r="G321" s="50" t="n">
        <v>29</v>
      </c>
      <c r="H321" s="50" t="n">
        <v>35</v>
      </c>
      <c r="I321" s="50" t="n">
        <v>29</v>
      </c>
      <c r="J321" s="28">
        <f>IF(OR(G321="",AND(H321="",I321="")),"n/a",IF(G321=I321,"mastered",IF(G321=H321,"normal","differs")))</f>
        <v/>
      </c>
      <c r="K321" s="28">
        <f>IF(L321&lt;&gt;"",L321,IF(M321&lt;&gt;"",M321,""))</f>
        <v/>
      </c>
      <c r="L321" s="50" t="n">
        <v>522</v>
      </c>
      <c r="M321" s="50" t="n">
        <v>522</v>
      </c>
      <c r="N321" s="28">
        <f>IF(O321&lt;&gt;"",O321,IF(P321&lt;&gt;"",P321,""))</f>
        <v/>
      </c>
      <c r="O321" s="50" t="n">
        <v>62</v>
      </c>
      <c r="P321" s="50" t="n">
        <v>62</v>
      </c>
      <c r="Q321" s="50" t="n">
        <v>116.97</v>
      </c>
      <c r="R321" s="50" t="n">
        <v>125.04</v>
      </c>
      <c r="S321" s="28">
        <f>IF(Q321="","",IF(Q321&lt;0,"negative profit",IF(Q321&gt;Notes!$B$4,"unusually high - verify","")))</f>
        <v/>
      </c>
      <c r="T321" s="28" t="inlineStr">
        <is>
          <t>both</t>
        </is>
      </c>
      <c r="U321" s="28">
        <f>IF(T321&lt;&gt;"both",T321&amp;" only",IF(V321="","agree","conflict"))</f>
        <v/>
      </c>
      <c r="V321" s="28">
        <f>IF(T321="both",TRIM(IF(AND(E321&lt;&gt;"",F321&lt;&gt;"",E321&lt;&gt;F321),"level ","")&amp;IF(AND(L321&lt;&gt;"",M321&lt;&gt;"",L321&lt;&gt;M321),"price ","")&amp;IF(AND(O321&lt;&gt;"",P321&lt;&gt;"",O321&lt;&gt;P321),"xp ","")&amp;IF(J321="differs","time","")),"")</f>
        <v/>
      </c>
      <c r="X321" s="50" t="inlineStr">
        <is>
          <t>Plum x3; Grapes x2; Mint x1; Honey x1</t>
        </is>
      </c>
      <c r="Y321" s="50" t="inlineStr">
        <is>
          <t>Plum Smoothie.png</t>
        </is>
      </c>
      <c r="Z321" s="50" t="inlineStr">
        <is>
          <t>icons/Smoothie Mixer/Plum Smoothie.png</t>
        </is>
      </c>
      <c r="AA321" s="28" t="inlineStr">
        <is>
          <t>hayday.info /api/production-data (2026-10-13) + Hay Day Wiki infobox via MediaWiki API (2026-10-13)</t>
        </is>
      </c>
      <c r="AB321" s="28" t="inlineStr">
        <is>
          <t>https://hayday.fandom.com/wiki/Plum_Smoothie</t>
        </is>
      </c>
      <c r="AC321" s="50" t="inlineStr">
        <is>
          <t>Plum smoothie</t>
        </is>
      </c>
    </row>
    <row r="322">
      <c r="A322" s="28" t="inlineStr">
        <is>
          <t>Tropical Smoothie</t>
        </is>
      </c>
      <c r="B322" s="28" t="inlineStr">
        <is>
          <t>Smoothie Mixer</t>
        </is>
      </c>
      <c r="C322" s="50" t="inlineStr">
        <is>
          <t>Product</t>
        </is>
      </c>
      <c r="D322" s="28">
        <f>IF(E322&lt;&gt;"",E322,IF(F322&lt;&gt;"",F322,""))</f>
        <v/>
      </c>
      <c r="E322" s="50" t="n">
        <v>104</v>
      </c>
      <c r="F322" s="50" t="n">
        <v>104</v>
      </c>
      <c r="G322" s="50" t="n">
        <v>40</v>
      </c>
      <c r="H322" s="50" t="n">
        <v>40</v>
      </c>
      <c r="I322" s="50" t="n">
        <v>34</v>
      </c>
      <c r="J322" s="28">
        <f>IF(OR(G322="",AND(H322="",I322="")),"n/a",IF(G322=I322,"mastered",IF(G322=H322,"normal","differs")))</f>
        <v/>
      </c>
      <c r="K322" s="28">
        <f>IF(L322&lt;&gt;"",L322,IF(M322&lt;&gt;"",M322,""))</f>
        <v/>
      </c>
      <c r="L322" s="50" t="n">
        <v>475</v>
      </c>
      <c r="M322" s="50" t="n">
        <v>475</v>
      </c>
      <c r="N322" s="28">
        <f>IF(O322&lt;&gt;"",O322,IF(P322&lt;&gt;"",P322,""))</f>
        <v/>
      </c>
      <c r="O322" s="50" t="n">
        <v>57</v>
      </c>
      <c r="P322" s="50" t="n">
        <v>57</v>
      </c>
      <c r="Q322" s="50" t="n">
        <v>40.5</v>
      </c>
      <c r="R322" s="50" t="n">
        <v>85.5</v>
      </c>
      <c r="S322" s="28">
        <f>IF(Q322="","",IF(Q322&lt;0,"negative profit",IF(Q322&gt;Notes!$B$4,"unusually high - verify","")))</f>
        <v/>
      </c>
      <c r="T322" s="28" t="inlineStr">
        <is>
          <t>both</t>
        </is>
      </c>
      <c r="U322" s="28">
        <f>IF(T322&lt;&gt;"both",T322&amp;" only",IF(V322="","agree","conflict"))</f>
        <v/>
      </c>
      <c r="V322" s="28">
        <f>IF(T322="both",TRIM(IF(AND(E322&lt;&gt;"",F322&lt;&gt;"",E322&lt;&gt;F322),"level ","")&amp;IF(AND(L322&lt;&gt;"",M322&lt;&gt;"",L322&lt;&gt;M322),"price ","")&amp;IF(AND(O322&lt;&gt;"",P322&lt;&gt;"",O322&lt;&gt;P322),"xp ","")&amp;IF(J322="differs","time","")),"")</f>
        <v/>
      </c>
      <c r="W322" s="28" t="inlineStr">
        <is>
          <t>price 457 (machine page) vs 475 (product page)</t>
        </is>
      </c>
      <c r="X322" s="50" t="inlineStr">
        <is>
          <t>Coconut x1; Banana x1; Passion Fruit x2; Mango x2</t>
        </is>
      </c>
      <c r="Y322" s="50" t="inlineStr">
        <is>
          <t>Tropical Smoothie.png</t>
        </is>
      </c>
      <c r="Z322" s="50" t="inlineStr">
        <is>
          <t>icons/Smoothie Mixer/Tropical Smoothie.png</t>
        </is>
      </c>
      <c r="AA322" s="28" t="inlineStr">
        <is>
          <t>hayday.info /api/production-data (2026-10-13) + Hay Day Wiki infobox via MediaWiki API (2026-10-13)</t>
        </is>
      </c>
      <c r="AB322" s="28" t="inlineStr">
        <is>
          <t>https://hayday.fandom.com/wiki/Tropical_Smoothie</t>
        </is>
      </c>
      <c r="AC322" s="50" t="inlineStr">
        <is>
          <t>Tropical Smoothie</t>
        </is>
      </c>
    </row>
    <row r="323">
      <c r="A323" s="28" t="inlineStr">
        <is>
          <t>Lobster Soup</t>
        </is>
      </c>
      <c r="B323" s="28" t="inlineStr">
        <is>
          <t>Soup Kitchen</t>
        </is>
      </c>
      <c r="C323" s="50" t="inlineStr">
        <is>
          <t>Product</t>
        </is>
      </c>
      <c r="D323" s="28">
        <f>IF(E323&lt;&gt;"",E323,IF(F323&lt;&gt;"",F323,""))</f>
        <v/>
      </c>
      <c r="E323" s="50" t="n">
        <v>46</v>
      </c>
      <c r="F323" s="50" t="n">
        <v>46</v>
      </c>
      <c r="G323" s="50" t="n">
        <v>127</v>
      </c>
      <c r="H323" s="50" t="n">
        <v>150</v>
      </c>
      <c r="I323" s="50" t="n">
        <v>127</v>
      </c>
      <c r="J323" s="28">
        <f>IF(OR(G323="",AND(H323="",I323="")),"n/a",IF(G323=I323,"mastered",IF(G323=H323,"normal","differs")))</f>
        <v/>
      </c>
      <c r="K323" s="28">
        <f>IF(L323&lt;&gt;"",L323,IF(M323&lt;&gt;"",M323,""))</f>
        <v/>
      </c>
      <c r="L323" s="50" t="n">
        <v>612</v>
      </c>
      <c r="M323" s="50" t="n">
        <v>612</v>
      </c>
      <c r="N323" s="28">
        <f>IF(O323&lt;&gt;"",O323,IF(P323&lt;&gt;"",P323,""))</f>
        <v/>
      </c>
      <c r="O323" s="50" t="n">
        <v>73</v>
      </c>
      <c r="P323" s="50" t="n">
        <v>73</v>
      </c>
      <c r="Q323" s="50" t="n">
        <v>21.18</v>
      </c>
      <c r="R323" s="50" t="n">
        <v>34.35</v>
      </c>
      <c r="S323" s="28">
        <f>IF(Q323="","",IF(Q323&lt;0,"negative profit",IF(Q323&gt;Notes!$B$4,"unusually high - verify","")))</f>
        <v/>
      </c>
      <c r="T323" s="28" t="inlineStr">
        <is>
          <t>both</t>
        </is>
      </c>
      <c r="U323" s="28">
        <f>IF(T323&lt;&gt;"both",T323&amp;" only",IF(V323="","agree","conflict"))</f>
        <v/>
      </c>
      <c r="V323" s="28">
        <f>IF(T323="both",TRIM(IF(AND(E323&lt;&gt;"",F323&lt;&gt;"",E323&lt;&gt;F323),"level ","")&amp;IF(AND(L323&lt;&gt;"",M323&lt;&gt;"",L323&lt;&gt;M323),"price ","")&amp;IF(AND(O323&lt;&gt;"",P323&lt;&gt;"",O323&lt;&gt;P323),"xp ","")&amp;IF(J323="differs","time","")),"")</f>
        <v/>
      </c>
      <c r="X323" s="50" t="inlineStr">
        <is>
          <t>Lobster Tail x2; Tomato x1; Chili Pepper x2; Cream x1</t>
        </is>
      </c>
      <c r="Y323" s="50" t="inlineStr">
        <is>
          <t>Lobster Soup.png</t>
        </is>
      </c>
      <c r="Z323" s="50" t="inlineStr">
        <is>
          <t>icons/Soup Kitchen/Lobster Soup.png</t>
        </is>
      </c>
      <c r="AA323" s="28" t="inlineStr">
        <is>
          <t>hayday.info /api/production-data (2026-10-13) + Hay Day Wiki infobox via MediaWiki API (2026-10-13)</t>
        </is>
      </c>
      <c r="AB323" s="28" t="inlineStr">
        <is>
          <t>https://hayday.fandom.com/wiki/Lobster_Soup</t>
        </is>
      </c>
      <c r="AC323" s="50" t="inlineStr">
        <is>
          <t>Lobster soup</t>
        </is>
      </c>
    </row>
    <row r="324">
      <c r="A324" s="28" t="inlineStr">
        <is>
          <t>Tomato Soup</t>
        </is>
      </c>
      <c r="B324" s="28" t="inlineStr">
        <is>
          <t>Soup Kitchen</t>
        </is>
      </c>
      <c r="C324" s="50" t="inlineStr">
        <is>
          <t>Product</t>
        </is>
      </c>
      <c r="D324" s="28">
        <f>IF(E324&lt;&gt;"",E324,IF(F324&lt;&gt;"",F324,""))</f>
        <v/>
      </c>
      <c r="E324" s="50" t="n">
        <v>47</v>
      </c>
      <c r="F324" s="50" t="n">
        <v>47</v>
      </c>
      <c r="G324" s="50" t="n">
        <v>76</v>
      </c>
      <c r="H324" s="50" t="n">
        <v>90</v>
      </c>
      <c r="I324" s="50" t="n">
        <v>76</v>
      </c>
      <c r="J324" s="28">
        <f>IF(OR(G324="",AND(H324="",I324="")),"n/a",IF(G324=I324,"mastered",IF(G324=H324,"normal","differs")))</f>
        <v/>
      </c>
      <c r="K324" s="28">
        <f>IF(L324&lt;&gt;"",L324,IF(M324&lt;&gt;"",M324,""))</f>
        <v/>
      </c>
      <c r="L324" s="50" t="n">
        <v>478</v>
      </c>
      <c r="M324" s="50" t="n">
        <v>478</v>
      </c>
      <c r="N324" s="28">
        <f>IF(O324&lt;&gt;"",O324,IF(P324&lt;&gt;"",P324,""))</f>
        <v/>
      </c>
      <c r="O324" s="50" t="n">
        <v>57</v>
      </c>
      <c r="P324" s="50" t="n">
        <v>57</v>
      </c>
      <c r="Q324" s="50" t="n">
        <v>25.1</v>
      </c>
      <c r="R324" s="50" t="n">
        <v>44.71</v>
      </c>
      <c r="S324" s="28">
        <f>IF(Q324="","",IF(Q324&lt;0,"negative profit",IF(Q324&gt;Notes!$B$4,"unusually high - verify","")))</f>
        <v/>
      </c>
      <c r="T324" s="28" t="inlineStr">
        <is>
          <t>both</t>
        </is>
      </c>
      <c r="U324" s="28">
        <f>IF(T324&lt;&gt;"both",T324&amp;" only",IF(V324="","agree","conflict"))</f>
        <v/>
      </c>
      <c r="V324" s="28">
        <f>IF(T324="both",TRIM(IF(AND(E324&lt;&gt;"",F324&lt;&gt;"",E324&lt;&gt;F324),"level ","")&amp;IF(AND(L324&lt;&gt;"",M324&lt;&gt;"",L324&lt;&gt;M324),"price ","")&amp;IF(AND(O324&lt;&gt;"",P324&lt;&gt;"",O324&lt;&gt;P324),"xp ","")&amp;IF(J324="differs","time","")),"")</f>
        <v/>
      </c>
      <c r="X324" s="50" t="inlineStr">
        <is>
          <t>Tomato x2; Tomato Juice x1; Chili Pepper x1; Goat Cheese x1</t>
        </is>
      </c>
      <c r="Y324" s="50" t="inlineStr">
        <is>
          <t>Tomato Soup.png</t>
        </is>
      </c>
      <c r="Z324" s="50" t="inlineStr">
        <is>
          <t>icons/Soup Kitchen/Tomato Soup.png</t>
        </is>
      </c>
      <c r="AA324" s="28" t="inlineStr">
        <is>
          <t>hayday.info /api/production-data (2026-10-13) + Hay Day Wiki infobox via MediaWiki API (2026-10-13)</t>
        </is>
      </c>
      <c r="AB324" s="28" t="inlineStr">
        <is>
          <t>https://hayday.fandom.com/wiki/Tomato_Soup</t>
        </is>
      </c>
      <c r="AC324" s="50" t="inlineStr">
        <is>
          <t>Tomato soup</t>
        </is>
      </c>
    </row>
    <row r="325">
      <c r="A325" s="28" t="inlineStr">
        <is>
          <t>Pumpkin Soup</t>
        </is>
      </c>
      <c r="B325" s="28" t="inlineStr">
        <is>
          <t>Soup Kitchen</t>
        </is>
      </c>
      <c r="C325" s="50" t="inlineStr">
        <is>
          <t>Product</t>
        </is>
      </c>
      <c r="D325" s="28">
        <f>IF(E325&lt;&gt;"",E325,IF(F325&lt;&gt;"",F325,""))</f>
        <v/>
      </c>
      <c r="E325" s="50" t="n">
        <v>49</v>
      </c>
      <c r="F325" s="50" t="n">
        <v>49</v>
      </c>
      <c r="G325" s="50" t="n">
        <v>102</v>
      </c>
      <c r="H325" s="50" t="n">
        <v>120</v>
      </c>
      <c r="I325" s="50" t="n">
        <v>102</v>
      </c>
      <c r="J325" s="28">
        <f>IF(OR(G325="",AND(H325="",I325="")),"n/a",IF(G325=I325,"mastered",IF(G325=H325,"normal","differs")))</f>
        <v/>
      </c>
      <c r="K325" s="28">
        <f>IF(L325&lt;&gt;"",L325,IF(M325&lt;&gt;"",M325,""))</f>
        <v/>
      </c>
      <c r="L325" s="50" t="n">
        <v>392</v>
      </c>
      <c r="M325" s="50" t="n">
        <v>392</v>
      </c>
      <c r="N325" s="28">
        <f>IF(O325&lt;&gt;"",O325,IF(P325&lt;&gt;"",P325,""))</f>
        <v/>
      </c>
      <c r="O325" s="50" t="n">
        <v>47</v>
      </c>
      <c r="P325" s="50" t="n">
        <v>47</v>
      </c>
      <c r="Q325" s="50" t="n">
        <v>27.06</v>
      </c>
      <c r="R325" s="50" t="n">
        <v>27.65</v>
      </c>
      <c r="S325" s="28">
        <f>IF(Q325="","",IF(Q325&lt;0,"negative profit",IF(Q325&gt;Notes!$B$4,"unusually high - verify","")))</f>
        <v/>
      </c>
      <c r="T325" s="28" t="inlineStr">
        <is>
          <t>both</t>
        </is>
      </c>
      <c r="U325" s="28">
        <f>IF(T325&lt;&gt;"both",T325&amp;" only",IF(V325="","agree","conflict"))</f>
        <v/>
      </c>
      <c r="V325" s="28">
        <f>IF(T325="both",TRIM(IF(AND(E325&lt;&gt;"",F325&lt;&gt;"",E325&lt;&gt;F325),"level ","")&amp;IF(AND(L325&lt;&gt;"",M325&lt;&gt;"",L325&lt;&gt;M325),"price ","")&amp;IF(AND(O325&lt;&gt;"",P325&lt;&gt;"",O325&lt;&gt;P325),"xp ","")&amp;IF(J325="differs","time","")),"")</f>
        <v/>
      </c>
      <c r="X325" s="50" t="inlineStr">
        <is>
          <t>Pumpkin x3; Butter x1; Honey x1; Carrot x2</t>
        </is>
      </c>
      <c r="Y325" s="50" t="inlineStr">
        <is>
          <t>Pumpkin Soup.png</t>
        </is>
      </c>
      <c r="Z325" s="50" t="inlineStr">
        <is>
          <t>icons/Soup Kitchen/Pumpkin Soup.png</t>
        </is>
      </c>
      <c r="AA325" s="28" t="inlineStr">
        <is>
          <t>hayday.info /api/production-data (2026-10-13) + Hay Day Wiki infobox via MediaWiki API (2026-10-13)</t>
        </is>
      </c>
      <c r="AB325" s="28" t="inlineStr">
        <is>
          <t>https://hayday.fandom.com/wiki/Pumpkin_Soup</t>
        </is>
      </c>
      <c r="AC325" s="50" t="inlineStr">
        <is>
          <t>Pumpkin soup</t>
        </is>
      </c>
    </row>
    <row r="326">
      <c r="A326" s="28" t="inlineStr">
        <is>
          <t>Fish Soup</t>
        </is>
      </c>
      <c r="B326" s="28" t="inlineStr">
        <is>
          <t>Soup Kitchen</t>
        </is>
      </c>
      <c r="C326" s="50" t="inlineStr">
        <is>
          <t>Product</t>
        </is>
      </c>
      <c r="D326" s="28">
        <f>IF(E326&lt;&gt;"",E326,IF(F326&lt;&gt;"",F326,""))</f>
        <v/>
      </c>
      <c r="E326" s="50" t="n">
        <v>53</v>
      </c>
      <c r="F326" s="50" t="n">
        <v>53</v>
      </c>
      <c r="G326" s="50" t="n">
        <v>153</v>
      </c>
      <c r="H326" s="50" t="n">
        <v>180</v>
      </c>
      <c r="I326" s="50" t="n">
        <v>153</v>
      </c>
      <c r="J326" s="28">
        <f>IF(OR(G326="",AND(H326="",I326="")),"n/a",IF(G326=I326,"mastered",IF(G326=H326,"normal","differs")))</f>
        <v/>
      </c>
      <c r="K326" s="28">
        <f>IF(L326&lt;&gt;"",L326,IF(M326&lt;&gt;"",M326,""))</f>
        <v/>
      </c>
      <c r="L326" s="50" t="n">
        <v>298</v>
      </c>
      <c r="M326" s="50" t="n">
        <v>298</v>
      </c>
      <c r="N326" s="28">
        <f>IF(O326&lt;&gt;"",O326,IF(P326&lt;&gt;"",P326,""))</f>
        <v/>
      </c>
      <c r="O326" s="50" t="n">
        <v>35</v>
      </c>
      <c r="P326" s="50" t="n">
        <v>35</v>
      </c>
      <c r="Q326" s="50" t="n">
        <v>16.86</v>
      </c>
      <c r="R326" s="50" t="n">
        <v>13.73</v>
      </c>
      <c r="S326" s="28">
        <f>IF(Q326="","",IF(Q326&lt;0,"negative profit",IF(Q326&gt;Notes!$B$4,"unusually high - verify","")))</f>
        <v/>
      </c>
      <c r="T326" s="28" t="inlineStr">
        <is>
          <t>both</t>
        </is>
      </c>
      <c r="U326" s="28">
        <f>IF(T326&lt;&gt;"both",T326&amp;" only",IF(V326="","agree","conflict"))</f>
        <v/>
      </c>
      <c r="V326" s="28">
        <f>IF(T326="both",TRIM(IF(AND(E326&lt;&gt;"",F326&lt;&gt;"",E326&lt;&gt;F326),"level ","")&amp;IF(AND(L326&lt;&gt;"",M326&lt;&gt;"",L326&lt;&gt;M326),"price ","")&amp;IF(AND(O326&lt;&gt;"",P326&lt;&gt;"",O326&lt;&gt;P326),"xp ","")&amp;IF(J326="differs","time","")),"")</f>
        <v/>
      </c>
      <c r="X326" s="50" t="inlineStr">
        <is>
          <t>Potato x3; Fish Fillet x2; Milk x1; Carrot x1</t>
        </is>
      </c>
      <c r="Y326" s="50" t="inlineStr">
        <is>
          <t>Fish Soup.png</t>
        </is>
      </c>
      <c r="Z326" s="50" t="inlineStr">
        <is>
          <t>icons/Soup Kitchen/Fish Soup.png</t>
        </is>
      </c>
      <c r="AA326" s="28" t="inlineStr">
        <is>
          <t>hayday.info /api/production-data (2026-10-13) + Hay Day Wiki infobox via MediaWiki API (2026-10-13)</t>
        </is>
      </c>
      <c r="AB326" s="28" t="inlineStr">
        <is>
          <t>https://hayday.fandom.com/wiki/Fish_Soup</t>
        </is>
      </c>
      <c r="AC326" s="50" t="inlineStr">
        <is>
          <t>Fish soup</t>
        </is>
      </c>
    </row>
    <row r="327">
      <c r="A327" s="28" t="inlineStr">
        <is>
          <t>Cabbage Soup</t>
        </is>
      </c>
      <c r="B327" s="28" t="inlineStr">
        <is>
          <t>Soup Kitchen</t>
        </is>
      </c>
      <c r="C327" s="50" t="inlineStr">
        <is>
          <t>Product</t>
        </is>
      </c>
      <c r="D327" s="28">
        <f>IF(E327&lt;&gt;"",E327,IF(F327&lt;&gt;"",F327,""))</f>
        <v/>
      </c>
      <c r="E327" s="50" t="n">
        <v>65</v>
      </c>
      <c r="F327" s="50" t="n">
        <v>65</v>
      </c>
      <c r="G327" s="50" t="n">
        <v>76</v>
      </c>
      <c r="H327" s="50" t="n">
        <v>90</v>
      </c>
      <c r="I327" s="50" t="n">
        <v>76</v>
      </c>
      <c r="J327" s="28">
        <f>IF(OR(G327="",AND(H327="",I327="")),"n/a",IF(G327=I327,"mastered",IF(G327=H327,"normal","differs")))</f>
        <v/>
      </c>
      <c r="K327" s="28">
        <f>IF(L327&lt;&gt;"",L327,IF(M327&lt;&gt;"",M327,""))</f>
        <v/>
      </c>
      <c r="L327" s="50" t="n">
        <v>270</v>
      </c>
      <c r="M327" s="50" t="n">
        <v>270</v>
      </c>
      <c r="N327" s="28">
        <f>IF(O327&lt;&gt;"",O327,IF(P327&lt;&gt;"",P327,""))</f>
        <v/>
      </c>
      <c r="O327" s="50" t="n">
        <v>32</v>
      </c>
      <c r="P327" s="50" t="n">
        <v>32</v>
      </c>
      <c r="Q327" s="50" t="n">
        <v>23.53</v>
      </c>
      <c r="R327" s="50" t="n">
        <v>25.1</v>
      </c>
      <c r="S327" s="28">
        <f>IF(Q327="","",IF(Q327&lt;0,"negative profit",IF(Q327&gt;Notes!$B$4,"unusually high - verify","")))</f>
        <v/>
      </c>
      <c r="T327" s="28" t="inlineStr">
        <is>
          <t>both</t>
        </is>
      </c>
      <c r="U327" s="28">
        <f>IF(T327&lt;&gt;"both",T327&amp;" only",IF(V327="","agree","conflict"))</f>
        <v/>
      </c>
      <c r="V327" s="28">
        <f>IF(T327="both",TRIM(IF(AND(E327&lt;&gt;"",F327&lt;&gt;"",E327&lt;&gt;F327),"level ","")&amp;IF(AND(L327&lt;&gt;"",M327&lt;&gt;"",L327&lt;&gt;M327),"price ","")&amp;IF(AND(O327&lt;&gt;"",P327&lt;&gt;"",O327&lt;&gt;P327),"xp ","")&amp;IF(J327="differs","time","")),"")</f>
        <v/>
      </c>
      <c r="X327" s="50" t="inlineStr">
        <is>
          <t>Cabbage x3; Bacon x2; Potato x2; Carrot x2</t>
        </is>
      </c>
      <c r="Y327" s="50" t="inlineStr">
        <is>
          <t>Cabbage Soup.png</t>
        </is>
      </c>
      <c r="Z327" s="50" t="inlineStr">
        <is>
          <t>icons/Soup Kitchen/Cabbage Soup.png</t>
        </is>
      </c>
      <c r="AA327" s="28" t="inlineStr">
        <is>
          <t>hayday.info /api/production-data (2026-10-13) + Hay Day Wiki infobox via MediaWiki API (2026-10-13)</t>
        </is>
      </c>
      <c r="AB327" s="28" t="inlineStr">
        <is>
          <t>https://hayday.fandom.com/wiki/Cabbage_Soup</t>
        </is>
      </c>
      <c r="AC327" s="50" t="inlineStr">
        <is>
          <t>Cabbage soup</t>
        </is>
      </c>
    </row>
    <row r="328">
      <c r="A328" s="28" t="inlineStr">
        <is>
          <t>Onion Soup</t>
        </is>
      </c>
      <c r="B328" s="28" t="inlineStr">
        <is>
          <t>Soup Kitchen</t>
        </is>
      </c>
      <c r="C328" s="50" t="inlineStr">
        <is>
          <t>Product</t>
        </is>
      </c>
      <c r="D328" s="28">
        <f>IF(E328&lt;&gt;"",E328,IF(F328&lt;&gt;"",F328,""))</f>
        <v/>
      </c>
      <c r="E328" s="50" t="n">
        <v>72</v>
      </c>
      <c r="F328" s="50" t="n">
        <v>72</v>
      </c>
      <c r="G328" s="50" t="n">
        <v>127</v>
      </c>
      <c r="H328" s="50" t="n">
        <v>150</v>
      </c>
      <c r="I328" s="50" t="n">
        <v>127</v>
      </c>
      <c r="J328" s="28">
        <f>IF(OR(G328="",AND(H328="",I328="")),"n/a",IF(G328=I328,"mastered",IF(G328=H328,"normal","differs")))</f>
        <v/>
      </c>
      <c r="K328" s="28">
        <f>IF(L328&lt;&gt;"",L328,IF(M328&lt;&gt;"",M328,""))</f>
        <v/>
      </c>
      <c r="L328" s="50" t="n">
        <v>327</v>
      </c>
      <c r="M328" s="50" t="n">
        <v>327</v>
      </c>
      <c r="N328" s="28">
        <f>IF(O328&lt;&gt;"",O328,IF(P328&lt;&gt;"",P328,""))</f>
        <v/>
      </c>
      <c r="O328" s="50" t="n">
        <v>39</v>
      </c>
      <c r="P328" s="50" t="n">
        <v>39</v>
      </c>
      <c r="Q328" s="50" t="n">
        <v>21.65</v>
      </c>
      <c r="R328" s="50" t="n">
        <v>18.35</v>
      </c>
      <c r="S328" s="28">
        <f>IF(Q328="","",IF(Q328&lt;0,"negative profit",IF(Q328&gt;Notes!$B$4,"unusually high - verify","")))</f>
        <v/>
      </c>
      <c r="T328" s="28" t="inlineStr">
        <is>
          <t>both</t>
        </is>
      </c>
      <c r="U328" s="28">
        <f>IF(T328&lt;&gt;"both",T328&amp;" only",IF(V328="","agree","conflict"))</f>
        <v/>
      </c>
      <c r="V328" s="28">
        <f>IF(T328="both",TRIM(IF(AND(E328&lt;&gt;"",F328&lt;&gt;"",E328&lt;&gt;F328),"level ","")&amp;IF(AND(L328&lt;&gt;"",M328&lt;&gt;"",L328&lt;&gt;M328),"price ","")&amp;IF(AND(O328&lt;&gt;"",P328&lt;&gt;"",O328&lt;&gt;P328),"xp ","")&amp;IF(J328="differs","time","")),"")</f>
        <v/>
      </c>
      <c r="X328" s="50" t="inlineStr">
        <is>
          <t>Bread x2; Cheese x1; Onion x3</t>
        </is>
      </c>
      <c r="Y328" s="50" t="inlineStr">
        <is>
          <t>Onion Soup.png</t>
        </is>
      </c>
      <c r="Z328" s="50" t="inlineStr">
        <is>
          <t>icons/Soup Kitchen/Onion Soup.png</t>
        </is>
      </c>
      <c r="AA328" s="28" t="inlineStr">
        <is>
          <t>hayday.info /api/production-data (2026-10-13) + Hay Day Wiki infobox via MediaWiki API (2026-10-13)</t>
        </is>
      </c>
      <c r="AB328" s="28" t="inlineStr">
        <is>
          <t>https://hayday.fandom.com/wiki/Onion_Soup</t>
        </is>
      </c>
      <c r="AC328" s="50" t="inlineStr">
        <is>
          <t>Onion soup</t>
        </is>
      </c>
    </row>
    <row r="329">
      <c r="A329" s="28" t="inlineStr">
        <is>
          <t>Noodle Soup</t>
        </is>
      </c>
      <c r="B329" s="28" t="inlineStr">
        <is>
          <t>Soup Kitchen</t>
        </is>
      </c>
      <c r="C329" s="50" t="inlineStr">
        <is>
          <t>Product</t>
        </is>
      </c>
      <c r="D329" s="28">
        <f>IF(E329&lt;&gt;"",E329,IF(F329&lt;&gt;"",F329,""))</f>
        <v/>
      </c>
      <c r="E329" s="50" t="n">
        <v>73</v>
      </c>
      <c r="F329" s="50" t="n">
        <v>73</v>
      </c>
      <c r="G329" s="50" t="n">
        <v>102</v>
      </c>
      <c r="H329" s="50" t="n">
        <v>120</v>
      </c>
      <c r="I329" s="50" t="n">
        <v>102</v>
      </c>
      <c r="J329" s="28">
        <f>IF(OR(G329="",AND(H329="",I329="")),"n/a",IF(G329=I329,"mastered",IF(G329=H329,"normal","differs")))</f>
        <v/>
      </c>
      <c r="K329" s="28">
        <f>IF(L329&lt;&gt;"",L329,IF(M329&lt;&gt;"",M329,""))</f>
        <v/>
      </c>
      <c r="L329" s="50" t="n">
        <v>432</v>
      </c>
      <c r="M329" s="50" t="n">
        <v>432</v>
      </c>
      <c r="N329" s="28">
        <f>IF(O329&lt;&gt;"",O329,IF(P329&lt;&gt;"",P329,""))</f>
        <v/>
      </c>
      <c r="O329" s="50" t="n">
        <v>52</v>
      </c>
      <c r="P329" s="50" t="n">
        <v>52</v>
      </c>
      <c r="Q329" s="50" t="n">
        <v>27.06</v>
      </c>
      <c r="R329" s="50" t="n">
        <v>30.59</v>
      </c>
      <c r="S329" s="28">
        <f>IF(Q329="","",IF(Q329&lt;0,"negative profit",IF(Q329&gt;Notes!$B$4,"unusually high - verify","")))</f>
        <v/>
      </c>
      <c r="T329" s="28" t="inlineStr">
        <is>
          <t>both</t>
        </is>
      </c>
      <c r="U329" s="28">
        <f>IF(T329&lt;&gt;"both",T329&amp;" only",IF(V329="","agree","conflict"))</f>
        <v/>
      </c>
      <c r="V329" s="28">
        <f>IF(T329="both",TRIM(IF(AND(E329&lt;&gt;"",F329&lt;&gt;"",E329&lt;&gt;F329),"level ","")&amp;IF(AND(L329&lt;&gt;"",M329&lt;&gt;"",L329&lt;&gt;M329),"price ","")&amp;IF(AND(O329&lt;&gt;"",P329&lt;&gt;"",O329&lt;&gt;P329),"xp ","")&amp;IF(J329="differs","time","")),"")</f>
        <v/>
      </c>
      <c r="X329" s="50" t="inlineStr">
        <is>
          <t>Carrot x2; Chili Pepper x1; Egg x2; Rice Noodles x3</t>
        </is>
      </c>
      <c r="Y329" s="50" t="inlineStr">
        <is>
          <t>Noodle Soup.png</t>
        </is>
      </c>
      <c r="Z329" s="50" t="inlineStr">
        <is>
          <t>icons/Soup Kitchen/Noodle Soup.png</t>
        </is>
      </c>
      <c r="AA329" s="28" t="inlineStr">
        <is>
          <t>hayday.info /api/production-data (2026-10-13) + Hay Day Wiki infobox via MediaWiki API (2026-10-13)</t>
        </is>
      </c>
      <c r="AB329" s="28" t="inlineStr">
        <is>
          <t>https://hayday.fandom.com/wiki/Noodle_Soup</t>
        </is>
      </c>
      <c r="AC329" s="50" t="inlineStr">
        <is>
          <t>Noodle soup</t>
        </is>
      </c>
    </row>
    <row r="330">
      <c r="A330" s="28" t="inlineStr">
        <is>
          <t>Potato Soup</t>
        </is>
      </c>
      <c r="B330" s="28" t="inlineStr">
        <is>
          <t>Soup Kitchen</t>
        </is>
      </c>
      <c r="C330" s="50" t="inlineStr">
        <is>
          <t>Product</t>
        </is>
      </c>
      <c r="D330" s="28">
        <f>IF(E330&lt;&gt;"",E330,IF(F330&lt;&gt;"",F330,""))</f>
        <v/>
      </c>
      <c r="E330" s="50" t="n">
        <v>78</v>
      </c>
      <c r="F330" s="50" t="n">
        <v>78</v>
      </c>
      <c r="G330" s="50" t="n">
        <v>127</v>
      </c>
      <c r="H330" s="50" t="n">
        <v>150</v>
      </c>
      <c r="I330" s="50" t="n">
        <v>127</v>
      </c>
      <c r="J330" s="28">
        <f>IF(OR(G330="",AND(H330="",I330="")),"n/a",IF(G330=I330,"mastered",IF(G330=H330,"normal","differs")))</f>
        <v/>
      </c>
      <c r="K330" s="28">
        <f>IF(L330&lt;&gt;"",L330,IF(M330&lt;&gt;"",M330,""))</f>
        <v/>
      </c>
      <c r="L330" s="50" t="n">
        <v>255</v>
      </c>
      <c r="M330" s="50" t="n">
        <v>255</v>
      </c>
      <c r="N330" s="28">
        <f>IF(O330&lt;&gt;"",O330,IF(P330&lt;&gt;"",P330,""))</f>
        <v/>
      </c>
      <c r="O330" s="50" t="n">
        <v>31</v>
      </c>
      <c r="P330" s="50" t="n">
        <v>31</v>
      </c>
      <c r="Q330" s="50" t="n">
        <v>17.41</v>
      </c>
      <c r="R330" s="50" t="n">
        <v>14.59</v>
      </c>
      <c r="S330" s="28">
        <f>IF(Q330="","",IF(Q330&lt;0,"negative profit",IF(Q330&gt;Notes!$B$4,"unusually high - verify","")))</f>
        <v/>
      </c>
      <c r="T330" s="28" t="inlineStr">
        <is>
          <t>both</t>
        </is>
      </c>
      <c r="U330" s="28">
        <f>IF(T330&lt;&gt;"both",T330&amp;" only",IF(V330="","agree","conflict"))</f>
        <v/>
      </c>
      <c r="V330" s="28">
        <f>IF(T330="both",TRIM(IF(AND(E330&lt;&gt;"",F330&lt;&gt;"",E330&lt;&gt;F330),"level ","")&amp;IF(AND(L330&lt;&gt;"",M330&lt;&gt;"",L330&lt;&gt;M330),"price ","")&amp;IF(AND(O330&lt;&gt;"",P330&lt;&gt;"",O330&lt;&gt;P330),"xp ","")&amp;IF(J330="differs","time","")),"")</f>
        <v/>
      </c>
      <c r="X330" s="50" t="inlineStr">
        <is>
          <t>Potato x3; Onion x2; Milk x1</t>
        </is>
      </c>
      <c r="Y330" s="50" t="inlineStr">
        <is>
          <t>Potato Soup.png</t>
        </is>
      </c>
      <c r="Z330" s="50" t="inlineStr">
        <is>
          <t>icons/Soup Kitchen/Potato Soup.png</t>
        </is>
      </c>
      <c r="AA330" s="28" t="inlineStr">
        <is>
          <t>hayday.info /api/production-data (2026-10-13) + Hay Day Wiki infobox via MediaWiki API (2026-10-13)</t>
        </is>
      </c>
      <c r="AB330" s="28" t="inlineStr">
        <is>
          <t>https://hayday.fandom.com/wiki/Potato_Soup</t>
        </is>
      </c>
      <c r="AC330" s="50" t="inlineStr">
        <is>
          <t>Potato soup</t>
        </is>
      </c>
    </row>
    <row r="331">
      <c r="A331" s="28" t="inlineStr">
        <is>
          <t>Bell Pepper Soup</t>
        </is>
      </c>
      <c r="B331" s="28" t="inlineStr">
        <is>
          <t>Soup Kitchen</t>
        </is>
      </c>
      <c r="C331" s="50" t="inlineStr">
        <is>
          <t>Product</t>
        </is>
      </c>
      <c r="D331" s="28">
        <f>IF(E331&lt;&gt;"",E331,IF(F331&lt;&gt;"",F331,""))</f>
        <v/>
      </c>
      <c r="E331" s="50" t="n">
        <v>81</v>
      </c>
      <c r="F331" s="50" t="n">
        <v>81</v>
      </c>
      <c r="G331" s="50" t="n">
        <v>51</v>
      </c>
      <c r="H331" s="50" t="n">
        <v>60</v>
      </c>
      <c r="I331" s="50" t="n">
        <v>51</v>
      </c>
      <c r="J331" s="28">
        <f>IF(OR(G331="",AND(H331="",I331="")),"n/a",IF(G331=I331,"mastered",IF(G331=H331,"normal","differs")))</f>
        <v/>
      </c>
      <c r="K331" s="28">
        <f>IF(L331&lt;&gt;"",L331,IF(M331&lt;&gt;"",M331,""))</f>
        <v/>
      </c>
      <c r="L331" s="50" t="n">
        <v>439</v>
      </c>
      <c r="M331" s="50" t="n">
        <v>439</v>
      </c>
      <c r="N331" s="28">
        <f>IF(O331&lt;&gt;"",O331,IF(P331&lt;&gt;"",P331,""))</f>
        <v/>
      </c>
      <c r="O331" s="50" t="n">
        <v>52</v>
      </c>
      <c r="P331" s="50" t="n">
        <v>52</v>
      </c>
      <c r="Q331" s="50" t="n">
        <v>38.82</v>
      </c>
      <c r="R331" s="50" t="n">
        <v>61.18</v>
      </c>
      <c r="S331" s="28">
        <f>IF(Q331="","",IF(Q331&lt;0,"negative profit",IF(Q331&gt;Notes!$B$4,"unusually high - verify","")))</f>
        <v/>
      </c>
      <c r="T331" s="28" t="inlineStr">
        <is>
          <t>both</t>
        </is>
      </c>
      <c r="U331" s="28">
        <f>IF(T331&lt;&gt;"both",T331&amp;" only",IF(V331="","agree","conflict"))</f>
        <v/>
      </c>
      <c r="V331" s="28">
        <f>IF(T331="both",TRIM(IF(AND(E331&lt;&gt;"",F331&lt;&gt;"",E331&lt;&gt;F331),"level ","")&amp;IF(AND(L331&lt;&gt;"",M331&lt;&gt;"",L331&lt;&gt;M331),"price ","")&amp;IF(AND(O331&lt;&gt;"",P331&lt;&gt;"",O331&lt;&gt;P331),"xp ","")&amp;IF(J331="differs","time","")),"")</f>
        <v/>
      </c>
      <c r="X331" s="50" t="inlineStr">
        <is>
          <t>Bread x1; Olive Oil x1; Chili Pepper x1; Bell Pepper x2</t>
        </is>
      </c>
      <c r="Y331" s="50" t="inlineStr">
        <is>
          <t>Bell Pepper Soup.png</t>
        </is>
      </c>
      <c r="Z331" s="50" t="inlineStr">
        <is>
          <t>icons/Soup Kitchen/Bell Pepper Soup.png</t>
        </is>
      </c>
      <c r="AA331" s="28" t="inlineStr">
        <is>
          <t>hayday.info /api/production-data (2026-10-13) + Hay Day Wiki infobox via MediaWiki API (2026-10-13)</t>
        </is>
      </c>
      <c r="AB331" s="28" t="inlineStr">
        <is>
          <t>https://hayday.fandom.com/wiki/Bell_Pepper_Soup</t>
        </is>
      </c>
      <c r="AC331" s="50" t="inlineStr">
        <is>
          <t>Bell pepper soup</t>
        </is>
      </c>
    </row>
    <row r="332">
      <c r="A332" s="28" t="inlineStr">
        <is>
          <t>Broccoli Soup</t>
        </is>
      </c>
      <c r="B332" s="28" t="inlineStr">
        <is>
          <t>Soup Kitchen</t>
        </is>
      </c>
      <c r="C332" s="50" t="inlineStr">
        <is>
          <t>Product</t>
        </is>
      </c>
      <c r="D332" s="28">
        <f>IF(E332&lt;&gt;"",E332,IF(F332&lt;&gt;"",F332,""))</f>
        <v/>
      </c>
      <c r="E332" s="50" t="n">
        <v>87</v>
      </c>
      <c r="F332" s="50" t="n">
        <v>87</v>
      </c>
      <c r="G332" s="50" t="n">
        <v>63</v>
      </c>
      <c r="H332" s="50" t="n">
        <v>90</v>
      </c>
      <c r="I332" s="50" t="n">
        <v>76</v>
      </c>
      <c r="J332" s="28">
        <f>IF(OR(G332="",AND(H332="",I332="")),"n/a",IF(G332=I332,"mastered",IF(G332=H332,"normal","differs")))</f>
        <v/>
      </c>
      <c r="K332" s="28">
        <f>IF(L332&lt;&gt;"",L332,IF(M332&lt;&gt;"",M332,""))</f>
        <v/>
      </c>
      <c r="L332" s="50" t="n">
        <v>237</v>
      </c>
      <c r="M332" s="50" t="n">
        <v>237</v>
      </c>
      <c r="N332" s="28">
        <f>IF(O332&lt;&gt;"",O332,IF(P332&lt;&gt;"",P332,""))</f>
        <v/>
      </c>
      <c r="O332" s="50" t="n">
        <v>28</v>
      </c>
      <c r="P332" s="50" t="n">
        <v>28</v>
      </c>
      <c r="Q332" s="50" t="n">
        <v>25.41</v>
      </c>
      <c r="R332" s="50" t="n">
        <v>26.35</v>
      </c>
      <c r="S332" s="28">
        <f>IF(Q332="","",IF(Q332&lt;0,"negative profit",IF(Q332&gt;Notes!$B$4,"unusually high - verify","")))</f>
        <v/>
      </c>
      <c r="T332" s="28" t="inlineStr">
        <is>
          <t>both</t>
        </is>
      </c>
      <c r="U332" s="28">
        <f>IF(T332&lt;&gt;"both",T332&amp;" only",IF(V332="","agree","conflict"))</f>
        <v/>
      </c>
      <c r="V332" s="28">
        <f>IF(T332="both",TRIM(IF(AND(E332&lt;&gt;"",F332&lt;&gt;"",E332&lt;&gt;F332),"level ","")&amp;IF(AND(L332&lt;&gt;"",M332&lt;&gt;"",L332&lt;&gt;M332),"price ","")&amp;IF(AND(O332&lt;&gt;"",P332&lt;&gt;"",O332&lt;&gt;P332),"xp ","")&amp;IF(J332="differs","time","")),"")</f>
        <v/>
      </c>
      <c r="X332" s="50" t="inlineStr">
        <is>
          <t>Broccoli x3; Onion x1; Potato x3</t>
        </is>
      </c>
      <c r="Y332" s="50" t="inlineStr">
        <is>
          <t>Broccoli Soup.png</t>
        </is>
      </c>
      <c r="Z332" s="50" t="inlineStr">
        <is>
          <t>icons/Soup Kitchen/Broccoli Soup.png</t>
        </is>
      </c>
      <c r="AA332" s="28" t="inlineStr">
        <is>
          <t>hayday.info /api/production-data (2026-10-13) + Hay Day Wiki infobox via MediaWiki API (2026-10-13)</t>
        </is>
      </c>
      <c r="AB332" s="28" t="inlineStr">
        <is>
          <t>https://hayday.fandom.com/wiki/Broccoli_Soup</t>
        </is>
      </c>
      <c r="AC332" s="50" t="inlineStr">
        <is>
          <t>Broccoli soup</t>
        </is>
      </c>
    </row>
    <row r="333">
      <c r="A333" s="28" t="inlineStr">
        <is>
          <t>Mushroom Soup</t>
        </is>
      </c>
      <c r="B333" s="28" t="inlineStr">
        <is>
          <t>Soup Kitchen</t>
        </is>
      </c>
      <c r="C333" s="50" t="inlineStr">
        <is>
          <t>Product</t>
        </is>
      </c>
      <c r="D333" s="28">
        <f>IF(E333&lt;&gt;"",E333,IF(F333&lt;&gt;"",F333,""))</f>
        <v/>
      </c>
      <c r="E333" s="50" t="n">
        <v>104</v>
      </c>
      <c r="F333" s="50" t="n">
        <v>104</v>
      </c>
      <c r="G333" s="50" t="n">
        <v>68</v>
      </c>
      <c r="H333" s="50" t="n">
        <v>80</v>
      </c>
      <c r="I333" s="50" t="n">
        <v>68</v>
      </c>
      <c r="J333" s="28">
        <f>IF(OR(G333="",AND(H333="",I333="")),"n/a",IF(G333=I333,"mastered",IF(G333=H333,"normal","differs")))</f>
        <v/>
      </c>
      <c r="K333" s="28">
        <f>IF(L333&lt;&gt;"",L333,IF(M333&lt;&gt;"",M333,""))</f>
        <v/>
      </c>
      <c r="L333" s="50" t="n">
        <v>176</v>
      </c>
      <c r="M333" s="50" t="n">
        <v>176</v>
      </c>
      <c r="N333" s="28">
        <f>IF(O333&lt;&gt;"",O333,IF(P333&lt;&gt;"",P333,""))</f>
        <v/>
      </c>
      <c r="O333" s="50" t="n">
        <v>21</v>
      </c>
      <c r="P333" s="50" t="n">
        <v>21</v>
      </c>
      <c r="Q333" s="50" t="n">
        <v>31.76</v>
      </c>
      <c r="R333" s="50" t="n">
        <v>18.53</v>
      </c>
      <c r="S333" s="28">
        <f>IF(Q333="","",IF(Q333&lt;0,"negative profit",IF(Q333&gt;Notes!$B$4,"unusually high - verify","")))</f>
        <v/>
      </c>
      <c r="T333" s="28" t="inlineStr">
        <is>
          <t>both</t>
        </is>
      </c>
      <c r="U333" s="28">
        <f>IF(T333&lt;&gt;"both",T333&amp;" only",IF(V333="","agree","conflict"))</f>
        <v/>
      </c>
      <c r="V333" s="28">
        <f>IF(T333="both",TRIM(IF(AND(E333&lt;&gt;"",F333&lt;&gt;"",E333&lt;&gt;F333),"level ","")&amp;IF(AND(L333&lt;&gt;"",M333&lt;&gt;"",L333&lt;&gt;M333),"price ","")&amp;IF(AND(O333&lt;&gt;"",P333&lt;&gt;"",O333&lt;&gt;P333),"xp ","")&amp;IF(J333="differs","time","")),"")</f>
        <v/>
      </c>
      <c r="X333" s="50" t="inlineStr">
        <is>
          <t>Mushroom x3; Milk x1; Onion x2</t>
        </is>
      </c>
      <c r="Y333" s="50" t="inlineStr">
        <is>
          <t>Mushroom Soup.png</t>
        </is>
      </c>
      <c r="Z333" s="50" t="inlineStr">
        <is>
          <t>icons/Soup Kitchen/Mushroom Soup.png</t>
        </is>
      </c>
      <c r="AA333" s="28" t="inlineStr">
        <is>
          <t>hayday.info /api/production-data (2026-10-13) + Hay Day Wiki infobox via MediaWiki API (2026-10-13)</t>
        </is>
      </c>
      <c r="AB333" s="28" t="inlineStr">
        <is>
          <t>https://hayday.fandom.com/wiki/Mushroom_Soup</t>
        </is>
      </c>
      <c r="AC333" s="50" t="inlineStr">
        <is>
          <t>Mushroom soup</t>
        </is>
      </c>
    </row>
    <row r="334">
      <c r="A334" s="28" t="inlineStr">
        <is>
          <t>Lamb Soup</t>
        </is>
      </c>
      <c r="B334" s="28" t="inlineStr">
        <is>
          <t>Soup Kitchen</t>
        </is>
      </c>
      <c r="C334" s="50" t="inlineStr">
        <is>
          <t>Product</t>
        </is>
      </c>
      <c r="D334" s="28">
        <f>IF(E334&lt;&gt;"",E334,IF(F334&lt;&gt;"",F334,""))</f>
        <v/>
      </c>
      <c r="E334" s="50" t="n"/>
      <c r="F334" s="50" t="n">
        <v>46</v>
      </c>
      <c r="G334" s="50" t="n"/>
      <c r="H334" s="50" t="n">
        <v>120</v>
      </c>
      <c r="I334" s="50" t="n">
        <v>102</v>
      </c>
      <c r="J334" s="28">
        <f>IF(OR(G334="",AND(H334="",I334="")),"n/a",IF(G334=I334,"mastered",IF(G334=H334,"normal","differs")))</f>
        <v/>
      </c>
      <c r="K334" s="28">
        <f>IF(L334&lt;&gt;"",L334,IF(M334&lt;&gt;"",M334,""))</f>
        <v/>
      </c>
      <c r="L334" s="50" t="n"/>
      <c r="M334" s="50" t="n">
        <v>180</v>
      </c>
      <c r="N334" s="28">
        <f>IF(O334&lt;&gt;"",O334,IF(P334&lt;&gt;"",P334,""))</f>
        <v/>
      </c>
      <c r="O334" s="50" t="n"/>
      <c r="P334" s="50" t="n">
        <v>21</v>
      </c>
      <c r="Q334" s="50" t="n"/>
      <c r="R334" s="50" t="n"/>
      <c r="S334" s="28">
        <f>IF(Q334="","",IF(Q334&lt;0,"negative profit",IF(Q334&gt;Notes!$B$4,"unusually high - verify","")))</f>
        <v/>
      </c>
      <c r="T334" s="28" t="inlineStr">
        <is>
          <t>Fandom</t>
        </is>
      </c>
      <c r="U334" s="28">
        <f>IF(T334&lt;&gt;"both",T334&amp;" only",IF(V334="","agree","conflict"))</f>
        <v/>
      </c>
      <c r="V334" s="28">
        <f>IF(T334="both",TRIM(IF(AND(E334&lt;&gt;"",F334&lt;&gt;"",E334&lt;&gt;F334),"level ","")&amp;IF(AND(L334&lt;&gt;"",M334&lt;&gt;"",L334&lt;&gt;M334),"price ","")&amp;IF(AND(O334&lt;&gt;"",P334&lt;&gt;"",O334&lt;&gt;P334),"xp ","")&amp;IF(J334="differs","time","")),"")</f>
        <v/>
      </c>
      <c r="X334" s="50" t="inlineStr">
        <is>
          <t>Grilled Lamb Skewer x1; Potato x1; Carrot x2</t>
        </is>
      </c>
      <c r="Y334" s="50" t="inlineStr">
        <is>
          <t>Lamb Soup.png</t>
        </is>
      </c>
      <c r="Z334" s="50" t="inlineStr">
        <is>
          <t>icons/Soup Kitchen/Lamb Soup.png</t>
        </is>
      </c>
      <c r="AA334" s="28" t="inlineStr">
        <is>
          <t>Hay Day Wiki infobox via MediaWiki API (2026-10-13)</t>
        </is>
      </c>
      <c r="AB334" s="28" t="inlineStr">
        <is>
          <t>https://hayday.fandom.com/wiki/Lamb_Soup</t>
        </is>
      </c>
      <c r="AC334" s="50" t="n"/>
    </row>
    <row r="335">
      <c r="A335" s="28" t="inlineStr">
        <is>
          <t>Mussel Chowder</t>
        </is>
      </c>
      <c r="B335" s="28" t="inlineStr">
        <is>
          <t>Soup Kitchen</t>
        </is>
      </c>
      <c r="C335" s="50" t="inlineStr">
        <is>
          <t>Product</t>
        </is>
      </c>
      <c r="D335" s="28">
        <f>IF(E335&lt;&gt;"",E335,IF(F335&lt;&gt;"",F335,""))</f>
        <v/>
      </c>
      <c r="E335" s="50" t="n"/>
      <c r="F335" s="50" t="n">
        <v>47</v>
      </c>
      <c r="G335" s="50" t="n"/>
      <c r="H335" s="50" t="n">
        <v>180</v>
      </c>
      <c r="I335" s="50" t="n">
        <v>153</v>
      </c>
      <c r="J335" s="28">
        <f>IF(OR(G335="",AND(H335="",I335="")),"n/a",IF(G335=I335,"mastered",IF(G335=H335,"normal","differs")))</f>
        <v/>
      </c>
      <c r="K335" s="28">
        <f>IF(L335&lt;&gt;"",L335,IF(M335&lt;&gt;"",M335,""))</f>
        <v/>
      </c>
      <c r="L335" s="50" t="n"/>
      <c r="M335" s="50" t="n">
        <v>626</v>
      </c>
      <c r="N335" s="28">
        <f>IF(O335&lt;&gt;"",O335,IF(P335&lt;&gt;"",P335,""))</f>
        <v/>
      </c>
      <c r="O335" s="50" t="n"/>
      <c r="P335" s="50" t="n">
        <v>75</v>
      </c>
      <c r="Q335" s="50" t="n"/>
      <c r="R335" s="50" t="n"/>
      <c r="S335" s="28">
        <f>IF(Q335="","",IF(Q335&lt;0,"negative profit",IF(Q335&gt;Notes!$B$4,"unusually high - verify","")))</f>
        <v/>
      </c>
      <c r="T335" s="28" t="inlineStr">
        <is>
          <t>Fandom</t>
        </is>
      </c>
      <c r="U335" s="28">
        <f>IF(T335&lt;&gt;"both",T335&amp;" only",IF(V335="","agree","conflict"))</f>
        <v/>
      </c>
      <c r="V335" s="28">
        <f>IF(T335="both",TRIM(IF(AND(E335&lt;&gt;"",F335&lt;&gt;"",E335&lt;&gt;F335),"level ","")&amp;IF(AND(L335&lt;&gt;"",M335&lt;&gt;"",L335&lt;&gt;M335),"price ","")&amp;IF(AND(O335&lt;&gt;"",P335&lt;&gt;"",O335&lt;&gt;P335),"xp ","")&amp;IF(J335="differs","time","")),"")</f>
        <v/>
      </c>
      <c r="X335" s="50" t="inlineStr">
        <is>
          <t>Mussel Meat x4; Bacon x3; Milk x1; Baked Potato x1</t>
        </is>
      </c>
      <c r="Y335" s="50" t="inlineStr">
        <is>
          <t>Mussel Chowder.png</t>
        </is>
      </c>
      <c r="Z335" s="50" t="inlineStr">
        <is>
          <t>icons/Soup Kitchen/Mussel Chowder.png</t>
        </is>
      </c>
      <c r="AA335" s="28" t="inlineStr">
        <is>
          <t>Hay Day Wiki infobox via MediaWiki API (2026-10-13)</t>
        </is>
      </c>
      <c r="AB335" s="28" t="inlineStr">
        <is>
          <t>https://hayday.fandom.com/wiki/Mussel_Chowder</t>
        </is>
      </c>
      <c r="AC335" s="50" t="n"/>
    </row>
    <row r="336">
      <c r="A336" s="28" t="inlineStr">
        <is>
          <t>Asparagus Soup</t>
        </is>
      </c>
      <c r="B336" s="28" t="inlineStr">
        <is>
          <t>Soup Kitchen</t>
        </is>
      </c>
      <c r="C336" s="50" t="inlineStr">
        <is>
          <t>Product</t>
        </is>
      </c>
      <c r="D336" s="28">
        <f>IF(E336&lt;&gt;"",E336,IF(F336&lt;&gt;"",F336,""))</f>
        <v/>
      </c>
      <c r="E336" s="50" t="n"/>
      <c r="F336" s="50" t="n">
        <v>51</v>
      </c>
      <c r="G336" s="50" t="n"/>
      <c r="H336" s="50" t="n">
        <v>60</v>
      </c>
      <c r="I336" s="50" t="n">
        <v>51</v>
      </c>
      <c r="J336" s="28">
        <f>IF(OR(G336="",AND(H336="",I336="")),"n/a",IF(G336=I336,"mastered",IF(G336=H336,"normal","differs")))</f>
        <v/>
      </c>
      <c r="K336" s="28">
        <f>IF(L336&lt;&gt;"",L336,IF(M336&lt;&gt;"",M336,""))</f>
        <v/>
      </c>
      <c r="L336" s="50" t="n"/>
      <c r="M336" s="50" t="n">
        <v>255</v>
      </c>
      <c r="N336" s="28">
        <f>IF(O336&lt;&gt;"",O336,IF(P336&lt;&gt;"",P336,""))</f>
        <v/>
      </c>
      <c r="O336" s="50" t="n"/>
      <c r="P336" s="50" t="n">
        <v>30</v>
      </c>
      <c r="Q336" s="50" t="n"/>
      <c r="R336" s="50" t="n"/>
      <c r="S336" s="28">
        <f>IF(Q336="","",IF(Q336&lt;0,"negative profit",IF(Q336&gt;Notes!$B$4,"unusually high - verify","")))</f>
        <v/>
      </c>
      <c r="T336" s="28" t="inlineStr">
        <is>
          <t>Fandom</t>
        </is>
      </c>
      <c r="U336" s="28">
        <f>IF(T336&lt;&gt;"both",T336&amp;" only",IF(V336="","agree","conflict"))</f>
        <v/>
      </c>
      <c r="V336" s="28">
        <f>IF(T336="both",TRIM(IF(AND(E336&lt;&gt;"",F336&lt;&gt;"",E336&lt;&gt;F336),"level ","")&amp;IF(AND(L336&lt;&gt;"",M336&lt;&gt;"",L336&lt;&gt;M336),"price ","")&amp;IF(AND(O336&lt;&gt;"",P336&lt;&gt;"",O336&lt;&gt;P336),"xp ","")&amp;IF(J336="differs","time","")),"")</f>
        <v/>
      </c>
      <c r="X336" s="50" t="inlineStr">
        <is>
          <t>Asparagus x3; Cream x2</t>
        </is>
      </c>
      <c r="Y336" s="50" t="inlineStr">
        <is>
          <t>Asparagus Soup.png</t>
        </is>
      </c>
      <c r="Z336" s="50" t="inlineStr">
        <is>
          <t>icons/Soup Kitchen/Asparagus Soup.png</t>
        </is>
      </c>
      <c r="AA336" s="28" t="inlineStr">
        <is>
          <t>Hay Day Wiki infobox via MediaWiki API (2026-10-13)</t>
        </is>
      </c>
      <c r="AB336" s="28" t="inlineStr">
        <is>
          <t>https://hayday.fandom.com/wiki/Asparagus_Soup</t>
        </is>
      </c>
      <c r="AC336" s="50" t="n"/>
    </row>
    <row r="337">
      <c r="A337" s="28" t="inlineStr">
        <is>
          <t>Chickpea Stew</t>
        </is>
      </c>
      <c r="B337" s="28" t="inlineStr">
        <is>
          <t>Stew Pot</t>
        </is>
      </c>
      <c r="C337" s="50" t="inlineStr">
        <is>
          <t>Product</t>
        </is>
      </c>
      <c r="D337" s="28">
        <f>IF(E337&lt;&gt;"",E337,IF(F337&lt;&gt;"",F337,""))</f>
        <v/>
      </c>
      <c r="E337" s="50" t="n">
        <v>106</v>
      </c>
      <c r="F337" s="50" t="n">
        <v>106</v>
      </c>
      <c r="G337" s="50" t="n">
        <v>90</v>
      </c>
      <c r="H337" s="50" t="n">
        <v>90</v>
      </c>
      <c r="I337" s="50" t="n">
        <v>76</v>
      </c>
      <c r="J337" s="28">
        <f>IF(OR(G337="",AND(H337="",I337="")),"n/a",IF(G337=I337,"mastered",IF(G337=H337,"normal","differs")))</f>
        <v/>
      </c>
      <c r="K337" s="28">
        <f>IF(L337&lt;&gt;"",L337,IF(M337&lt;&gt;"",M337,""))</f>
        <v/>
      </c>
      <c r="L337" s="50" t="n">
        <v>284</v>
      </c>
      <c r="M337" s="50" t="n">
        <v>284</v>
      </c>
      <c r="N337" s="28">
        <f>IF(O337&lt;&gt;"",O337,IF(P337&lt;&gt;"",P337,""))</f>
        <v/>
      </c>
      <c r="O337" s="50" t="n">
        <v>34</v>
      </c>
      <c r="P337" s="50" t="n">
        <v>34</v>
      </c>
      <c r="Q337" s="50" t="n">
        <v>24</v>
      </c>
      <c r="R337" s="50" t="n">
        <v>22.67</v>
      </c>
      <c r="S337" s="28">
        <f>IF(Q337="","",IF(Q337&lt;0,"negative profit",IF(Q337&gt;Notes!$B$4,"unusually high - verify","")))</f>
        <v/>
      </c>
      <c r="T337" s="28" t="inlineStr">
        <is>
          <t>both</t>
        </is>
      </c>
      <c r="U337" s="28">
        <f>IF(T337&lt;&gt;"both",T337&amp;" only",IF(V337="","agree","conflict"))</f>
        <v/>
      </c>
      <c r="V337" s="28">
        <f>IF(T337="both",TRIM(IF(AND(E337&lt;&gt;"",F337&lt;&gt;"",E337&lt;&gt;F337),"level ","")&amp;IF(AND(L337&lt;&gt;"",M337&lt;&gt;"",L337&lt;&gt;M337),"price ","")&amp;IF(AND(O337&lt;&gt;"",P337&lt;&gt;"",O337&lt;&gt;P337),"xp ","")&amp;IF(J337="differs","time","")),"")</f>
        <v/>
      </c>
      <c r="X337" s="50" t="inlineStr">
        <is>
          <t>Coconut x1; Tomato x2; Chickpea x3</t>
        </is>
      </c>
      <c r="Y337" s="50" t="inlineStr">
        <is>
          <t>Chickpea Stew.png</t>
        </is>
      </c>
      <c r="Z337" s="50" t="inlineStr">
        <is>
          <t>icons/Stew Pot/Chickpea Stew.png</t>
        </is>
      </c>
      <c r="AA337" s="28" t="inlineStr">
        <is>
          <t>hayday.info /api/production-data (2026-10-13) + Hay Day Wiki infobox via MediaWiki API (2026-10-13)</t>
        </is>
      </c>
      <c r="AB337" s="28" t="inlineStr">
        <is>
          <t>https://hayday.fandom.com/wiki/Chickpea_Stew</t>
        </is>
      </c>
      <c r="AC337" s="50" t="inlineStr">
        <is>
          <t>Chickpea Stew</t>
        </is>
      </c>
    </row>
    <row r="338">
      <c r="A338" s="28" t="inlineStr">
        <is>
          <t>Chili Stew</t>
        </is>
      </c>
      <c r="B338" s="28" t="inlineStr">
        <is>
          <t>Stew Pot</t>
        </is>
      </c>
      <c r="C338" s="50" t="inlineStr">
        <is>
          <t>Product</t>
        </is>
      </c>
      <c r="D338" s="28">
        <f>IF(E338&lt;&gt;"",E338,IF(F338&lt;&gt;"",F338,""))</f>
        <v/>
      </c>
      <c r="E338" s="50" t="n">
        <v>109</v>
      </c>
      <c r="F338" s="50" t="n">
        <v>109</v>
      </c>
      <c r="G338" s="50" t="n">
        <v>120</v>
      </c>
      <c r="H338" s="50" t="n">
        <v>120</v>
      </c>
      <c r="I338" s="50" t="n">
        <v>102</v>
      </c>
      <c r="J338" s="28">
        <f>IF(OR(G338="",AND(H338="",I338="")),"n/a",IF(G338=I338,"mastered",IF(G338=H338,"normal","differs")))</f>
        <v/>
      </c>
      <c r="K338" s="28">
        <f>IF(L338&lt;&gt;"",L338,IF(M338&lt;&gt;"",M338,""))</f>
        <v/>
      </c>
      <c r="L338" s="50" t="n">
        <v>370</v>
      </c>
      <c r="M338" s="50" t="n">
        <v>370</v>
      </c>
      <c r="N338" s="28">
        <f>IF(O338&lt;&gt;"",O338,IF(P338&lt;&gt;"",P338,""))</f>
        <v/>
      </c>
      <c r="O338" s="50" t="n">
        <v>44</v>
      </c>
      <c r="P338" s="50" t="n">
        <v>44</v>
      </c>
      <c r="Q338" s="50" t="n">
        <v>17</v>
      </c>
      <c r="R338" s="50" t="n">
        <v>22</v>
      </c>
      <c r="S338" s="28">
        <f>IF(Q338="","",IF(Q338&lt;0,"negative profit",IF(Q338&gt;Notes!$B$4,"unusually high - verify","")))</f>
        <v/>
      </c>
      <c r="T338" s="28" t="inlineStr">
        <is>
          <t>both</t>
        </is>
      </c>
      <c r="U338" s="28">
        <f>IF(T338&lt;&gt;"both",T338&amp;" only",IF(V338="","agree","conflict"))</f>
        <v/>
      </c>
      <c r="V338" s="28">
        <f>IF(T338="both",TRIM(IF(AND(E338&lt;&gt;"",F338&lt;&gt;"",E338&lt;&gt;F338),"level ","")&amp;IF(AND(L338&lt;&gt;"",M338&lt;&gt;"",L338&lt;&gt;M338),"price ","")&amp;IF(AND(O338&lt;&gt;"",P338&lt;&gt;"",O338&lt;&gt;P338),"xp ","")&amp;IF(J338="differs","time","")),"")</f>
        <v/>
      </c>
      <c r="X338" s="50" t="inlineStr">
        <is>
          <t>Chili Pepper x3; Bacon x2; Onion x2; Cream x1</t>
        </is>
      </c>
      <c r="Y338" s="50" t="inlineStr">
        <is>
          <t>Chili Stew.png</t>
        </is>
      </c>
      <c r="Z338" s="50" t="inlineStr">
        <is>
          <t>icons/Stew Pot/Chili Stew.png</t>
        </is>
      </c>
      <c r="AA338" s="28" t="inlineStr">
        <is>
          <t>hayday.info /api/production-data (2026-10-13) + Hay Day Wiki infobox via MediaWiki API (2026-10-13)</t>
        </is>
      </c>
      <c r="AB338" s="28" t="inlineStr">
        <is>
          <t>https://hayday.fandom.com/wiki/Chili_Stew</t>
        </is>
      </c>
      <c r="AC338" s="50" t="inlineStr">
        <is>
          <t>Chili Stew</t>
        </is>
      </c>
    </row>
    <row r="339">
      <c r="A339" s="28" t="inlineStr">
        <is>
          <t>Winter Stew</t>
        </is>
      </c>
      <c r="B339" s="28" t="inlineStr">
        <is>
          <t>Stew Pot</t>
        </is>
      </c>
      <c r="C339" s="50" t="inlineStr">
        <is>
          <t>Product</t>
        </is>
      </c>
      <c r="D339" s="28">
        <f>IF(E339&lt;&gt;"",E339,IF(F339&lt;&gt;"",F339,""))</f>
        <v/>
      </c>
      <c r="E339" s="50" t="n">
        <v>112</v>
      </c>
      <c r="F339" s="50" t="n">
        <v>112</v>
      </c>
      <c r="G339" s="50" t="n">
        <v>240</v>
      </c>
      <c r="H339" s="50" t="n">
        <v>140</v>
      </c>
      <c r="I339" s="50" t="n">
        <v>119</v>
      </c>
      <c r="J339" s="28">
        <f>IF(OR(G339="",AND(H339="",I339="")),"n/a",IF(G339=I339,"mastered",IF(G339=H339,"normal","differs")))</f>
        <v/>
      </c>
      <c r="K339" s="28">
        <f>IF(L339&lt;&gt;"",L339,IF(M339&lt;&gt;"",M339,""))</f>
        <v/>
      </c>
      <c r="L339" s="50" t="n">
        <v>295</v>
      </c>
      <c r="M339" s="50" t="n">
        <v>295</v>
      </c>
      <c r="N339" s="28">
        <f>IF(O339&lt;&gt;"",O339,IF(P339&lt;&gt;"",P339,""))</f>
        <v/>
      </c>
      <c r="O339" s="50" t="n">
        <v>35</v>
      </c>
      <c r="P339" s="50" t="n">
        <v>35</v>
      </c>
      <c r="Q339" s="50" t="n">
        <v>9.75</v>
      </c>
      <c r="R339" s="50" t="n">
        <v>8.75</v>
      </c>
      <c r="S339" s="28">
        <f>IF(Q339="","",IF(Q339&lt;0,"negative profit",IF(Q339&gt;Notes!$B$4,"unusually high - verify","")))</f>
        <v/>
      </c>
      <c r="T339" s="28" t="inlineStr">
        <is>
          <t>both</t>
        </is>
      </c>
      <c r="U339" s="28">
        <f>IF(T339&lt;&gt;"both",T339&amp;" only",IF(V339="","agree","conflict"))</f>
        <v/>
      </c>
      <c r="V339" s="28">
        <f>IF(T339="both",TRIM(IF(AND(E339&lt;&gt;"",F339&lt;&gt;"",E339&lt;&gt;F339),"level ","")&amp;IF(AND(L339&lt;&gt;"",M339&lt;&gt;"",L339&lt;&gt;M339),"price ","")&amp;IF(AND(O339&lt;&gt;"",P339&lt;&gt;"",O339&lt;&gt;P339),"xp ","")&amp;IF(J339="differs","time","")),"")</f>
        <v/>
      </c>
      <c r="X339" s="50" t="inlineStr">
        <is>
          <t>Bacon x1; Potato x3; Onion x2; Mushroom x2</t>
        </is>
      </c>
      <c r="Y339" s="50" t="inlineStr">
        <is>
          <t>Winter Stew.png</t>
        </is>
      </c>
      <c r="Z339" s="50" t="inlineStr">
        <is>
          <t>icons/Stew Pot/Winter Stew.png</t>
        </is>
      </c>
      <c r="AA339" s="28" t="inlineStr">
        <is>
          <t>hayday.info /api/production-data (2026-10-13) + Hay Day Wiki infobox via MediaWiki API (2026-10-13)</t>
        </is>
      </c>
      <c r="AB339" s="28" t="inlineStr">
        <is>
          <t>https://hayday.fandom.com/wiki/Winter_Stew</t>
        </is>
      </c>
      <c r="AC339" s="50" t="inlineStr">
        <is>
          <t>Winter Stew</t>
        </is>
      </c>
    </row>
    <row r="340">
      <c r="A340" s="28" t="inlineStr">
        <is>
          <t>Brown Sugar</t>
        </is>
      </c>
      <c r="B340" s="28" t="inlineStr">
        <is>
          <t>Sugar Mill</t>
        </is>
      </c>
      <c r="C340" s="50" t="inlineStr">
        <is>
          <t>Product</t>
        </is>
      </c>
      <c r="D340" s="28">
        <f>IF(E340&lt;&gt;"",E340,IF(F340&lt;&gt;"",F340,""))</f>
        <v/>
      </c>
      <c r="E340" s="50" t="n">
        <v>7</v>
      </c>
      <c r="F340" s="50" t="n">
        <v>7</v>
      </c>
      <c r="G340" s="50" t="n">
        <v>17</v>
      </c>
      <c r="H340" s="50" t="n">
        <v>20</v>
      </c>
      <c r="I340" s="50" t="n">
        <v>17</v>
      </c>
      <c r="J340" s="28">
        <f>IF(OR(G340="",AND(H340="",I340="")),"n/a",IF(G340=I340,"mastered",IF(G340=H340,"normal","differs")))</f>
        <v/>
      </c>
      <c r="K340" s="28">
        <f>IF(L340&lt;&gt;"",L340,IF(M340&lt;&gt;"",M340,""))</f>
        <v/>
      </c>
      <c r="L340" s="50" t="n">
        <v>32</v>
      </c>
      <c r="M340" s="50" t="n">
        <v>32</v>
      </c>
      <c r="N340" s="28">
        <f>IF(O340&lt;&gt;"",O340,IF(P340&lt;&gt;"",P340,""))</f>
        <v/>
      </c>
      <c r="O340" s="50" t="n">
        <v>4</v>
      </c>
      <c r="P340" s="50" t="n">
        <v>4</v>
      </c>
      <c r="Q340" s="50" t="n">
        <v>63.53</v>
      </c>
      <c r="R340" s="50" t="n">
        <v>14.12</v>
      </c>
      <c r="S340" s="28">
        <f>IF(Q340="","",IF(Q340&lt;0,"negative profit",IF(Q340&gt;Notes!$B$4,"unusually high - verify","")))</f>
        <v/>
      </c>
      <c r="T340" s="28" t="inlineStr">
        <is>
          <t>both</t>
        </is>
      </c>
      <c r="U340" s="28">
        <f>IF(T340&lt;&gt;"both",T340&amp;" only",IF(V340="","agree","conflict"))</f>
        <v/>
      </c>
      <c r="V340" s="28">
        <f>IF(T340="both",TRIM(IF(AND(E340&lt;&gt;"",F340&lt;&gt;"",E340&lt;&gt;F340),"level ","")&amp;IF(AND(L340&lt;&gt;"",M340&lt;&gt;"",L340&lt;&gt;M340),"price ","")&amp;IF(AND(O340&lt;&gt;"",P340&lt;&gt;"",O340&lt;&gt;P340),"xp ","")&amp;IF(J340="differs","time","")),"")</f>
        <v/>
      </c>
      <c r="X340" s="50" t="inlineStr">
        <is>
          <t>Sugarcane x1</t>
        </is>
      </c>
      <c r="Y340" s="50" t="inlineStr">
        <is>
          <t>Brown Sugar.png</t>
        </is>
      </c>
      <c r="Z340" s="50" t="inlineStr">
        <is>
          <t>icons/Sugar Mill/Brown Sugar.png</t>
        </is>
      </c>
      <c r="AA340" s="28" t="inlineStr">
        <is>
          <t>hayday.info /api/production-data (2026-10-13) + Hay Day Wiki infobox via MediaWiki API (2026-10-13)</t>
        </is>
      </c>
      <c r="AB340" s="28" t="inlineStr">
        <is>
          <t>https://hayday.fandom.com/wiki/Brown_Sugar</t>
        </is>
      </c>
      <c r="AC340" s="50" t="inlineStr">
        <is>
          <t>Brown sugar</t>
        </is>
      </c>
    </row>
    <row r="341">
      <c r="A341" s="28" t="inlineStr">
        <is>
          <t>White Sugar</t>
        </is>
      </c>
      <c r="B341" s="28" t="inlineStr">
        <is>
          <t>Sugar Mill</t>
        </is>
      </c>
      <c r="C341" s="50" t="inlineStr">
        <is>
          <t>Product</t>
        </is>
      </c>
      <c r="D341" s="28">
        <f>IF(E341&lt;&gt;"",E341,IF(F341&lt;&gt;"",F341,""))</f>
        <v/>
      </c>
      <c r="E341" s="50" t="n">
        <v>13</v>
      </c>
      <c r="F341" s="50" t="n">
        <v>13</v>
      </c>
      <c r="G341" s="50" t="n">
        <v>34</v>
      </c>
      <c r="H341" s="50" t="n">
        <v>40</v>
      </c>
      <c r="I341" s="50" t="n">
        <v>34</v>
      </c>
      <c r="J341" s="28">
        <f>IF(OR(G341="",AND(H341="",I341="")),"n/a",IF(G341=I341,"mastered",IF(G341=H341,"normal","differs")))</f>
        <v/>
      </c>
      <c r="K341" s="28">
        <f>IF(L341&lt;&gt;"",L341,IF(M341&lt;&gt;"",M341,""))</f>
        <v/>
      </c>
      <c r="L341" s="50" t="n">
        <v>50</v>
      </c>
      <c r="M341" s="50" t="n">
        <v>50</v>
      </c>
      <c r="N341" s="28">
        <f>IF(O341&lt;&gt;"",O341,IF(P341&lt;&gt;"",P341,""))</f>
        <v/>
      </c>
      <c r="O341" s="50" t="n">
        <v>6</v>
      </c>
      <c r="P341" s="50" t="n">
        <v>6</v>
      </c>
      <c r="Q341" s="50" t="n">
        <v>38.82</v>
      </c>
      <c r="R341" s="50" t="n">
        <v>10.59</v>
      </c>
      <c r="S341" s="28">
        <f>IF(Q341="","",IF(Q341&lt;0,"negative profit",IF(Q341&gt;Notes!$B$4,"unusually high - verify","")))</f>
        <v/>
      </c>
      <c r="T341" s="28" t="inlineStr">
        <is>
          <t>both</t>
        </is>
      </c>
      <c r="U341" s="28">
        <f>IF(T341&lt;&gt;"both",T341&amp;" only",IF(V341="","agree","conflict"))</f>
        <v/>
      </c>
      <c r="V341" s="28">
        <f>IF(T341="both",TRIM(IF(AND(E341&lt;&gt;"",F341&lt;&gt;"",E341&lt;&gt;F341),"level ","")&amp;IF(AND(L341&lt;&gt;"",M341&lt;&gt;"",L341&lt;&gt;M341),"price ","")&amp;IF(AND(O341&lt;&gt;"",P341&lt;&gt;"",O341&lt;&gt;P341),"xp ","")&amp;IF(J341="differs","time","")),"")</f>
        <v/>
      </c>
      <c r="X341" s="50" t="inlineStr">
        <is>
          <t>Sugarcane x2</t>
        </is>
      </c>
      <c r="Y341" s="50" t="inlineStr">
        <is>
          <t>White Sugar.png</t>
        </is>
      </c>
      <c r="Z341" s="50" t="inlineStr">
        <is>
          <t>icons/Sugar Mill/White Sugar.png</t>
        </is>
      </c>
      <c r="AA341" s="28" t="inlineStr">
        <is>
          <t>hayday.info /api/production-data (2026-10-13) + Hay Day Wiki infobox via MediaWiki API (2026-10-13)</t>
        </is>
      </c>
      <c r="AB341" s="28" t="inlineStr">
        <is>
          <t>https://hayday.fandom.com/wiki/White_Sugar</t>
        </is>
      </c>
      <c r="AC341" s="50" t="inlineStr">
        <is>
          <t>White sugar</t>
        </is>
      </c>
    </row>
    <row r="342">
      <c r="A342" s="28" t="inlineStr">
        <is>
          <t>Syrup</t>
        </is>
      </c>
      <c r="B342" s="28" t="inlineStr">
        <is>
          <t>Sugar Mill</t>
        </is>
      </c>
      <c r="C342" s="50" t="inlineStr">
        <is>
          <t>Product</t>
        </is>
      </c>
      <c r="D342" s="28">
        <f>IF(E342&lt;&gt;"",E342,IF(F342&lt;&gt;"",F342,""))</f>
        <v/>
      </c>
      <c r="E342" s="50" t="n">
        <v>18</v>
      </c>
      <c r="F342" s="50" t="n">
        <v>18</v>
      </c>
      <c r="G342" s="50" t="n">
        <v>76</v>
      </c>
      <c r="H342" s="50" t="n">
        <v>90</v>
      </c>
      <c r="I342" s="50" t="n">
        <v>76</v>
      </c>
      <c r="J342" s="28">
        <f>IF(OR(G342="",AND(H342="",I342="")),"n/a",IF(G342=I342,"mastered",IF(G342=H342,"normal","differs")))</f>
        <v/>
      </c>
      <c r="K342" s="28">
        <f>IF(L342&lt;&gt;"",L342,IF(M342&lt;&gt;"",M342,""))</f>
        <v/>
      </c>
      <c r="L342" s="50" t="n">
        <v>90</v>
      </c>
      <c r="M342" s="50" t="n">
        <v>90</v>
      </c>
      <c r="N342" s="28">
        <f>IF(O342&lt;&gt;"",O342,IF(P342&lt;&gt;"",P342,""))</f>
        <v/>
      </c>
      <c r="O342" s="50" t="n">
        <v>11</v>
      </c>
      <c r="P342" s="50" t="n">
        <v>11</v>
      </c>
      <c r="Q342" s="50" t="n">
        <v>26.67</v>
      </c>
      <c r="R342" s="50" t="n">
        <v>8.630000000000001</v>
      </c>
      <c r="S342" s="28">
        <f>IF(Q342="","",IF(Q342&lt;0,"negative profit",IF(Q342&gt;Notes!$B$4,"unusually high - verify","")))</f>
        <v/>
      </c>
      <c r="T342" s="28" t="inlineStr">
        <is>
          <t>both</t>
        </is>
      </c>
      <c r="U342" s="28">
        <f>IF(T342&lt;&gt;"both",T342&amp;" only",IF(V342="","agree","conflict"))</f>
        <v/>
      </c>
      <c r="V342" s="28">
        <f>IF(T342="both",TRIM(IF(AND(E342&lt;&gt;"",F342&lt;&gt;"",E342&lt;&gt;F342),"level ","")&amp;IF(AND(L342&lt;&gt;"",M342&lt;&gt;"",L342&lt;&gt;M342),"price ","")&amp;IF(AND(O342&lt;&gt;"",P342&lt;&gt;"",O342&lt;&gt;P342),"xp ","")&amp;IF(J342="differs","time","")),"")</f>
        <v/>
      </c>
      <c r="X342" s="50" t="inlineStr">
        <is>
          <t>Sugarcane x4</t>
        </is>
      </c>
      <c r="Y342" s="50" t="inlineStr">
        <is>
          <t>Syrup.png</t>
        </is>
      </c>
      <c r="Z342" s="50" t="inlineStr">
        <is>
          <t>icons/Sugar Mill/Syrup.png</t>
        </is>
      </c>
      <c r="AA342" s="28" t="inlineStr">
        <is>
          <t>hayday.info /api/production-data (2026-10-13) + Hay Day Wiki infobox via MediaWiki API (2026-10-13)</t>
        </is>
      </c>
      <c r="AB342" s="28" t="inlineStr">
        <is>
          <t>https://hayday.fandom.com/wiki/Syrup</t>
        </is>
      </c>
      <c r="AC342" s="50" t="inlineStr">
        <is>
          <t>Syrup</t>
        </is>
      </c>
    </row>
    <row r="343">
      <c r="A343" s="28" t="inlineStr">
        <is>
          <t>Sushi Roll</t>
        </is>
      </c>
      <c r="B343" s="28" t="inlineStr">
        <is>
          <t>Sushi Bar</t>
        </is>
      </c>
      <c r="C343" s="50" t="inlineStr">
        <is>
          <t>Product</t>
        </is>
      </c>
      <c r="D343" s="28">
        <f>IF(E343&lt;&gt;"",E343,IF(F343&lt;&gt;"",F343,""))</f>
        <v/>
      </c>
      <c r="E343" s="50" t="n">
        <v>56</v>
      </c>
      <c r="F343" s="50" t="n">
        <v>56</v>
      </c>
      <c r="G343" s="50" t="n">
        <v>51</v>
      </c>
      <c r="H343" s="50" t="n">
        <v>60</v>
      </c>
      <c r="I343" s="50" t="n">
        <v>51</v>
      </c>
      <c r="J343" s="28">
        <f>IF(OR(G343="",AND(H343="",I343="")),"n/a",IF(G343=I343,"mastered",IF(G343=H343,"normal","differs")))</f>
        <v/>
      </c>
      <c r="K343" s="28">
        <f>IF(L343&lt;&gt;"",L343,IF(M343&lt;&gt;"",M343,""))</f>
        <v/>
      </c>
      <c r="L343" s="50" t="n">
        <v>489</v>
      </c>
      <c r="M343" s="50" t="n">
        <v>489</v>
      </c>
      <c r="N343" s="28">
        <f>IF(O343&lt;&gt;"",O343,IF(P343&lt;&gt;"",P343,""))</f>
        <v/>
      </c>
      <c r="O343" s="50" t="n">
        <v>58</v>
      </c>
      <c r="P343" s="50" t="n">
        <v>58</v>
      </c>
      <c r="Q343" s="50" t="n">
        <v>12.94</v>
      </c>
      <c r="R343" s="50" t="n">
        <v>68.23999999999999</v>
      </c>
      <c r="S343" s="28">
        <f>IF(Q343="","",IF(Q343&lt;0,"negative profit",IF(Q343&gt;Notes!$B$4,"unusually high - verify","")))</f>
        <v/>
      </c>
      <c r="T343" s="28" t="inlineStr">
        <is>
          <t>both</t>
        </is>
      </c>
      <c r="U343" s="28">
        <f>IF(T343&lt;&gt;"both",T343&amp;" only",IF(V343="","agree","conflict"))</f>
        <v/>
      </c>
      <c r="V343" s="28">
        <f>IF(T343="both",TRIM(IF(AND(E343&lt;&gt;"",F343&lt;&gt;"",E343&lt;&gt;F343),"level ","")&amp;IF(AND(L343&lt;&gt;"",M343&lt;&gt;"",L343&lt;&gt;M343),"price ","")&amp;IF(AND(O343&lt;&gt;"",P343&lt;&gt;"",O343&lt;&gt;P343),"xp ","")&amp;IF(J343="differs","time","")),"")</f>
        <v/>
      </c>
      <c r="X343" s="50" t="inlineStr">
        <is>
          <t>Fish Fillet x1; Rice x15; Soy Sauce x1</t>
        </is>
      </c>
      <c r="Y343" s="50" t="inlineStr">
        <is>
          <t>Sushi Roll.png</t>
        </is>
      </c>
      <c r="Z343" s="50" t="inlineStr">
        <is>
          <t>icons/Sushi Bar/Sushi Roll.png</t>
        </is>
      </c>
      <c r="AA343" s="28" t="inlineStr">
        <is>
          <t>hayday.info /api/production-data (2026-10-13) + Hay Day Wiki infobox via MediaWiki API (2026-10-13)</t>
        </is>
      </c>
      <c r="AB343" s="28" t="inlineStr">
        <is>
          <t>https://hayday.fandom.com/wiki/Sushi_Roll</t>
        </is>
      </c>
      <c r="AC343" s="50" t="inlineStr">
        <is>
          <t>Sushi roll</t>
        </is>
      </c>
    </row>
    <row r="344">
      <c r="A344" s="28" t="inlineStr">
        <is>
          <t>Lobster Sushi</t>
        </is>
      </c>
      <c r="B344" s="28" t="inlineStr">
        <is>
          <t>Sushi Bar</t>
        </is>
      </c>
      <c r="C344" s="50" t="inlineStr">
        <is>
          <t>Product</t>
        </is>
      </c>
      <c r="D344" s="28">
        <f>IF(E344&lt;&gt;"",E344,IF(F344&lt;&gt;"",F344,""))</f>
        <v/>
      </c>
      <c r="E344" s="50" t="n">
        <v>59</v>
      </c>
      <c r="F344" s="50" t="n">
        <v>59</v>
      </c>
      <c r="G344" s="50" t="n">
        <v>51</v>
      </c>
      <c r="H344" s="50" t="n">
        <v>60</v>
      </c>
      <c r="I344" s="50" t="n">
        <v>51</v>
      </c>
      <c r="J344" s="28">
        <f>IF(OR(G344="",AND(H344="",I344="")),"n/a",IF(G344=I344,"mastered",IF(G344=H344,"normal","differs")))</f>
        <v/>
      </c>
      <c r="K344" s="28">
        <f>IF(L344&lt;&gt;"",L344,IF(M344&lt;&gt;"",M344,""))</f>
        <v/>
      </c>
      <c r="L344" s="50" t="n">
        <v>637</v>
      </c>
      <c r="M344" s="50" t="n">
        <v>637</v>
      </c>
      <c r="N344" s="28">
        <f>IF(O344&lt;&gt;"",O344,IF(P344&lt;&gt;"",P344,""))</f>
        <v/>
      </c>
      <c r="O344" s="50" t="n">
        <v>76</v>
      </c>
      <c r="P344" s="50" t="n">
        <v>76</v>
      </c>
      <c r="Q344" s="50" t="n">
        <v>14.12</v>
      </c>
      <c r="R344" s="50" t="n">
        <v>89.41</v>
      </c>
      <c r="S344" s="28">
        <f>IF(Q344="","",IF(Q344&lt;0,"negative profit",IF(Q344&gt;Notes!$B$4,"unusually high - verify","")))</f>
        <v/>
      </c>
      <c r="T344" s="28" t="inlineStr">
        <is>
          <t>both</t>
        </is>
      </c>
      <c r="U344" s="28">
        <f>IF(T344&lt;&gt;"both",T344&amp;" only",IF(V344="","agree","conflict"))</f>
        <v/>
      </c>
      <c r="V344" s="28">
        <f>IF(T344="both",TRIM(IF(AND(E344&lt;&gt;"",F344&lt;&gt;"",E344&lt;&gt;F344),"level ","")&amp;IF(AND(L344&lt;&gt;"",M344&lt;&gt;"",L344&lt;&gt;M344),"price ","")&amp;IF(AND(O344&lt;&gt;"",P344&lt;&gt;"",O344&lt;&gt;P344),"xp ","")&amp;IF(J344="differs","time","")),"")</f>
        <v/>
      </c>
      <c r="X344" s="50" t="inlineStr">
        <is>
          <t>Lobster Tail x1; Rice x15; Soy Sauce x1</t>
        </is>
      </c>
      <c r="Y344" s="50" t="inlineStr">
        <is>
          <t>Lobster Sushi.png</t>
        </is>
      </c>
      <c r="Z344" s="50" t="inlineStr">
        <is>
          <t>icons/Sushi Bar/Lobster Sushi.png</t>
        </is>
      </c>
      <c r="AA344" s="28" t="inlineStr">
        <is>
          <t>hayday.info /api/production-data (2026-10-13) + Hay Day Wiki infobox via MediaWiki API (2026-10-13)</t>
        </is>
      </c>
      <c r="AB344" s="28" t="inlineStr">
        <is>
          <t>https://hayday.fandom.com/wiki/Lobster_Sushi</t>
        </is>
      </c>
      <c r="AC344" s="50" t="inlineStr">
        <is>
          <t>Lobster sushi</t>
        </is>
      </c>
    </row>
    <row r="345">
      <c r="A345" s="28" t="inlineStr">
        <is>
          <t>Egg Sushi</t>
        </is>
      </c>
      <c r="B345" s="28" t="inlineStr">
        <is>
          <t>Sushi Bar</t>
        </is>
      </c>
      <c r="C345" s="50" t="inlineStr">
        <is>
          <t>Product</t>
        </is>
      </c>
      <c r="D345" s="28">
        <f>IF(E345&lt;&gt;"",E345,IF(F345&lt;&gt;"",F345,""))</f>
        <v/>
      </c>
      <c r="E345" s="50" t="n">
        <v>63</v>
      </c>
      <c r="F345" s="50" t="n">
        <v>63</v>
      </c>
      <c r="G345" s="50" t="n">
        <v>102</v>
      </c>
      <c r="H345" s="50" t="n">
        <v>120</v>
      </c>
      <c r="I345" s="50" t="n">
        <v>102</v>
      </c>
      <c r="J345" s="28">
        <f>IF(OR(G345="",AND(H345="",I345="")),"n/a",IF(G345=I345,"mastered",IF(G345=H345,"normal","differs")))</f>
        <v/>
      </c>
      <c r="K345" s="28">
        <f>IF(L345&lt;&gt;"",L345,IF(M345&lt;&gt;"",M345,""))</f>
        <v/>
      </c>
      <c r="L345" s="50" t="n">
        <v>550</v>
      </c>
      <c r="M345" s="50" t="n">
        <v>550</v>
      </c>
      <c r="N345" s="28">
        <f>IF(O345&lt;&gt;"",O345,IF(P345&lt;&gt;"",P345,""))</f>
        <v/>
      </c>
      <c r="O345" s="50" t="n">
        <v>66</v>
      </c>
      <c r="P345" s="50" t="n">
        <v>66</v>
      </c>
      <c r="Q345" s="50" t="n">
        <v>12.94</v>
      </c>
      <c r="R345" s="50" t="n">
        <v>38.82</v>
      </c>
      <c r="S345" s="28">
        <f>IF(Q345="","",IF(Q345&lt;0,"negative profit",IF(Q345&gt;Notes!$B$4,"unusually high - verify","")))</f>
        <v/>
      </c>
      <c r="T345" s="28" t="inlineStr">
        <is>
          <t>both</t>
        </is>
      </c>
      <c r="U345" s="28">
        <f>IF(T345&lt;&gt;"both",T345&amp;" only",IF(V345="","agree","conflict"))</f>
        <v/>
      </c>
      <c r="V345" s="28">
        <f>IF(T345="both",TRIM(IF(AND(E345&lt;&gt;"",F345&lt;&gt;"",E345&lt;&gt;F345),"level ","")&amp;IF(AND(L345&lt;&gt;"",M345&lt;&gt;"",L345&lt;&gt;M345),"price ","")&amp;IF(AND(O345&lt;&gt;"",P345&lt;&gt;"",O345&lt;&gt;P345),"xp ","")&amp;IF(J345="differs","time","")),"")</f>
        <v/>
      </c>
      <c r="X345" s="50" t="inlineStr">
        <is>
          <t>Brown Sugar x1; Egg x4; Rice x15; Soy Sauce x1</t>
        </is>
      </c>
      <c r="Y345" s="50" t="inlineStr">
        <is>
          <t>Egg Sushi.png</t>
        </is>
      </c>
      <c r="Z345" s="50" t="inlineStr">
        <is>
          <t>icons/Sushi Bar/Egg Sushi.png</t>
        </is>
      </c>
      <c r="AA345" s="28" t="inlineStr">
        <is>
          <t>hayday.info /api/production-data (2026-10-13) + Hay Day Wiki infobox via MediaWiki API (2026-10-13)</t>
        </is>
      </c>
      <c r="AB345" s="28" t="inlineStr">
        <is>
          <t>https://hayday.fandom.com/wiki/Egg_Sushi</t>
        </is>
      </c>
      <c r="AC345" s="50" t="inlineStr">
        <is>
          <t>Egg sushi</t>
        </is>
      </c>
    </row>
    <row r="346">
      <c r="A346" s="28" t="inlineStr">
        <is>
          <t>Big Sushi Roll</t>
        </is>
      </c>
      <c r="B346" s="28" t="inlineStr">
        <is>
          <t>Sushi Bar</t>
        </is>
      </c>
      <c r="C346" s="50" t="inlineStr">
        <is>
          <t>Product</t>
        </is>
      </c>
      <c r="D346" s="28">
        <f>IF(E346&lt;&gt;"",E346,IF(F346&lt;&gt;"",F346,""))</f>
        <v/>
      </c>
      <c r="E346" s="50" t="n">
        <v>76</v>
      </c>
      <c r="F346" s="50" t="n">
        <v>76</v>
      </c>
      <c r="G346" s="50" t="n">
        <v>76</v>
      </c>
      <c r="H346" s="50" t="n">
        <v>90</v>
      </c>
      <c r="I346" s="50" t="n">
        <v>76</v>
      </c>
      <c r="J346" s="28">
        <f>IF(OR(G346="",AND(H346="",I346="")),"n/a",IF(G346=I346,"mastered",IF(G346=H346,"normal","differs")))</f>
        <v/>
      </c>
      <c r="K346" s="28">
        <f>IF(L346&lt;&gt;"",L346,IF(M346&lt;&gt;"",M346,""))</f>
        <v/>
      </c>
      <c r="L346" s="50" t="n">
        <v>648</v>
      </c>
      <c r="M346" s="50" t="n">
        <v>648</v>
      </c>
      <c r="N346" s="28">
        <f>IF(O346&lt;&gt;"",O346,IF(P346&lt;&gt;"",P346,""))</f>
        <v/>
      </c>
      <c r="O346" s="50" t="n">
        <v>77</v>
      </c>
      <c r="P346" s="50" t="n">
        <v>77</v>
      </c>
      <c r="Q346" s="50" t="n">
        <v>15.69</v>
      </c>
      <c r="R346" s="50" t="n">
        <v>60.39</v>
      </c>
      <c r="S346" s="28">
        <f>IF(Q346="","",IF(Q346&lt;0,"negative profit",IF(Q346&gt;Notes!$B$4,"unusually high - verify","")))</f>
        <v/>
      </c>
      <c r="T346" s="28" t="inlineStr">
        <is>
          <t>both</t>
        </is>
      </c>
      <c r="U346" s="28">
        <f>IF(T346&lt;&gt;"both",T346&amp;" only",IF(V346="","agree","conflict"))</f>
        <v/>
      </c>
      <c r="V346" s="28">
        <f>IF(T346="both",TRIM(IF(AND(E346&lt;&gt;"",F346&lt;&gt;"",E346&lt;&gt;F346),"level ","")&amp;IF(AND(L346&lt;&gt;"",M346&lt;&gt;"",L346&lt;&gt;M346),"price ","")&amp;IF(AND(O346&lt;&gt;"",P346&lt;&gt;"",O346&lt;&gt;P346),"xp ","")&amp;IF(J346="differs","time","")),"")</f>
        <v/>
      </c>
      <c r="X346" s="50" t="inlineStr">
        <is>
          <t>Fish Fillet x1; Rice x20; Egg x3; Lettuce x5</t>
        </is>
      </c>
      <c r="Y346" s="50" t="inlineStr">
        <is>
          <t>Big Sushi Roll.png</t>
        </is>
      </c>
      <c r="Z346" s="50" t="inlineStr">
        <is>
          <t>icons/Sushi Bar/Big Sushi Roll.png</t>
        </is>
      </c>
      <c r="AA346" s="28" t="inlineStr">
        <is>
          <t>hayday.info /api/production-data (2026-10-13) + Hay Day Wiki infobox via MediaWiki API (2026-10-13)</t>
        </is>
      </c>
      <c r="AB346" s="28" t="inlineStr">
        <is>
          <t>https://hayday.fandom.com/wiki/Big_Sushi_Roll</t>
        </is>
      </c>
      <c r="AC346" s="50" t="inlineStr">
        <is>
          <t>Big sushi roll</t>
        </is>
      </c>
    </row>
    <row r="347">
      <c r="A347" s="28" t="inlineStr">
        <is>
          <t>Rice Ball</t>
        </is>
      </c>
      <c r="B347" s="28" t="inlineStr">
        <is>
          <t>Sushi Bar</t>
        </is>
      </c>
      <c r="C347" s="50" t="inlineStr">
        <is>
          <t>Product</t>
        </is>
      </c>
      <c r="D347" s="28">
        <f>IF(E347&lt;&gt;"",E347,IF(F347&lt;&gt;"",F347,""))</f>
        <v/>
      </c>
      <c r="E347" s="50" t="n">
        <v>110</v>
      </c>
      <c r="F347" s="50" t="n">
        <v>110</v>
      </c>
      <c r="G347" s="50" t="n">
        <v>38</v>
      </c>
      <c r="H347" s="50" t="n">
        <v>45</v>
      </c>
      <c r="I347" s="50" t="n">
        <v>38</v>
      </c>
      <c r="J347" s="28">
        <f>IF(OR(G347="",AND(H347="",I347="")),"n/a",IF(G347=I347,"mastered",IF(G347=H347,"normal","differs")))</f>
        <v/>
      </c>
      <c r="K347" s="28">
        <f>IF(L347&lt;&gt;"",L347,IF(M347&lt;&gt;"",M347,""))</f>
        <v/>
      </c>
      <c r="L347" s="50" t="n">
        <v>464</v>
      </c>
      <c r="M347" s="50" t="n">
        <v>464</v>
      </c>
      <c r="N347" s="28">
        <f>IF(O347&lt;&gt;"",O347,IF(P347&lt;&gt;"",P347,""))</f>
        <v/>
      </c>
      <c r="O347" s="50" t="n">
        <v>55</v>
      </c>
      <c r="P347" s="50" t="n">
        <v>55</v>
      </c>
      <c r="Q347" s="50" t="n">
        <v>6.27</v>
      </c>
      <c r="R347" s="50" t="n">
        <v>86.27</v>
      </c>
      <c r="S347" s="28">
        <f>IF(Q347="","",IF(Q347&lt;0,"negative profit",IF(Q347&gt;Notes!$B$4,"unusually high - verify","")))</f>
        <v/>
      </c>
      <c r="T347" s="28" t="inlineStr">
        <is>
          <t>both</t>
        </is>
      </c>
      <c r="U347" s="28">
        <f>IF(T347&lt;&gt;"both",T347&amp;" only",IF(V347="","agree","conflict"))</f>
        <v/>
      </c>
      <c r="V347" s="28">
        <f>IF(T347="both",TRIM(IF(AND(E347&lt;&gt;"",F347&lt;&gt;"",E347&lt;&gt;F347),"level ","")&amp;IF(AND(L347&lt;&gt;"",M347&lt;&gt;"",L347&lt;&gt;M347),"price ","")&amp;IF(AND(O347&lt;&gt;"",P347&lt;&gt;"",O347&lt;&gt;P347),"xp ","")&amp;IF(J347="differs","time","")),"")</f>
        <v/>
      </c>
      <c r="X347" s="50" t="inlineStr">
        <is>
          <t>Rice x20; Sesame x1; Plum x1</t>
        </is>
      </c>
      <c r="Y347" s="50" t="inlineStr">
        <is>
          <t>Rice Ball.png</t>
        </is>
      </c>
      <c r="Z347" s="50" t="inlineStr">
        <is>
          <t>icons/Sushi Bar/Rice Ball.png</t>
        </is>
      </c>
      <c r="AA347" s="28" t="inlineStr">
        <is>
          <t>hayday.info /api/production-data (2026-10-13) + Hay Day Wiki infobox via MediaWiki API (2026-10-13)</t>
        </is>
      </c>
      <c r="AB347" s="28" t="inlineStr">
        <is>
          <t>https://hayday.fandom.com/wiki/Rice_Ball</t>
        </is>
      </c>
      <c r="AC347" s="50" t="inlineStr">
        <is>
          <t>Rice ball</t>
        </is>
      </c>
    </row>
    <row r="348">
      <c r="A348" s="28" t="inlineStr">
        <is>
          <t>Mussel Nigiri</t>
        </is>
      </c>
      <c r="B348" s="28" t="inlineStr">
        <is>
          <t>Sushi Bar</t>
        </is>
      </c>
      <c r="C348" s="50" t="inlineStr">
        <is>
          <t>Product</t>
        </is>
      </c>
      <c r="D348" s="28">
        <f>IF(E348&lt;&gt;"",E348,IF(F348&lt;&gt;"",F348,""))</f>
        <v/>
      </c>
      <c r="E348" s="50" t="n"/>
      <c r="F348" s="50" t="n">
        <v>56</v>
      </c>
      <c r="G348" s="50" t="n"/>
      <c r="H348" s="50" t="n">
        <v>90</v>
      </c>
      <c r="I348" s="50" t="n">
        <v>76</v>
      </c>
      <c r="J348" s="28">
        <f>IF(OR(G348="",AND(H348="",I348="")),"n/a",IF(G348=I348,"mastered",IF(G348=H348,"normal","differs")))</f>
        <v/>
      </c>
      <c r="K348" s="28">
        <f>IF(L348&lt;&gt;"",L348,IF(M348&lt;&gt;"",M348,""))</f>
        <v/>
      </c>
      <c r="L348" s="50" t="n"/>
      <c r="M348" s="50" t="n">
        <v>543</v>
      </c>
      <c r="N348" s="28">
        <f>IF(O348&lt;&gt;"",O348,IF(P348&lt;&gt;"",P348,""))</f>
        <v/>
      </c>
      <c r="O348" s="50" t="n"/>
      <c r="P348" s="50" t="n">
        <v>65</v>
      </c>
      <c r="Q348" s="50" t="n"/>
      <c r="R348" s="50" t="n"/>
      <c r="S348" s="28">
        <f>IF(Q348="","",IF(Q348&lt;0,"negative profit",IF(Q348&gt;Notes!$B$4,"unusually high - verify","")))</f>
        <v/>
      </c>
      <c r="T348" s="28" t="inlineStr">
        <is>
          <t>Fandom</t>
        </is>
      </c>
      <c r="U348" s="28">
        <f>IF(T348&lt;&gt;"both",T348&amp;" only",IF(V348="","agree","conflict"))</f>
        <v/>
      </c>
      <c r="V348" s="28">
        <f>IF(T348="both",TRIM(IF(AND(E348&lt;&gt;"",F348&lt;&gt;"",E348&lt;&gt;F348),"level ","")&amp;IF(AND(L348&lt;&gt;"",M348&lt;&gt;"",L348&lt;&gt;M348),"price ","")&amp;IF(AND(O348&lt;&gt;"",P348&lt;&gt;"",O348&lt;&gt;P348),"xp ","")&amp;IF(J348="differs","time","")),"")</f>
        <v/>
      </c>
      <c r="X348" s="50" t="inlineStr">
        <is>
          <t>Rice x15; Mussel Meat x4; Soy Sauce x1</t>
        </is>
      </c>
      <c r="Y348" s="50" t="inlineStr">
        <is>
          <t>Mussel Nigiri.png</t>
        </is>
      </c>
      <c r="Z348" s="50" t="inlineStr">
        <is>
          <t>icons/Sushi Bar/Mussel Nigiri.png</t>
        </is>
      </c>
      <c r="AA348" s="28" t="inlineStr">
        <is>
          <t>Hay Day Wiki infobox via MediaWiki API (2026-10-13)</t>
        </is>
      </c>
      <c r="AB348" s="28" t="inlineStr">
        <is>
          <t>https://hayday.fandom.com/wiki/Mussel_Nigiri</t>
        </is>
      </c>
      <c r="AC348" s="50" t="n"/>
    </row>
    <row r="349">
      <c r="A349" s="28" t="inlineStr">
        <is>
          <t>Taco</t>
        </is>
      </c>
      <c r="B349" s="28" t="inlineStr">
        <is>
          <t>Taco Kitchen</t>
        </is>
      </c>
      <c r="C349" s="50" t="inlineStr">
        <is>
          <t>Product</t>
        </is>
      </c>
      <c r="D349" s="28">
        <f>IF(E349&lt;&gt;"",E349,IF(F349&lt;&gt;"",F349,""))</f>
        <v/>
      </c>
      <c r="E349" s="50" t="n">
        <v>77</v>
      </c>
      <c r="F349" s="50" t="n">
        <v>77</v>
      </c>
      <c r="G349" s="50" t="n">
        <v>38</v>
      </c>
      <c r="H349" s="50" t="n">
        <v>45</v>
      </c>
      <c r="I349" s="50" t="n">
        <v>38</v>
      </c>
      <c r="J349" s="28">
        <f>IF(OR(G349="",AND(H349="",I349="")),"n/a",IF(G349=I349,"mastered",IF(G349=H349,"normal","differs")))</f>
        <v/>
      </c>
      <c r="K349" s="28">
        <f>IF(L349&lt;&gt;"",L349,IF(M349&lt;&gt;"",M349,""))</f>
        <v/>
      </c>
      <c r="L349" s="50" t="n">
        <v>396</v>
      </c>
      <c r="M349" s="50" t="n">
        <v>396</v>
      </c>
      <c r="N349" s="28">
        <f>IF(O349&lt;&gt;"",O349,IF(P349&lt;&gt;"",P349,""))</f>
        <v/>
      </c>
      <c r="O349" s="50" t="n">
        <v>47</v>
      </c>
      <c r="P349" s="50" t="n">
        <v>47</v>
      </c>
      <c r="Q349" s="50" t="n">
        <v>34.51</v>
      </c>
      <c r="R349" s="50" t="n">
        <v>73.73</v>
      </c>
      <c r="S349" s="28">
        <f>IF(Q349="","",IF(Q349&lt;0,"negative profit",IF(Q349&gt;Notes!$B$4,"unusually high - verify","")))</f>
        <v/>
      </c>
      <c r="T349" s="28" t="inlineStr">
        <is>
          <t>both</t>
        </is>
      </c>
      <c r="U349" s="28">
        <f>IF(T349&lt;&gt;"both",T349&amp;" only",IF(V349="","agree","conflict"))</f>
        <v/>
      </c>
      <c r="V349" s="28">
        <f>IF(T349="both",TRIM(IF(AND(E349&lt;&gt;"",F349&lt;&gt;"",E349&lt;&gt;F349),"level ","")&amp;IF(AND(L349&lt;&gt;"",M349&lt;&gt;"",L349&lt;&gt;M349),"price ","")&amp;IF(AND(O349&lt;&gt;"",P349&lt;&gt;"",O349&lt;&gt;P349),"xp ","")&amp;IF(J349="differs","time","")),"")</f>
        <v/>
      </c>
      <c r="W349" s="28" t="inlineStr">
        <is>
          <t>price 331 (machine page) vs 396 (product page)</t>
        </is>
      </c>
      <c r="X349" s="50" t="inlineStr">
        <is>
          <t>Corn Bread x1; Bacon x1; Salsa x1</t>
        </is>
      </c>
      <c r="Y349" s="50" t="inlineStr">
        <is>
          <t>Taco.png</t>
        </is>
      </c>
      <c r="Z349" s="50" t="inlineStr">
        <is>
          <t>icons/Taco Kitchen/Taco.png</t>
        </is>
      </c>
      <c r="AA349" s="28" t="inlineStr">
        <is>
          <t>hayday.info /api/production-data (2026-10-13) + Hay Day Wiki infobox via MediaWiki API (2026-10-13)</t>
        </is>
      </c>
      <c r="AB349" s="28" t="inlineStr">
        <is>
          <t>https://hayday.fandom.com/wiki/Taco</t>
        </is>
      </c>
      <c r="AC349" s="50" t="inlineStr">
        <is>
          <t>Taco</t>
        </is>
      </c>
    </row>
    <row r="350">
      <c r="A350" s="28" t="inlineStr">
        <is>
          <t>Fish Taco</t>
        </is>
      </c>
      <c r="B350" s="28" t="inlineStr">
        <is>
          <t>Taco Kitchen</t>
        </is>
      </c>
      <c r="C350" s="50" t="inlineStr">
        <is>
          <t>Product</t>
        </is>
      </c>
      <c r="D350" s="28">
        <f>IF(E350&lt;&gt;"",E350,IF(F350&lt;&gt;"",F350,""))</f>
        <v/>
      </c>
      <c r="E350" s="50" t="n">
        <v>79</v>
      </c>
      <c r="F350" s="50" t="n">
        <v>79</v>
      </c>
      <c r="G350" s="50" t="n">
        <v>76</v>
      </c>
      <c r="H350" s="50" t="n">
        <v>90</v>
      </c>
      <c r="I350" s="50" t="n">
        <v>76</v>
      </c>
      <c r="J350" s="28">
        <f>IF(OR(G350="",AND(H350="",I350="")),"n/a",IF(G350=I350,"mastered",IF(G350=H350,"normal","differs")))</f>
        <v/>
      </c>
      <c r="K350" s="28">
        <f>IF(L350&lt;&gt;"",L350,IF(M350&lt;&gt;"",M350,""))</f>
        <v/>
      </c>
      <c r="L350" s="50" t="n">
        <v>392</v>
      </c>
      <c r="M350" s="50" t="n">
        <v>392</v>
      </c>
      <c r="N350" s="28">
        <f>IF(O350&lt;&gt;"",O350,IF(P350&lt;&gt;"",P350,""))</f>
        <v/>
      </c>
      <c r="O350" s="50" t="n">
        <v>47</v>
      </c>
      <c r="P350" s="50" t="n">
        <v>47</v>
      </c>
      <c r="Q350" s="50" t="n">
        <v>22.75</v>
      </c>
      <c r="R350" s="50" t="n">
        <v>36.86</v>
      </c>
      <c r="S350" s="28">
        <f>IF(Q350="","",IF(Q350&lt;0,"negative profit",IF(Q350&gt;Notes!$B$4,"unusually high - verify","")))</f>
        <v/>
      </c>
      <c r="T350" s="28" t="inlineStr">
        <is>
          <t>both</t>
        </is>
      </c>
      <c r="U350" s="28">
        <f>IF(T350&lt;&gt;"both",T350&amp;" only",IF(V350="","agree","conflict"))</f>
        <v/>
      </c>
      <c r="V350" s="28">
        <f>IF(T350="both",TRIM(IF(AND(E350&lt;&gt;"",F350&lt;&gt;"",E350&lt;&gt;F350),"level ","")&amp;IF(AND(L350&lt;&gt;"",M350&lt;&gt;"",L350&lt;&gt;M350),"price ","")&amp;IF(AND(O350&lt;&gt;"",P350&lt;&gt;"",O350&lt;&gt;P350),"xp ","")&amp;IF(J350="differs","time","")),"")</f>
        <v/>
      </c>
      <c r="X350" s="50" t="inlineStr">
        <is>
          <t>Chili Pepper x2; Corn Bread x2; Fish Fillet x1; Lemon x1</t>
        </is>
      </c>
      <c r="Y350" s="50" t="inlineStr">
        <is>
          <t>Fish Taco.png</t>
        </is>
      </c>
      <c r="Z350" s="50" t="inlineStr">
        <is>
          <t>icons/Taco Kitchen/Fish Taco.png</t>
        </is>
      </c>
      <c r="AA350" s="28" t="inlineStr">
        <is>
          <t>hayday.info /api/production-data (2026-10-13) + Hay Day Wiki infobox via MediaWiki API (2026-10-13)</t>
        </is>
      </c>
      <c r="AB350" s="28" t="inlineStr">
        <is>
          <t>https://hayday.fandom.com/wiki/Fish_Taco</t>
        </is>
      </c>
      <c r="AC350" s="50" t="inlineStr">
        <is>
          <t>Fish taco</t>
        </is>
      </c>
    </row>
    <row r="351">
      <c r="A351" s="28" t="inlineStr">
        <is>
          <t>Quesadilla</t>
        </is>
      </c>
      <c r="B351" s="28" t="inlineStr">
        <is>
          <t>Taco Kitchen</t>
        </is>
      </c>
      <c r="C351" s="50" t="inlineStr">
        <is>
          <t>Product</t>
        </is>
      </c>
      <c r="D351" s="28">
        <f>IF(E351&lt;&gt;"",E351,IF(F351&lt;&gt;"",F351,""))</f>
        <v/>
      </c>
      <c r="E351" s="50" t="n">
        <v>82</v>
      </c>
      <c r="F351" s="50" t="n">
        <v>82</v>
      </c>
      <c r="G351" s="50" t="n">
        <v>51</v>
      </c>
      <c r="H351" s="50" t="n">
        <v>60</v>
      </c>
      <c r="I351" s="50" t="n">
        <v>51</v>
      </c>
      <c r="J351" s="28">
        <f>IF(OR(G351="",AND(H351="",I351="")),"n/a",IF(G351=I351,"mastered",IF(G351=H351,"normal","differs")))</f>
        <v/>
      </c>
      <c r="K351" s="28">
        <f>IF(L351&lt;&gt;"",L351,IF(M351&lt;&gt;"",M351,""))</f>
        <v/>
      </c>
      <c r="L351" s="50" t="n">
        <v>241</v>
      </c>
      <c r="M351" s="50" t="n">
        <v>241</v>
      </c>
      <c r="N351" s="28">
        <f>IF(O351&lt;&gt;"",O351,IF(P351&lt;&gt;"",P351,""))</f>
        <v/>
      </c>
      <c r="O351" s="50" t="n">
        <v>29</v>
      </c>
      <c r="P351" s="50" t="n">
        <v>29</v>
      </c>
      <c r="Q351" s="50" t="n">
        <v>41.18</v>
      </c>
      <c r="R351" s="50" t="n">
        <v>34.12</v>
      </c>
      <c r="S351" s="28">
        <f>IF(Q351="","",IF(Q351&lt;0,"negative profit",IF(Q351&gt;Notes!$B$4,"unusually high - verify","")))</f>
        <v/>
      </c>
      <c r="T351" s="28" t="inlineStr">
        <is>
          <t>both</t>
        </is>
      </c>
      <c r="U351" s="28">
        <f>IF(T351&lt;&gt;"both",T351&amp;" only",IF(V351="","agree","conflict"))</f>
        <v/>
      </c>
      <c r="V351" s="28">
        <f>IF(T351="both",TRIM(IF(AND(E351&lt;&gt;"",F351&lt;&gt;"",E351&lt;&gt;F351),"level ","")&amp;IF(AND(L351&lt;&gt;"",M351&lt;&gt;"",L351&lt;&gt;M351),"price ","")&amp;IF(AND(O351&lt;&gt;"",P351&lt;&gt;"",O351&lt;&gt;P351),"xp ","")&amp;IF(J351="differs","time","")),"")</f>
        <v/>
      </c>
      <c r="X351" s="50" t="inlineStr">
        <is>
          <t>Cheese x1; Chili Pepper x2; Wheat x4</t>
        </is>
      </c>
      <c r="Y351" s="50" t="inlineStr">
        <is>
          <t>Quesadilla.png</t>
        </is>
      </c>
      <c r="Z351" s="50" t="inlineStr">
        <is>
          <t>icons/Taco Kitchen/Quesadilla.png</t>
        </is>
      </c>
      <c r="AA351" s="28" t="inlineStr">
        <is>
          <t>hayday.info /api/production-data (2026-10-13) + Hay Day Wiki infobox via MediaWiki API (2026-10-13)</t>
        </is>
      </c>
      <c r="AB351" s="28" t="inlineStr">
        <is>
          <t>https://hayday.fandom.com/wiki/Quesadilla</t>
        </is>
      </c>
      <c r="AC351" s="50" t="inlineStr">
        <is>
          <t>Quesadilla</t>
        </is>
      </c>
    </row>
    <row r="352">
      <c r="A352" s="28" t="inlineStr">
        <is>
          <t>Nachos</t>
        </is>
      </c>
      <c r="B352" s="28" t="inlineStr">
        <is>
          <t>Taco Kitchen</t>
        </is>
      </c>
      <c r="C352" s="50" t="inlineStr">
        <is>
          <t>Product</t>
        </is>
      </c>
      <c r="D352" s="28">
        <f>IF(E352&lt;&gt;"",E352,IF(F352&lt;&gt;"",F352,""))</f>
        <v/>
      </c>
      <c r="E352" s="50" t="n">
        <v>87</v>
      </c>
      <c r="F352" s="50" t="n">
        <v>87</v>
      </c>
      <c r="G352" s="50" t="n">
        <v>63</v>
      </c>
      <c r="H352" s="50" t="n">
        <v>75</v>
      </c>
      <c r="I352" s="50" t="n">
        <v>63</v>
      </c>
      <c r="J352" s="28">
        <f>IF(OR(G352="",AND(H352="",I352="")),"n/a",IF(G352=I352,"mastered",IF(G352=H352,"normal","differs")))</f>
        <v/>
      </c>
      <c r="K352" s="28">
        <f>IF(L352&lt;&gt;"",L352,IF(M352&lt;&gt;"",M352,""))</f>
        <v/>
      </c>
      <c r="L352" s="50" t="n">
        <v>432</v>
      </c>
      <c r="M352" s="50" t="n">
        <v>432</v>
      </c>
      <c r="N352" s="28">
        <f>IF(O352&lt;&gt;"",O352,IF(P352&lt;&gt;"",P352,""))</f>
        <v/>
      </c>
      <c r="O352" s="50" t="n">
        <v>52</v>
      </c>
      <c r="P352" s="50" t="n">
        <v>52</v>
      </c>
      <c r="Q352" s="50" t="n">
        <v>28.24</v>
      </c>
      <c r="R352" s="50" t="n">
        <v>48.94</v>
      </c>
      <c r="S352" s="28">
        <f>IF(Q352="","",IF(Q352&lt;0,"negative profit",IF(Q352&gt;Notes!$B$4,"unusually high - verify","")))</f>
        <v/>
      </c>
      <c r="T352" s="28" t="inlineStr">
        <is>
          <t>both</t>
        </is>
      </c>
      <c r="U352" s="28">
        <f>IF(T352&lt;&gt;"both",T352&amp;" only",IF(V352="","agree","conflict"))</f>
        <v/>
      </c>
      <c r="V352" s="28">
        <f>IF(T352="both",TRIM(IF(AND(E352&lt;&gt;"",F352&lt;&gt;"",E352&lt;&gt;F352),"level ","")&amp;IF(AND(L352&lt;&gt;"",M352&lt;&gt;"",L352&lt;&gt;M352),"price ","")&amp;IF(AND(O352&lt;&gt;"",P352&lt;&gt;"",O352&lt;&gt;P352),"xp ","")&amp;IF(J352="differs","time","")),"")</f>
        <v/>
      </c>
      <c r="X352" s="50" t="inlineStr">
        <is>
          <t>Cheese x1; Corn x4; Salsa x1</t>
        </is>
      </c>
      <c r="Y352" s="50" t="inlineStr">
        <is>
          <t>Nachos.png</t>
        </is>
      </c>
      <c r="Z352" s="50" t="inlineStr">
        <is>
          <t>icons/Taco Kitchen/Nachos.png</t>
        </is>
      </c>
      <c r="AA352" s="28" t="inlineStr">
        <is>
          <t>hayday.info /api/production-data (2026-10-13) + Hay Day Wiki infobox via MediaWiki API (2026-10-13)</t>
        </is>
      </c>
      <c r="AB352" s="28" t="inlineStr">
        <is>
          <t>https://hayday.fandom.com/wiki/Nachos</t>
        </is>
      </c>
      <c r="AC352" s="50" t="inlineStr">
        <is>
          <t>Nachos</t>
        </is>
      </c>
    </row>
    <row r="353">
      <c r="A353" s="28" t="inlineStr">
        <is>
          <t>Spicy Bean Taco</t>
        </is>
      </c>
      <c r="B353" s="28" t="inlineStr">
        <is>
          <t>Taco Kitchen</t>
        </is>
      </c>
      <c r="C353" s="50" t="inlineStr">
        <is>
          <t>Product</t>
        </is>
      </c>
      <c r="D353" s="28">
        <f>IF(E353&lt;&gt;"",E353,IF(F353&lt;&gt;"",F353,""))</f>
        <v/>
      </c>
      <c r="E353" s="50" t="n"/>
      <c r="F353" s="50" t="n">
        <v>77</v>
      </c>
      <c r="G353" s="50" t="n"/>
      <c r="H353" s="50" t="n">
        <v>120</v>
      </c>
      <c r="I353" s="50" t="n">
        <v>102</v>
      </c>
      <c r="J353" s="28">
        <f>IF(OR(G353="",AND(H353="",I353="")),"n/a",IF(G353=I353,"mastered",IF(G353=H353,"normal","differs")))</f>
        <v/>
      </c>
      <c r="K353" s="28">
        <f>IF(L353&lt;&gt;"",L353,IF(M353&lt;&gt;"",M353,""))</f>
        <v/>
      </c>
      <c r="L353" s="50" t="n"/>
      <c r="M353" s="50" t="n">
        <v>453</v>
      </c>
      <c r="N353" s="28">
        <f>IF(O353&lt;&gt;"",O353,IF(P353&lt;&gt;"",P353,""))</f>
        <v/>
      </c>
      <c r="O353" s="50" t="n"/>
      <c r="P353" s="50" t="n">
        <v>54</v>
      </c>
      <c r="Q353" s="50" t="n"/>
      <c r="R353" s="50" t="n"/>
      <c r="S353" s="28">
        <f>IF(Q353="","",IF(Q353&lt;0,"negative profit",IF(Q353&gt;Notes!$B$4,"unusually high - verify","")))</f>
        <v/>
      </c>
      <c r="T353" s="28" t="inlineStr">
        <is>
          <t>Fandom</t>
        </is>
      </c>
      <c r="U353" s="28">
        <f>IF(T353&lt;&gt;"both",T353&amp;" only",IF(V353="","agree","conflict"))</f>
        <v/>
      </c>
      <c r="V353" s="28">
        <f>IF(T353="both",TRIM(IF(AND(E353&lt;&gt;"",F353&lt;&gt;"",E353&lt;&gt;F353),"level ","")&amp;IF(AND(L353&lt;&gt;"",M353&lt;&gt;"",L353&lt;&gt;M353),"price ","")&amp;IF(AND(O353&lt;&gt;"",P353&lt;&gt;"",O353&lt;&gt;P353),"xp ","")&amp;IF(J353="differs","time","")),"")</f>
        <v/>
      </c>
      <c r="X353" s="50" t="inlineStr">
        <is>
          <t>Taco x1; Black Bean x2</t>
        </is>
      </c>
      <c r="Y353" s="50" t="inlineStr">
        <is>
          <t>Spicy Bean Taco.png</t>
        </is>
      </c>
      <c r="Z353" s="50" t="inlineStr">
        <is>
          <t>icons/Taco Kitchen/Spicy Bean Taco.png</t>
        </is>
      </c>
      <c r="AA353" s="28" t="inlineStr">
        <is>
          <t>Hay Day Wiki infobox via MediaWiki API (2026-10-13)</t>
        </is>
      </c>
      <c r="AB353" s="28" t="inlineStr">
        <is>
          <t>https://hayday.fandom.com/wiki/Spicy_Bean_Taco</t>
        </is>
      </c>
      <c r="AC353" s="50" t="n"/>
    </row>
    <row r="354">
      <c r="A354" s="28" t="inlineStr">
        <is>
          <t>Green Tea</t>
        </is>
      </c>
      <c r="B354" s="28" t="inlineStr">
        <is>
          <t>Tea Stand</t>
        </is>
      </c>
      <c r="C354" s="50" t="inlineStr">
        <is>
          <t>Product</t>
        </is>
      </c>
      <c r="D354" s="28">
        <f>IF(E354&lt;&gt;"",E354,IF(F354&lt;&gt;"",F354,""))</f>
        <v/>
      </c>
      <c r="E354" s="50" t="n">
        <v>80</v>
      </c>
      <c r="F354" s="50" t="n">
        <v>80</v>
      </c>
      <c r="G354" s="50" t="n">
        <v>25</v>
      </c>
      <c r="H354" s="50" t="n">
        <v>30</v>
      </c>
      <c r="I354" s="50" t="n">
        <v>25</v>
      </c>
      <c r="J354" s="28">
        <f>IF(OR(G354="",AND(H354="",I354="")),"n/a",IF(G354=I354,"mastered",IF(G354=H354,"normal","differs")))</f>
        <v/>
      </c>
      <c r="K354" s="28">
        <f>IF(L354&lt;&gt;"",L354,IF(M354&lt;&gt;"",M354,""))</f>
        <v/>
      </c>
      <c r="L354" s="50" t="n">
        <v>241</v>
      </c>
      <c r="M354" s="50" t="n">
        <v>241</v>
      </c>
      <c r="N354" s="28">
        <f>IF(O354&lt;&gt;"",O354,IF(P354&lt;&gt;"",P354,""))</f>
        <v/>
      </c>
      <c r="O354" s="50" t="n">
        <v>29</v>
      </c>
      <c r="P354" s="50" t="n">
        <v>29</v>
      </c>
      <c r="Q354" s="50" t="n">
        <v>61.18</v>
      </c>
      <c r="R354" s="50" t="n">
        <v>68.23999999999999</v>
      </c>
      <c r="S354" s="28">
        <f>IF(Q354="","",IF(Q354&lt;0,"negative profit",IF(Q354&gt;Notes!$B$4,"unusually high - verify","")))</f>
        <v/>
      </c>
      <c r="T354" s="28" t="inlineStr">
        <is>
          <t>both</t>
        </is>
      </c>
      <c r="U354" s="28">
        <f>IF(T354&lt;&gt;"both",T354&amp;" only",IF(V354="","agree","conflict"))</f>
        <v/>
      </c>
      <c r="V354" s="28">
        <f>IF(T354="both",TRIM(IF(AND(E354&lt;&gt;"",F354&lt;&gt;"",E354&lt;&gt;F354),"level ","")&amp;IF(AND(L354&lt;&gt;"",M354&lt;&gt;"",L354&lt;&gt;M354),"price ","")&amp;IF(AND(O354&lt;&gt;"",P354&lt;&gt;"",O354&lt;&gt;P354),"xp ","")&amp;IF(J354="differs","time","")),"")</f>
        <v/>
      </c>
      <c r="X354" s="50" t="inlineStr">
        <is>
          <t>Tea Leaf x5</t>
        </is>
      </c>
      <c r="Y354" s="50" t="inlineStr">
        <is>
          <t>Green Tea.png</t>
        </is>
      </c>
      <c r="Z354" s="50" t="inlineStr">
        <is>
          <t>icons/Tea Stand/Green Tea.png</t>
        </is>
      </c>
      <c r="AA354" s="28" t="inlineStr">
        <is>
          <t>hayday.info /api/production-data (2026-10-13) + Hay Day Wiki infobox via MediaWiki API (2026-10-13)</t>
        </is>
      </c>
      <c r="AB354" s="28" t="inlineStr">
        <is>
          <t>https://hayday.fandom.com/wiki/Green_Tea</t>
        </is>
      </c>
      <c r="AC354" s="50" t="inlineStr">
        <is>
          <t>Green tea</t>
        </is>
      </c>
    </row>
    <row r="355">
      <c r="A355" s="28" t="inlineStr">
        <is>
          <t>Milk Tea</t>
        </is>
      </c>
      <c r="B355" s="28" t="inlineStr">
        <is>
          <t>Tea Stand</t>
        </is>
      </c>
      <c r="C355" s="50" t="inlineStr">
        <is>
          <t>Product</t>
        </is>
      </c>
      <c r="D355" s="28">
        <f>IF(E355&lt;&gt;"",E355,IF(F355&lt;&gt;"",F355,""))</f>
        <v/>
      </c>
      <c r="E355" s="50" t="n">
        <v>81</v>
      </c>
      <c r="F355" s="50" t="n">
        <v>81</v>
      </c>
      <c r="G355" s="50" t="n">
        <v>38</v>
      </c>
      <c r="H355" s="50" t="n">
        <v>45</v>
      </c>
      <c r="I355" s="50" t="n">
        <v>38</v>
      </c>
      <c r="J355" s="28">
        <f>IF(OR(G355="",AND(H355="",I355="")),"n/a",IF(G355=I355,"mastered",IF(G355=H355,"normal","differs")))</f>
        <v/>
      </c>
      <c r="K355" s="28">
        <f>IF(L355&lt;&gt;"",L355,IF(M355&lt;&gt;"",M355,""))</f>
        <v/>
      </c>
      <c r="L355" s="50" t="n">
        <v>190</v>
      </c>
      <c r="M355" s="50" t="n">
        <v>190</v>
      </c>
      <c r="N355" s="28">
        <f>IF(O355&lt;&gt;"",O355,IF(P355&lt;&gt;"",P355,""))</f>
        <v/>
      </c>
      <c r="O355" s="50" t="n">
        <v>23</v>
      </c>
      <c r="P355" s="50" t="n">
        <v>23</v>
      </c>
      <c r="Q355" s="50" t="n">
        <v>45.49</v>
      </c>
      <c r="R355" s="50" t="n">
        <v>36.08</v>
      </c>
      <c r="S355" s="28">
        <f>IF(Q355="","",IF(Q355&lt;0,"negative profit",IF(Q355&gt;Notes!$B$4,"unusually high - verify","")))</f>
        <v/>
      </c>
      <c r="T355" s="28" t="inlineStr">
        <is>
          <t>both</t>
        </is>
      </c>
      <c r="U355" s="28">
        <f>IF(T355&lt;&gt;"both",T355&amp;" only",IF(V355="","agree","conflict"))</f>
        <v/>
      </c>
      <c r="V355" s="28">
        <f>IF(T355="both",TRIM(IF(AND(E355&lt;&gt;"",F355&lt;&gt;"",E355&lt;&gt;F355),"level ","")&amp;IF(AND(L355&lt;&gt;"",M355&lt;&gt;"",L355&lt;&gt;M355),"price ","")&amp;IF(AND(O355&lt;&gt;"",P355&lt;&gt;"",O355&lt;&gt;P355),"xp ","")&amp;IF(J355="differs","time","")),"")</f>
        <v/>
      </c>
      <c r="X355" s="50" t="inlineStr">
        <is>
          <t>Milk x1; Tea Leaf x3</t>
        </is>
      </c>
      <c r="Y355" s="50" t="inlineStr">
        <is>
          <t>Milk Tea.png</t>
        </is>
      </c>
      <c r="Z355" s="50" t="inlineStr">
        <is>
          <t>icons/Tea Stand/Milk Tea.png</t>
        </is>
      </c>
      <c r="AA355" s="28" t="inlineStr">
        <is>
          <t>hayday.info /api/production-data (2026-10-13) + Hay Day Wiki infobox via MediaWiki API (2026-10-13)</t>
        </is>
      </c>
      <c r="AB355" s="28" t="inlineStr">
        <is>
          <t>https://hayday.fandom.com/wiki/Milk_Tea</t>
        </is>
      </c>
      <c r="AC355" s="50" t="inlineStr">
        <is>
          <t>Milk tea</t>
        </is>
      </c>
    </row>
    <row r="356">
      <c r="A356" s="28" t="inlineStr">
        <is>
          <t>Honey Tea</t>
        </is>
      </c>
      <c r="B356" s="28" t="inlineStr">
        <is>
          <t>Tea Stand</t>
        </is>
      </c>
      <c r="C356" s="50" t="inlineStr">
        <is>
          <t>Product</t>
        </is>
      </c>
      <c r="D356" s="28">
        <f>IF(E356&lt;&gt;"",E356,IF(F356&lt;&gt;"",F356,""))</f>
        <v/>
      </c>
      <c r="E356" s="50" t="n">
        <v>83</v>
      </c>
      <c r="F356" s="50" t="n">
        <v>83</v>
      </c>
      <c r="G356" s="50" t="n">
        <v>34</v>
      </c>
      <c r="H356" s="50" t="n">
        <v>40</v>
      </c>
      <c r="I356" s="50" t="n">
        <v>34</v>
      </c>
      <c r="J356" s="28">
        <f>IF(OR(G356="",AND(H356="",I356="")),"n/a",IF(G356=I356,"mastered",IF(G356=H356,"normal","differs")))</f>
        <v/>
      </c>
      <c r="K356" s="28">
        <f>IF(L356&lt;&gt;"",L356,IF(M356&lt;&gt;"",M356,""))</f>
        <v/>
      </c>
      <c r="L356" s="50" t="n">
        <v>313</v>
      </c>
      <c r="M356" s="50" t="n">
        <v>313</v>
      </c>
      <c r="N356" s="28">
        <f>IF(O356&lt;&gt;"",O356,IF(P356&lt;&gt;"",P356,""))</f>
        <v/>
      </c>
      <c r="O356" s="50" t="n">
        <v>37</v>
      </c>
      <c r="P356" s="50" t="n">
        <v>37</v>
      </c>
      <c r="Q356" s="50" t="n">
        <v>52.94</v>
      </c>
      <c r="R356" s="50" t="n">
        <v>65.29000000000001</v>
      </c>
      <c r="S356" s="28">
        <f>IF(Q356="","",IF(Q356&lt;0,"negative profit",IF(Q356&gt;Notes!$B$4,"unusually high - verify","")))</f>
        <v/>
      </c>
      <c r="T356" s="28" t="inlineStr">
        <is>
          <t>both</t>
        </is>
      </c>
      <c r="U356" s="28">
        <f>IF(T356&lt;&gt;"both",T356&amp;" only",IF(V356="","agree","conflict"))</f>
        <v/>
      </c>
      <c r="V356" s="28">
        <f>IF(T356="both",TRIM(IF(AND(E356&lt;&gt;"",F356&lt;&gt;"",E356&lt;&gt;F356),"level ","")&amp;IF(AND(L356&lt;&gt;"",M356&lt;&gt;"",L356&lt;&gt;M356),"price ","")&amp;IF(AND(O356&lt;&gt;"",P356&lt;&gt;"",O356&lt;&gt;P356),"xp ","")&amp;IF(J356="differs","time","")),"")</f>
        <v/>
      </c>
      <c r="X356" s="50" t="inlineStr">
        <is>
          <t>Honey x1; Tea Leaf x3</t>
        </is>
      </c>
      <c r="Y356" s="50" t="inlineStr">
        <is>
          <t>Honey Tea.png</t>
        </is>
      </c>
      <c r="Z356" s="50" t="inlineStr">
        <is>
          <t>icons/Tea Stand/Honey Tea.png</t>
        </is>
      </c>
      <c r="AA356" s="28" t="inlineStr">
        <is>
          <t>hayday.info /api/production-data (2026-10-13) + Hay Day Wiki infobox via MediaWiki API (2026-10-13)</t>
        </is>
      </c>
      <c r="AB356" s="28" t="inlineStr">
        <is>
          <t>https://hayday.fandom.com/wiki/Honey_Tea</t>
        </is>
      </c>
      <c r="AC356" s="50" t="inlineStr">
        <is>
          <t>Honey tea</t>
        </is>
      </c>
    </row>
    <row r="357">
      <c r="A357" s="28" t="inlineStr">
        <is>
          <t>Lemon Tea</t>
        </is>
      </c>
      <c r="B357" s="28" t="inlineStr">
        <is>
          <t>Tea Stand</t>
        </is>
      </c>
      <c r="C357" s="50" t="inlineStr">
        <is>
          <t>Product</t>
        </is>
      </c>
      <c r="D357" s="28">
        <f>IF(E357&lt;&gt;"",E357,IF(F357&lt;&gt;"",F357,""))</f>
        <v/>
      </c>
      <c r="E357" s="50" t="n">
        <v>86</v>
      </c>
      <c r="F357" s="50" t="n">
        <v>86</v>
      </c>
      <c r="G357" s="50" t="n">
        <v>17</v>
      </c>
      <c r="H357" s="50" t="n">
        <v>20</v>
      </c>
      <c r="I357" s="50" t="n">
        <v>17</v>
      </c>
      <c r="J357" s="28">
        <f>IF(OR(G357="",AND(H357="",I357="")),"n/a",IF(G357=I357,"mastered",IF(G357=H357,"normal","differs")))</f>
        <v/>
      </c>
      <c r="K357" s="28">
        <f>IF(L357&lt;&gt;"",L357,IF(M357&lt;&gt;"",M357,""))</f>
        <v/>
      </c>
      <c r="L357" s="50" t="n">
        <v>241</v>
      </c>
      <c r="M357" s="50" t="n">
        <v>241</v>
      </c>
      <c r="N357" s="28">
        <f>IF(O357&lt;&gt;"",O357,IF(P357&lt;&gt;"",P357,""))</f>
        <v/>
      </c>
      <c r="O357" s="50" t="n">
        <v>29</v>
      </c>
      <c r="P357" s="50" t="n">
        <v>29</v>
      </c>
      <c r="Q357" s="50" t="n">
        <v>67.06</v>
      </c>
      <c r="R357" s="50" t="n">
        <v>102.35</v>
      </c>
      <c r="S357" s="28">
        <f>IF(Q357="","",IF(Q357&lt;0,"negative profit",IF(Q357&gt;Notes!$B$4,"unusually high - verify","")))</f>
        <v/>
      </c>
      <c r="T357" s="28" t="inlineStr">
        <is>
          <t>both</t>
        </is>
      </c>
      <c r="U357" s="28">
        <f>IF(T357&lt;&gt;"both",T357&amp;" only",IF(V357="","agree","conflict"))</f>
        <v/>
      </c>
      <c r="V357" s="28">
        <f>IF(T357="both",TRIM(IF(AND(E357&lt;&gt;"",F357&lt;&gt;"",E357&lt;&gt;F357),"level ","")&amp;IF(AND(L357&lt;&gt;"",M357&lt;&gt;"",L357&lt;&gt;M357),"price ","")&amp;IF(AND(O357&lt;&gt;"",P357&lt;&gt;"",O357&lt;&gt;P357),"xp ","")&amp;IF(J357="differs","time","")),"")</f>
        <v/>
      </c>
      <c r="X357" s="50" t="inlineStr">
        <is>
          <t>Lemon x1; Tea Leaf x3</t>
        </is>
      </c>
      <c r="Y357" s="50" t="inlineStr">
        <is>
          <t>Lemon Tea.png</t>
        </is>
      </c>
      <c r="Z357" s="50" t="inlineStr">
        <is>
          <t>icons/Tea Stand/Lemon Tea.png</t>
        </is>
      </c>
      <c r="AA357" s="28" t="inlineStr">
        <is>
          <t>hayday.info /api/production-data (2026-10-13) + Hay Day Wiki infobox via MediaWiki API (2026-10-13)</t>
        </is>
      </c>
      <c r="AB357" s="28" t="inlineStr">
        <is>
          <t>https://hayday.fandom.com/wiki/Lemon_Tea</t>
        </is>
      </c>
      <c r="AC357" s="50" t="inlineStr">
        <is>
          <t>Lemon tea</t>
        </is>
      </c>
    </row>
    <row r="358">
      <c r="A358" s="28" t="inlineStr">
        <is>
          <t>Apple Ginger Tea</t>
        </is>
      </c>
      <c r="B358" s="28" t="inlineStr">
        <is>
          <t>Tea Stand</t>
        </is>
      </c>
      <c r="C358" s="50" t="inlineStr">
        <is>
          <t>Product</t>
        </is>
      </c>
      <c r="D358" s="28">
        <f>IF(E358&lt;&gt;"",E358,IF(F358&lt;&gt;"",F358,""))</f>
        <v/>
      </c>
      <c r="E358" s="50" t="n">
        <v>88</v>
      </c>
      <c r="F358" s="50" t="n">
        <v>88</v>
      </c>
      <c r="G358" s="50" t="n">
        <v>25</v>
      </c>
      <c r="H358" s="50" t="n">
        <v>30</v>
      </c>
      <c r="I358" s="50" t="n">
        <v>25</v>
      </c>
      <c r="J358" s="28">
        <f>IF(OR(G358="",AND(H358="",I358="")),"n/a",IF(G358=I358,"mastered",IF(G358=H358,"normal","differs")))</f>
        <v/>
      </c>
      <c r="K358" s="28">
        <f>IF(L358&lt;&gt;"",L358,IF(M358&lt;&gt;"",M358,""))</f>
        <v/>
      </c>
      <c r="L358" s="50" t="n">
        <v>169</v>
      </c>
      <c r="M358" s="50" t="n">
        <v>169</v>
      </c>
      <c r="N358" s="28">
        <f>IF(O358&lt;&gt;"",O358,IF(P358&lt;&gt;"",P358,""))</f>
        <v/>
      </c>
      <c r="O358" s="50" t="n">
        <v>20</v>
      </c>
      <c r="P358" s="50" t="n">
        <v>20</v>
      </c>
      <c r="Q358" s="50" t="n">
        <v>47.06</v>
      </c>
      <c r="R358" s="50" t="n">
        <v>47.06</v>
      </c>
      <c r="S358" s="28">
        <f>IF(Q358="","",IF(Q358&lt;0,"negative profit",IF(Q358&gt;Notes!$B$4,"unusually high - verify","")))</f>
        <v/>
      </c>
      <c r="T358" s="28" t="inlineStr">
        <is>
          <t>both</t>
        </is>
      </c>
      <c r="U358" s="28">
        <f>IF(T358&lt;&gt;"both",T358&amp;" only",IF(V358="","agree","conflict"))</f>
        <v/>
      </c>
      <c r="V358" s="28">
        <f>IF(T358="both",TRIM(IF(AND(E358&lt;&gt;"",F358&lt;&gt;"",E358&lt;&gt;F358),"level ","")&amp;IF(AND(L358&lt;&gt;"",M358&lt;&gt;"",L358&lt;&gt;M358),"price ","")&amp;IF(AND(O358&lt;&gt;"",P358&lt;&gt;"",O358&lt;&gt;P358),"xp ","")&amp;IF(J358="differs","time","")),"")</f>
        <v/>
      </c>
      <c r="X358" s="50" t="inlineStr">
        <is>
          <t>Ginger x1; Apple x2; Tea Leaf x1</t>
        </is>
      </c>
      <c r="Y358" s="50" t="inlineStr">
        <is>
          <t>Apple Ginger Tea.png</t>
        </is>
      </c>
      <c r="Z358" s="50" t="inlineStr">
        <is>
          <t>icons/Tea Stand/Apple Ginger Tea.png</t>
        </is>
      </c>
      <c r="AA358" s="28" t="inlineStr">
        <is>
          <t>hayday.info /api/production-data (2026-10-13) + Hay Day Wiki infobox via MediaWiki API (2026-10-13)</t>
        </is>
      </c>
      <c r="AB358" s="28" t="inlineStr">
        <is>
          <t>https://hayday.fandom.com/wiki/Apple_Ginger_Tea</t>
        </is>
      </c>
      <c r="AC358" s="50" t="inlineStr">
        <is>
          <t>Apple ginger tea</t>
        </is>
      </c>
    </row>
    <row r="359">
      <c r="A359" s="28" t="inlineStr">
        <is>
          <t>Orange Tea</t>
        </is>
      </c>
      <c r="B359" s="28" t="inlineStr">
        <is>
          <t>Tea Stand</t>
        </is>
      </c>
      <c r="C359" s="50" t="inlineStr">
        <is>
          <t>Product</t>
        </is>
      </c>
      <c r="D359" s="28">
        <f>IF(E359&lt;&gt;"",E359,IF(F359&lt;&gt;"",F359,""))</f>
        <v/>
      </c>
      <c r="E359" s="50" t="n">
        <v>89</v>
      </c>
      <c r="F359" s="50" t="n">
        <v>89</v>
      </c>
      <c r="G359" s="50" t="n">
        <v>34</v>
      </c>
      <c r="H359" s="50" t="n">
        <v>40</v>
      </c>
      <c r="I359" s="50" t="n">
        <v>34</v>
      </c>
      <c r="J359" s="28">
        <f>IF(OR(G359="",AND(H359="",I359="")),"n/a",IF(G359=I359,"mastered",IF(G359=H359,"normal","differs")))</f>
        <v/>
      </c>
      <c r="K359" s="28">
        <f>IF(L359&lt;&gt;"",L359,IF(M359&lt;&gt;"",M359,""))</f>
        <v/>
      </c>
      <c r="L359" s="50" t="n">
        <v>255</v>
      </c>
      <c r="M359" s="50" t="n">
        <v>255</v>
      </c>
      <c r="N359" s="28">
        <f>IF(O359&lt;&gt;"",O359,IF(P359&lt;&gt;"",P359,""))</f>
        <v/>
      </c>
      <c r="O359" s="50" t="n">
        <v>30</v>
      </c>
      <c r="P359" s="50" t="n">
        <v>30</v>
      </c>
      <c r="Q359" s="50" t="n">
        <v>51.18</v>
      </c>
      <c r="R359" s="50" t="n">
        <v>52.94</v>
      </c>
      <c r="S359" s="28">
        <f>IF(Q359="","",IF(Q359&lt;0,"negative profit",IF(Q359&gt;Notes!$B$4,"unusually high - verify","")))</f>
        <v/>
      </c>
      <c r="T359" s="28" t="inlineStr">
        <is>
          <t>both</t>
        </is>
      </c>
      <c r="U359" s="28">
        <f>IF(T359&lt;&gt;"both",T359&amp;" only",IF(V359="","agree","conflict"))</f>
        <v/>
      </c>
      <c r="V359" s="28">
        <f>IF(T359="both",TRIM(IF(AND(E359&lt;&gt;"",F359&lt;&gt;"",E359&lt;&gt;F359),"level ","")&amp;IF(AND(L359&lt;&gt;"",M359&lt;&gt;"",L359&lt;&gt;M359),"price ","")&amp;IF(AND(O359&lt;&gt;"",P359&lt;&gt;"",O359&lt;&gt;P359),"xp ","")&amp;IF(J359="differs","time","")),"")</f>
        <v/>
      </c>
      <c r="X359" s="50" t="inlineStr">
        <is>
          <t>Orange x1; Tea Leaf x3</t>
        </is>
      </c>
      <c r="Y359" s="50" t="inlineStr">
        <is>
          <t>Orange Tea.png</t>
        </is>
      </c>
      <c r="Z359" s="50" t="inlineStr">
        <is>
          <t>icons/Tea Stand/Orange Tea.png</t>
        </is>
      </c>
      <c r="AA359" s="28" t="inlineStr">
        <is>
          <t>hayday.info /api/production-data (2026-10-13) + Hay Day Wiki infobox via MediaWiki API (2026-10-13)</t>
        </is>
      </c>
      <c r="AB359" s="28" t="inlineStr">
        <is>
          <t>https://hayday.fandom.com/wiki/Orange_Tea</t>
        </is>
      </c>
      <c r="AC359" s="50" t="inlineStr">
        <is>
          <t>Orange tea</t>
        </is>
      </c>
    </row>
    <row r="360">
      <c r="A360" s="28" t="inlineStr">
        <is>
          <t>Iced Tea</t>
        </is>
      </c>
      <c r="B360" s="28" t="inlineStr">
        <is>
          <t>Tea Stand</t>
        </is>
      </c>
      <c r="C360" s="50" t="inlineStr">
        <is>
          <t>Product</t>
        </is>
      </c>
      <c r="D360" s="28">
        <f>IF(E360&lt;&gt;"",E360,IF(F360&lt;&gt;"",F360,""))</f>
        <v/>
      </c>
      <c r="E360" s="50" t="n">
        <v>92</v>
      </c>
      <c r="F360" s="50" t="n">
        <v>92</v>
      </c>
      <c r="G360" s="50" t="n">
        <v>25</v>
      </c>
      <c r="H360" s="50" t="n">
        <v>30</v>
      </c>
      <c r="I360" s="50" t="n">
        <v>25</v>
      </c>
      <c r="J360" s="28">
        <f>IF(OR(G360="",AND(H360="",I360="")),"n/a",IF(G360=I360,"mastered",IF(G360=H360,"normal","differs")))</f>
        <v/>
      </c>
      <c r="K360" s="28">
        <f>IF(L360&lt;&gt;"",L360,IF(M360&lt;&gt;"",M360,""))</f>
        <v/>
      </c>
      <c r="L360" s="50" t="n">
        <v>252</v>
      </c>
      <c r="M360" s="50" t="n">
        <v>252</v>
      </c>
      <c r="N360" s="28">
        <f>IF(O360&lt;&gt;"",O360,IF(P360&lt;&gt;"",P360,""))</f>
        <v/>
      </c>
      <c r="O360" s="50" t="n">
        <v>30</v>
      </c>
      <c r="P360" s="50" t="n">
        <v>30</v>
      </c>
      <c r="Q360" s="50" t="n">
        <v>54.12</v>
      </c>
      <c r="R360" s="50" t="n">
        <v>70.59</v>
      </c>
      <c r="S360" s="28">
        <f>IF(Q360="","",IF(Q360&lt;0,"negative profit",IF(Q360&gt;Notes!$B$4,"unusually high - verify","")))</f>
        <v/>
      </c>
      <c r="T360" s="28" t="inlineStr">
        <is>
          <t>both</t>
        </is>
      </c>
      <c r="U360" s="28">
        <f>IF(T360&lt;&gt;"both",T360&amp;" only",IF(V360="","agree","conflict"))</f>
        <v/>
      </c>
      <c r="V360" s="28">
        <f>IF(T360="both",TRIM(IF(AND(E360&lt;&gt;"",F360&lt;&gt;"",E360&lt;&gt;F360),"level ","")&amp;IF(AND(L360&lt;&gt;"",M360&lt;&gt;"",L360&lt;&gt;M360),"price ","")&amp;IF(AND(O360&lt;&gt;"",P360&lt;&gt;"",O360&lt;&gt;P360),"xp ","")&amp;IF(J360="differs","time","")),"")</f>
        <v/>
      </c>
      <c r="X360" s="50" t="inlineStr">
        <is>
          <t>Peach x1; Tea Leaf x3</t>
        </is>
      </c>
      <c r="Y360" s="50" t="inlineStr">
        <is>
          <t>Iced Tea.png</t>
        </is>
      </c>
      <c r="Z360" s="50" t="inlineStr">
        <is>
          <t>icons/Tea Stand/Iced Tea.png</t>
        </is>
      </c>
      <c r="AA360" s="28" t="inlineStr">
        <is>
          <t>hayday.info /api/production-data (2026-10-13) + Hay Day Wiki infobox via MediaWiki API (2026-10-13)</t>
        </is>
      </c>
      <c r="AB360" s="28" t="inlineStr">
        <is>
          <t>https://hayday.fandom.com/wiki/Iced_Tea</t>
        </is>
      </c>
      <c r="AC360" s="50" t="inlineStr">
        <is>
          <t>Iced tea</t>
        </is>
      </c>
    </row>
    <row r="361">
      <c r="A361" s="28" t="inlineStr">
        <is>
          <t>Mint Tea</t>
        </is>
      </c>
      <c r="B361" s="28" t="inlineStr">
        <is>
          <t>Tea Stand</t>
        </is>
      </c>
      <c r="C361" s="50" t="inlineStr">
        <is>
          <t>Product</t>
        </is>
      </c>
      <c r="D361" s="28">
        <f>IF(E361&lt;&gt;"",E361,IF(F361&lt;&gt;"",F361,""))</f>
        <v/>
      </c>
      <c r="E361" s="50" t="n">
        <v>97</v>
      </c>
      <c r="F361" s="50" t="n">
        <v>97</v>
      </c>
      <c r="G361" s="50" t="n">
        <v>29</v>
      </c>
      <c r="H361" s="50" t="n">
        <v>35</v>
      </c>
      <c r="I361" s="50" t="n">
        <v>29</v>
      </c>
      <c r="J361" s="28">
        <f>IF(OR(G361="",AND(H361="",I361="")),"n/a",IF(G361=I361,"mastered",IF(G361=H361,"normal","differs")))</f>
        <v/>
      </c>
      <c r="K361" s="28">
        <f>IF(L361&lt;&gt;"",L361,IF(M361&lt;&gt;"",M361,""))</f>
        <v/>
      </c>
      <c r="L361" s="50" t="n">
        <v>255</v>
      </c>
      <c r="M361" s="50" t="n">
        <v>255</v>
      </c>
      <c r="N361" s="28">
        <f>IF(O361&lt;&gt;"",O361,IF(P361&lt;&gt;"",P361,""))</f>
        <v/>
      </c>
      <c r="O361" s="50" t="n">
        <v>31</v>
      </c>
      <c r="P361" s="50" t="n">
        <v>31</v>
      </c>
      <c r="Q361" s="50" t="n">
        <v>110.92</v>
      </c>
      <c r="R361" s="50" t="n">
        <v>62.52</v>
      </c>
      <c r="S361" s="28">
        <f>IF(Q361="","",IF(Q361&lt;0,"negative profit",IF(Q361&gt;Notes!$B$4,"unusually high - verify","")))</f>
        <v/>
      </c>
      <c r="T361" s="28" t="inlineStr">
        <is>
          <t>both</t>
        </is>
      </c>
      <c r="U361" s="28">
        <f>IF(T361&lt;&gt;"both",T361&amp;" only",IF(V361="","agree","conflict"))</f>
        <v/>
      </c>
      <c r="V361" s="28">
        <f>IF(T361="both",TRIM(IF(AND(E361&lt;&gt;"",F361&lt;&gt;"",E361&lt;&gt;F361),"level ","")&amp;IF(AND(L361&lt;&gt;"",M361&lt;&gt;"",L361&lt;&gt;M361),"price ","")&amp;IF(AND(O361&lt;&gt;"",P361&lt;&gt;"",O361&lt;&gt;P361),"xp ","")&amp;IF(J361="differs","time","")),"")</f>
        <v/>
      </c>
      <c r="X361" s="50" t="inlineStr">
        <is>
          <t>Tea Leaf x3; Watermelon x1; Mint x2</t>
        </is>
      </c>
      <c r="Y361" s="50" t="inlineStr">
        <is>
          <t>Mint Tea.png</t>
        </is>
      </c>
      <c r="Z361" s="50" t="inlineStr">
        <is>
          <t>icons/Tea Stand/Mint Tea.png</t>
        </is>
      </c>
      <c r="AA361" s="28" t="inlineStr">
        <is>
          <t>hayday.info /api/production-data (2026-10-13) + Hay Day Wiki infobox via MediaWiki API (2026-10-13)</t>
        </is>
      </c>
      <c r="AB361" s="28" t="inlineStr">
        <is>
          <t>https://hayday.fandom.com/wiki/Mint_Tea</t>
        </is>
      </c>
      <c r="AC361" s="50" t="inlineStr">
        <is>
          <t>Mint tea</t>
        </is>
      </c>
    </row>
    <row r="362">
      <c r="A362" s="28" t="inlineStr">
        <is>
          <t>Chamomile Tea</t>
        </is>
      </c>
      <c r="B362" s="28" t="inlineStr">
        <is>
          <t>Tea Stand</t>
        </is>
      </c>
      <c r="C362" s="50" t="inlineStr">
        <is>
          <t>Product</t>
        </is>
      </c>
      <c r="D362" s="28">
        <f>IF(E362&lt;&gt;"",E362,IF(F362&lt;&gt;"",F362,""))</f>
        <v/>
      </c>
      <c r="E362" s="50" t="n"/>
      <c r="F362" s="50" t="n">
        <v>100</v>
      </c>
      <c r="G362" s="50" t="n"/>
      <c r="H362" s="50" t="n">
        <v>20</v>
      </c>
      <c r="I362" s="50" t="n">
        <v>17</v>
      </c>
      <c r="J362" s="28">
        <f>IF(OR(G362="",AND(H362="",I362="")),"n/a",IF(G362=I362,"mastered",IF(G362=H362,"normal","differs")))</f>
        <v/>
      </c>
      <c r="K362" s="28">
        <f>IF(L362&lt;&gt;"",L362,IF(M362&lt;&gt;"",M362,""))</f>
        <v/>
      </c>
      <c r="L362" s="50" t="n"/>
      <c r="M362" s="50" t="n">
        <v>144</v>
      </c>
      <c r="N362" s="28">
        <f>IF(O362&lt;&gt;"",O362,IF(P362&lt;&gt;"",P362,""))</f>
        <v/>
      </c>
      <c r="O362" s="50" t="n"/>
      <c r="P362" s="50" t="n">
        <v>17</v>
      </c>
      <c r="Q362" s="50" t="n"/>
      <c r="R362" s="50" t="n"/>
      <c r="S362" s="28">
        <f>IF(Q362="","",IF(Q362&lt;0,"negative profit",IF(Q362&gt;Notes!$B$4,"unusually high - verify","")))</f>
        <v/>
      </c>
      <c r="T362" s="28" t="inlineStr">
        <is>
          <t>Fandom</t>
        </is>
      </c>
      <c r="U362" s="28">
        <f>IF(T362&lt;&gt;"both",T362&amp;" only",IF(V362="","agree","conflict"))</f>
        <v/>
      </c>
      <c r="V362" s="28">
        <f>IF(T362="both",TRIM(IF(AND(E362&lt;&gt;"",F362&lt;&gt;"",E362&lt;&gt;F362),"level ","")&amp;IF(AND(L362&lt;&gt;"",M362&lt;&gt;"",L362&lt;&gt;M362),"price ","")&amp;IF(AND(O362&lt;&gt;"",P362&lt;&gt;"",O362&lt;&gt;P362),"xp ","")&amp;IF(J362="differs","time","")),"")</f>
        <v/>
      </c>
      <c r="X362" s="50" t="inlineStr">
        <is>
          <t>Chamomile x5; Honeycomb x1</t>
        </is>
      </c>
      <c r="Y362" s="50" t="inlineStr">
        <is>
          <t>Chamomile Tea.png</t>
        </is>
      </c>
      <c r="Z362" s="50" t="inlineStr">
        <is>
          <t>icons/Tea Stand/Chamomile Tea.png</t>
        </is>
      </c>
      <c r="AA362" s="28" t="inlineStr">
        <is>
          <t>Hay Day Wiki infobox via MediaWiki API (2026-10-13)</t>
        </is>
      </c>
      <c r="AB362" s="28" t="inlineStr">
        <is>
          <t>https://hayday.fandom.com/wiki/Chamomile_Tea</t>
        </is>
      </c>
      <c r="AC362" s="50" t="n"/>
    </row>
    <row r="363">
      <c r="A363" s="28" t="inlineStr">
        <is>
          <t>Pomegranate Tea</t>
        </is>
      </c>
      <c r="B363" s="28" t="inlineStr">
        <is>
          <t>Tea Stand</t>
        </is>
      </c>
      <c r="C363" s="50" t="inlineStr">
        <is>
          <t>Product</t>
        </is>
      </c>
      <c r="D363" s="28">
        <f>IF(E363&lt;&gt;"",E363,IF(F363&lt;&gt;"",F363,""))</f>
        <v/>
      </c>
      <c r="E363" s="50" t="n"/>
      <c r="F363" s="50" t="n">
        <v>107</v>
      </c>
      <c r="G363" s="50" t="n"/>
      <c r="H363" s="50" t="n">
        <v>34</v>
      </c>
      <c r="I363" s="50" t="n">
        <v>29</v>
      </c>
      <c r="J363" s="28">
        <f>IF(OR(G363="",AND(H363="",I363="")),"n/a",IF(G363=I363,"mastered",IF(G363=H363,"normal","differs")))</f>
        <v/>
      </c>
      <c r="K363" s="28">
        <f>IF(L363&lt;&gt;"",L363,IF(M363&lt;&gt;"",M363,""))</f>
        <v/>
      </c>
      <c r="L363" s="50" t="n"/>
      <c r="M363" s="50" t="n">
        <v>313</v>
      </c>
      <c r="N363" s="28">
        <f>IF(O363&lt;&gt;"",O363,IF(P363&lt;&gt;"",P363,""))</f>
        <v/>
      </c>
      <c r="O363" s="50" t="n"/>
      <c r="P363" s="50" t="n">
        <v>37</v>
      </c>
      <c r="Q363" s="50" t="n"/>
      <c r="R363" s="50" t="n"/>
      <c r="S363" s="28">
        <f>IF(Q363="","",IF(Q363&lt;0,"negative profit",IF(Q363&gt;Notes!$B$4,"unusually high - verify","")))</f>
        <v/>
      </c>
      <c r="T363" s="28" t="inlineStr">
        <is>
          <t>Fandom</t>
        </is>
      </c>
      <c r="U363" s="28">
        <f>IF(T363&lt;&gt;"both",T363&amp;" only",IF(V363="","agree","conflict"))</f>
        <v/>
      </c>
      <c r="V363" s="28">
        <f>IF(T363="both",TRIM(IF(AND(E363&lt;&gt;"",F363&lt;&gt;"",E363&lt;&gt;F363),"level ","")&amp;IF(AND(L363&lt;&gt;"",M363&lt;&gt;"",L363&lt;&gt;M363),"price ","")&amp;IF(AND(O363&lt;&gt;"",P363&lt;&gt;"",O363&lt;&gt;P363),"xp ","")&amp;IF(J363="differs","time","")),"")</f>
        <v/>
      </c>
      <c r="X363" s="50" t="inlineStr">
        <is>
          <t>Pomegranate x1; Tea Leaf x4</t>
        </is>
      </c>
      <c r="Y363" s="50" t="inlineStr">
        <is>
          <t>Pomegranate Tea.png</t>
        </is>
      </c>
      <c r="Z363" s="50" t="inlineStr">
        <is>
          <t>icons/Tea Stand/Pomegranate Tea.png</t>
        </is>
      </c>
      <c r="AA363" s="28" t="inlineStr">
        <is>
          <t>Hay Day Wiki infobox via MediaWiki API (2026-10-13)</t>
        </is>
      </c>
      <c r="AB363" s="28" t="inlineStr">
        <is>
          <t>https://hayday.fandom.com/wiki/Pomegranate_Tea</t>
        </is>
      </c>
      <c r="AC363" s="50" t="n"/>
    </row>
    <row r="364">
      <c r="A364" s="28" t="inlineStr">
        <is>
          <t>Apple</t>
        </is>
      </c>
      <c r="B364" s="28" t="inlineStr">
        <is>
          <t>Trees &amp; Bushes</t>
        </is>
      </c>
      <c r="C364" s="50" t="inlineStr">
        <is>
          <t>Crop</t>
        </is>
      </c>
      <c r="D364" s="28">
        <f>IF(E364&lt;&gt;"",E364,IF(F364&lt;&gt;"",F364,""))</f>
        <v/>
      </c>
      <c r="E364" s="50" t="n">
        <v>15</v>
      </c>
      <c r="F364" s="50" t="n">
        <v>15</v>
      </c>
      <c r="G364" s="50" t="n">
        <v>960</v>
      </c>
      <c r="H364" s="50" t="n">
        <v>960</v>
      </c>
      <c r="I364" s="50" t="n"/>
      <c r="J364" s="28">
        <f>IF(OR(G364="",AND(H364="",I364="")),"n/a",IF(G364=I364,"mastered",IF(G364=H364,"normal","differs")))</f>
        <v/>
      </c>
      <c r="K364" s="28">
        <f>IF(L364&lt;&gt;"",L364,IF(M364&lt;&gt;"",M364,""))</f>
        <v/>
      </c>
      <c r="L364" s="50" t="n">
        <v>39</v>
      </c>
      <c r="M364" s="50" t="n">
        <v>39</v>
      </c>
      <c r="N364" s="28">
        <f>IF(O364&lt;&gt;"",O364,IF(P364&lt;&gt;"",P364,""))</f>
        <v/>
      </c>
      <c r="O364" s="50" t="n">
        <v>7</v>
      </c>
      <c r="P364" s="50" t="n">
        <v>7</v>
      </c>
      <c r="Q364" s="50" t="n">
        <v>22.18</v>
      </c>
      <c r="R364" s="50" t="n">
        <v>0.44</v>
      </c>
      <c r="S364" s="28">
        <f>IF(Q364="","",IF(Q364&lt;0,"negative profit",IF(Q364&gt;Notes!$B$4,"unusually high - verify","")))</f>
        <v/>
      </c>
      <c r="T364" s="28" t="inlineStr">
        <is>
          <t>both</t>
        </is>
      </c>
      <c r="U364" s="28">
        <f>IF(T364&lt;&gt;"both",T364&amp;" only",IF(V364="","agree","conflict"))</f>
        <v/>
      </c>
      <c r="V364" s="28">
        <f>IF(T364="both",TRIM(IF(AND(E364&lt;&gt;"",F364&lt;&gt;"",E364&lt;&gt;F364),"level ","")&amp;IF(AND(L364&lt;&gt;"",M364&lt;&gt;"",L364&lt;&gt;M364),"price ","")&amp;IF(AND(O364&lt;&gt;"",P364&lt;&gt;"",O364&lt;&gt;P364),"xp ","")&amp;IF(J364="differs","time","")),"")</f>
        <v/>
      </c>
      <c r="X364" s="50" t="n"/>
      <c r="Y364" s="50" t="inlineStr">
        <is>
          <t>Apple.png</t>
        </is>
      </c>
      <c r="Z364" s="50" t="inlineStr">
        <is>
          <t>icons/Trees &amp; Bushes/Apple.png</t>
        </is>
      </c>
      <c r="AA364" s="28" t="inlineStr">
        <is>
          <t>hayday.info /api/production-data (2026-10-13) + Hay Day Wiki infobox via MediaWiki API (2026-10-13)</t>
        </is>
      </c>
      <c r="AB364" s="28" t="inlineStr">
        <is>
          <t>https://hayday.fandom.com/wiki/Apple</t>
        </is>
      </c>
      <c r="AC364" s="50" t="inlineStr">
        <is>
          <t>Apple</t>
        </is>
      </c>
    </row>
    <row r="365">
      <c r="A365" s="28" t="inlineStr">
        <is>
          <t>Raspberry</t>
        </is>
      </c>
      <c r="B365" s="28" t="inlineStr">
        <is>
          <t>Trees &amp; Bushes</t>
        </is>
      </c>
      <c r="C365" s="50" t="inlineStr">
        <is>
          <t>Crop</t>
        </is>
      </c>
      <c r="D365" s="28">
        <f>IF(E365&lt;&gt;"",E365,IF(F365&lt;&gt;"",F365,""))</f>
        <v/>
      </c>
      <c r="E365" s="50" t="n">
        <v>19</v>
      </c>
      <c r="F365" s="50" t="n">
        <v>19</v>
      </c>
      <c r="G365" s="50" t="n">
        <v>1080</v>
      </c>
      <c r="H365" s="50" t="n">
        <v>1080</v>
      </c>
      <c r="I365" s="50" t="n"/>
      <c r="J365" s="28">
        <f>IF(OR(G365="",AND(H365="",I365="")),"n/a",IF(G365=I365,"mastered",IF(G365=H365,"normal","differs")))</f>
        <v/>
      </c>
      <c r="K365" s="28">
        <f>IF(L365&lt;&gt;"",L365,IF(M365&lt;&gt;"",M365,""))</f>
        <v/>
      </c>
      <c r="L365" s="50" t="n">
        <v>46</v>
      </c>
      <c r="M365" s="50" t="n">
        <v>46</v>
      </c>
      <c r="N365" s="28">
        <f>IF(O365&lt;&gt;"",O365,IF(P365&lt;&gt;"",P365,""))</f>
        <v/>
      </c>
      <c r="O365" s="50" t="n">
        <v>9</v>
      </c>
      <c r="P365" s="50" t="n">
        <v>9</v>
      </c>
      <c r="Q365" s="50" t="n">
        <v>21.58</v>
      </c>
      <c r="R365" s="50" t="n">
        <v>0.5</v>
      </c>
      <c r="S365" s="28">
        <f>IF(Q365="","",IF(Q365&lt;0,"negative profit",IF(Q365&gt;Notes!$B$4,"unusually high - verify","")))</f>
        <v/>
      </c>
      <c r="T365" s="28" t="inlineStr">
        <is>
          <t>both</t>
        </is>
      </c>
      <c r="U365" s="28">
        <f>IF(T365&lt;&gt;"both",T365&amp;" only",IF(V365="","agree","conflict"))</f>
        <v/>
      </c>
      <c r="V365" s="28">
        <f>IF(T365="both",TRIM(IF(AND(E365&lt;&gt;"",F365&lt;&gt;"",E365&lt;&gt;F365),"level ","")&amp;IF(AND(L365&lt;&gt;"",M365&lt;&gt;"",L365&lt;&gt;M365),"price ","")&amp;IF(AND(O365&lt;&gt;"",P365&lt;&gt;"",O365&lt;&gt;P365),"xp ","")&amp;IF(J365="differs","time","")),"")</f>
        <v/>
      </c>
      <c r="X365" s="50" t="n"/>
      <c r="Y365" s="50" t="inlineStr">
        <is>
          <t>Raspberry.png</t>
        </is>
      </c>
      <c r="Z365" s="50" t="inlineStr">
        <is>
          <t>icons/Trees &amp; Bushes/Raspberry.png</t>
        </is>
      </c>
      <c r="AA365" s="28" t="inlineStr">
        <is>
          <t>hayday.info /api/production-data (2026-10-13) + Hay Day Wiki infobox via MediaWiki API (2026-10-13)</t>
        </is>
      </c>
      <c r="AB365" s="28" t="inlineStr">
        <is>
          <t>https://hayday.fandom.com/wiki/Raspberry</t>
        </is>
      </c>
      <c r="AC365" s="50" t="inlineStr">
        <is>
          <t>Raspberry</t>
        </is>
      </c>
    </row>
    <row r="366">
      <c r="A366" s="28" t="inlineStr">
        <is>
          <t>Cherry</t>
        </is>
      </c>
      <c r="B366" s="28" t="inlineStr">
        <is>
          <t>Trees &amp; Bushes</t>
        </is>
      </c>
      <c r="C366" s="50" t="inlineStr">
        <is>
          <t>Crop</t>
        </is>
      </c>
      <c r="D366" s="28">
        <f>IF(E366&lt;&gt;"",E366,IF(F366&lt;&gt;"",F366,""))</f>
        <v/>
      </c>
      <c r="E366" s="50" t="n">
        <v>22</v>
      </c>
      <c r="F366" s="50" t="n">
        <v>22</v>
      </c>
      <c r="G366" s="50" t="n">
        <v>1620</v>
      </c>
      <c r="H366" s="50" t="n">
        <v>1680</v>
      </c>
      <c r="I366" s="50" t="n"/>
      <c r="J366" s="28">
        <f>IF(OR(G366="",AND(H366="",I366="")),"n/a",IF(G366=I366,"mastered",IF(G366=H366,"normal","differs")))</f>
        <v/>
      </c>
      <c r="K366" s="28">
        <f>IF(L366&lt;&gt;"",L366,IF(M366&lt;&gt;"",M366,""))</f>
        <v/>
      </c>
      <c r="L366" s="50" t="n">
        <v>68</v>
      </c>
      <c r="M366" s="50" t="n">
        <v>68</v>
      </c>
      <c r="N366" s="28">
        <f>IF(O366&lt;&gt;"",O366,IF(P366&lt;&gt;"",P366,""))</f>
        <v/>
      </c>
      <c r="O366" s="50" t="n">
        <v>13</v>
      </c>
      <c r="P366" s="50" t="n">
        <v>13</v>
      </c>
      <c r="Q366" s="50" t="n">
        <v>17.75</v>
      </c>
      <c r="R366" s="50" t="n">
        <v>0.48</v>
      </c>
      <c r="S366" s="28">
        <f>IF(Q366="","",IF(Q366&lt;0,"negative profit",IF(Q366&gt;Notes!$B$4,"unusually high - verify","")))</f>
        <v/>
      </c>
      <c r="T366" s="28" t="inlineStr">
        <is>
          <t>both</t>
        </is>
      </c>
      <c r="U366" s="28">
        <f>IF(T366&lt;&gt;"both",T366&amp;" only",IF(V366="","agree","conflict"))</f>
        <v/>
      </c>
      <c r="V366" s="28">
        <f>IF(T366="both",TRIM(IF(AND(E366&lt;&gt;"",F366&lt;&gt;"",E366&lt;&gt;F366),"level ","")&amp;IF(AND(L366&lt;&gt;"",M366&lt;&gt;"",L366&lt;&gt;M366),"price ","")&amp;IF(AND(O366&lt;&gt;"",P366&lt;&gt;"",O366&lt;&gt;P366),"xp ","")&amp;IF(J366="differs","time","")),"")</f>
        <v/>
      </c>
      <c r="X366" s="50" t="n"/>
      <c r="Y366" s="50" t="inlineStr">
        <is>
          <t>Cherry.png</t>
        </is>
      </c>
      <c r="Z366" s="50" t="inlineStr">
        <is>
          <t>icons/Trees &amp; Bushes/Cherry.png</t>
        </is>
      </c>
      <c r="AA366" s="28" t="inlineStr">
        <is>
          <t>hayday.info /api/production-data (2026-10-13) + Hay Day Wiki infobox via MediaWiki API (2026-10-13)</t>
        </is>
      </c>
      <c r="AB366" s="28" t="inlineStr">
        <is>
          <t>https://hayday.fandom.com/wiki/Cherry</t>
        </is>
      </c>
      <c r="AC366" s="50" t="inlineStr">
        <is>
          <t>Cherry</t>
        </is>
      </c>
    </row>
    <row r="367">
      <c r="A367" s="28" t="inlineStr">
        <is>
          <t>Blackberry</t>
        </is>
      </c>
      <c r="B367" s="28" t="inlineStr">
        <is>
          <t>Trees &amp; Bushes</t>
        </is>
      </c>
      <c r="C367" s="50" t="inlineStr">
        <is>
          <t>Crop</t>
        </is>
      </c>
      <c r="D367" s="28">
        <f>IF(E367&lt;&gt;"",E367,IF(F367&lt;&gt;"",F367,""))</f>
        <v/>
      </c>
      <c r="E367" s="50" t="n">
        <v>26</v>
      </c>
      <c r="F367" s="50" t="n">
        <v>26</v>
      </c>
      <c r="G367" s="50" t="n">
        <v>1920</v>
      </c>
      <c r="H367" s="50" t="n">
        <v>1920</v>
      </c>
      <c r="I367" s="50" t="n"/>
      <c r="J367" s="28">
        <f>IF(OR(G367="",AND(H367="",I367="")),"n/a",IF(G367=I367,"mastered",IF(G367=H367,"normal","differs")))</f>
        <v/>
      </c>
      <c r="K367" s="28">
        <f>IF(L367&lt;&gt;"",L367,IF(M367&lt;&gt;"",M367,""))</f>
        <v/>
      </c>
      <c r="L367" s="50" t="n">
        <v>82</v>
      </c>
      <c r="M367" s="50" t="n">
        <v>82</v>
      </c>
      <c r="N367" s="28">
        <f>IF(O367&lt;&gt;"",O367,IF(P367&lt;&gt;"",P367,""))</f>
        <v/>
      </c>
      <c r="O367" s="50" t="n">
        <v>16</v>
      </c>
      <c r="P367" s="50" t="n">
        <v>16</v>
      </c>
      <c r="Q367" s="50" t="n">
        <v>17.08</v>
      </c>
      <c r="R367" s="50" t="n">
        <v>0.5</v>
      </c>
      <c r="S367" s="28">
        <f>IF(Q367="","",IF(Q367&lt;0,"negative profit",IF(Q367&gt;Notes!$B$4,"unusually high - verify","")))</f>
        <v/>
      </c>
      <c r="T367" s="28" t="inlineStr">
        <is>
          <t>both</t>
        </is>
      </c>
      <c r="U367" s="28">
        <f>IF(T367&lt;&gt;"both",T367&amp;" only",IF(V367="","agree","conflict"))</f>
        <v/>
      </c>
      <c r="V367" s="28">
        <f>IF(T367="both",TRIM(IF(AND(E367&lt;&gt;"",F367&lt;&gt;"",E367&lt;&gt;F367),"level ","")&amp;IF(AND(L367&lt;&gt;"",M367&lt;&gt;"",L367&lt;&gt;M367),"price ","")&amp;IF(AND(O367&lt;&gt;"",P367&lt;&gt;"",O367&lt;&gt;P367),"xp ","")&amp;IF(J367="differs","time","")),"")</f>
        <v/>
      </c>
      <c r="X367" s="50" t="n"/>
      <c r="Y367" s="50" t="inlineStr">
        <is>
          <t>Blackberry.png</t>
        </is>
      </c>
      <c r="Z367" s="50" t="inlineStr">
        <is>
          <t>icons/Trees &amp; Bushes/Blackberry.png</t>
        </is>
      </c>
      <c r="AA367" s="28" t="inlineStr">
        <is>
          <t>hayday.info /api/production-data (2026-10-13) + Hay Day Wiki infobox via MediaWiki API (2026-10-13)</t>
        </is>
      </c>
      <c r="AB367" s="28" t="inlineStr">
        <is>
          <t>https://hayday.fandom.com/wiki/Blackberry</t>
        </is>
      </c>
      <c r="AC367" s="50" t="inlineStr">
        <is>
          <t>Blackberry</t>
        </is>
      </c>
    </row>
    <row r="368">
      <c r="A368" s="28" t="inlineStr">
        <is>
          <t>Cacao</t>
        </is>
      </c>
      <c r="B368" s="28" t="inlineStr">
        <is>
          <t>Trees &amp; Bushes</t>
        </is>
      </c>
      <c r="C368" s="50" t="inlineStr">
        <is>
          <t>Crop</t>
        </is>
      </c>
      <c r="D368" s="28">
        <f>IF(E368&lt;&gt;"",E368,IF(F368&lt;&gt;"",F368,""))</f>
        <v/>
      </c>
      <c r="E368" s="50" t="n">
        <v>36</v>
      </c>
      <c r="F368" s="50" t="n">
        <v>36</v>
      </c>
      <c r="G368" s="50" t="n">
        <v>2040</v>
      </c>
      <c r="H368" s="50" t="n">
        <v>2100</v>
      </c>
      <c r="I368" s="50" t="n"/>
      <c r="J368" s="28">
        <f>IF(OR(G368="",AND(H368="",I368="")),"n/a",IF(G368=I368,"mastered",IF(G368=H368,"normal","differs")))</f>
        <v/>
      </c>
      <c r="K368" s="28">
        <f>IF(L368&lt;&gt;"",L368,IF(M368&lt;&gt;"",M368,""))</f>
        <v/>
      </c>
      <c r="L368" s="50" t="n">
        <v>86</v>
      </c>
      <c r="M368" s="50" t="n">
        <v>86</v>
      </c>
      <c r="N368" s="28">
        <f>IF(O368&lt;&gt;"",O368,IF(P368&lt;&gt;"",P368,""))</f>
        <v/>
      </c>
      <c r="O368" s="50" t="n">
        <v>16</v>
      </c>
      <c r="P368" s="50" t="n">
        <v>16</v>
      </c>
      <c r="Q368" s="50" t="n">
        <v>16.86</v>
      </c>
      <c r="R368" s="50" t="n">
        <v>0.47</v>
      </c>
      <c r="S368" s="28">
        <f>IF(Q368="","",IF(Q368&lt;0,"negative profit",IF(Q368&gt;Notes!$B$4,"unusually high - verify","")))</f>
        <v/>
      </c>
      <c r="T368" s="28" t="inlineStr">
        <is>
          <t>both</t>
        </is>
      </c>
      <c r="U368" s="28">
        <f>IF(T368&lt;&gt;"both",T368&amp;" only",IF(V368="","agree","conflict"))</f>
        <v/>
      </c>
      <c r="V368" s="28">
        <f>IF(T368="both",TRIM(IF(AND(E368&lt;&gt;"",F368&lt;&gt;"",E368&lt;&gt;F368),"level ","")&amp;IF(AND(L368&lt;&gt;"",M368&lt;&gt;"",L368&lt;&gt;M368),"price ","")&amp;IF(AND(O368&lt;&gt;"",P368&lt;&gt;"",O368&lt;&gt;P368),"xp ","")&amp;IF(J368="differs","time","")),"")</f>
        <v/>
      </c>
      <c r="X368" s="50" t="n"/>
      <c r="Y368" s="50" t="inlineStr">
        <is>
          <t>Cacao.png</t>
        </is>
      </c>
      <c r="Z368" s="50" t="inlineStr">
        <is>
          <t>icons/Trees &amp; Bushes/Cacao.png</t>
        </is>
      </c>
      <c r="AA368" s="28" t="inlineStr">
        <is>
          <t>hayday.info /api/production-data (2026-10-13) + Hay Day Wiki infobox via MediaWiki API (2026-10-13)</t>
        </is>
      </c>
      <c r="AB368" s="28" t="inlineStr">
        <is>
          <t>https://hayday.fandom.com/wiki/Cacao</t>
        </is>
      </c>
      <c r="AC368" s="50" t="inlineStr">
        <is>
          <t>Cacao</t>
        </is>
      </c>
    </row>
    <row r="369">
      <c r="A369" s="28" t="inlineStr">
        <is>
          <t>Honeycomb</t>
        </is>
      </c>
      <c r="B369" s="28" t="inlineStr">
        <is>
          <t>Trees &amp; Bushes</t>
        </is>
      </c>
      <c r="C369" s="50" t="inlineStr">
        <is>
          <t>Animal good</t>
        </is>
      </c>
      <c r="D369" s="28">
        <f>IF(E369&lt;&gt;"",E369,IF(F369&lt;&gt;"",F369,""))</f>
        <v/>
      </c>
      <c r="E369" s="50" t="n">
        <v>39</v>
      </c>
      <c r="F369" s="50" t="n">
        <v>39</v>
      </c>
      <c r="G369" s="50" t="n">
        <v>35</v>
      </c>
      <c r="H369" s="50" t="n">
        <v>35</v>
      </c>
      <c r="I369" s="50" t="n"/>
      <c r="J369" s="28">
        <f>IF(OR(G369="",AND(H369="",I369="")),"n/a",IF(G369=I369,"mastered",IF(G369=H369,"normal","differs")))</f>
        <v/>
      </c>
      <c r="K369" s="28">
        <f>IF(L369&lt;&gt;"",L369,IF(M369&lt;&gt;"",M369,""))</f>
        <v/>
      </c>
      <c r="L369" s="50" t="n">
        <v>68</v>
      </c>
      <c r="M369" s="50" t="n">
        <v>68</v>
      </c>
      <c r="N369" s="28">
        <f>IF(O369&lt;&gt;"",O369,IF(P369&lt;&gt;"",P369,""))</f>
        <v/>
      </c>
      <c r="O369" s="50" t="n">
        <v>8</v>
      </c>
      <c r="P369" s="50" t="n">
        <v>8</v>
      </c>
      <c r="Q369" s="50" t="n">
        <v>109.71</v>
      </c>
      <c r="R369" s="50" t="n">
        <v>13.71</v>
      </c>
      <c r="S369" s="28">
        <f>IF(Q369="","",IF(Q369&lt;0,"negative profit",IF(Q369&gt;Notes!$B$4,"unusually high - verify","")))</f>
        <v/>
      </c>
      <c r="T369" s="28" t="inlineStr">
        <is>
          <t>both</t>
        </is>
      </c>
      <c r="U369" s="28">
        <f>IF(T369&lt;&gt;"both",T369&amp;" only",IF(V369="","agree","conflict"))</f>
        <v/>
      </c>
      <c r="V369" s="28">
        <f>IF(T369="both",TRIM(IF(AND(E369&lt;&gt;"",F369&lt;&gt;"",E369&lt;&gt;F369),"level ","")&amp;IF(AND(L369&lt;&gt;"",M369&lt;&gt;"",L369&lt;&gt;M369),"price ","")&amp;IF(AND(O369&lt;&gt;"",P369&lt;&gt;"",O369&lt;&gt;P369),"xp ","")&amp;IF(J369="differs","time","")),"")</f>
        <v/>
      </c>
      <c r="X369" s="50" t="n"/>
      <c r="Y369" s="50" t="inlineStr">
        <is>
          <t>Honeycomb.png</t>
        </is>
      </c>
      <c r="Z369" s="50" t="inlineStr">
        <is>
          <t>icons/Trees &amp; Bushes/Honeycomb.png</t>
        </is>
      </c>
      <c r="AA369" s="28" t="inlineStr">
        <is>
          <t>hayday.info /api/production-data (2026-10-13) + Hay Day Wiki infobox via MediaWiki API (2026-10-13)</t>
        </is>
      </c>
      <c r="AB369" s="28" t="inlineStr">
        <is>
          <t>https://hayday.fandom.com/wiki/Honeycomb</t>
        </is>
      </c>
      <c r="AC369" s="50" t="inlineStr">
        <is>
          <t>Honeycomb</t>
        </is>
      </c>
    </row>
    <row r="370">
      <c r="A370" s="28" t="inlineStr">
        <is>
          <t>Coffee Bean</t>
        </is>
      </c>
      <c r="B370" s="28" t="inlineStr">
        <is>
          <t>Trees &amp; Bushes</t>
        </is>
      </c>
      <c r="C370" s="50" t="inlineStr">
        <is>
          <t>Crop</t>
        </is>
      </c>
      <c r="D370" s="28">
        <f>IF(E370&lt;&gt;"",E370,IF(F370&lt;&gt;"",F370,""))</f>
        <v/>
      </c>
      <c r="E370" s="50" t="n">
        <v>42</v>
      </c>
      <c r="F370" s="50" t="n">
        <v>42</v>
      </c>
      <c r="G370" s="50" t="n">
        <v>1500</v>
      </c>
      <c r="H370" s="50" t="n">
        <v>1500</v>
      </c>
      <c r="I370" s="50" t="n"/>
      <c r="J370" s="28">
        <f>IF(OR(G370="",AND(H370="",I370="")),"n/a",IF(G370=I370,"mastered",IF(G370=H370,"normal","differs")))</f>
        <v/>
      </c>
      <c r="K370" s="28">
        <f>IF(L370&lt;&gt;"",L370,IF(M370&lt;&gt;"",M370,""))</f>
        <v/>
      </c>
      <c r="L370" s="50" t="n">
        <v>64</v>
      </c>
      <c r="M370" s="50" t="n">
        <v>64</v>
      </c>
      <c r="N370" s="28">
        <f>IF(O370&lt;&gt;"",O370,IF(P370&lt;&gt;"",P370,""))</f>
        <v/>
      </c>
      <c r="O370" s="50" t="n">
        <v>12</v>
      </c>
      <c r="P370" s="50" t="n">
        <v>12</v>
      </c>
      <c r="Q370" s="50" t="n">
        <v>18.7</v>
      </c>
      <c r="R370" s="50" t="n">
        <v>0.48</v>
      </c>
      <c r="S370" s="28">
        <f>IF(Q370="","",IF(Q370&lt;0,"negative profit",IF(Q370&gt;Notes!$B$4,"unusually high - verify","")))</f>
        <v/>
      </c>
      <c r="T370" s="28" t="inlineStr">
        <is>
          <t>both</t>
        </is>
      </c>
      <c r="U370" s="28">
        <f>IF(T370&lt;&gt;"both",T370&amp;" only",IF(V370="","agree","conflict"))</f>
        <v/>
      </c>
      <c r="V370" s="28">
        <f>IF(T370="both",TRIM(IF(AND(E370&lt;&gt;"",F370&lt;&gt;"",E370&lt;&gt;F370),"level ","")&amp;IF(AND(L370&lt;&gt;"",M370&lt;&gt;"",L370&lt;&gt;M370),"price ","")&amp;IF(AND(O370&lt;&gt;"",P370&lt;&gt;"",O370&lt;&gt;P370),"xp ","")&amp;IF(J370="differs","time","")),"")</f>
        <v/>
      </c>
      <c r="X370" s="50" t="n"/>
      <c r="Y370" s="50" t="inlineStr">
        <is>
          <t>Coffee Bean.png</t>
        </is>
      </c>
      <c r="Z370" s="50" t="inlineStr">
        <is>
          <t>icons/Trees &amp; Bushes/Coffee Bean.png</t>
        </is>
      </c>
      <c r="AA370" s="28" t="inlineStr">
        <is>
          <t>hayday.info /api/production-data (2026-10-13) + Hay Day Wiki infobox via MediaWiki API (2026-10-13)</t>
        </is>
      </c>
      <c r="AB370" s="28" t="inlineStr">
        <is>
          <t>https://hayday.fandom.com/wiki/Coffee_Bean</t>
        </is>
      </c>
      <c r="AC370" s="50" t="inlineStr">
        <is>
          <t>Coffee</t>
        </is>
      </c>
    </row>
    <row r="371">
      <c r="A371" s="28" t="inlineStr">
        <is>
          <t>Olive</t>
        </is>
      </c>
      <c r="B371" s="28" t="inlineStr">
        <is>
          <t>Trees &amp; Bushes</t>
        </is>
      </c>
      <c r="C371" s="50" t="inlineStr">
        <is>
          <t>Crop</t>
        </is>
      </c>
      <c r="D371" s="28">
        <f>IF(E371&lt;&gt;"",E371,IF(F371&lt;&gt;"",F371,""))</f>
        <v/>
      </c>
      <c r="E371" s="50" t="n">
        <v>57</v>
      </c>
      <c r="F371" s="50" t="n">
        <v>57</v>
      </c>
      <c r="G371" s="50" t="n">
        <v>1440</v>
      </c>
      <c r="H371" s="50" t="n">
        <v>1440</v>
      </c>
      <c r="I371" s="50" t="n"/>
      <c r="J371" s="28">
        <f>IF(OR(G371="",AND(H371="",I371="")),"n/a",IF(G371=I371,"mastered",IF(G371=H371,"normal","differs")))</f>
        <v/>
      </c>
      <c r="K371" s="28">
        <f>IF(L371&lt;&gt;"",L371,IF(M371&lt;&gt;"",M371,""))</f>
        <v/>
      </c>
      <c r="L371" s="50" t="n">
        <v>82</v>
      </c>
      <c r="M371" s="50" t="n">
        <v>82</v>
      </c>
      <c r="N371" s="28">
        <f>IF(O371&lt;&gt;"",O371,IF(P371&lt;&gt;"",P371,""))</f>
        <v/>
      </c>
      <c r="O371" s="50" t="n">
        <v>17</v>
      </c>
      <c r="P371" s="50" t="n">
        <v>17</v>
      </c>
      <c r="Q371" s="50" t="n">
        <v>19.02</v>
      </c>
      <c r="R371" s="50" t="n">
        <v>0.71</v>
      </c>
      <c r="S371" s="28">
        <f>IF(Q371="","",IF(Q371&lt;0,"negative profit",IF(Q371&gt;Notes!$B$4,"unusually high - verify","")))</f>
        <v/>
      </c>
      <c r="T371" s="28" t="inlineStr">
        <is>
          <t>both</t>
        </is>
      </c>
      <c r="U371" s="28">
        <f>IF(T371&lt;&gt;"both",T371&amp;" only",IF(V371="","agree","conflict"))</f>
        <v/>
      </c>
      <c r="V371" s="28">
        <f>IF(T371="both",TRIM(IF(AND(E371&lt;&gt;"",F371&lt;&gt;"",E371&lt;&gt;F371),"level ","")&amp;IF(AND(L371&lt;&gt;"",M371&lt;&gt;"",L371&lt;&gt;M371),"price ","")&amp;IF(AND(O371&lt;&gt;"",P371&lt;&gt;"",O371&lt;&gt;P371),"xp ","")&amp;IF(J371="differs","time","")),"")</f>
        <v/>
      </c>
      <c r="X371" s="50" t="n"/>
      <c r="Y371" s="50" t="inlineStr">
        <is>
          <t>Olive.png</t>
        </is>
      </c>
      <c r="Z371" s="50" t="inlineStr">
        <is>
          <t>icons/Trees &amp; Bushes/Olive.png</t>
        </is>
      </c>
      <c r="AA371" s="28" t="inlineStr">
        <is>
          <t>hayday.info /api/production-data (2026-10-13) + Hay Day Wiki infobox via MediaWiki API (2026-10-13)</t>
        </is>
      </c>
      <c r="AB371" s="28" t="inlineStr">
        <is>
          <t>https://hayday.fandom.com/wiki/Olive</t>
        </is>
      </c>
      <c r="AC371" s="50" t="inlineStr">
        <is>
          <t>Olive</t>
        </is>
      </c>
    </row>
    <row r="372">
      <c r="A372" s="28" t="inlineStr">
        <is>
          <t>Lemon</t>
        </is>
      </c>
      <c r="B372" s="28" t="inlineStr">
        <is>
          <t>Trees &amp; Bushes</t>
        </is>
      </c>
      <c r="C372" s="50" t="inlineStr">
        <is>
          <t>Crop</t>
        </is>
      </c>
      <c r="D372" s="28">
        <f>IF(E372&lt;&gt;"",E372,IF(F372&lt;&gt;"",F372,""))</f>
        <v/>
      </c>
      <c r="E372" s="50" t="n">
        <v>66</v>
      </c>
      <c r="F372" s="50" t="n">
        <v>66</v>
      </c>
      <c r="G372" s="50" t="n">
        <v>1740</v>
      </c>
      <c r="H372" s="50" t="n">
        <v>1800</v>
      </c>
      <c r="I372" s="50" t="n"/>
      <c r="J372" s="28">
        <f>IF(OR(G372="",AND(H372="",I372="")),"n/a",IF(G372=I372,"mastered",IF(G372=H372,"normal","differs")))</f>
        <v/>
      </c>
      <c r="K372" s="28">
        <f>IF(L372&lt;&gt;"",L372,IF(M372&lt;&gt;"",M372,""))</f>
        <v/>
      </c>
      <c r="L372" s="50" t="n">
        <v>93</v>
      </c>
      <c r="M372" s="50" t="n">
        <v>93</v>
      </c>
      <c r="N372" s="28">
        <f>IF(O372&lt;&gt;"",O372,IF(P372&lt;&gt;"",P372,""))</f>
        <v/>
      </c>
      <c r="O372" s="50" t="n">
        <v>18</v>
      </c>
      <c r="P372" s="50" t="n">
        <v>18</v>
      </c>
      <c r="Q372" s="50" t="n">
        <v>18.86</v>
      </c>
      <c r="R372" s="50" t="n">
        <v>0.62</v>
      </c>
      <c r="S372" s="28">
        <f>IF(Q372="","",IF(Q372&lt;0,"negative profit",IF(Q372&gt;Notes!$B$4,"unusually high - verify","")))</f>
        <v/>
      </c>
      <c r="T372" s="28" t="inlineStr">
        <is>
          <t>both</t>
        </is>
      </c>
      <c r="U372" s="28">
        <f>IF(T372&lt;&gt;"both",T372&amp;" only",IF(V372="","agree","conflict"))</f>
        <v/>
      </c>
      <c r="V372" s="28">
        <f>IF(T372="both",TRIM(IF(AND(E372&lt;&gt;"",F372&lt;&gt;"",E372&lt;&gt;F372),"level ","")&amp;IF(AND(L372&lt;&gt;"",M372&lt;&gt;"",L372&lt;&gt;M372),"price ","")&amp;IF(AND(O372&lt;&gt;"",P372&lt;&gt;"",O372&lt;&gt;P372),"xp ","")&amp;IF(J372="differs","time","")),"")</f>
        <v/>
      </c>
      <c r="X372" s="50" t="n"/>
      <c r="Y372" s="50" t="inlineStr">
        <is>
          <t>Lemon.png</t>
        </is>
      </c>
      <c r="Z372" s="50" t="inlineStr">
        <is>
          <t>icons/Trees &amp; Bushes/Lemon.png</t>
        </is>
      </c>
      <c r="AA372" s="28" t="inlineStr">
        <is>
          <t>hayday.info /api/production-data (2026-10-13) + Hay Day Wiki infobox via MediaWiki API (2026-10-13)</t>
        </is>
      </c>
      <c r="AB372" s="28" t="inlineStr">
        <is>
          <t>https://hayday.fandom.com/wiki/Lemon</t>
        </is>
      </c>
      <c r="AC372" s="50" t="inlineStr">
        <is>
          <t>Lemon</t>
        </is>
      </c>
    </row>
    <row r="373">
      <c r="A373" s="28" t="inlineStr">
        <is>
          <t>Orange</t>
        </is>
      </c>
      <c r="B373" s="28" t="inlineStr">
        <is>
          <t>Trees &amp; Bushes</t>
        </is>
      </c>
      <c r="C373" s="50" t="inlineStr">
        <is>
          <t>Crop</t>
        </is>
      </c>
      <c r="D373" s="28">
        <f>IF(E373&lt;&gt;"",E373,IF(F373&lt;&gt;"",F373,""))</f>
        <v/>
      </c>
      <c r="E373" s="50" t="n">
        <v>71</v>
      </c>
      <c r="F373" s="50" t="n">
        <v>71</v>
      </c>
      <c r="G373" s="50" t="n">
        <v>1860</v>
      </c>
      <c r="H373" s="50" t="n">
        <v>1860</v>
      </c>
      <c r="I373" s="50" t="n"/>
      <c r="J373" s="28">
        <f>IF(OR(G373="",AND(H373="",I373="")),"n/a",IF(G373=I373,"mastered",IF(G373=H373,"normal","differs")))</f>
        <v/>
      </c>
      <c r="K373" s="28">
        <f>IF(L373&lt;&gt;"",L373,IF(M373&lt;&gt;"",M373,""))</f>
        <v/>
      </c>
      <c r="L373" s="50" t="n">
        <v>97</v>
      </c>
      <c r="M373" s="50" t="n">
        <v>97</v>
      </c>
      <c r="N373" s="28">
        <f>IF(O373&lt;&gt;"",O373,IF(P373&lt;&gt;"",P373,""))</f>
        <v/>
      </c>
      <c r="O373" s="50" t="n">
        <v>19</v>
      </c>
      <c r="P373" s="50" t="n">
        <v>19</v>
      </c>
      <c r="Q373" s="50" t="n">
        <v>17.54</v>
      </c>
      <c r="R373" s="50" t="n">
        <v>0.61</v>
      </c>
      <c r="S373" s="28">
        <f>IF(Q373="","",IF(Q373&lt;0,"negative profit",IF(Q373&gt;Notes!$B$4,"unusually high - verify","")))</f>
        <v/>
      </c>
      <c r="T373" s="28" t="inlineStr">
        <is>
          <t>both</t>
        </is>
      </c>
      <c r="U373" s="28">
        <f>IF(T373&lt;&gt;"both",T373&amp;" only",IF(V373="","agree","conflict"))</f>
        <v/>
      </c>
      <c r="V373" s="28">
        <f>IF(T373="both",TRIM(IF(AND(E373&lt;&gt;"",F373&lt;&gt;"",E373&lt;&gt;F373),"level ","")&amp;IF(AND(L373&lt;&gt;"",M373&lt;&gt;"",L373&lt;&gt;M373),"price ","")&amp;IF(AND(O373&lt;&gt;"",P373&lt;&gt;"",O373&lt;&gt;P373),"xp ","")&amp;IF(J373="differs","time","")),"")</f>
        <v/>
      </c>
      <c r="X373" s="50" t="n"/>
      <c r="Y373" s="50" t="inlineStr">
        <is>
          <t>Orange.png</t>
        </is>
      </c>
      <c r="Z373" s="50" t="inlineStr">
        <is>
          <t>icons/Trees &amp; Bushes/Orange.png</t>
        </is>
      </c>
      <c r="AA373" s="28" t="inlineStr">
        <is>
          <t>hayday.info /api/production-data (2026-10-13) + Hay Day Wiki infobox via MediaWiki API (2026-10-13)</t>
        </is>
      </c>
      <c r="AB373" s="28" t="inlineStr">
        <is>
          <t>https://hayday.fandom.com/wiki/Orange</t>
        </is>
      </c>
      <c r="AC373" s="50" t="inlineStr">
        <is>
          <t>Orange</t>
        </is>
      </c>
    </row>
    <row r="374">
      <c r="A374" s="28" t="inlineStr">
        <is>
          <t>Peach</t>
        </is>
      </c>
      <c r="B374" s="28" t="inlineStr">
        <is>
          <t>Trees &amp; Bushes</t>
        </is>
      </c>
      <c r="C374" s="50" t="inlineStr">
        <is>
          <t>Crop</t>
        </is>
      </c>
      <c r="D374" s="28">
        <f>IF(E374&lt;&gt;"",E374,IF(F374&lt;&gt;"",F374,""))</f>
        <v/>
      </c>
      <c r="E374" s="50" t="n">
        <v>76</v>
      </c>
      <c r="F374" s="50" t="n">
        <v>76</v>
      </c>
      <c r="G374" s="50" t="n">
        <v>1800</v>
      </c>
      <c r="H374" s="50" t="n">
        <v>1800</v>
      </c>
      <c r="I374" s="50" t="n"/>
      <c r="J374" s="28">
        <f>IF(OR(G374="",AND(H374="",I374="")),"n/a",IF(G374=I374,"mastered",IF(G374=H374,"normal","differs")))</f>
        <v/>
      </c>
      <c r="K374" s="28">
        <f>IF(L374&lt;&gt;"",L374,IF(M374&lt;&gt;"",M374,""))</f>
        <v/>
      </c>
      <c r="L374" s="50" t="n">
        <v>100</v>
      </c>
      <c r="M374" s="50" t="n">
        <v>100</v>
      </c>
      <c r="N374" s="28">
        <f>IF(O374&lt;&gt;"",O374,IF(P374&lt;&gt;"",P374,""))</f>
        <v/>
      </c>
      <c r="O374" s="50" t="n">
        <v>20</v>
      </c>
      <c r="P374" s="50" t="n">
        <v>20</v>
      </c>
      <c r="Q374" s="50" t="n">
        <v>18.68</v>
      </c>
      <c r="R374" s="50" t="n">
        <v>0.67</v>
      </c>
      <c r="S374" s="28">
        <f>IF(Q374="","",IF(Q374&lt;0,"negative profit",IF(Q374&gt;Notes!$B$4,"unusually high - verify","")))</f>
        <v/>
      </c>
      <c r="T374" s="28" t="inlineStr">
        <is>
          <t>both</t>
        </is>
      </c>
      <c r="U374" s="28">
        <f>IF(T374&lt;&gt;"both",T374&amp;" only",IF(V374="","agree","conflict"))</f>
        <v/>
      </c>
      <c r="V374" s="28">
        <f>IF(T374="both",TRIM(IF(AND(E374&lt;&gt;"",F374&lt;&gt;"",E374&lt;&gt;F374),"level ","")&amp;IF(AND(L374&lt;&gt;"",M374&lt;&gt;"",L374&lt;&gt;M374),"price ","")&amp;IF(AND(O374&lt;&gt;"",P374&lt;&gt;"",O374&lt;&gt;P374),"xp ","")&amp;IF(J374="differs","time","")),"")</f>
        <v/>
      </c>
      <c r="X374" s="50" t="n"/>
      <c r="Y374" s="50" t="inlineStr">
        <is>
          <t>Peach.png</t>
        </is>
      </c>
      <c r="Z374" s="50" t="inlineStr">
        <is>
          <t>icons/Trees &amp; Bushes/Peach.png</t>
        </is>
      </c>
      <c r="AA374" s="28" t="inlineStr">
        <is>
          <t>hayday.info /api/production-data (2026-10-13) + Hay Day Wiki infobox via MediaWiki API (2026-10-13)</t>
        </is>
      </c>
      <c r="AB374" s="28" t="inlineStr">
        <is>
          <t>https://hayday.fandom.com/wiki/Peach</t>
        </is>
      </c>
      <c r="AC374" s="50" t="inlineStr">
        <is>
          <t>Peach</t>
        </is>
      </c>
    </row>
    <row r="375">
      <c r="A375" s="28" t="inlineStr">
        <is>
          <t>Banana</t>
        </is>
      </c>
      <c r="B375" s="28" t="inlineStr">
        <is>
          <t>Trees &amp; Bushes</t>
        </is>
      </c>
      <c r="C375" s="50" t="inlineStr">
        <is>
          <t>Crop</t>
        </is>
      </c>
      <c r="D375" s="28">
        <f>IF(E375&lt;&gt;"",E375,IF(F375&lt;&gt;"",F375,""))</f>
        <v/>
      </c>
      <c r="E375" s="50" t="n">
        <v>88</v>
      </c>
      <c r="F375" s="50" t="n">
        <v>88</v>
      </c>
      <c r="G375" s="50" t="n">
        <v>1620</v>
      </c>
      <c r="H375" s="50" t="n">
        <v>1680</v>
      </c>
      <c r="I375" s="50" t="n"/>
      <c r="J375" s="28">
        <f>IF(OR(G375="",AND(H375="",I375="")),"n/a",IF(G375=I375,"mastered",IF(G375=H375,"normal","differs")))</f>
        <v/>
      </c>
      <c r="K375" s="28">
        <f>IF(L375&lt;&gt;"",L375,IF(M375&lt;&gt;"",M375,""))</f>
        <v/>
      </c>
      <c r="L375" s="50" t="n">
        <v>104</v>
      </c>
      <c r="M375" s="50" t="n">
        <v>104</v>
      </c>
      <c r="N375" s="28">
        <f>IF(O375&lt;&gt;"",O375,IF(P375&lt;&gt;"",P375,""))</f>
        <v/>
      </c>
      <c r="O375" s="50" t="n">
        <v>20</v>
      </c>
      <c r="P375" s="50" t="n">
        <v>20</v>
      </c>
      <c r="Q375" s="50" t="n">
        <v>20.64</v>
      </c>
      <c r="R375" s="50" t="n">
        <v>0.74</v>
      </c>
      <c r="S375" s="28">
        <f>IF(Q375="","",IF(Q375&lt;0,"negative profit",IF(Q375&gt;Notes!$B$4,"unusually high - verify","")))</f>
        <v/>
      </c>
      <c r="T375" s="28" t="inlineStr">
        <is>
          <t>both</t>
        </is>
      </c>
      <c r="U375" s="28">
        <f>IF(T375&lt;&gt;"both",T375&amp;" only",IF(V375="","agree","conflict"))</f>
        <v/>
      </c>
      <c r="V375" s="28">
        <f>IF(T375="both",TRIM(IF(AND(E375&lt;&gt;"",F375&lt;&gt;"",E375&lt;&gt;F375),"level ","")&amp;IF(AND(L375&lt;&gt;"",M375&lt;&gt;"",L375&lt;&gt;M375),"price ","")&amp;IF(AND(O375&lt;&gt;"",P375&lt;&gt;"",O375&lt;&gt;P375),"xp ","")&amp;IF(J375="differs","time","")),"")</f>
        <v/>
      </c>
      <c r="X375" s="50" t="n"/>
      <c r="Y375" s="50" t="inlineStr">
        <is>
          <t>Banana.png</t>
        </is>
      </c>
      <c r="Z375" s="50" t="inlineStr">
        <is>
          <t>icons/Trees &amp; Bushes/Banana.png</t>
        </is>
      </c>
      <c r="AA375" s="28" t="inlineStr">
        <is>
          <t>hayday.info /api/production-data (2026-10-13) + Hay Day Wiki infobox via MediaWiki API (2026-10-13)</t>
        </is>
      </c>
      <c r="AB375" s="28" t="inlineStr">
        <is>
          <t>https://hayday.fandom.com/wiki/Banana</t>
        </is>
      </c>
      <c r="AC375" s="50" t="inlineStr">
        <is>
          <t>Banana</t>
        </is>
      </c>
    </row>
    <row r="376">
      <c r="A376" s="28" t="inlineStr">
        <is>
          <t>Plum</t>
        </is>
      </c>
      <c r="B376" s="28" t="inlineStr">
        <is>
          <t>Trees &amp; Bushes</t>
        </is>
      </c>
      <c r="C376" s="50" t="inlineStr">
        <is>
          <t>Crop</t>
        </is>
      </c>
      <c r="D376" s="28">
        <f>IF(E376&lt;&gt;"",E376,IF(F376&lt;&gt;"",F376,""))</f>
        <v/>
      </c>
      <c r="E376" s="50" t="n">
        <v>94</v>
      </c>
      <c r="F376" s="50" t="n">
        <v>94</v>
      </c>
      <c r="G376" s="50" t="n">
        <v>1620</v>
      </c>
      <c r="H376" s="50" t="n">
        <v>1500</v>
      </c>
      <c r="I376" s="50" t="n"/>
      <c r="J376" s="28">
        <f>IF(OR(G376="",AND(H376="",I376="")),"n/a",IF(G376=I376,"mastered",IF(G376=H376,"normal","differs")))</f>
        <v/>
      </c>
      <c r="K376" s="28">
        <f>IF(L376&lt;&gt;"",L376,IF(M376&lt;&gt;"",M376,""))</f>
        <v/>
      </c>
      <c r="L376" s="50" t="n">
        <v>82</v>
      </c>
      <c r="M376" s="50" t="n">
        <v>82</v>
      </c>
      <c r="N376" s="28">
        <f>IF(O376&lt;&gt;"",O376,IF(P376&lt;&gt;"",P376,""))</f>
        <v/>
      </c>
      <c r="O376" s="50" t="n">
        <v>16</v>
      </c>
      <c r="P376" s="50" t="n">
        <v>16</v>
      </c>
      <c r="Q376" s="50" t="n">
        <v>17.64</v>
      </c>
      <c r="R376" s="50" t="n">
        <v>0.59</v>
      </c>
      <c r="S376" s="28">
        <f>IF(Q376="","",IF(Q376&lt;0,"negative profit",IF(Q376&gt;Notes!$B$4,"unusually high - verify","")))</f>
        <v/>
      </c>
      <c r="T376" s="28" t="inlineStr">
        <is>
          <t>both</t>
        </is>
      </c>
      <c r="U376" s="28">
        <f>IF(T376&lt;&gt;"both",T376&amp;" only",IF(V376="","agree","conflict"))</f>
        <v/>
      </c>
      <c r="V376" s="28">
        <f>IF(T376="both",TRIM(IF(AND(E376&lt;&gt;"",F376&lt;&gt;"",E376&lt;&gt;F376),"level ","")&amp;IF(AND(L376&lt;&gt;"",M376&lt;&gt;"",L376&lt;&gt;M376),"price ","")&amp;IF(AND(O376&lt;&gt;"",P376&lt;&gt;"",O376&lt;&gt;P376),"xp ","")&amp;IF(J376="differs","time","")),"")</f>
        <v/>
      </c>
      <c r="X376" s="50" t="n"/>
      <c r="Y376" s="50" t="inlineStr">
        <is>
          <t>Plum.png</t>
        </is>
      </c>
      <c r="Z376" s="50" t="inlineStr">
        <is>
          <t>icons/Trees &amp; Bushes/Plum.png</t>
        </is>
      </c>
      <c r="AA376" s="28" t="inlineStr">
        <is>
          <t>hayday.info /api/production-data (2026-10-13) + Hay Day Wiki infobox via MediaWiki API (2026-10-13)</t>
        </is>
      </c>
      <c r="AB376" s="28" t="inlineStr">
        <is>
          <t>https://hayday.fandom.com/wiki/Plum</t>
        </is>
      </c>
      <c r="AC376" s="50" t="inlineStr">
        <is>
          <t>Plum</t>
        </is>
      </c>
    </row>
    <row r="377">
      <c r="A377" s="28" t="inlineStr">
        <is>
          <t>Mango</t>
        </is>
      </c>
      <c r="B377" s="28" t="inlineStr">
        <is>
          <t>Trees &amp; Bushes</t>
        </is>
      </c>
      <c r="C377" s="50" t="inlineStr">
        <is>
          <t>Crop</t>
        </is>
      </c>
      <c r="D377" s="28">
        <f>IF(E377&lt;&gt;"",E377,IF(F377&lt;&gt;"",F377,""))</f>
        <v/>
      </c>
      <c r="E377" s="50" t="n">
        <v>97</v>
      </c>
      <c r="F377" s="50" t="n">
        <v>97</v>
      </c>
      <c r="G377" s="50" t="n">
        <v>1920</v>
      </c>
      <c r="H377" s="50" t="n">
        <v>1920</v>
      </c>
      <c r="I377" s="50" t="n"/>
      <c r="J377" s="28">
        <f>IF(OR(G377="",AND(H377="",I377="")),"n/a",IF(G377=I377,"mastered",IF(G377=H377,"normal","differs")))</f>
        <v/>
      </c>
      <c r="K377" s="28">
        <f>IF(L377&lt;&gt;"",L377,IF(M377&lt;&gt;"",M377,""))</f>
        <v/>
      </c>
      <c r="L377" s="50" t="n">
        <v>100</v>
      </c>
      <c r="M377" s="50" t="n">
        <v>100</v>
      </c>
      <c r="N377" s="28">
        <f>IF(O377&lt;&gt;"",O377,IF(P377&lt;&gt;"",P377,""))</f>
        <v/>
      </c>
      <c r="O377" s="50" t="n">
        <v>20</v>
      </c>
      <c r="P377" s="50" t="n">
        <v>20</v>
      </c>
      <c r="Q377" s="50" t="n">
        <v>16.89</v>
      </c>
      <c r="R377" s="50" t="n">
        <v>0.62</v>
      </c>
      <c r="S377" s="28">
        <f>IF(Q377="","",IF(Q377&lt;0,"negative profit",IF(Q377&gt;Notes!$B$4,"unusually high - verify","")))</f>
        <v/>
      </c>
      <c r="T377" s="28" t="inlineStr">
        <is>
          <t>both</t>
        </is>
      </c>
      <c r="U377" s="28">
        <f>IF(T377&lt;&gt;"both",T377&amp;" only",IF(V377="","agree","conflict"))</f>
        <v/>
      </c>
      <c r="V377" s="28">
        <f>IF(T377="both",TRIM(IF(AND(E377&lt;&gt;"",F377&lt;&gt;"",E377&lt;&gt;F377),"level ","")&amp;IF(AND(L377&lt;&gt;"",M377&lt;&gt;"",L377&lt;&gt;M377),"price ","")&amp;IF(AND(O377&lt;&gt;"",P377&lt;&gt;"",O377&lt;&gt;P377),"xp ","")&amp;IF(J377="differs","time","")),"")</f>
        <v/>
      </c>
      <c r="X377" s="50" t="n"/>
      <c r="Y377" s="50" t="inlineStr">
        <is>
          <t>Mango.png</t>
        </is>
      </c>
      <c r="Z377" s="50" t="inlineStr">
        <is>
          <t>icons/Trees &amp; Bushes/Mango.png</t>
        </is>
      </c>
      <c r="AA377" s="28" t="inlineStr">
        <is>
          <t>hayday.info /api/production-data (2026-10-13) + Hay Day Wiki infobox via MediaWiki API (2026-10-13)</t>
        </is>
      </c>
      <c r="AB377" s="28" t="inlineStr">
        <is>
          <t>https://hayday.fandom.com/wiki/Mango</t>
        </is>
      </c>
      <c r="AC377" s="50" t="inlineStr">
        <is>
          <t>Mango</t>
        </is>
      </c>
    </row>
    <row r="378">
      <c r="A378" s="28" t="inlineStr">
        <is>
          <t>Coconut</t>
        </is>
      </c>
      <c r="B378" s="28" t="inlineStr">
        <is>
          <t>Trees &amp; Bushes</t>
        </is>
      </c>
      <c r="C378" s="50" t="inlineStr">
        <is>
          <t>Crop</t>
        </is>
      </c>
      <c r="D378" s="28">
        <f>IF(E378&lt;&gt;"",E378,IF(F378&lt;&gt;"",F378,""))</f>
        <v/>
      </c>
      <c r="E378" s="50" t="n">
        <v>101</v>
      </c>
      <c r="F378" s="50" t="n">
        <v>101</v>
      </c>
      <c r="G378" s="50" t="n">
        <v>2160</v>
      </c>
      <c r="H378" s="50" t="n">
        <v>2160</v>
      </c>
      <c r="I378" s="50" t="n"/>
      <c r="J378" s="28">
        <f>IF(OR(G378="",AND(H378="",I378="")),"n/a",IF(G378=I378,"mastered",IF(G378=H378,"normal","differs")))</f>
        <v/>
      </c>
      <c r="K378" s="28">
        <f>IF(L378&lt;&gt;"",L378,IF(M378&lt;&gt;"",M378,""))</f>
        <v/>
      </c>
      <c r="L378" s="50" t="n">
        <v>108</v>
      </c>
      <c r="M378" s="50" t="n">
        <v>108</v>
      </c>
      <c r="N378" s="28">
        <f>IF(O378&lt;&gt;"",O378,IF(P378&lt;&gt;"",P378,""))</f>
        <v/>
      </c>
      <c r="O378" s="50" t="n">
        <v>21</v>
      </c>
      <c r="P378" s="50" t="n">
        <v>21</v>
      </c>
      <c r="Q378" s="50" t="n">
        <v>16.5</v>
      </c>
      <c r="R378" s="50" t="n">
        <v>0.58</v>
      </c>
      <c r="S378" s="28">
        <f>IF(Q378="","",IF(Q378&lt;0,"negative profit",IF(Q378&gt;Notes!$B$4,"unusually high - verify","")))</f>
        <v/>
      </c>
      <c r="T378" s="28" t="inlineStr">
        <is>
          <t>both</t>
        </is>
      </c>
      <c r="U378" s="28">
        <f>IF(T378&lt;&gt;"both",T378&amp;" only",IF(V378="","agree","conflict"))</f>
        <v/>
      </c>
      <c r="V378" s="28">
        <f>IF(T378="both",TRIM(IF(AND(E378&lt;&gt;"",F378&lt;&gt;"",E378&lt;&gt;F378),"level ","")&amp;IF(AND(L378&lt;&gt;"",M378&lt;&gt;"",L378&lt;&gt;M378),"price ","")&amp;IF(AND(O378&lt;&gt;"",P378&lt;&gt;"",O378&lt;&gt;P378),"xp ","")&amp;IF(J378="differs","time","")),"")</f>
        <v/>
      </c>
      <c r="X378" s="50" t="n"/>
      <c r="Y378" s="50" t="inlineStr">
        <is>
          <t>Coconut.png</t>
        </is>
      </c>
      <c r="Z378" s="50" t="inlineStr">
        <is>
          <t>icons/Trees &amp; Bushes/Coconut.png</t>
        </is>
      </c>
      <c r="AA378" s="28" t="inlineStr">
        <is>
          <t>hayday.info /api/production-data (2026-10-13) + Hay Day Wiki infobox via MediaWiki API (2026-10-13)</t>
        </is>
      </c>
      <c r="AB378" s="28" t="inlineStr">
        <is>
          <t>https://hayday.fandom.com/wiki/Coconut</t>
        </is>
      </c>
      <c r="AC378" s="50" t="inlineStr">
        <is>
          <t>Coconut</t>
        </is>
      </c>
    </row>
    <row r="379">
      <c r="A379" s="28" t="inlineStr">
        <is>
          <t>Guava</t>
        </is>
      </c>
      <c r="B379" s="28" t="inlineStr">
        <is>
          <t>Trees &amp; Bushes</t>
        </is>
      </c>
      <c r="C379" s="50" t="inlineStr">
        <is>
          <t>Crop</t>
        </is>
      </c>
      <c r="D379" s="28">
        <f>IF(E379&lt;&gt;"",E379,IF(F379&lt;&gt;"",F379,""))</f>
        <v/>
      </c>
      <c r="E379" s="50" t="n">
        <v>104</v>
      </c>
      <c r="F379" s="50" t="n">
        <v>104</v>
      </c>
      <c r="G379" s="50" t="n">
        <v>2040</v>
      </c>
      <c r="H379" s="50" t="n">
        <v>2040</v>
      </c>
      <c r="I379" s="50" t="n"/>
      <c r="J379" s="28">
        <f>IF(OR(G379="",AND(H379="",I379="")),"n/a",IF(G379=I379,"mastered",IF(G379=H379,"normal","differs")))</f>
        <v/>
      </c>
      <c r="K379" s="28">
        <f>IF(L379&lt;&gt;"",L379,IF(M379&lt;&gt;"",M379,""))</f>
        <v/>
      </c>
      <c r="L379" s="50" t="n">
        <v>111</v>
      </c>
      <c r="M379" s="50" t="n">
        <v>111</v>
      </c>
      <c r="N379" s="28">
        <f>IF(O379&lt;&gt;"",O379,IF(P379&lt;&gt;"",P379,""))</f>
        <v/>
      </c>
      <c r="O379" s="50" t="n">
        <v>22</v>
      </c>
      <c r="P379" s="50" t="n">
        <v>22</v>
      </c>
      <c r="Q379" s="50" t="n">
        <v>17.38</v>
      </c>
      <c r="R379" s="50" t="n">
        <v>0.65</v>
      </c>
      <c r="S379" s="28">
        <f>IF(Q379="","",IF(Q379&lt;0,"negative profit",IF(Q379&gt;Notes!$B$4,"unusually high - verify","")))</f>
        <v/>
      </c>
      <c r="T379" s="28" t="inlineStr">
        <is>
          <t>both</t>
        </is>
      </c>
      <c r="U379" s="28">
        <f>IF(T379&lt;&gt;"both",T379&amp;" only",IF(V379="","agree","conflict"))</f>
        <v/>
      </c>
      <c r="V379" s="28">
        <f>IF(T379="both",TRIM(IF(AND(E379&lt;&gt;"",F379&lt;&gt;"",E379&lt;&gt;F379),"level ","")&amp;IF(AND(L379&lt;&gt;"",M379&lt;&gt;"",L379&lt;&gt;M379),"price ","")&amp;IF(AND(O379&lt;&gt;"",P379&lt;&gt;"",O379&lt;&gt;P379),"xp ","")&amp;IF(J379="differs","time","")),"")</f>
        <v/>
      </c>
      <c r="X379" s="50" t="n"/>
      <c r="Y379" s="50" t="inlineStr">
        <is>
          <t>Guava.png</t>
        </is>
      </c>
      <c r="Z379" s="50" t="inlineStr">
        <is>
          <t>icons/Trees &amp; Bushes/Guava.png</t>
        </is>
      </c>
      <c r="AA379" s="28" t="inlineStr">
        <is>
          <t>hayday.info /api/production-data (2026-10-13) + Hay Day Wiki infobox via MediaWiki API (2026-10-13)</t>
        </is>
      </c>
      <c r="AB379" s="28" t="inlineStr">
        <is>
          <t>https://hayday.fandom.com/wiki/Guava</t>
        </is>
      </c>
      <c r="AC379" s="50" t="inlineStr">
        <is>
          <t>Guava</t>
        </is>
      </c>
    </row>
    <row r="380">
      <c r="A380" s="28" t="inlineStr">
        <is>
          <t>Blueberries</t>
        </is>
      </c>
      <c r="B380" s="28" t="inlineStr">
        <is>
          <t>Trees &amp; Bushes</t>
        </is>
      </c>
      <c r="C380" s="50" t="inlineStr">
        <is>
          <t>Crop</t>
        </is>
      </c>
      <c r="D380" s="28">
        <f>IF(E380&lt;&gt;"",E380,IF(F380&lt;&gt;"",F380,""))</f>
        <v/>
      </c>
      <c r="E380" s="50" t="n"/>
      <c r="F380" s="50" t="n">
        <v>30</v>
      </c>
      <c r="G380" s="50" t="n"/>
      <c r="H380" s="50" t="n">
        <v>2100</v>
      </c>
      <c r="I380" s="50" t="n"/>
      <c r="J380" s="28">
        <f>IF(OR(G380="",AND(H380="",I380="")),"n/a",IF(G380=I380,"mastered",IF(G380=H380,"normal","differs")))</f>
        <v/>
      </c>
      <c r="K380" s="28">
        <f>IF(L380&lt;&gt;"",L380,IF(M380&lt;&gt;"",M380,""))</f>
        <v/>
      </c>
      <c r="L380" s="50" t="n"/>
      <c r="M380" s="50" t="n">
        <v>82</v>
      </c>
      <c r="N380" s="28">
        <f>IF(O380&lt;&gt;"",O380,IF(P380&lt;&gt;"",P380,""))</f>
        <v/>
      </c>
      <c r="O380" s="50" t="n"/>
      <c r="P380" s="50" t="n">
        <v>16</v>
      </c>
      <c r="Q380" s="50" t="n"/>
      <c r="R380" s="50" t="n"/>
      <c r="S380" s="28">
        <f>IF(Q380="","",IF(Q380&lt;0,"negative profit",IF(Q380&gt;Notes!$B$4,"unusually high - verify","")))</f>
        <v/>
      </c>
      <c r="T380" s="28" t="inlineStr">
        <is>
          <t>Fandom</t>
        </is>
      </c>
      <c r="U380" s="28">
        <f>IF(T380&lt;&gt;"both",T380&amp;" only",IF(V380="","agree","conflict"))</f>
        <v/>
      </c>
      <c r="V380" s="28">
        <f>IF(T380="both",TRIM(IF(AND(E380&lt;&gt;"",F380&lt;&gt;"",E380&lt;&gt;F380),"level ","")&amp;IF(AND(L380&lt;&gt;"",M380&lt;&gt;"",L380&lt;&gt;M380),"price ","")&amp;IF(AND(O380&lt;&gt;"",P380&lt;&gt;"",O380&lt;&gt;P380),"xp ","")&amp;IF(J380="differs","time","")),"")</f>
        <v/>
      </c>
      <c r="X380" s="50" t="n"/>
      <c r="Y380" s="50" t="inlineStr">
        <is>
          <t>Blueberries.png</t>
        </is>
      </c>
      <c r="Z380" s="50" t="inlineStr">
        <is>
          <t>icons/Trees &amp; Bushes/Blueberries.png</t>
        </is>
      </c>
      <c r="AA380" s="28" t="inlineStr">
        <is>
          <t>Hay Day Wiki infobox via MediaWiki API (2026-10-13)</t>
        </is>
      </c>
      <c r="AB380" s="28" t="inlineStr">
        <is>
          <t>https://hayday.fandom.com/wiki/Blueberries</t>
        </is>
      </c>
      <c r="AC380" s="50" t="n"/>
    </row>
    <row r="381">
      <c r="A381" s="28" t="inlineStr">
        <is>
          <t>Pomegranate</t>
        </is>
      </c>
      <c r="B381" s="28" t="inlineStr">
        <is>
          <t>Trees &amp; Bushes</t>
        </is>
      </c>
      <c r="C381" s="50" t="inlineStr">
        <is>
          <t>Crop</t>
        </is>
      </c>
      <c r="D381" s="28">
        <f>IF(E381&lt;&gt;"",E381,IF(F381&lt;&gt;"",F381,""))</f>
        <v/>
      </c>
      <c r="E381" s="50" t="n"/>
      <c r="F381" s="50" t="n">
        <v>107</v>
      </c>
      <c r="G381" s="50" t="n"/>
      <c r="H381" s="50" t="n">
        <v>1620</v>
      </c>
      <c r="I381" s="50" t="n"/>
      <c r="J381" s="28">
        <f>IF(OR(G381="",AND(H381="",I381="")),"n/a",IF(G381=I381,"mastered",IF(G381=H381,"normal","differs")))</f>
        <v/>
      </c>
      <c r="K381" s="28">
        <f>IF(L381&lt;&gt;"",L381,IF(M381&lt;&gt;"",M381,""))</f>
        <v/>
      </c>
      <c r="L381" s="50" t="n"/>
      <c r="M381" s="50" t="n">
        <v>111</v>
      </c>
      <c r="N381" s="28">
        <f>IF(O381&lt;&gt;"",O381,IF(P381&lt;&gt;"",P381,""))</f>
        <v/>
      </c>
      <c r="O381" s="50" t="n"/>
      <c r="P381" s="50" t="n">
        <v>22</v>
      </c>
      <c r="Q381" s="50" t="n"/>
      <c r="R381" s="50" t="n"/>
      <c r="S381" s="28">
        <f>IF(Q381="","",IF(Q381&lt;0,"negative profit",IF(Q381&gt;Notes!$B$4,"unusually high - verify","")))</f>
        <v/>
      </c>
      <c r="T381" s="28" t="inlineStr">
        <is>
          <t>Fandom</t>
        </is>
      </c>
      <c r="U381" s="28">
        <f>IF(T381&lt;&gt;"both",T381&amp;" only",IF(V381="","agree","conflict"))</f>
        <v/>
      </c>
      <c r="V381" s="28">
        <f>IF(T381="both",TRIM(IF(AND(E381&lt;&gt;"",F381&lt;&gt;"",E381&lt;&gt;F381),"level ","")&amp;IF(AND(L381&lt;&gt;"",M381&lt;&gt;"",L381&lt;&gt;M381),"price ","")&amp;IF(AND(O381&lt;&gt;"",P381&lt;&gt;"",O381&lt;&gt;P381),"xp ","")&amp;IF(J381="differs","time","")),"")</f>
        <v/>
      </c>
      <c r="X381" s="50" t="n"/>
      <c r="Y381" s="50" t="inlineStr">
        <is>
          <t>Pomegranate.png</t>
        </is>
      </c>
      <c r="Z381" s="50" t="inlineStr">
        <is>
          <t>icons/Trees &amp; Bushes/Pomegranate.png</t>
        </is>
      </c>
      <c r="AA381" s="28" t="inlineStr">
        <is>
          <t>Hay Day Wiki infobox via MediaWiki API (2026-10-13)</t>
        </is>
      </c>
      <c r="AB381" s="28" t="inlineStr">
        <is>
          <t>https://hayday.fandom.com/wiki/Pomegranate</t>
        </is>
      </c>
      <c r="AC381" s="50" t="n"/>
    </row>
    <row r="382">
      <c r="A382" s="28" t="inlineStr">
        <is>
          <t>Fried Rice</t>
        </is>
      </c>
      <c r="B382" s="28" t="inlineStr">
        <is>
          <t>Wok Kitchen</t>
        </is>
      </c>
      <c r="C382" s="50" t="inlineStr">
        <is>
          <t>Product</t>
        </is>
      </c>
      <c r="D382" s="28">
        <f>IF(E382&lt;&gt;"",E382,IF(F382&lt;&gt;"",F382,""))</f>
        <v/>
      </c>
      <c r="E382" s="50" t="n">
        <v>69</v>
      </c>
      <c r="F382" s="50" t="n">
        <v>69</v>
      </c>
      <c r="G382" s="50" t="n">
        <v>51</v>
      </c>
      <c r="H382" s="50" t="n">
        <v>60</v>
      </c>
      <c r="I382" s="50" t="n">
        <v>51</v>
      </c>
      <c r="J382" s="28">
        <f>IF(OR(G382="",AND(H382="",I382="")),"n/a",IF(G382=I382,"mastered",IF(G382=H382,"normal","differs")))</f>
        <v/>
      </c>
      <c r="K382" s="28">
        <f>IF(L382&lt;&gt;"",L382,IF(M382&lt;&gt;"",M382,""))</f>
        <v/>
      </c>
      <c r="L382" s="50" t="n">
        <v>205</v>
      </c>
      <c r="M382" s="50" t="n">
        <v>205</v>
      </c>
      <c r="N382" s="28">
        <f>IF(O382&lt;&gt;"",O382,IF(P382&lt;&gt;"",P382,""))</f>
        <v/>
      </c>
      <c r="O382" s="50" t="n">
        <v>24</v>
      </c>
      <c r="P382" s="50" t="n">
        <v>24</v>
      </c>
      <c r="Q382" s="50" t="n">
        <v>29.41</v>
      </c>
      <c r="R382" s="50" t="n">
        <v>28.24</v>
      </c>
      <c r="S382" s="28">
        <f>IF(Q382="","",IF(Q382&lt;0,"negative profit",IF(Q382&gt;Notes!$B$4,"unusually high - verify","")))</f>
        <v/>
      </c>
      <c r="T382" s="28" t="inlineStr">
        <is>
          <t>both</t>
        </is>
      </c>
      <c r="U382" s="28">
        <f>IF(T382&lt;&gt;"both",T382&amp;" only",IF(V382="","agree","conflict"))</f>
        <v/>
      </c>
      <c r="V382" s="28">
        <f>IF(T382="both",TRIM(IF(AND(E382&lt;&gt;"",F382&lt;&gt;"",E382&lt;&gt;F382),"level ","")&amp;IF(AND(L382&lt;&gt;"",M382&lt;&gt;"",L382&lt;&gt;M382),"price ","")&amp;IF(AND(O382&lt;&gt;"",P382&lt;&gt;"",O382&lt;&gt;P382),"xp ","")&amp;IF(J382="differs","time","")),"")</f>
        <v/>
      </c>
      <c r="X382" s="50" t="inlineStr">
        <is>
          <t>Rice x5; Egg x5</t>
        </is>
      </c>
      <c r="Y382" s="50" t="inlineStr">
        <is>
          <t>Fried Rice.png</t>
        </is>
      </c>
      <c r="Z382" s="50" t="inlineStr">
        <is>
          <t>icons/Wok Kitchen/Fried Rice.png</t>
        </is>
      </c>
      <c r="AA382" s="28" t="inlineStr">
        <is>
          <t>hayday.info /api/production-data (2026-10-13) + Hay Day Wiki infobox via MediaWiki API (2026-10-13)</t>
        </is>
      </c>
      <c r="AB382" s="28" t="inlineStr">
        <is>
          <t>https://hayday.fandom.com/wiki/Fried_Rice</t>
        </is>
      </c>
      <c r="AC382" s="50" t="inlineStr">
        <is>
          <t>Fried rice</t>
        </is>
      </c>
    </row>
    <row r="383">
      <c r="A383" s="28" t="inlineStr">
        <is>
          <t>Spicy Fish</t>
        </is>
      </c>
      <c r="B383" s="28" t="inlineStr">
        <is>
          <t>Wok Kitchen</t>
        </is>
      </c>
      <c r="C383" s="50" t="inlineStr">
        <is>
          <t>Product</t>
        </is>
      </c>
      <c r="D383" s="28">
        <f>IF(E383&lt;&gt;"",E383,IF(F383&lt;&gt;"",F383,""))</f>
        <v/>
      </c>
      <c r="E383" s="50" t="n">
        <v>79</v>
      </c>
      <c r="F383" s="50" t="n">
        <v>79</v>
      </c>
      <c r="G383" s="50" t="n">
        <v>76</v>
      </c>
      <c r="H383" s="50" t="n">
        <v>90</v>
      </c>
      <c r="I383" s="50" t="n">
        <v>76</v>
      </c>
      <c r="J383" s="28">
        <f>IF(OR(G383="",AND(H383="",I383="")),"n/a",IF(G383=I383,"mastered",IF(G383=H383,"normal","differs")))</f>
        <v/>
      </c>
      <c r="K383" s="28">
        <f>IF(L383&lt;&gt;"",L383,IF(M383&lt;&gt;"",M383,""))</f>
        <v/>
      </c>
      <c r="L383" s="50" t="n">
        <v>543</v>
      </c>
      <c r="M383" s="50" t="n">
        <v>543</v>
      </c>
      <c r="N383" s="28">
        <f>IF(O383&lt;&gt;"",O383,IF(P383&lt;&gt;"",P383,""))</f>
        <v/>
      </c>
      <c r="O383" s="50" t="n">
        <v>65</v>
      </c>
      <c r="P383" s="50" t="n">
        <v>65</v>
      </c>
      <c r="Q383" s="50" t="n">
        <v>26.67</v>
      </c>
      <c r="R383" s="50" t="n">
        <v>50.98</v>
      </c>
      <c r="S383" s="28">
        <f>IF(Q383="","",IF(Q383&lt;0,"negative profit",IF(Q383&gt;Notes!$B$4,"unusually high - verify","")))</f>
        <v/>
      </c>
      <c r="T383" s="28" t="inlineStr">
        <is>
          <t>both</t>
        </is>
      </c>
      <c r="U383" s="28">
        <f>IF(T383&lt;&gt;"both",T383&amp;" only",IF(V383="","agree","conflict"))</f>
        <v/>
      </c>
      <c r="V383" s="28">
        <f>IF(T383="both",TRIM(IF(AND(E383&lt;&gt;"",F383&lt;&gt;"",E383&lt;&gt;F383),"level ","")&amp;IF(AND(L383&lt;&gt;"",M383&lt;&gt;"",L383&lt;&gt;M383),"price ","")&amp;IF(AND(O383&lt;&gt;"",P383&lt;&gt;"",O383&lt;&gt;P383),"xp ","")&amp;IF(J383="differs","time","")),"")</f>
        <v/>
      </c>
      <c r="X383" s="50" t="inlineStr">
        <is>
          <t>Fish Fillet x1; Chili Pepper x3; Garlic x5; Olive Oil x1</t>
        </is>
      </c>
      <c r="Y383" s="50" t="inlineStr">
        <is>
          <t>Spicy Fish.png</t>
        </is>
      </c>
      <c r="Z383" s="50" t="inlineStr">
        <is>
          <t>icons/Wok Kitchen/Spicy Fish.png</t>
        </is>
      </c>
      <c r="AA383" s="28" t="inlineStr">
        <is>
          <t>hayday.info /api/production-data (2026-10-13) + Hay Day Wiki infobox via MediaWiki API (2026-10-13)</t>
        </is>
      </c>
      <c r="AB383" s="28" t="inlineStr">
        <is>
          <t>https://hayday.fandom.com/wiki/Spicy_Fish</t>
        </is>
      </c>
      <c r="AC383" s="50" t="inlineStr">
        <is>
          <t>Spicy fish</t>
        </is>
      </c>
    </row>
    <row r="384">
      <c r="A384" s="28" t="inlineStr">
        <is>
          <t>Peanut Noodles</t>
        </is>
      </c>
      <c r="B384" s="28" t="inlineStr">
        <is>
          <t>Wok Kitchen</t>
        </is>
      </c>
      <c r="C384" s="50" t="inlineStr">
        <is>
          <t>Product</t>
        </is>
      </c>
      <c r="D384" s="28">
        <f>IF(E384&lt;&gt;"",E384,IF(F384&lt;&gt;"",F384,""))</f>
        <v/>
      </c>
      <c r="E384" s="50" t="n">
        <v>86</v>
      </c>
      <c r="F384" s="50" t="n">
        <v>86</v>
      </c>
      <c r="G384" s="50" t="n">
        <v>38</v>
      </c>
      <c r="H384" s="50" t="n">
        <v>45</v>
      </c>
      <c r="I384" s="50" t="n">
        <v>38</v>
      </c>
      <c r="J384" s="28">
        <f>IF(OR(G384="",AND(H384="",I384="")),"n/a",IF(G384=I384,"mastered",IF(G384=H384,"normal","differs")))</f>
        <v/>
      </c>
      <c r="K384" s="28">
        <f>IF(L384&lt;&gt;"",L384,IF(M384&lt;&gt;"",M384,""))</f>
        <v/>
      </c>
      <c r="L384" s="50" t="n">
        <v>669</v>
      </c>
      <c r="M384" s="50" t="n">
        <v>597</v>
      </c>
      <c r="N384" s="28">
        <f>IF(O384&lt;&gt;"",O384,IF(P384&lt;&gt;"",P384,""))</f>
        <v/>
      </c>
      <c r="O384" s="50" t="n">
        <v>80</v>
      </c>
      <c r="P384" s="50" t="n">
        <v>80</v>
      </c>
      <c r="Q384" s="50" t="n">
        <v>240</v>
      </c>
      <c r="R384" s="50" t="n">
        <v>125.49</v>
      </c>
      <c r="S384" s="28">
        <f>IF(Q384="","",IF(Q384&lt;0,"negative profit",IF(Q384&gt;Notes!$B$4,"unusually high - verify","")))</f>
        <v/>
      </c>
      <c r="T384" s="28" t="inlineStr">
        <is>
          <t>both</t>
        </is>
      </c>
      <c r="U384" s="28">
        <f>IF(T384&lt;&gt;"both",T384&amp;" only",IF(V384="","agree","conflict"))</f>
        <v/>
      </c>
      <c r="V384" s="28">
        <f>IF(T384="both",TRIM(IF(AND(E384&lt;&gt;"",F384&lt;&gt;"",E384&lt;&gt;F384),"level ","")&amp;IF(AND(L384&lt;&gt;"",M384&lt;&gt;"",L384&lt;&gt;M384),"price ","")&amp;IF(AND(O384&lt;&gt;"",P384&lt;&gt;"",O384&lt;&gt;P384),"xp ","")&amp;IF(J384="differs","time","")),"")</f>
        <v/>
      </c>
      <c r="X384" s="50" t="inlineStr">
        <is>
          <t>Ginger x1; Rice Noodles x1; Soy Sauce x1; Peanuts x1</t>
        </is>
      </c>
      <c r="Y384" s="50" t="inlineStr">
        <is>
          <t>Peanut Noodles.png</t>
        </is>
      </c>
      <c r="Z384" s="50" t="inlineStr">
        <is>
          <t>icons/Wok Kitchen/Peanut Noodles.png</t>
        </is>
      </c>
      <c r="AA384" s="28" t="inlineStr">
        <is>
          <t>hayday.info /api/production-data (2026-10-13) + Hay Day Wiki infobox via MediaWiki API (2026-10-13)</t>
        </is>
      </c>
      <c r="AB384" s="28" t="inlineStr">
        <is>
          <t>https://hayday.fandom.com/wiki/Peanut_Noodles</t>
        </is>
      </c>
      <c r="AC384" s="50" t="inlineStr">
        <is>
          <t>Peanut noodles</t>
        </is>
      </c>
    </row>
    <row r="385">
      <c r="A385" s="28" t="inlineStr">
        <is>
          <t>Tofu Stir Fry</t>
        </is>
      </c>
      <c r="B385" s="28" t="inlineStr">
        <is>
          <t>Wok Kitchen</t>
        </is>
      </c>
      <c r="C385" s="50" t="inlineStr">
        <is>
          <t>Product</t>
        </is>
      </c>
      <c r="D385" s="28">
        <f>IF(E385&lt;&gt;"",E385,IF(F385&lt;&gt;"",F385,""))</f>
        <v/>
      </c>
      <c r="E385" s="50" t="n">
        <v>89</v>
      </c>
      <c r="F385" s="50" t="n">
        <v>89</v>
      </c>
      <c r="G385" s="50" t="n">
        <v>63</v>
      </c>
      <c r="H385" s="50" t="n">
        <v>75</v>
      </c>
      <c r="I385" s="50" t="n">
        <v>63</v>
      </c>
      <c r="J385" s="28">
        <f>IF(OR(G385="",AND(H385="",I385="")),"n/a",IF(G385=I385,"mastered",IF(G385=H385,"normal","differs")))</f>
        <v/>
      </c>
      <c r="K385" s="28">
        <f>IF(L385&lt;&gt;"",L385,IF(M385&lt;&gt;"",M385,""))</f>
        <v/>
      </c>
      <c r="L385" s="50" t="n">
        <v>306</v>
      </c>
      <c r="M385" s="50" t="n">
        <v>306</v>
      </c>
      <c r="N385" s="28">
        <f>IF(O385&lt;&gt;"",O385,IF(P385&lt;&gt;"",P385,""))</f>
        <v/>
      </c>
      <c r="O385" s="50" t="n">
        <v>37</v>
      </c>
      <c r="P385" s="50" t="n">
        <v>37</v>
      </c>
      <c r="Q385" s="50" t="n">
        <v>39.53</v>
      </c>
      <c r="R385" s="50" t="n">
        <v>34.82</v>
      </c>
      <c r="S385" s="28">
        <f>IF(Q385="","",IF(Q385&lt;0,"negative profit",IF(Q385&gt;Notes!$B$4,"unusually high - verify","")))</f>
        <v/>
      </c>
      <c r="T385" s="28" t="inlineStr">
        <is>
          <t>both</t>
        </is>
      </c>
      <c r="U385" s="28">
        <f>IF(T385&lt;&gt;"both",T385&amp;" only",IF(V385="","agree","conflict"))</f>
        <v/>
      </c>
      <c r="V385" s="28">
        <f>IF(T385="both",TRIM(IF(AND(E385&lt;&gt;"",F385&lt;&gt;"",E385&lt;&gt;F385),"level ","")&amp;IF(AND(L385&lt;&gt;"",M385&lt;&gt;"",L385&lt;&gt;M385),"price ","")&amp;IF(AND(O385&lt;&gt;"",P385&lt;&gt;"",O385&lt;&gt;P385),"xp ","")&amp;IF(J385="differs","time","")),"")</f>
        <v/>
      </c>
      <c r="X385" s="50" t="inlineStr">
        <is>
          <t>Soybean x3; Onion x3; Broccoli x3; Sesame x3</t>
        </is>
      </c>
      <c r="Y385" s="50" t="inlineStr">
        <is>
          <t>Tofu Stir Fry.png</t>
        </is>
      </c>
      <c r="Z385" s="50" t="inlineStr">
        <is>
          <t>icons/Wok Kitchen/Tofu Stir Fry.png</t>
        </is>
      </c>
      <c r="AA385" s="28" t="inlineStr">
        <is>
          <t>hayday.info /api/production-data (2026-10-13) + Hay Day Wiki infobox via MediaWiki API (2026-10-13)</t>
        </is>
      </c>
      <c r="AB385" s="28" t="inlineStr">
        <is>
          <t>https://hayday.fandom.com/wiki/Tofu_Stir_Fry</t>
        </is>
      </c>
      <c r="AC385" s="50" t="inlineStr">
        <is>
          <t>Tofu stir fry</t>
        </is>
      </c>
    </row>
    <row r="386">
      <c r="A386" s="28" t="inlineStr">
        <is>
          <t>Lamb Stir Fry</t>
        </is>
      </c>
      <c r="B386" s="28" t="inlineStr">
        <is>
          <t>Wok Kitchen</t>
        </is>
      </c>
      <c r="C386" s="50" t="inlineStr">
        <is>
          <t>Product</t>
        </is>
      </c>
      <c r="D386" s="28">
        <f>IF(E386&lt;&gt;"",E386,IF(F386&lt;&gt;"",F386,""))</f>
        <v/>
      </c>
      <c r="E386" s="50" t="n"/>
      <c r="F386" s="50" t="n">
        <v>69</v>
      </c>
      <c r="G386" s="50" t="n"/>
      <c r="H386" s="50" t="n">
        <v>120</v>
      </c>
      <c r="I386" s="50" t="n">
        <v>102</v>
      </c>
      <c r="J386" s="28">
        <f>IF(OR(G386="",AND(H386="",I386="")),"n/a",IF(G386=I386,"mastered",IF(G386=H386,"normal","differs")))</f>
        <v/>
      </c>
      <c r="K386" s="28">
        <f>IF(L386&lt;&gt;"",L386,IF(M386&lt;&gt;"",M386,""))</f>
        <v/>
      </c>
      <c r="L386" s="50" t="n"/>
      <c r="M386" s="50" t="n">
        <v>270</v>
      </c>
      <c r="N386" s="28">
        <f>IF(O386&lt;&gt;"",O386,IF(P386&lt;&gt;"",P386,""))</f>
        <v/>
      </c>
      <c r="O386" s="50" t="n"/>
      <c r="P386" s="50" t="n">
        <v>32</v>
      </c>
      <c r="Q386" s="50" t="n"/>
      <c r="R386" s="50" t="n"/>
      <c r="S386" s="28">
        <f>IF(Q386="","",IF(Q386&lt;0,"negative profit",IF(Q386&gt;Notes!$B$4,"unusually high - verify","")))</f>
        <v/>
      </c>
      <c r="T386" s="28" t="inlineStr">
        <is>
          <t>Fandom</t>
        </is>
      </c>
      <c r="U386" s="28">
        <f>IF(T386&lt;&gt;"both",T386&amp;" only",IF(V386="","agree","conflict"))</f>
        <v/>
      </c>
      <c r="V386" s="28">
        <f>IF(T386="both",TRIM(IF(AND(E386&lt;&gt;"",F386&lt;&gt;"",E386&lt;&gt;F386),"level ","")&amp;IF(AND(L386&lt;&gt;"",M386&lt;&gt;"",L386&lt;&gt;M386),"price ","")&amp;IF(AND(O386&lt;&gt;"",P386&lt;&gt;"",O386&lt;&gt;P386),"xp ","")&amp;IF(J386="differs","time","")),"")</f>
        <v/>
      </c>
      <c r="X386" s="50" t="inlineStr">
        <is>
          <t>Rice x3; Grilled Lamb Skewer x1; Chili Pepper x2; Sesame x1</t>
        </is>
      </c>
      <c r="Y386" s="50" t="inlineStr">
        <is>
          <t>Lamb Stir Fry.png</t>
        </is>
      </c>
      <c r="Z386" s="50" t="inlineStr">
        <is>
          <t>icons/Wok Kitchen/Lamb Stir Fry.png</t>
        </is>
      </c>
      <c r="AA386" s="28" t="inlineStr">
        <is>
          <t>Hay Day Wiki infobox via MediaWiki API (2026-10-13)</t>
        </is>
      </c>
      <c r="AB386" s="28" t="inlineStr">
        <is>
          <t>https://hayday.fandom.com/wiki/Lamb_Stir_Fry</t>
        </is>
      </c>
      <c r="AC386" s="50" t="n"/>
    </row>
    <row r="387">
      <c r="A387" s="28" t="inlineStr">
        <is>
          <t>Plain Yogurt</t>
        </is>
      </c>
      <c r="B387" s="28" t="inlineStr">
        <is>
          <t>Yogurt Maker</t>
        </is>
      </c>
      <c r="C387" s="50" t="inlineStr">
        <is>
          <t>Product</t>
        </is>
      </c>
      <c r="D387" s="28">
        <f>IF(E387&lt;&gt;"",E387,IF(F387&lt;&gt;"",F387,""))</f>
        <v/>
      </c>
      <c r="E387" s="50" t="n">
        <v>103</v>
      </c>
      <c r="F387" s="50" t="n">
        <v>103</v>
      </c>
      <c r="G387" s="50" t="n">
        <v>102</v>
      </c>
      <c r="H387" s="50" t="n">
        <v>120</v>
      </c>
      <c r="I387" s="50" t="n">
        <v>102</v>
      </c>
      <c r="J387" s="28">
        <f>IF(OR(G387="",AND(H387="",I387="")),"n/a",IF(G387=I387,"mastered",IF(G387=H387,"normal","differs")))</f>
        <v/>
      </c>
      <c r="K387" s="28">
        <f>IF(L387&lt;&gt;"",L387,IF(M387&lt;&gt;"",M387,""))</f>
        <v/>
      </c>
      <c r="L387" s="50" t="n">
        <v>234</v>
      </c>
      <c r="M387" s="50" t="n">
        <v>234</v>
      </c>
      <c r="N387" s="28">
        <f>IF(O387&lt;&gt;"",O387,IF(P387&lt;&gt;"",P387,""))</f>
        <v/>
      </c>
      <c r="O387" s="50" t="n">
        <v>28</v>
      </c>
      <c r="P387" s="50" t="n">
        <v>28</v>
      </c>
      <c r="Q387" s="50" t="n">
        <v>22.35</v>
      </c>
      <c r="R387" s="50" t="n">
        <v>16.47</v>
      </c>
      <c r="S387" s="28">
        <f>IF(Q387="","",IF(Q387&lt;0,"negative profit",IF(Q387&gt;Notes!$B$4,"unusually high - verify","")))</f>
        <v/>
      </c>
      <c r="T387" s="28" t="inlineStr">
        <is>
          <t>both</t>
        </is>
      </c>
      <c r="U387" s="28">
        <f>IF(T387&lt;&gt;"both",T387&amp;" only",IF(V387="","agree","conflict"))</f>
        <v/>
      </c>
      <c r="V387" s="28">
        <f>IF(T387="both",TRIM(IF(AND(E387&lt;&gt;"",F387&lt;&gt;"",E387&lt;&gt;F387),"level ","")&amp;IF(AND(L387&lt;&gt;"",M387&lt;&gt;"",L387&lt;&gt;M387),"price ","")&amp;IF(AND(O387&lt;&gt;"",P387&lt;&gt;"",O387&lt;&gt;P387),"xp ","")&amp;IF(J387="differs","time","")),"")</f>
        <v/>
      </c>
      <c r="X387" s="50" t="inlineStr">
        <is>
          <t>Milk x3; Cream x2</t>
        </is>
      </c>
      <c r="Y387" s="50" t="inlineStr">
        <is>
          <t>Plain Yogurt.png</t>
        </is>
      </c>
      <c r="Z387" s="50" t="inlineStr">
        <is>
          <t>icons/Yogurt Maker/Plain Yogurt.png</t>
        </is>
      </c>
      <c r="AA387" s="28" t="inlineStr">
        <is>
          <t>hayday.info /api/production-data (2026-10-13) + Hay Day Wiki infobox via MediaWiki API (2026-10-13)</t>
        </is>
      </c>
      <c r="AB387" s="28" t="inlineStr">
        <is>
          <t>https://hayday.fandom.com/wiki/Plain_Yogurt</t>
        </is>
      </c>
      <c r="AC387" s="50" t="inlineStr">
        <is>
          <t>Plain Yogurt</t>
        </is>
      </c>
    </row>
    <row r="388">
      <c r="A388" s="28" t="inlineStr">
        <is>
          <t>Strawberry Yogurt</t>
        </is>
      </c>
      <c r="B388" s="28" t="inlineStr">
        <is>
          <t>Yogurt Maker</t>
        </is>
      </c>
      <c r="C388" s="50" t="inlineStr">
        <is>
          <t>product</t>
        </is>
      </c>
      <c r="D388" s="28">
        <f>IF(E388&lt;&gt;"",E388,IF(F388&lt;&gt;"",F388,""))</f>
        <v/>
      </c>
      <c r="E388" s="50" t="n">
        <v>105</v>
      </c>
      <c r="F388" s="50" t="n">
        <v>105</v>
      </c>
      <c r="G388" s="50" t="n">
        <v>34</v>
      </c>
      <c r="H388" s="50" t="n">
        <v>40</v>
      </c>
      <c r="I388" s="50" t="n">
        <v>34</v>
      </c>
      <c r="J388" s="28">
        <f>IF(OR(G388="",AND(H388="",I388="")),"n/a",IF(G388=I388,"mastered",IF(G388=H388,"normal","differs")))</f>
        <v/>
      </c>
      <c r="K388" s="28">
        <f>IF(L388&lt;&gt;"",L388,IF(M388&lt;&gt;"",M388,""))</f>
        <v/>
      </c>
      <c r="L388" s="50" t="n">
        <v>529</v>
      </c>
      <c r="M388" s="50" t="n">
        <v>529</v>
      </c>
      <c r="N388" s="28">
        <f>IF(O388&lt;&gt;"",O388,IF(P388&lt;&gt;"",P388,""))</f>
        <v/>
      </c>
      <c r="O388" s="50" t="n">
        <v>63</v>
      </c>
      <c r="P388" s="50" t="n">
        <v>63</v>
      </c>
      <c r="Q388" s="50" t="n">
        <v>44.12</v>
      </c>
      <c r="R388" s="50" t="n">
        <v>111.18</v>
      </c>
      <c r="S388" s="28">
        <f>IF(Q388="","",IF(Q388&lt;0,"negative profit",IF(Q388&gt;Notes!$B$4,"unusually high - verify","")))</f>
        <v/>
      </c>
      <c r="T388" s="28" t="inlineStr">
        <is>
          <t>both</t>
        </is>
      </c>
      <c r="U388" s="28">
        <f>IF(T388&lt;&gt;"both",T388&amp;" only",IF(V388="","agree","conflict"))</f>
        <v/>
      </c>
      <c r="V388" s="28">
        <f>IF(T388="both",TRIM(IF(AND(E388&lt;&gt;"",F388&lt;&gt;"",E388&lt;&gt;F388),"level ","")&amp;IF(AND(L388&lt;&gt;"",M388&lt;&gt;"",L388&lt;&gt;M388),"price ","")&amp;IF(AND(O388&lt;&gt;"",P388&lt;&gt;"",O388&lt;&gt;P388),"xp ","")&amp;IF(J388="differs","time","")),"")</f>
        <v/>
      </c>
      <c r="X388" s="50" t="inlineStr">
        <is>
          <t>Plain Yogurt x1; Strawberry Jam x1</t>
        </is>
      </c>
      <c r="Y388" s="50" t="inlineStr">
        <is>
          <t>Strawberry Yogurt.png</t>
        </is>
      </c>
      <c r="Z388" s="50" t="inlineStr">
        <is>
          <t>icons/Yogurt Maker/Strawberry Yogurt.png</t>
        </is>
      </c>
      <c r="AA388" s="28" t="inlineStr">
        <is>
          <t>hayday.info /api/production-data (2026-10-13) + Hay Day Wiki infobox via MediaWiki API (2026-10-13)</t>
        </is>
      </c>
      <c r="AB388" s="28" t="inlineStr">
        <is>
          <t>https://hayday.fandom.com/wiki/Strawberry_Yogurt</t>
        </is>
      </c>
      <c r="AC388" s="50" t="inlineStr">
        <is>
          <t>Strawberry Yogurt</t>
        </is>
      </c>
    </row>
    <row r="389">
      <c r="A389" s="28" t="inlineStr">
        <is>
          <t>Tropical Yogurt</t>
        </is>
      </c>
      <c r="B389" s="28" t="inlineStr">
        <is>
          <t>Yogurt Maker</t>
        </is>
      </c>
      <c r="C389" s="50" t="inlineStr">
        <is>
          <t>product</t>
        </is>
      </c>
      <c r="D389" s="28">
        <f>IF(E389&lt;&gt;"",E389,IF(F389&lt;&gt;"",F389,""))</f>
        <v/>
      </c>
      <c r="E389" s="50" t="n">
        <v>109</v>
      </c>
      <c r="F389" s="50" t="n">
        <v>109</v>
      </c>
      <c r="G389" s="50" t="n">
        <v>51</v>
      </c>
      <c r="H389" s="50" t="n">
        <v>60</v>
      </c>
      <c r="I389" s="50" t="n">
        <v>51</v>
      </c>
      <c r="J389" s="28">
        <f>IF(OR(G389="",AND(H389="",I389="")),"n/a",IF(G389=I389,"mastered",IF(G389=H389,"normal","differs")))</f>
        <v/>
      </c>
      <c r="K389" s="28">
        <f>IF(L389&lt;&gt;"",L389,IF(M389&lt;&gt;"",M389,""))</f>
        <v/>
      </c>
      <c r="L389" s="50" t="n">
        <v>457</v>
      </c>
      <c r="M389" s="50" t="n">
        <v>457</v>
      </c>
      <c r="N389" s="28">
        <f>IF(O389&lt;&gt;"",O389,IF(P389&lt;&gt;"",P389,""))</f>
        <v/>
      </c>
      <c r="O389" s="50" t="n">
        <v>54</v>
      </c>
      <c r="P389" s="50" t="n">
        <v>54</v>
      </c>
      <c r="Q389" s="50" t="n">
        <v>-210.59</v>
      </c>
      <c r="R389" s="50" t="n">
        <v>63.53</v>
      </c>
      <c r="S389" s="28">
        <f>IF(Q389="","",IF(Q389&lt;0,"negative profit",IF(Q389&gt;Notes!$B$4,"unusually high - verify","")))</f>
        <v/>
      </c>
      <c r="T389" s="28" t="inlineStr">
        <is>
          <t>both</t>
        </is>
      </c>
      <c r="U389" s="28">
        <f>IF(T389&lt;&gt;"both",T389&amp;" only",IF(V389="","agree","conflict"))</f>
        <v/>
      </c>
      <c r="V389" s="28">
        <f>IF(T389="both",TRIM(IF(AND(E389&lt;&gt;"",F389&lt;&gt;"",E389&lt;&gt;F389),"level ","")&amp;IF(AND(L389&lt;&gt;"",M389&lt;&gt;"",L389&lt;&gt;M389),"price ","")&amp;IF(AND(O389&lt;&gt;"",P389&lt;&gt;"",O389&lt;&gt;P389),"xp ","")&amp;IF(J389="differs","time","")),"")</f>
        <v/>
      </c>
      <c r="X389" s="50" t="inlineStr">
        <is>
          <t>Plain Yogurt x1; Raspberry x4; Passion Fruit x1; Mango x2</t>
        </is>
      </c>
      <c r="Y389" s="50" t="inlineStr">
        <is>
          <t>Tropical Yogurt.png</t>
        </is>
      </c>
      <c r="Z389" s="50" t="inlineStr">
        <is>
          <t>icons/Yogurt Maker/Tropical Yogurt.png</t>
        </is>
      </c>
      <c r="AA389" s="28" t="inlineStr">
        <is>
          <t>hayday.info /api/production-data (2026-10-13) + Hay Day Wiki infobox via MediaWiki API (2026-10-13)</t>
        </is>
      </c>
      <c r="AB389" s="28" t="inlineStr">
        <is>
          <t>https://hayday.fandom.com/wiki/Tropical_Yogurt</t>
        </is>
      </c>
      <c r="AC389" s="50" t="inlineStr">
        <is>
          <t>Tropical Yogurt</t>
        </is>
      </c>
    </row>
    <row r="390">
      <c r="A390" s="28" t="inlineStr">
        <is>
          <t>Breakfast Bowl</t>
        </is>
      </c>
      <c r="B390" s="28" t="inlineStr">
        <is>
          <t>Yogurt Maker</t>
        </is>
      </c>
      <c r="C390" s="50" t="inlineStr">
        <is>
          <t>product</t>
        </is>
      </c>
      <c r="D390" s="28">
        <f>IF(E390&lt;&gt;"",E390,IF(F390&lt;&gt;"",F390,""))</f>
        <v/>
      </c>
      <c r="E390" s="50" t="n"/>
      <c r="F390" s="50" t="n">
        <v>119</v>
      </c>
      <c r="G390" s="50" t="n"/>
      <c r="H390" s="50" t="n">
        <v>50</v>
      </c>
      <c r="I390" s="50" t="n">
        <v>42</v>
      </c>
      <c r="J390" s="28">
        <f>IF(OR(G390="",AND(H390="",I390="")),"n/a",IF(G390=I390,"mastered",IF(G390=H390,"normal","differs")))</f>
        <v/>
      </c>
      <c r="K390" s="28">
        <f>IF(L390&lt;&gt;"",L390,IF(M390&lt;&gt;"",M390,""))</f>
        <v/>
      </c>
      <c r="L390" s="50" t="n"/>
      <c r="M390" s="50" t="n">
        <v>604</v>
      </c>
      <c r="N390" s="28">
        <f>IF(O390&lt;&gt;"",O390,IF(P390&lt;&gt;"",P390,""))</f>
        <v/>
      </c>
      <c r="O390" s="50" t="n"/>
      <c r="P390" s="50" t="n">
        <v>72</v>
      </c>
      <c r="Q390" s="50" t="n"/>
      <c r="R390" s="50" t="n"/>
      <c r="S390" s="28">
        <f>IF(Q390="","",IF(Q390&lt;0,"negative profit",IF(Q390&gt;Notes!$B$4,"unusually high - verify","")))</f>
        <v/>
      </c>
      <c r="T390" s="28" t="inlineStr">
        <is>
          <t>Fandom</t>
        </is>
      </c>
      <c r="U390" s="28">
        <f>IF(T390&lt;&gt;"both",T390&amp;" only",IF(V390="","agree","conflict"))</f>
        <v/>
      </c>
      <c r="V390" s="28">
        <f>IF(T390="both",TRIM(IF(AND(E390&lt;&gt;"",F390&lt;&gt;"",E390&lt;&gt;F390),"level ","")&amp;IF(AND(L390&lt;&gt;"",M390&lt;&gt;"",L390&lt;&gt;M390),"price ","")&amp;IF(AND(O390&lt;&gt;"",P390&lt;&gt;"",O390&lt;&gt;P390),"xp ","")&amp;IF(J390="differs","time","")),"")</f>
        <v/>
      </c>
      <c r="X390" s="50" t="inlineStr">
        <is>
          <t>Plain Yogurt x1; Oats x4; Honey x1; Blackberry x2</t>
        </is>
      </c>
      <c r="Y390" s="50" t="inlineStr">
        <is>
          <t>Breakfast Bowl.png</t>
        </is>
      </c>
      <c r="Z390" s="50" t="inlineStr">
        <is>
          <t>icons/Yogurt Maker/Breakfast Bowl.png</t>
        </is>
      </c>
      <c r="AA390" s="28" t="inlineStr">
        <is>
          <t>Hay Day Wiki infobox via MediaWiki API (2026-10-13)</t>
        </is>
      </c>
      <c r="AB390" s="28" t="inlineStr">
        <is>
          <t>https://hayday.fandom.com/wiki/Breakfast_Bowl</t>
        </is>
      </c>
      <c r="AC390" s="50" t="n"/>
    </row>
  </sheetData>
  <autoFilter ref="A1:AC390"/>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 xmlns:r="http://schemas.openxmlformats.org/officeDocument/2006/relationships" ref="Z50" r:id="rId49"/>
    <hyperlink xmlns:r="http://schemas.openxmlformats.org/officeDocument/2006/relationships" ref="Z51" r:id="rId50"/>
    <hyperlink xmlns:r="http://schemas.openxmlformats.org/officeDocument/2006/relationships" ref="Z52" r:id="rId51"/>
    <hyperlink xmlns:r="http://schemas.openxmlformats.org/officeDocument/2006/relationships" ref="Z53" r:id="rId52"/>
    <hyperlink xmlns:r="http://schemas.openxmlformats.org/officeDocument/2006/relationships" ref="Z54" r:id="rId53"/>
    <hyperlink xmlns:r="http://schemas.openxmlformats.org/officeDocument/2006/relationships" ref="Z55" r:id="rId54"/>
    <hyperlink xmlns:r="http://schemas.openxmlformats.org/officeDocument/2006/relationships" ref="Z56" r:id="rId55"/>
    <hyperlink xmlns:r="http://schemas.openxmlformats.org/officeDocument/2006/relationships" ref="Z57" r:id="rId56"/>
    <hyperlink xmlns:r="http://schemas.openxmlformats.org/officeDocument/2006/relationships" ref="Z58" r:id="rId57"/>
    <hyperlink xmlns:r="http://schemas.openxmlformats.org/officeDocument/2006/relationships" ref="Z59" r:id="rId58"/>
    <hyperlink xmlns:r="http://schemas.openxmlformats.org/officeDocument/2006/relationships" ref="Z60" r:id="rId59"/>
    <hyperlink xmlns:r="http://schemas.openxmlformats.org/officeDocument/2006/relationships" ref="Z61" r:id="rId60"/>
    <hyperlink xmlns:r="http://schemas.openxmlformats.org/officeDocument/2006/relationships" ref="Z62" r:id="rId61"/>
    <hyperlink xmlns:r="http://schemas.openxmlformats.org/officeDocument/2006/relationships" ref="Z63" r:id="rId62"/>
    <hyperlink xmlns:r="http://schemas.openxmlformats.org/officeDocument/2006/relationships" ref="Z64" r:id="rId63"/>
    <hyperlink xmlns:r="http://schemas.openxmlformats.org/officeDocument/2006/relationships" ref="Z65" r:id="rId64"/>
    <hyperlink xmlns:r="http://schemas.openxmlformats.org/officeDocument/2006/relationships" ref="Z66" r:id="rId65"/>
    <hyperlink xmlns:r="http://schemas.openxmlformats.org/officeDocument/2006/relationships" ref="Z67" r:id="rId66"/>
    <hyperlink xmlns:r="http://schemas.openxmlformats.org/officeDocument/2006/relationships" ref="Z68" r:id="rId67"/>
    <hyperlink xmlns:r="http://schemas.openxmlformats.org/officeDocument/2006/relationships" ref="Z69" r:id="rId68"/>
    <hyperlink xmlns:r="http://schemas.openxmlformats.org/officeDocument/2006/relationships" ref="Z70" r:id="rId69"/>
    <hyperlink xmlns:r="http://schemas.openxmlformats.org/officeDocument/2006/relationships" ref="Z71" r:id="rId70"/>
    <hyperlink xmlns:r="http://schemas.openxmlformats.org/officeDocument/2006/relationships" ref="Z72" r:id="rId71"/>
    <hyperlink xmlns:r="http://schemas.openxmlformats.org/officeDocument/2006/relationships" ref="Z73" r:id="rId72"/>
    <hyperlink xmlns:r="http://schemas.openxmlformats.org/officeDocument/2006/relationships" ref="Z74" r:id="rId73"/>
    <hyperlink xmlns:r="http://schemas.openxmlformats.org/officeDocument/2006/relationships" ref="Z75" r:id="rId74"/>
    <hyperlink xmlns:r="http://schemas.openxmlformats.org/officeDocument/2006/relationships" ref="Z76" r:id="rId75"/>
    <hyperlink xmlns:r="http://schemas.openxmlformats.org/officeDocument/2006/relationships" ref="Z77" r:id="rId76"/>
    <hyperlink xmlns:r="http://schemas.openxmlformats.org/officeDocument/2006/relationships" ref="Z78" r:id="rId77"/>
    <hyperlink xmlns:r="http://schemas.openxmlformats.org/officeDocument/2006/relationships" ref="Z79" r:id="rId78"/>
    <hyperlink xmlns:r="http://schemas.openxmlformats.org/officeDocument/2006/relationships" ref="Z80" r:id="rId79"/>
    <hyperlink xmlns:r="http://schemas.openxmlformats.org/officeDocument/2006/relationships" ref="Z81" r:id="rId80"/>
    <hyperlink xmlns:r="http://schemas.openxmlformats.org/officeDocument/2006/relationships" ref="Z82" r:id="rId81"/>
    <hyperlink xmlns:r="http://schemas.openxmlformats.org/officeDocument/2006/relationships" ref="Z83" r:id="rId82"/>
    <hyperlink xmlns:r="http://schemas.openxmlformats.org/officeDocument/2006/relationships" ref="Z84" r:id="rId83"/>
    <hyperlink xmlns:r="http://schemas.openxmlformats.org/officeDocument/2006/relationships" ref="Z85" r:id="rId84"/>
    <hyperlink xmlns:r="http://schemas.openxmlformats.org/officeDocument/2006/relationships" ref="Z86" r:id="rId85"/>
    <hyperlink xmlns:r="http://schemas.openxmlformats.org/officeDocument/2006/relationships" ref="Z87" r:id="rId86"/>
    <hyperlink xmlns:r="http://schemas.openxmlformats.org/officeDocument/2006/relationships" ref="Z88" r:id="rId87"/>
    <hyperlink xmlns:r="http://schemas.openxmlformats.org/officeDocument/2006/relationships" ref="Z89" r:id="rId88"/>
    <hyperlink xmlns:r="http://schemas.openxmlformats.org/officeDocument/2006/relationships" ref="Z90" r:id="rId89"/>
    <hyperlink xmlns:r="http://schemas.openxmlformats.org/officeDocument/2006/relationships" ref="Z91" r:id="rId90"/>
    <hyperlink xmlns:r="http://schemas.openxmlformats.org/officeDocument/2006/relationships" ref="Z92" r:id="rId91"/>
    <hyperlink xmlns:r="http://schemas.openxmlformats.org/officeDocument/2006/relationships" ref="Z93" r:id="rId92"/>
    <hyperlink xmlns:r="http://schemas.openxmlformats.org/officeDocument/2006/relationships" ref="Z94" r:id="rId93"/>
    <hyperlink xmlns:r="http://schemas.openxmlformats.org/officeDocument/2006/relationships" ref="Z95" r:id="rId94"/>
    <hyperlink xmlns:r="http://schemas.openxmlformats.org/officeDocument/2006/relationships" ref="Z96" r:id="rId95"/>
    <hyperlink xmlns:r="http://schemas.openxmlformats.org/officeDocument/2006/relationships" ref="Z97" r:id="rId96"/>
    <hyperlink xmlns:r="http://schemas.openxmlformats.org/officeDocument/2006/relationships" ref="Z98" r:id="rId97"/>
    <hyperlink xmlns:r="http://schemas.openxmlformats.org/officeDocument/2006/relationships" ref="Z99" r:id="rId98"/>
    <hyperlink xmlns:r="http://schemas.openxmlformats.org/officeDocument/2006/relationships" ref="Z100" r:id="rId99"/>
    <hyperlink xmlns:r="http://schemas.openxmlformats.org/officeDocument/2006/relationships" ref="Z101" r:id="rId100"/>
    <hyperlink xmlns:r="http://schemas.openxmlformats.org/officeDocument/2006/relationships" ref="Z102" r:id="rId101"/>
    <hyperlink xmlns:r="http://schemas.openxmlformats.org/officeDocument/2006/relationships" ref="Z103" r:id="rId102"/>
    <hyperlink xmlns:r="http://schemas.openxmlformats.org/officeDocument/2006/relationships" ref="Z104" r:id="rId103"/>
    <hyperlink xmlns:r="http://schemas.openxmlformats.org/officeDocument/2006/relationships" ref="Z105" r:id="rId104"/>
    <hyperlink xmlns:r="http://schemas.openxmlformats.org/officeDocument/2006/relationships" ref="Z106" r:id="rId105"/>
    <hyperlink xmlns:r="http://schemas.openxmlformats.org/officeDocument/2006/relationships" ref="Z107" r:id="rId106"/>
    <hyperlink xmlns:r="http://schemas.openxmlformats.org/officeDocument/2006/relationships" ref="Z108" r:id="rId107"/>
    <hyperlink xmlns:r="http://schemas.openxmlformats.org/officeDocument/2006/relationships" ref="Z109" r:id="rId108"/>
    <hyperlink xmlns:r="http://schemas.openxmlformats.org/officeDocument/2006/relationships" ref="Z110" r:id="rId109"/>
    <hyperlink xmlns:r="http://schemas.openxmlformats.org/officeDocument/2006/relationships" ref="Z111" r:id="rId110"/>
    <hyperlink xmlns:r="http://schemas.openxmlformats.org/officeDocument/2006/relationships" ref="Z112" r:id="rId111"/>
    <hyperlink xmlns:r="http://schemas.openxmlformats.org/officeDocument/2006/relationships" ref="Z113" r:id="rId112"/>
    <hyperlink xmlns:r="http://schemas.openxmlformats.org/officeDocument/2006/relationships" ref="Z114" r:id="rId113"/>
    <hyperlink xmlns:r="http://schemas.openxmlformats.org/officeDocument/2006/relationships" ref="Z115" r:id="rId114"/>
    <hyperlink xmlns:r="http://schemas.openxmlformats.org/officeDocument/2006/relationships" ref="Z116" r:id="rId115"/>
    <hyperlink xmlns:r="http://schemas.openxmlformats.org/officeDocument/2006/relationships" ref="Z117" r:id="rId116"/>
    <hyperlink xmlns:r="http://schemas.openxmlformats.org/officeDocument/2006/relationships" ref="Z118" r:id="rId117"/>
    <hyperlink xmlns:r="http://schemas.openxmlformats.org/officeDocument/2006/relationships" ref="Z119" r:id="rId118"/>
    <hyperlink xmlns:r="http://schemas.openxmlformats.org/officeDocument/2006/relationships" ref="Z120" r:id="rId119"/>
    <hyperlink xmlns:r="http://schemas.openxmlformats.org/officeDocument/2006/relationships" ref="Z121" r:id="rId120"/>
    <hyperlink xmlns:r="http://schemas.openxmlformats.org/officeDocument/2006/relationships" ref="Z122" r:id="rId121"/>
    <hyperlink xmlns:r="http://schemas.openxmlformats.org/officeDocument/2006/relationships" ref="Z123" r:id="rId122"/>
    <hyperlink xmlns:r="http://schemas.openxmlformats.org/officeDocument/2006/relationships" ref="Z124" r:id="rId123"/>
    <hyperlink xmlns:r="http://schemas.openxmlformats.org/officeDocument/2006/relationships" ref="Z125" r:id="rId124"/>
    <hyperlink xmlns:r="http://schemas.openxmlformats.org/officeDocument/2006/relationships" ref="Z126" r:id="rId125"/>
    <hyperlink xmlns:r="http://schemas.openxmlformats.org/officeDocument/2006/relationships" ref="Z127" r:id="rId126"/>
    <hyperlink xmlns:r="http://schemas.openxmlformats.org/officeDocument/2006/relationships" ref="Z128" r:id="rId127"/>
    <hyperlink xmlns:r="http://schemas.openxmlformats.org/officeDocument/2006/relationships" ref="Z129" r:id="rId128"/>
    <hyperlink xmlns:r="http://schemas.openxmlformats.org/officeDocument/2006/relationships" ref="Z130" r:id="rId129"/>
    <hyperlink xmlns:r="http://schemas.openxmlformats.org/officeDocument/2006/relationships" ref="Z131" r:id="rId130"/>
    <hyperlink xmlns:r="http://schemas.openxmlformats.org/officeDocument/2006/relationships" ref="Z132" r:id="rId131"/>
    <hyperlink xmlns:r="http://schemas.openxmlformats.org/officeDocument/2006/relationships" ref="Z133" r:id="rId132"/>
    <hyperlink xmlns:r="http://schemas.openxmlformats.org/officeDocument/2006/relationships" ref="Z134" r:id="rId133"/>
    <hyperlink xmlns:r="http://schemas.openxmlformats.org/officeDocument/2006/relationships" ref="Z135" r:id="rId134"/>
    <hyperlink xmlns:r="http://schemas.openxmlformats.org/officeDocument/2006/relationships" ref="Z136" r:id="rId135"/>
    <hyperlink xmlns:r="http://schemas.openxmlformats.org/officeDocument/2006/relationships" ref="Z137" r:id="rId136"/>
    <hyperlink xmlns:r="http://schemas.openxmlformats.org/officeDocument/2006/relationships" ref="Z138" r:id="rId137"/>
    <hyperlink xmlns:r="http://schemas.openxmlformats.org/officeDocument/2006/relationships" ref="Z139" r:id="rId138"/>
    <hyperlink xmlns:r="http://schemas.openxmlformats.org/officeDocument/2006/relationships" ref="Z140" r:id="rId139"/>
    <hyperlink xmlns:r="http://schemas.openxmlformats.org/officeDocument/2006/relationships" ref="Z141" r:id="rId140"/>
    <hyperlink xmlns:r="http://schemas.openxmlformats.org/officeDocument/2006/relationships" ref="Z142" r:id="rId141"/>
    <hyperlink xmlns:r="http://schemas.openxmlformats.org/officeDocument/2006/relationships" ref="Z143" r:id="rId142"/>
    <hyperlink xmlns:r="http://schemas.openxmlformats.org/officeDocument/2006/relationships" ref="Z144" r:id="rId143"/>
    <hyperlink xmlns:r="http://schemas.openxmlformats.org/officeDocument/2006/relationships" ref="Z145" r:id="rId144"/>
    <hyperlink xmlns:r="http://schemas.openxmlformats.org/officeDocument/2006/relationships" ref="Z146" r:id="rId145"/>
    <hyperlink xmlns:r="http://schemas.openxmlformats.org/officeDocument/2006/relationships" ref="Z147" r:id="rId146"/>
    <hyperlink xmlns:r="http://schemas.openxmlformats.org/officeDocument/2006/relationships" ref="Z148" r:id="rId147"/>
    <hyperlink xmlns:r="http://schemas.openxmlformats.org/officeDocument/2006/relationships" ref="Z149" r:id="rId148"/>
    <hyperlink xmlns:r="http://schemas.openxmlformats.org/officeDocument/2006/relationships" ref="Z150" r:id="rId149"/>
    <hyperlink xmlns:r="http://schemas.openxmlformats.org/officeDocument/2006/relationships" ref="Z151" r:id="rId150"/>
    <hyperlink xmlns:r="http://schemas.openxmlformats.org/officeDocument/2006/relationships" ref="Z152" r:id="rId151"/>
    <hyperlink xmlns:r="http://schemas.openxmlformats.org/officeDocument/2006/relationships" ref="Z153" r:id="rId152"/>
    <hyperlink xmlns:r="http://schemas.openxmlformats.org/officeDocument/2006/relationships" ref="Z154" r:id="rId153"/>
    <hyperlink xmlns:r="http://schemas.openxmlformats.org/officeDocument/2006/relationships" ref="Z155" r:id="rId154"/>
    <hyperlink xmlns:r="http://schemas.openxmlformats.org/officeDocument/2006/relationships" ref="Z156" r:id="rId155"/>
    <hyperlink xmlns:r="http://schemas.openxmlformats.org/officeDocument/2006/relationships" ref="Z157" r:id="rId156"/>
    <hyperlink xmlns:r="http://schemas.openxmlformats.org/officeDocument/2006/relationships" ref="Z158" r:id="rId157"/>
    <hyperlink xmlns:r="http://schemas.openxmlformats.org/officeDocument/2006/relationships" ref="Z159" r:id="rId158"/>
    <hyperlink xmlns:r="http://schemas.openxmlformats.org/officeDocument/2006/relationships" ref="Z160" r:id="rId159"/>
    <hyperlink xmlns:r="http://schemas.openxmlformats.org/officeDocument/2006/relationships" ref="Z161" r:id="rId160"/>
    <hyperlink xmlns:r="http://schemas.openxmlformats.org/officeDocument/2006/relationships" ref="Z162" r:id="rId161"/>
    <hyperlink xmlns:r="http://schemas.openxmlformats.org/officeDocument/2006/relationships" ref="Z163" r:id="rId162"/>
    <hyperlink xmlns:r="http://schemas.openxmlformats.org/officeDocument/2006/relationships" ref="Z164" r:id="rId163"/>
    <hyperlink xmlns:r="http://schemas.openxmlformats.org/officeDocument/2006/relationships" ref="Z165" r:id="rId164"/>
    <hyperlink xmlns:r="http://schemas.openxmlformats.org/officeDocument/2006/relationships" ref="Z166" r:id="rId165"/>
    <hyperlink xmlns:r="http://schemas.openxmlformats.org/officeDocument/2006/relationships" ref="Z167" r:id="rId166"/>
    <hyperlink xmlns:r="http://schemas.openxmlformats.org/officeDocument/2006/relationships" ref="Z168" r:id="rId167"/>
    <hyperlink xmlns:r="http://schemas.openxmlformats.org/officeDocument/2006/relationships" ref="Z169" r:id="rId168"/>
    <hyperlink xmlns:r="http://schemas.openxmlformats.org/officeDocument/2006/relationships" ref="Z170" r:id="rId169"/>
    <hyperlink xmlns:r="http://schemas.openxmlformats.org/officeDocument/2006/relationships" ref="Z171" r:id="rId170"/>
    <hyperlink xmlns:r="http://schemas.openxmlformats.org/officeDocument/2006/relationships" ref="Z172" r:id="rId171"/>
    <hyperlink xmlns:r="http://schemas.openxmlformats.org/officeDocument/2006/relationships" ref="Z173" r:id="rId172"/>
    <hyperlink xmlns:r="http://schemas.openxmlformats.org/officeDocument/2006/relationships" ref="Z174" r:id="rId173"/>
    <hyperlink xmlns:r="http://schemas.openxmlformats.org/officeDocument/2006/relationships" ref="Z175" r:id="rId174"/>
    <hyperlink xmlns:r="http://schemas.openxmlformats.org/officeDocument/2006/relationships" ref="Z176" r:id="rId175"/>
    <hyperlink xmlns:r="http://schemas.openxmlformats.org/officeDocument/2006/relationships" ref="Z177" r:id="rId176"/>
    <hyperlink xmlns:r="http://schemas.openxmlformats.org/officeDocument/2006/relationships" ref="Z178" r:id="rId177"/>
    <hyperlink xmlns:r="http://schemas.openxmlformats.org/officeDocument/2006/relationships" ref="Z179" r:id="rId178"/>
    <hyperlink xmlns:r="http://schemas.openxmlformats.org/officeDocument/2006/relationships" ref="Z180" r:id="rId179"/>
    <hyperlink xmlns:r="http://schemas.openxmlformats.org/officeDocument/2006/relationships" ref="Z181" r:id="rId180"/>
    <hyperlink xmlns:r="http://schemas.openxmlformats.org/officeDocument/2006/relationships" ref="Z182" r:id="rId181"/>
    <hyperlink xmlns:r="http://schemas.openxmlformats.org/officeDocument/2006/relationships" ref="Z183" r:id="rId182"/>
    <hyperlink xmlns:r="http://schemas.openxmlformats.org/officeDocument/2006/relationships" ref="Z184" r:id="rId183"/>
    <hyperlink xmlns:r="http://schemas.openxmlformats.org/officeDocument/2006/relationships" ref="Z185" r:id="rId184"/>
    <hyperlink xmlns:r="http://schemas.openxmlformats.org/officeDocument/2006/relationships" ref="Z186" r:id="rId185"/>
    <hyperlink xmlns:r="http://schemas.openxmlformats.org/officeDocument/2006/relationships" ref="Z187" r:id="rId186"/>
    <hyperlink xmlns:r="http://schemas.openxmlformats.org/officeDocument/2006/relationships" ref="Z188" r:id="rId187"/>
    <hyperlink xmlns:r="http://schemas.openxmlformats.org/officeDocument/2006/relationships" ref="Z189" r:id="rId188"/>
    <hyperlink xmlns:r="http://schemas.openxmlformats.org/officeDocument/2006/relationships" ref="Z190" r:id="rId189"/>
    <hyperlink xmlns:r="http://schemas.openxmlformats.org/officeDocument/2006/relationships" ref="Z191" r:id="rId190"/>
    <hyperlink xmlns:r="http://schemas.openxmlformats.org/officeDocument/2006/relationships" ref="Z192" r:id="rId191"/>
    <hyperlink xmlns:r="http://schemas.openxmlformats.org/officeDocument/2006/relationships" ref="Z193" r:id="rId192"/>
    <hyperlink xmlns:r="http://schemas.openxmlformats.org/officeDocument/2006/relationships" ref="Z194" r:id="rId193"/>
    <hyperlink xmlns:r="http://schemas.openxmlformats.org/officeDocument/2006/relationships" ref="Z195" r:id="rId194"/>
    <hyperlink xmlns:r="http://schemas.openxmlformats.org/officeDocument/2006/relationships" ref="Z196" r:id="rId195"/>
    <hyperlink xmlns:r="http://schemas.openxmlformats.org/officeDocument/2006/relationships" ref="Z197" r:id="rId196"/>
    <hyperlink xmlns:r="http://schemas.openxmlformats.org/officeDocument/2006/relationships" ref="Z198" r:id="rId197"/>
    <hyperlink xmlns:r="http://schemas.openxmlformats.org/officeDocument/2006/relationships" ref="Z199" r:id="rId198"/>
    <hyperlink xmlns:r="http://schemas.openxmlformats.org/officeDocument/2006/relationships" ref="Z200" r:id="rId199"/>
    <hyperlink xmlns:r="http://schemas.openxmlformats.org/officeDocument/2006/relationships" ref="Z201" r:id="rId200"/>
    <hyperlink xmlns:r="http://schemas.openxmlformats.org/officeDocument/2006/relationships" ref="Z202" r:id="rId201"/>
    <hyperlink xmlns:r="http://schemas.openxmlformats.org/officeDocument/2006/relationships" ref="Z203" r:id="rId202"/>
    <hyperlink xmlns:r="http://schemas.openxmlformats.org/officeDocument/2006/relationships" ref="Z204" r:id="rId203"/>
    <hyperlink xmlns:r="http://schemas.openxmlformats.org/officeDocument/2006/relationships" ref="Z205" r:id="rId204"/>
    <hyperlink xmlns:r="http://schemas.openxmlformats.org/officeDocument/2006/relationships" ref="Z206" r:id="rId205"/>
    <hyperlink xmlns:r="http://schemas.openxmlformats.org/officeDocument/2006/relationships" ref="Z207" r:id="rId206"/>
    <hyperlink xmlns:r="http://schemas.openxmlformats.org/officeDocument/2006/relationships" ref="Z208" r:id="rId207"/>
    <hyperlink xmlns:r="http://schemas.openxmlformats.org/officeDocument/2006/relationships" ref="Z209" r:id="rId208"/>
    <hyperlink xmlns:r="http://schemas.openxmlformats.org/officeDocument/2006/relationships" ref="Z210" r:id="rId209"/>
    <hyperlink xmlns:r="http://schemas.openxmlformats.org/officeDocument/2006/relationships" ref="Z211" r:id="rId210"/>
    <hyperlink xmlns:r="http://schemas.openxmlformats.org/officeDocument/2006/relationships" ref="Z212" r:id="rId211"/>
    <hyperlink xmlns:r="http://schemas.openxmlformats.org/officeDocument/2006/relationships" ref="Z213" r:id="rId212"/>
    <hyperlink xmlns:r="http://schemas.openxmlformats.org/officeDocument/2006/relationships" ref="Z214" r:id="rId213"/>
    <hyperlink xmlns:r="http://schemas.openxmlformats.org/officeDocument/2006/relationships" ref="Z215" r:id="rId214"/>
    <hyperlink xmlns:r="http://schemas.openxmlformats.org/officeDocument/2006/relationships" ref="Z216" r:id="rId215"/>
    <hyperlink xmlns:r="http://schemas.openxmlformats.org/officeDocument/2006/relationships" ref="Z217" r:id="rId216"/>
    <hyperlink xmlns:r="http://schemas.openxmlformats.org/officeDocument/2006/relationships" ref="Z218" r:id="rId217"/>
    <hyperlink xmlns:r="http://schemas.openxmlformats.org/officeDocument/2006/relationships" ref="Z219" r:id="rId218"/>
    <hyperlink xmlns:r="http://schemas.openxmlformats.org/officeDocument/2006/relationships" ref="Z220" r:id="rId219"/>
    <hyperlink xmlns:r="http://schemas.openxmlformats.org/officeDocument/2006/relationships" ref="Z221" r:id="rId220"/>
    <hyperlink xmlns:r="http://schemas.openxmlformats.org/officeDocument/2006/relationships" ref="Z222" r:id="rId221"/>
    <hyperlink xmlns:r="http://schemas.openxmlformats.org/officeDocument/2006/relationships" ref="Z223" r:id="rId222"/>
    <hyperlink xmlns:r="http://schemas.openxmlformats.org/officeDocument/2006/relationships" ref="Z224" r:id="rId223"/>
    <hyperlink xmlns:r="http://schemas.openxmlformats.org/officeDocument/2006/relationships" ref="Z225" r:id="rId224"/>
    <hyperlink xmlns:r="http://schemas.openxmlformats.org/officeDocument/2006/relationships" ref="Z226" r:id="rId225"/>
    <hyperlink xmlns:r="http://schemas.openxmlformats.org/officeDocument/2006/relationships" ref="Z227" r:id="rId226"/>
    <hyperlink xmlns:r="http://schemas.openxmlformats.org/officeDocument/2006/relationships" ref="Z228" r:id="rId227"/>
    <hyperlink xmlns:r="http://schemas.openxmlformats.org/officeDocument/2006/relationships" ref="Z229" r:id="rId228"/>
    <hyperlink xmlns:r="http://schemas.openxmlformats.org/officeDocument/2006/relationships" ref="Z230" r:id="rId229"/>
    <hyperlink xmlns:r="http://schemas.openxmlformats.org/officeDocument/2006/relationships" ref="Z231" r:id="rId230"/>
    <hyperlink xmlns:r="http://schemas.openxmlformats.org/officeDocument/2006/relationships" ref="Z232" r:id="rId231"/>
    <hyperlink xmlns:r="http://schemas.openxmlformats.org/officeDocument/2006/relationships" ref="Z233" r:id="rId232"/>
    <hyperlink xmlns:r="http://schemas.openxmlformats.org/officeDocument/2006/relationships" ref="Z234" r:id="rId233"/>
    <hyperlink xmlns:r="http://schemas.openxmlformats.org/officeDocument/2006/relationships" ref="Z235" r:id="rId234"/>
    <hyperlink xmlns:r="http://schemas.openxmlformats.org/officeDocument/2006/relationships" ref="Z236" r:id="rId235"/>
    <hyperlink xmlns:r="http://schemas.openxmlformats.org/officeDocument/2006/relationships" ref="Z237" r:id="rId236"/>
    <hyperlink xmlns:r="http://schemas.openxmlformats.org/officeDocument/2006/relationships" ref="Z238" r:id="rId237"/>
    <hyperlink xmlns:r="http://schemas.openxmlformats.org/officeDocument/2006/relationships" ref="Z239" r:id="rId238"/>
    <hyperlink xmlns:r="http://schemas.openxmlformats.org/officeDocument/2006/relationships" ref="Z240" r:id="rId239"/>
    <hyperlink xmlns:r="http://schemas.openxmlformats.org/officeDocument/2006/relationships" ref="Z241" r:id="rId240"/>
    <hyperlink xmlns:r="http://schemas.openxmlformats.org/officeDocument/2006/relationships" ref="Z242" r:id="rId241"/>
    <hyperlink xmlns:r="http://schemas.openxmlformats.org/officeDocument/2006/relationships" ref="Z243" r:id="rId242"/>
    <hyperlink xmlns:r="http://schemas.openxmlformats.org/officeDocument/2006/relationships" ref="Z244" r:id="rId243"/>
    <hyperlink xmlns:r="http://schemas.openxmlformats.org/officeDocument/2006/relationships" ref="Z245" r:id="rId244"/>
    <hyperlink xmlns:r="http://schemas.openxmlformats.org/officeDocument/2006/relationships" ref="Z246" r:id="rId245"/>
    <hyperlink xmlns:r="http://schemas.openxmlformats.org/officeDocument/2006/relationships" ref="Z247" r:id="rId246"/>
    <hyperlink xmlns:r="http://schemas.openxmlformats.org/officeDocument/2006/relationships" ref="Z248" r:id="rId247"/>
    <hyperlink xmlns:r="http://schemas.openxmlformats.org/officeDocument/2006/relationships" ref="Z249" r:id="rId248"/>
    <hyperlink xmlns:r="http://schemas.openxmlformats.org/officeDocument/2006/relationships" ref="Z250" r:id="rId249"/>
    <hyperlink xmlns:r="http://schemas.openxmlformats.org/officeDocument/2006/relationships" ref="Z251" r:id="rId250"/>
    <hyperlink xmlns:r="http://schemas.openxmlformats.org/officeDocument/2006/relationships" ref="Z252" r:id="rId251"/>
    <hyperlink xmlns:r="http://schemas.openxmlformats.org/officeDocument/2006/relationships" ref="Z253" r:id="rId252"/>
    <hyperlink xmlns:r="http://schemas.openxmlformats.org/officeDocument/2006/relationships" ref="Z254" r:id="rId253"/>
    <hyperlink xmlns:r="http://schemas.openxmlformats.org/officeDocument/2006/relationships" ref="Z255" r:id="rId254"/>
    <hyperlink xmlns:r="http://schemas.openxmlformats.org/officeDocument/2006/relationships" ref="Z256" r:id="rId255"/>
    <hyperlink xmlns:r="http://schemas.openxmlformats.org/officeDocument/2006/relationships" ref="Z257" r:id="rId256"/>
    <hyperlink xmlns:r="http://schemas.openxmlformats.org/officeDocument/2006/relationships" ref="Z258" r:id="rId257"/>
    <hyperlink xmlns:r="http://schemas.openxmlformats.org/officeDocument/2006/relationships" ref="Z259" r:id="rId258"/>
    <hyperlink xmlns:r="http://schemas.openxmlformats.org/officeDocument/2006/relationships" ref="Z260" r:id="rId259"/>
    <hyperlink xmlns:r="http://schemas.openxmlformats.org/officeDocument/2006/relationships" ref="Z261" r:id="rId260"/>
    <hyperlink xmlns:r="http://schemas.openxmlformats.org/officeDocument/2006/relationships" ref="Z262" r:id="rId261"/>
    <hyperlink xmlns:r="http://schemas.openxmlformats.org/officeDocument/2006/relationships" ref="Z263" r:id="rId262"/>
    <hyperlink xmlns:r="http://schemas.openxmlformats.org/officeDocument/2006/relationships" ref="Z264" r:id="rId263"/>
    <hyperlink xmlns:r="http://schemas.openxmlformats.org/officeDocument/2006/relationships" ref="Z265" r:id="rId264"/>
    <hyperlink xmlns:r="http://schemas.openxmlformats.org/officeDocument/2006/relationships" ref="Z266" r:id="rId265"/>
    <hyperlink xmlns:r="http://schemas.openxmlformats.org/officeDocument/2006/relationships" ref="Z267" r:id="rId266"/>
    <hyperlink xmlns:r="http://schemas.openxmlformats.org/officeDocument/2006/relationships" ref="Z268" r:id="rId267"/>
    <hyperlink xmlns:r="http://schemas.openxmlformats.org/officeDocument/2006/relationships" ref="Z269" r:id="rId268"/>
    <hyperlink xmlns:r="http://schemas.openxmlformats.org/officeDocument/2006/relationships" ref="Z270" r:id="rId269"/>
    <hyperlink xmlns:r="http://schemas.openxmlformats.org/officeDocument/2006/relationships" ref="Z271" r:id="rId270"/>
    <hyperlink xmlns:r="http://schemas.openxmlformats.org/officeDocument/2006/relationships" ref="Z272" r:id="rId271"/>
    <hyperlink xmlns:r="http://schemas.openxmlformats.org/officeDocument/2006/relationships" ref="Z273" r:id="rId272"/>
    <hyperlink xmlns:r="http://schemas.openxmlformats.org/officeDocument/2006/relationships" ref="Z274" r:id="rId273"/>
    <hyperlink xmlns:r="http://schemas.openxmlformats.org/officeDocument/2006/relationships" ref="Z275" r:id="rId274"/>
    <hyperlink xmlns:r="http://schemas.openxmlformats.org/officeDocument/2006/relationships" ref="Z276" r:id="rId275"/>
    <hyperlink xmlns:r="http://schemas.openxmlformats.org/officeDocument/2006/relationships" ref="Z277" r:id="rId276"/>
    <hyperlink xmlns:r="http://schemas.openxmlformats.org/officeDocument/2006/relationships" ref="Z278" r:id="rId277"/>
    <hyperlink xmlns:r="http://schemas.openxmlformats.org/officeDocument/2006/relationships" ref="Z279" r:id="rId278"/>
    <hyperlink xmlns:r="http://schemas.openxmlformats.org/officeDocument/2006/relationships" ref="Z280" r:id="rId279"/>
    <hyperlink xmlns:r="http://schemas.openxmlformats.org/officeDocument/2006/relationships" ref="Z281" r:id="rId280"/>
    <hyperlink xmlns:r="http://schemas.openxmlformats.org/officeDocument/2006/relationships" ref="Z282" r:id="rId281"/>
    <hyperlink xmlns:r="http://schemas.openxmlformats.org/officeDocument/2006/relationships" ref="Z283" r:id="rId282"/>
    <hyperlink xmlns:r="http://schemas.openxmlformats.org/officeDocument/2006/relationships" ref="Z284" r:id="rId283"/>
    <hyperlink xmlns:r="http://schemas.openxmlformats.org/officeDocument/2006/relationships" ref="Z285" r:id="rId284"/>
    <hyperlink xmlns:r="http://schemas.openxmlformats.org/officeDocument/2006/relationships" ref="Z286" r:id="rId285"/>
    <hyperlink xmlns:r="http://schemas.openxmlformats.org/officeDocument/2006/relationships" ref="Z287" r:id="rId286"/>
    <hyperlink xmlns:r="http://schemas.openxmlformats.org/officeDocument/2006/relationships" ref="Z288" r:id="rId287"/>
    <hyperlink xmlns:r="http://schemas.openxmlformats.org/officeDocument/2006/relationships" ref="Z289" r:id="rId288"/>
    <hyperlink xmlns:r="http://schemas.openxmlformats.org/officeDocument/2006/relationships" ref="Z290" r:id="rId289"/>
    <hyperlink xmlns:r="http://schemas.openxmlformats.org/officeDocument/2006/relationships" ref="Z291" r:id="rId290"/>
    <hyperlink xmlns:r="http://schemas.openxmlformats.org/officeDocument/2006/relationships" ref="Z292" r:id="rId291"/>
    <hyperlink xmlns:r="http://schemas.openxmlformats.org/officeDocument/2006/relationships" ref="Z293" r:id="rId292"/>
    <hyperlink xmlns:r="http://schemas.openxmlformats.org/officeDocument/2006/relationships" ref="Z294" r:id="rId293"/>
    <hyperlink xmlns:r="http://schemas.openxmlformats.org/officeDocument/2006/relationships" ref="Z295" r:id="rId294"/>
    <hyperlink xmlns:r="http://schemas.openxmlformats.org/officeDocument/2006/relationships" ref="Z296" r:id="rId295"/>
    <hyperlink xmlns:r="http://schemas.openxmlformats.org/officeDocument/2006/relationships" ref="Z297" r:id="rId296"/>
    <hyperlink xmlns:r="http://schemas.openxmlformats.org/officeDocument/2006/relationships" ref="Z298" r:id="rId297"/>
    <hyperlink xmlns:r="http://schemas.openxmlformats.org/officeDocument/2006/relationships" ref="Z299" r:id="rId298"/>
    <hyperlink xmlns:r="http://schemas.openxmlformats.org/officeDocument/2006/relationships" ref="Z300" r:id="rId299"/>
    <hyperlink xmlns:r="http://schemas.openxmlformats.org/officeDocument/2006/relationships" ref="Z301" r:id="rId300"/>
    <hyperlink xmlns:r="http://schemas.openxmlformats.org/officeDocument/2006/relationships" ref="Z302" r:id="rId301"/>
    <hyperlink xmlns:r="http://schemas.openxmlformats.org/officeDocument/2006/relationships" ref="Z303" r:id="rId302"/>
    <hyperlink xmlns:r="http://schemas.openxmlformats.org/officeDocument/2006/relationships" ref="Z304" r:id="rId303"/>
    <hyperlink xmlns:r="http://schemas.openxmlformats.org/officeDocument/2006/relationships" ref="Z305" r:id="rId304"/>
    <hyperlink xmlns:r="http://schemas.openxmlformats.org/officeDocument/2006/relationships" ref="Z306" r:id="rId305"/>
    <hyperlink xmlns:r="http://schemas.openxmlformats.org/officeDocument/2006/relationships" ref="Z307" r:id="rId306"/>
    <hyperlink xmlns:r="http://schemas.openxmlformats.org/officeDocument/2006/relationships" ref="Z308" r:id="rId307"/>
    <hyperlink xmlns:r="http://schemas.openxmlformats.org/officeDocument/2006/relationships" ref="Z309" r:id="rId308"/>
    <hyperlink xmlns:r="http://schemas.openxmlformats.org/officeDocument/2006/relationships" ref="Z310" r:id="rId309"/>
    <hyperlink xmlns:r="http://schemas.openxmlformats.org/officeDocument/2006/relationships" ref="Z311" r:id="rId310"/>
    <hyperlink xmlns:r="http://schemas.openxmlformats.org/officeDocument/2006/relationships" ref="Z312" r:id="rId311"/>
    <hyperlink xmlns:r="http://schemas.openxmlformats.org/officeDocument/2006/relationships" ref="Z313" r:id="rId312"/>
    <hyperlink xmlns:r="http://schemas.openxmlformats.org/officeDocument/2006/relationships" ref="Z314" r:id="rId313"/>
    <hyperlink xmlns:r="http://schemas.openxmlformats.org/officeDocument/2006/relationships" ref="Z315" r:id="rId314"/>
    <hyperlink xmlns:r="http://schemas.openxmlformats.org/officeDocument/2006/relationships" ref="Z316" r:id="rId315"/>
    <hyperlink xmlns:r="http://schemas.openxmlformats.org/officeDocument/2006/relationships" ref="Z317" r:id="rId316"/>
    <hyperlink xmlns:r="http://schemas.openxmlformats.org/officeDocument/2006/relationships" ref="Z318" r:id="rId317"/>
    <hyperlink xmlns:r="http://schemas.openxmlformats.org/officeDocument/2006/relationships" ref="Z319" r:id="rId318"/>
    <hyperlink xmlns:r="http://schemas.openxmlformats.org/officeDocument/2006/relationships" ref="Z320" r:id="rId319"/>
    <hyperlink xmlns:r="http://schemas.openxmlformats.org/officeDocument/2006/relationships" ref="Z321" r:id="rId320"/>
    <hyperlink xmlns:r="http://schemas.openxmlformats.org/officeDocument/2006/relationships" ref="Z322" r:id="rId321"/>
    <hyperlink xmlns:r="http://schemas.openxmlformats.org/officeDocument/2006/relationships" ref="Z323" r:id="rId322"/>
    <hyperlink xmlns:r="http://schemas.openxmlformats.org/officeDocument/2006/relationships" ref="Z324" r:id="rId323"/>
    <hyperlink xmlns:r="http://schemas.openxmlformats.org/officeDocument/2006/relationships" ref="Z325" r:id="rId324"/>
    <hyperlink xmlns:r="http://schemas.openxmlformats.org/officeDocument/2006/relationships" ref="Z326" r:id="rId325"/>
    <hyperlink xmlns:r="http://schemas.openxmlformats.org/officeDocument/2006/relationships" ref="Z327" r:id="rId326"/>
    <hyperlink xmlns:r="http://schemas.openxmlformats.org/officeDocument/2006/relationships" ref="Z328" r:id="rId327"/>
    <hyperlink xmlns:r="http://schemas.openxmlformats.org/officeDocument/2006/relationships" ref="Z329" r:id="rId328"/>
    <hyperlink xmlns:r="http://schemas.openxmlformats.org/officeDocument/2006/relationships" ref="Z330" r:id="rId329"/>
    <hyperlink xmlns:r="http://schemas.openxmlformats.org/officeDocument/2006/relationships" ref="Z331" r:id="rId330"/>
    <hyperlink xmlns:r="http://schemas.openxmlformats.org/officeDocument/2006/relationships" ref="Z332" r:id="rId331"/>
    <hyperlink xmlns:r="http://schemas.openxmlformats.org/officeDocument/2006/relationships" ref="Z333" r:id="rId332"/>
    <hyperlink xmlns:r="http://schemas.openxmlformats.org/officeDocument/2006/relationships" ref="Z334" r:id="rId333"/>
    <hyperlink xmlns:r="http://schemas.openxmlformats.org/officeDocument/2006/relationships" ref="Z335" r:id="rId334"/>
    <hyperlink xmlns:r="http://schemas.openxmlformats.org/officeDocument/2006/relationships" ref="Z336" r:id="rId335"/>
    <hyperlink xmlns:r="http://schemas.openxmlformats.org/officeDocument/2006/relationships" ref="Z337" r:id="rId336"/>
    <hyperlink xmlns:r="http://schemas.openxmlformats.org/officeDocument/2006/relationships" ref="Z338" r:id="rId337"/>
    <hyperlink xmlns:r="http://schemas.openxmlformats.org/officeDocument/2006/relationships" ref="Z339" r:id="rId338"/>
    <hyperlink xmlns:r="http://schemas.openxmlformats.org/officeDocument/2006/relationships" ref="Z340" r:id="rId339"/>
    <hyperlink xmlns:r="http://schemas.openxmlformats.org/officeDocument/2006/relationships" ref="Z341" r:id="rId340"/>
    <hyperlink xmlns:r="http://schemas.openxmlformats.org/officeDocument/2006/relationships" ref="Z342" r:id="rId341"/>
    <hyperlink xmlns:r="http://schemas.openxmlformats.org/officeDocument/2006/relationships" ref="Z343" r:id="rId342"/>
    <hyperlink xmlns:r="http://schemas.openxmlformats.org/officeDocument/2006/relationships" ref="Z344" r:id="rId343"/>
    <hyperlink xmlns:r="http://schemas.openxmlformats.org/officeDocument/2006/relationships" ref="Z345" r:id="rId344"/>
    <hyperlink xmlns:r="http://schemas.openxmlformats.org/officeDocument/2006/relationships" ref="Z346" r:id="rId345"/>
    <hyperlink xmlns:r="http://schemas.openxmlformats.org/officeDocument/2006/relationships" ref="Z347" r:id="rId346"/>
    <hyperlink xmlns:r="http://schemas.openxmlformats.org/officeDocument/2006/relationships" ref="Z348" r:id="rId347"/>
    <hyperlink xmlns:r="http://schemas.openxmlformats.org/officeDocument/2006/relationships" ref="Z349" r:id="rId348"/>
    <hyperlink xmlns:r="http://schemas.openxmlformats.org/officeDocument/2006/relationships" ref="Z350" r:id="rId349"/>
    <hyperlink xmlns:r="http://schemas.openxmlformats.org/officeDocument/2006/relationships" ref="Z351" r:id="rId350"/>
    <hyperlink xmlns:r="http://schemas.openxmlformats.org/officeDocument/2006/relationships" ref="Z352" r:id="rId351"/>
    <hyperlink xmlns:r="http://schemas.openxmlformats.org/officeDocument/2006/relationships" ref="Z353" r:id="rId352"/>
    <hyperlink xmlns:r="http://schemas.openxmlformats.org/officeDocument/2006/relationships" ref="Z354" r:id="rId353"/>
    <hyperlink xmlns:r="http://schemas.openxmlformats.org/officeDocument/2006/relationships" ref="Z355" r:id="rId354"/>
    <hyperlink xmlns:r="http://schemas.openxmlformats.org/officeDocument/2006/relationships" ref="Z356" r:id="rId355"/>
    <hyperlink xmlns:r="http://schemas.openxmlformats.org/officeDocument/2006/relationships" ref="Z357" r:id="rId356"/>
    <hyperlink xmlns:r="http://schemas.openxmlformats.org/officeDocument/2006/relationships" ref="Z358" r:id="rId357"/>
    <hyperlink xmlns:r="http://schemas.openxmlformats.org/officeDocument/2006/relationships" ref="Z359" r:id="rId358"/>
    <hyperlink xmlns:r="http://schemas.openxmlformats.org/officeDocument/2006/relationships" ref="Z360" r:id="rId359"/>
    <hyperlink xmlns:r="http://schemas.openxmlformats.org/officeDocument/2006/relationships" ref="Z361" r:id="rId360"/>
    <hyperlink xmlns:r="http://schemas.openxmlformats.org/officeDocument/2006/relationships" ref="Z362" r:id="rId361"/>
    <hyperlink xmlns:r="http://schemas.openxmlformats.org/officeDocument/2006/relationships" ref="Z363" r:id="rId362"/>
    <hyperlink xmlns:r="http://schemas.openxmlformats.org/officeDocument/2006/relationships" ref="Z364" r:id="rId363"/>
    <hyperlink xmlns:r="http://schemas.openxmlformats.org/officeDocument/2006/relationships" ref="Z365" r:id="rId364"/>
    <hyperlink xmlns:r="http://schemas.openxmlformats.org/officeDocument/2006/relationships" ref="Z366" r:id="rId365"/>
    <hyperlink xmlns:r="http://schemas.openxmlformats.org/officeDocument/2006/relationships" ref="Z367" r:id="rId366"/>
    <hyperlink xmlns:r="http://schemas.openxmlformats.org/officeDocument/2006/relationships" ref="Z368" r:id="rId367"/>
    <hyperlink xmlns:r="http://schemas.openxmlformats.org/officeDocument/2006/relationships" ref="Z369" r:id="rId368"/>
    <hyperlink xmlns:r="http://schemas.openxmlformats.org/officeDocument/2006/relationships" ref="Z370" r:id="rId369"/>
    <hyperlink xmlns:r="http://schemas.openxmlformats.org/officeDocument/2006/relationships" ref="Z371" r:id="rId370"/>
    <hyperlink xmlns:r="http://schemas.openxmlformats.org/officeDocument/2006/relationships" ref="Z372" r:id="rId371"/>
    <hyperlink xmlns:r="http://schemas.openxmlformats.org/officeDocument/2006/relationships" ref="Z373" r:id="rId372"/>
    <hyperlink xmlns:r="http://schemas.openxmlformats.org/officeDocument/2006/relationships" ref="Z374" r:id="rId373"/>
    <hyperlink xmlns:r="http://schemas.openxmlformats.org/officeDocument/2006/relationships" ref="Z375" r:id="rId374"/>
    <hyperlink xmlns:r="http://schemas.openxmlformats.org/officeDocument/2006/relationships" ref="Z376" r:id="rId375"/>
    <hyperlink xmlns:r="http://schemas.openxmlformats.org/officeDocument/2006/relationships" ref="Z377" r:id="rId376"/>
    <hyperlink xmlns:r="http://schemas.openxmlformats.org/officeDocument/2006/relationships" ref="Z378" r:id="rId377"/>
    <hyperlink xmlns:r="http://schemas.openxmlformats.org/officeDocument/2006/relationships" ref="Z379" r:id="rId378"/>
    <hyperlink xmlns:r="http://schemas.openxmlformats.org/officeDocument/2006/relationships" ref="Z380" r:id="rId379"/>
    <hyperlink xmlns:r="http://schemas.openxmlformats.org/officeDocument/2006/relationships" ref="Z381" r:id="rId380"/>
    <hyperlink xmlns:r="http://schemas.openxmlformats.org/officeDocument/2006/relationships" ref="Z382" r:id="rId381"/>
    <hyperlink xmlns:r="http://schemas.openxmlformats.org/officeDocument/2006/relationships" ref="Z383" r:id="rId382"/>
    <hyperlink xmlns:r="http://schemas.openxmlformats.org/officeDocument/2006/relationships" ref="Z384" r:id="rId383"/>
    <hyperlink xmlns:r="http://schemas.openxmlformats.org/officeDocument/2006/relationships" ref="Z385" r:id="rId384"/>
    <hyperlink xmlns:r="http://schemas.openxmlformats.org/officeDocument/2006/relationships" ref="Z386" r:id="rId385"/>
    <hyperlink xmlns:r="http://schemas.openxmlformats.org/officeDocument/2006/relationships" ref="Z387" r:id="rId386"/>
    <hyperlink xmlns:r="http://schemas.openxmlformats.org/officeDocument/2006/relationships" ref="Z388" r:id="rId387"/>
    <hyperlink xmlns:r="http://schemas.openxmlformats.org/officeDocument/2006/relationships" ref="Z389" r:id="rId388"/>
    <hyperlink xmlns:r="http://schemas.openxmlformats.org/officeDocument/2006/relationships" ref="Z390" r:id="rId3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style="29" min="1" max="1"/>
    <col width="14" customWidth="1" style="29" min="2" max="2"/>
    <col width="14" customWidth="1" style="29" min="3" max="3"/>
    <col width="14" customWidth="1" style="29" min="4" max="4"/>
    <col width="14" customWidth="1" style="29" min="5" max="5"/>
    <col width="14" customWidth="1" style="29" min="6" max="6"/>
    <col width="14" customWidth="1" style="29" min="7" max="7"/>
    <col width="14" customWidth="1" style="29" min="8" max="8"/>
    <col width="14" customWidth="1" style="29" min="9" max="9"/>
    <col width="14" customWidth="1" style="29" min="10" max="10"/>
    <col width="14" customWidth="1" style="29" min="11" max="11"/>
    <col width="14" customWidth="1" style="29" min="12" max="12"/>
    <col width="14" customWidth="1" style="29" min="13" max="13"/>
    <col width="14" customWidth="1" style="29" min="14" max="14"/>
    <col width="14" customWidth="1" style="29" min="15" max="15"/>
    <col width="14" customWidth="1" style="29" min="16" max="16"/>
    <col width="14" customWidth="1" style="29" min="17" max="17"/>
    <col width="14" customWidth="1" style="29" min="18" max="18"/>
    <col width="14" customWidth="1" style="29" min="19" max="19"/>
    <col width="14" customWidth="1" style="29" min="20" max="20"/>
    <col width="14" customWidth="1" style="29" min="21" max="21"/>
    <col width="14" customWidth="1" style="29" min="22" max="22"/>
    <col width="14" customWidth="1" style="29" min="23" max="23"/>
    <col width="14" customWidth="1" style="29" min="24" max="24"/>
    <col width="14" customWidth="1" style="29" min="25" max="25"/>
    <col width="14" customWidth="1" style="29" min="26" max="26"/>
    <col width="30" customWidth="1" style="29" min="27" max="27"/>
    <col width="14" customWidth="1" style="29" min="28" max="28"/>
    <col width="30" customWidth="1" style="29" min="29" max="29"/>
  </cols>
  <sheetData>
    <row r="1">
      <c r="A1" s="48" t="inlineStr">
        <is>
          <t>Product</t>
        </is>
      </c>
      <c r="B1" s="48" t="inlineStr">
        <is>
          <t>Type</t>
        </is>
      </c>
      <c r="C1" s="48" t="inlineStr">
        <is>
          <t>Machine / source</t>
        </is>
      </c>
      <c r="D1" s="48" t="inlineStr">
        <is>
          <t>Level</t>
        </is>
      </c>
      <c r="E1" s="48" t="inlineStr">
        <is>
          <t>Price</t>
        </is>
      </c>
      <c r="F1" s="48" t="inlineStr">
        <is>
          <t>Price source</t>
        </is>
      </c>
      <c r="G1" s="48" t="inlineStr">
        <is>
          <t>Yield per batch</t>
        </is>
      </c>
      <c r="H1" s="48" t="inlineStr">
        <is>
          <t>Own time (min)</t>
        </is>
      </c>
      <c r="I1" s="48" t="inlineStr">
        <is>
          <t>Own time mastered (min)</t>
        </is>
      </c>
      <c r="J1" s="48" t="inlineStr">
        <is>
          <t>Ingredient value (coins)</t>
        </is>
      </c>
      <c r="K1" s="48" t="inlineStr">
        <is>
          <t>Machine-min</t>
        </is>
      </c>
      <c r="L1" s="48" t="inlineStr">
        <is>
          <t>Field-min</t>
        </is>
      </c>
      <c r="M1" s="48" t="inlineStr">
        <is>
          <t>Animal-min</t>
        </is>
      </c>
      <c r="N1" s="48" t="inlineStr">
        <is>
          <t>Tree-min</t>
        </is>
      </c>
      <c r="O1" s="48" t="inlineStr">
        <is>
          <t>External inputs (time not modelled)</t>
        </is>
      </c>
      <c r="P1" s="48" t="inlineStr">
        <is>
          <t>Total chain min</t>
        </is>
      </c>
      <c r="Q1" s="48" t="inlineStr">
        <is>
          <t>Critical path min</t>
        </is>
      </c>
      <c r="R1" s="48" t="inlineStr">
        <is>
          <t>Coins/hr per chain-min</t>
        </is>
      </c>
      <c r="S1" s="48" t="inlineStr">
        <is>
          <t>Machine-min mastered</t>
        </is>
      </c>
      <c r="T1" s="48" t="inlineStr">
        <is>
          <t>Total chain min mastered</t>
        </is>
      </c>
      <c r="U1" s="48" t="inlineStr">
        <is>
          <t>Critical path min mastered</t>
        </is>
      </c>
      <c r="V1" s="48" t="inlineStr">
        <is>
          <t>Coins/hr per chain-min mastered</t>
        </is>
      </c>
      <c r="W1" s="48" t="inlineStr">
        <is>
          <t>Value added (coins)</t>
        </is>
      </c>
      <c r="X1" s="48" t="inlineStr">
        <is>
          <t>Value added/hr own machine</t>
        </is>
      </c>
      <c r="Y1" s="48" t="inlineStr">
        <is>
          <t>Value added/hr own machine mastered</t>
        </is>
      </c>
      <c r="Z1" s="48" t="inlineStr">
        <is>
          <t>hayday.info profit/hr</t>
        </is>
      </c>
      <c r="AA1" s="48" t="inlineStr">
        <is>
          <t>Ingredients</t>
        </is>
      </c>
      <c r="AB1" s="48" t="inlineStr">
        <is>
          <t>Unlocked at L39 (whole chain)</t>
        </is>
      </c>
      <c r="AC1" s="48" t="inlineStr">
        <is>
          <t>Check vs hayday.info</t>
        </is>
      </c>
    </row>
    <row r="2">
      <c r="A2" t="inlineStr">
        <is>
          <t>Honey Peanuts</t>
        </is>
      </c>
      <c r="B2" t="inlineStr">
        <is>
          <t>machine</t>
        </is>
      </c>
      <c r="C2" t="inlineStr">
        <is>
          <t>Candy Machine</t>
        </is>
      </c>
      <c r="D2" t="n">
        <v>63</v>
      </c>
      <c r="E2" t="n">
        <v>540</v>
      </c>
      <c r="F2" t="inlineStr">
        <is>
          <t>hayday.info</t>
        </is>
      </c>
      <c r="G2" t="n">
        <v>1</v>
      </c>
      <c r="H2" t="n">
        <v>40</v>
      </c>
      <c r="I2" t="n">
        <v>34</v>
      </c>
      <c r="J2" t="n">
        <v>388</v>
      </c>
      <c r="K2" t="n">
        <v>60</v>
      </c>
      <c r="L2" t="n">
        <v>0</v>
      </c>
      <c r="M2" t="n">
        <v>70</v>
      </c>
      <c r="N2" t="n">
        <v>0</v>
      </c>
      <c r="O2" t="inlineStr">
        <is>
          <t>Peanuts x1</t>
        </is>
      </c>
      <c r="P2" t="n">
        <v>130</v>
      </c>
      <c r="Q2" t="n">
        <v>95</v>
      </c>
      <c r="R2" t="n">
        <v>249.23</v>
      </c>
      <c r="S2" t="n">
        <v>51</v>
      </c>
      <c r="T2" t="n">
        <v>121</v>
      </c>
      <c r="U2" t="n">
        <v>86</v>
      </c>
      <c r="V2" t="n">
        <v>267.77</v>
      </c>
      <c r="W2" t="n">
        <v>152</v>
      </c>
      <c r="X2" t="n">
        <v>228</v>
      </c>
      <c r="Y2" t="n">
        <v>268.24</v>
      </c>
      <c r="Z2" t="n">
        <v>268.24</v>
      </c>
      <c r="AA2" t="inlineStr">
        <is>
          <t>Honey x1; Peanuts x1</t>
        </is>
      </c>
      <c r="AB2" t="b">
        <v>0</v>
      </c>
      <c r="AC2" t="inlineStr">
        <is>
          <t>match (mastered)</t>
        </is>
      </c>
    </row>
    <row r="3">
      <c r="A3" t="inlineStr">
        <is>
          <t>Snack Mix</t>
        </is>
      </c>
      <c r="B3" t="inlineStr">
        <is>
          <t>machine</t>
        </is>
      </c>
      <c r="C3" t="inlineStr">
        <is>
          <t>Popcorn Pot</t>
        </is>
      </c>
      <c r="D3" t="n">
        <v>64</v>
      </c>
      <c r="E3" t="n">
        <v>309</v>
      </c>
      <c r="F3" t="inlineStr">
        <is>
          <t>hayday.info</t>
        </is>
      </c>
      <c r="G3" t="n">
        <v>1</v>
      </c>
      <c r="H3" t="n">
        <v>45</v>
      </c>
      <c r="I3" t="n">
        <v>38</v>
      </c>
      <c r="J3" t="n">
        <v>266</v>
      </c>
      <c r="K3" t="n">
        <v>45</v>
      </c>
      <c r="L3" t="n">
        <v>70</v>
      </c>
      <c r="M3" t="n">
        <v>0</v>
      </c>
      <c r="N3" t="n">
        <v>0</v>
      </c>
      <c r="O3" t="inlineStr">
        <is>
          <t>Peanuts x1</t>
        </is>
      </c>
      <c r="P3" t="n">
        <v>115</v>
      </c>
      <c r="Q3" t="n">
        <v>105</v>
      </c>
      <c r="R3" t="n">
        <v>161.22</v>
      </c>
      <c r="S3" t="n">
        <v>38</v>
      </c>
      <c r="T3" t="n">
        <v>108</v>
      </c>
      <c r="U3" t="n">
        <v>98</v>
      </c>
      <c r="V3" t="n">
        <v>171.67</v>
      </c>
      <c r="W3" t="n">
        <v>43</v>
      </c>
      <c r="X3" t="n">
        <v>57.33</v>
      </c>
      <c r="Y3" t="n">
        <v>67.89</v>
      </c>
      <c r="Z3" t="n">
        <v>67.45</v>
      </c>
      <c r="AA3" t="inlineStr">
        <is>
          <t>Corn x2; Sesame x1; Peanuts x1</t>
        </is>
      </c>
      <c r="AB3" t="b">
        <v>0</v>
      </c>
      <c r="AC3" t="inlineStr">
        <is>
          <t>match (mastered)</t>
        </is>
      </c>
    </row>
    <row r="4">
      <c r="A4" t="inlineStr">
        <is>
          <t>Honeycomb</t>
        </is>
      </c>
      <c r="B4" t="inlineStr">
        <is>
          <t>animal</t>
        </is>
      </c>
      <c r="C4" t="inlineStr">
        <is>
          <t>Honey Bee</t>
        </is>
      </c>
      <c r="D4" t="n">
        <v>39</v>
      </c>
      <c r="E4" t="n">
        <v>68</v>
      </c>
      <c r="F4" t="inlineStr">
        <is>
          <t>hayday.info</t>
        </is>
      </c>
      <c r="G4" t="n">
        <v>1</v>
      </c>
      <c r="H4" t="n">
        <v>35</v>
      </c>
      <c r="J4" t="n">
        <v>0</v>
      </c>
      <c r="K4" t="n">
        <v>0</v>
      </c>
      <c r="L4" t="n">
        <v>0</v>
      </c>
      <c r="M4" t="n">
        <v>35</v>
      </c>
      <c r="N4" t="n">
        <v>0</v>
      </c>
      <c r="P4" t="n">
        <v>35</v>
      </c>
      <c r="Q4" t="n">
        <v>35</v>
      </c>
      <c r="R4" t="n">
        <v>116.57</v>
      </c>
      <c r="S4" t="n">
        <v>0</v>
      </c>
      <c r="T4" t="n">
        <v>35</v>
      </c>
      <c r="U4" t="n">
        <v>35</v>
      </c>
      <c r="V4" t="n">
        <v>116.57</v>
      </c>
      <c r="W4" t="n">
        <v>68</v>
      </c>
      <c r="X4" t="n">
        <v>116.57</v>
      </c>
      <c r="Y4" t="n">
        <v>116.57</v>
      </c>
      <c r="Z4" t="n">
        <v>109.71</v>
      </c>
      <c r="AB4" t="b">
        <v>1</v>
      </c>
    </row>
    <row r="5">
      <c r="A5" t="inlineStr">
        <is>
          <t>Bread</t>
        </is>
      </c>
      <c r="B5" t="inlineStr">
        <is>
          <t>machine</t>
        </is>
      </c>
      <c r="C5" t="inlineStr">
        <is>
          <t>Bakery</t>
        </is>
      </c>
      <c r="D5" t="n">
        <v>4</v>
      </c>
      <c r="E5" t="n">
        <v>21</v>
      </c>
      <c r="F5" t="inlineStr">
        <is>
          <t>hayday.info</t>
        </is>
      </c>
      <c r="G5" t="n">
        <v>1</v>
      </c>
      <c r="H5" t="n">
        <v>5</v>
      </c>
      <c r="I5" t="n">
        <v>4</v>
      </c>
      <c r="J5" t="n">
        <v>9</v>
      </c>
      <c r="K5" t="n">
        <v>5</v>
      </c>
      <c r="L5" t="n">
        <v>6</v>
      </c>
      <c r="M5" t="n">
        <v>0</v>
      </c>
      <c r="N5" t="n">
        <v>0</v>
      </c>
      <c r="P5" t="n">
        <v>11</v>
      </c>
      <c r="Q5" t="n">
        <v>7</v>
      </c>
      <c r="R5" t="n">
        <v>114.55</v>
      </c>
      <c r="S5" t="n">
        <v>4</v>
      </c>
      <c r="T5" t="n">
        <v>10</v>
      </c>
      <c r="U5" t="n">
        <v>6</v>
      </c>
      <c r="V5" t="n">
        <v>126</v>
      </c>
      <c r="W5" t="n">
        <v>12</v>
      </c>
      <c r="X5" t="n">
        <v>144</v>
      </c>
      <c r="Y5" t="n">
        <v>180</v>
      </c>
      <c r="Z5" t="n">
        <v>169.41</v>
      </c>
      <c r="AA5" t="inlineStr">
        <is>
          <t>Wheat x3</t>
        </is>
      </c>
      <c r="AB5" t="b">
        <v>1</v>
      </c>
      <c r="AC5" t="inlineStr">
        <is>
          <t>match (normal x0.85)</t>
        </is>
      </c>
    </row>
    <row r="6">
      <c r="A6" t="inlineStr">
        <is>
          <t>Honey</t>
        </is>
      </c>
      <c r="B6" t="inlineStr">
        <is>
          <t>machine</t>
        </is>
      </c>
      <c r="C6" t="inlineStr">
        <is>
          <t>Honey Extractor</t>
        </is>
      </c>
      <c r="D6" t="n">
        <v>39</v>
      </c>
      <c r="E6" t="n">
        <v>154</v>
      </c>
      <c r="F6" t="inlineStr">
        <is>
          <t>hayday.info</t>
        </is>
      </c>
      <c r="G6" t="n">
        <v>1</v>
      </c>
      <c r="H6" t="n">
        <v>20</v>
      </c>
      <c r="I6" t="n">
        <v>17</v>
      </c>
      <c r="J6" t="n">
        <v>136</v>
      </c>
      <c r="K6" t="n">
        <v>20</v>
      </c>
      <c r="L6" t="n">
        <v>0</v>
      </c>
      <c r="M6" t="n">
        <v>70</v>
      </c>
      <c r="N6" t="n">
        <v>0</v>
      </c>
      <c r="P6" t="n">
        <v>90</v>
      </c>
      <c r="Q6" t="n">
        <v>55</v>
      </c>
      <c r="R6" t="n">
        <v>102.67</v>
      </c>
      <c r="S6" t="n">
        <v>17</v>
      </c>
      <c r="T6" t="n">
        <v>87</v>
      </c>
      <c r="U6" t="n">
        <v>52</v>
      </c>
      <c r="V6" t="n">
        <v>106.21</v>
      </c>
      <c r="W6" t="n">
        <v>18</v>
      </c>
      <c r="X6" t="n">
        <v>54</v>
      </c>
      <c r="Y6" t="n">
        <v>63.53</v>
      </c>
      <c r="Z6" t="n">
        <v>63.53</v>
      </c>
      <c r="AA6" t="inlineStr">
        <is>
          <t>Honeycomb x2</t>
        </is>
      </c>
      <c r="AB6" t="b">
        <v>1</v>
      </c>
      <c r="AC6" t="inlineStr">
        <is>
          <t>match (mastered)</t>
        </is>
      </c>
    </row>
    <row r="7">
      <c r="A7" t="inlineStr">
        <is>
          <t>Beeswax</t>
        </is>
      </c>
      <c r="B7" t="inlineStr">
        <is>
          <t>machine</t>
        </is>
      </c>
      <c r="C7" t="inlineStr">
        <is>
          <t>Honey Extractor</t>
        </is>
      </c>
      <c r="D7" t="n">
        <v>48</v>
      </c>
      <c r="E7" t="n">
        <v>234</v>
      </c>
      <c r="F7" t="inlineStr">
        <is>
          <t>hayday.info</t>
        </is>
      </c>
      <c r="G7" t="n">
        <v>1</v>
      </c>
      <c r="H7" t="n">
        <v>45</v>
      </c>
      <c r="I7" t="n">
        <v>38</v>
      </c>
      <c r="J7" t="n">
        <v>204</v>
      </c>
      <c r="K7" t="n">
        <v>45</v>
      </c>
      <c r="L7" t="n">
        <v>0</v>
      </c>
      <c r="M7" t="n">
        <v>105</v>
      </c>
      <c r="N7" t="n">
        <v>0</v>
      </c>
      <c r="P7" t="n">
        <v>150</v>
      </c>
      <c r="Q7" t="n">
        <v>80</v>
      </c>
      <c r="R7" t="n">
        <v>93.59999999999999</v>
      </c>
      <c r="S7" t="n">
        <v>38</v>
      </c>
      <c r="T7" t="n">
        <v>143</v>
      </c>
      <c r="U7" t="n">
        <v>73</v>
      </c>
      <c r="V7" t="n">
        <v>98.18000000000001</v>
      </c>
      <c r="W7" t="n">
        <v>30</v>
      </c>
      <c r="X7" t="n">
        <v>40</v>
      </c>
      <c r="Y7" t="n">
        <v>47.37</v>
      </c>
      <c r="Z7" t="n">
        <v>47.06</v>
      </c>
      <c r="AA7" t="inlineStr">
        <is>
          <t>Honeycomb x3</t>
        </is>
      </c>
      <c r="AB7" t="b">
        <v>0</v>
      </c>
      <c r="AC7" t="inlineStr">
        <is>
          <t>match (mastered)</t>
        </is>
      </c>
    </row>
    <row r="8">
      <c r="A8" t="inlineStr">
        <is>
          <t>Fish Pie</t>
        </is>
      </c>
      <c r="B8" t="inlineStr">
        <is>
          <t>machine</t>
        </is>
      </c>
      <c r="C8" t="inlineStr">
        <is>
          <t>Pie Oven</t>
        </is>
      </c>
      <c r="D8" t="n">
        <v>28</v>
      </c>
      <c r="E8" t="n">
        <v>226</v>
      </c>
      <c r="F8" t="inlineStr">
        <is>
          <t>hayday.info</t>
        </is>
      </c>
      <c r="G8" t="n">
        <v>1</v>
      </c>
      <c r="H8" t="n">
        <v>120</v>
      </c>
      <c r="I8" t="n">
        <v>102</v>
      </c>
      <c r="J8" t="n">
        <v>186</v>
      </c>
      <c r="K8" t="n">
        <v>121.67</v>
      </c>
      <c r="L8" t="n">
        <v>7</v>
      </c>
      <c r="M8" t="n">
        <v>20</v>
      </c>
      <c r="N8" t="n">
        <v>0</v>
      </c>
      <c r="O8" t="inlineStr">
        <is>
          <t>Fish Fillet x3</t>
        </is>
      </c>
      <c r="P8" t="n">
        <v>148.67</v>
      </c>
      <c r="Q8" t="n">
        <v>150</v>
      </c>
      <c r="R8" t="n">
        <v>91.20999999999999</v>
      </c>
      <c r="S8" t="n">
        <v>103.33</v>
      </c>
      <c r="T8" t="n">
        <v>130.33</v>
      </c>
      <c r="U8" t="n">
        <v>131</v>
      </c>
      <c r="V8" t="n">
        <v>104.04</v>
      </c>
      <c r="W8" t="n">
        <v>40</v>
      </c>
      <c r="X8" t="n">
        <v>20</v>
      </c>
      <c r="Y8" t="n">
        <v>23.53</v>
      </c>
      <c r="Z8" t="n">
        <v>23.53</v>
      </c>
      <c r="AA8" t="inlineStr">
        <is>
          <t>Fish Fillet x3; Wheat x2; Egg x1</t>
        </is>
      </c>
      <c r="AB8" t="b">
        <v>1</v>
      </c>
      <c r="AC8" t="inlineStr">
        <is>
          <t>match (mastered)</t>
        </is>
      </c>
    </row>
    <row r="9">
      <c r="A9" t="inlineStr">
        <is>
          <t>Wheat</t>
        </is>
      </c>
      <c r="B9" t="inlineStr">
        <is>
          <t>field</t>
        </is>
      </c>
      <c r="C9" t="inlineStr">
        <is>
          <t>Farm</t>
        </is>
      </c>
      <c r="D9" t="n">
        <v>1</v>
      </c>
      <c r="E9" t="n">
        <v>3</v>
      </c>
      <c r="F9" t="inlineStr">
        <is>
          <t>hayday.info</t>
        </is>
      </c>
      <c r="G9" t="n">
        <v>1</v>
      </c>
      <c r="H9" t="n">
        <v>2</v>
      </c>
      <c r="J9" t="n">
        <v>0</v>
      </c>
      <c r="K9" t="n">
        <v>0</v>
      </c>
      <c r="L9" t="n">
        <v>2</v>
      </c>
      <c r="M9" t="n">
        <v>0</v>
      </c>
      <c r="N9" t="n">
        <v>0</v>
      </c>
      <c r="P9" t="n">
        <v>2</v>
      </c>
      <c r="Q9" t="n">
        <v>2</v>
      </c>
      <c r="R9" t="n">
        <v>90</v>
      </c>
      <c r="S9" t="n">
        <v>0</v>
      </c>
      <c r="T9" t="n">
        <v>2</v>
      </c>
      <c r="U9" t="n">
        <v>2</v>
      </c>
      <c r="V9" t="n">
        <v>90</v>
      </c>
      <c r="W9" t="n">
        <v>3</v>
      </c>
      <c r="X9" t="n">
        <v>90</v>
      </c>
      <c r="Y9" t="n">
        <v>90</v>
      </c>
      <c r="Z9" t="n">
        <v>90</v>
      </c>
      <c r="AB9" t="b">
        <v>1</v>
      </c>
    </row>
    <row r="10">
      <c r="A10" t="inlineStr">
        <is>
          <t>Chicken Feed</t>
        </is>
      </c>
      <c r="B10" t="inlineStr">
        <is>
          <t>machine</t>
        </is>
      </c>
      <c r="C10" t="inlineStr">
        <is>
          <t>Feed Mill</t>
        </is>
      </c>
      <c r="D10" t="n">
        <v>2</v>
      </c>
      <c r="E10" t="n">
        <v>7</v>
      </c>
      <c r="F10" t="inlineStr">
        <is>
          <t>hayday.info</t>
        </is>
      </c>
      <c r="G10" t="n">
        <v>3</v>
      </c>
      <c r="H10" t="n">
        <v>5</v>
      </c>
      <c r="I10" t="n">
        <v>4</v>
      </c>
      <c r="J10" t="n">
        <v>4.33</v>
      </c>
      <c r="K10" t="n">
        <v>1.67</v>
      </c>
      <c r="L10" t="n">
        <v>3</v>
      </c>
      <c r="M10" t="n">
        <v>0</v>
      </c>
      <c r="N10" t="n">
        <v>0</v>
      </c>
      <c r="P10" t="n">
        <v>4.67</v>
      </c>
      <c r="Q10" t="n">
        <v>10</v>
      </c>
      <c r="R10" t="n">
        <v>90</v>
      </c>
      <c r="S10" t="n">
        <v>1.33</v>
      </c>
      <c r="T10" t="n">
        <v>4.33</v>
      </c>
      <c r="U10" t="n">
        <v>9</v>
      </c>
      <c r="V10" t="n">
        <v>96.92</v>
      </c>
      <c r="W10" t="n">
        <v>2.67</v>
      </c>
      <c r="X10" t="n">
        <v>96</v>
      </c>
      <c r="Y10" t="n">
        <v>120</v>
      </c>
      <c r="Z10" t="n">
        <v>112.94</v>
      </c>
      <c r="AA10" t="inlineStr">
        <is>
          <t>Wheat x2; Corn x1</t>
        </is>
      </c>
      <c r="AB10" t="b">
        <v>1</v>
      </c>
      <c r="AC10" t="inlineStr">
        <is>
          <t>match (normal x0.85)</t>
        </is>
      </c>
    </row>
    <row r="11">
      <c r="A11" t="inlineStr">
        <is>
          <t>Corn</t>
        </is>
      </c>
      <c r="B11" t="inlineStr">
        <is>
          <t>field</t>
        </is>
      </c>
      <c r="C11" t="inlineStr">
        <is>
          <t>Farm</t>
        </is>
      </c>
      <c r="D11" t="n">
        <v>2</v>
      </c>
      <c r="E11" t="n">
        <v>7</v>
      </c>
      <c r="F11" t="inlineStr">
        <is>
          <t>hayday.info</t>
        </is>
      </c>
      <c r="G11" t="n">
        <v>1</v>
      </c>
      <c r="H11" t="n">
        <v>5</v>
      </c>
      <c r="J11" t="n">
        <v>0</v>
      </c>
      <c r="K11" t="n">
        <v>0</v>
      </c>
      <c r="L11" t="n">
        <v>5</v>
      </c>
      <c r="M11" t="n">
        <v>0</v>
      </c>
      <c r="N11" t="n">
        <v>0</v>
      </c>
      <c r="P11" t="n">
        <v>5</v>
      </c>
      <c r="Q11" t="n">
        <v>5</v>
      </c>
      <c r="R11" t="n">
        <v>84</v>
      </c>
      <c r="S11" t="n">
        <v>0</v>
      </c>
      <c r="T11" t="n">
        <v>5</v>
      </c>
      <c r="U11" t="n">
        <v>5</v>
      </c>
      <c r="V11" t="n">
        <v>84</v>
      </c>
      <c r="W11" t="n">
        <v>7</v>
      </c>
      <c r="X11" t="n">
        <v>84</v>
      </c>
      <c r="Y11" t="n">
        <v>84</v>
      </c>
      <c r="Z11" t="n">
        <v>84</v>
      </c>
      <c r="AB11" t="b">
        <v>1</v>
      </c>
    </row>
    <row r="12">
      <c r="A12" t="inlineStr">
        <is>
          <t>Honey Popcorn</t>
        </is>
      </c>
      <c r="B12" t="inlineStr">
        <is>
          <t>machine</t>
        </is>
      </c>
      <c r="C12" t="inlineStr">
        <is>
          <t>Popcorn Pot</t>
        </is>
      </c>
      <c r="D12" t="n">
        <v>40</v>
      </c>
      <c r="E12" t="n">
        <v>360</v>
      </c>
      <c r="F12" t="inlineStr">
        <is>
          <t>hayday.info</t>
        </is>
      </c>
      <c r="G12" t="n">
        <v>1</v>
      </c>
      <c r="H12" t="n">
        <v>90</v>
      </c>
      <c r="I12" t="n">
        <v>76</v>
      </c>
      <c r="J12" t="n">
        <v>322</v>
      </c>
      <c r="K12" t="n">
        <v>130</v>
      </c>
      <c r="L12" t="n">
        <v>10</v>
      </c>
      <c r="M12" t="n">
        <v>140</v>
      </c>
      <c r="N12" t="n">
        <v>0</v>
      </c>
      <c r="P12" t="n">
        <v>280</v>
      </c>
      <c r="Q12" t="n">
        <v>165</v>
      </c>
      <c r="R12" t="n">
        <v>77.14</v>
      </c>
      <c r="S12" t="n">
        <v>110</v>
      </c>
      <c r="T12" t="n">
        <v>260</v>
      </c>
      <c r="U12" t="n">
        <v>145</v>
      </c>
      <c r="V12" t="n">
        <v>83.08</v>
      </c>
      <c r="W12" t="n">
        <v>38</v>
      </c>
      <c r="X12" t="n">
        <v>25.33</v>
      </c>
      <c r="Y12" t="n">
        <v>30</v>
      </c>
      <c r="Z12" t="n">
        <v>29.8</v>
      </c>
      <c r="AA12" t="inlineStr">
        <is>
          <t>Corn x2; Honey x2</t>
        </is>
      </c>
      <c r="AB12" t="b">
        <v>0</v>
      </c>
      <c r="AC12" t="inlineStr">
        <is>
          <t>match (mastered)</t>
        </is>
      </c>
    </row>
    <row r="13">
      <c r="A13" t="inlineStr">
        <is>
          <t>Frutti di Mare Pizza</t>
        </is>
      </c>
      <c r="B13" t="inlineStr">
        <is>
          <t>machine</t>
        </is>
      </c>
      <c r="C13" t="inlineStr">
        <is>
          <t>Bakery</t>
        </is>
      </c>
      <c r="D13" t="n">
        <v>45</v>
      </c>
      <c r="E13" t="n">
        <v>403</v>
      </c>
      <c r="F13" t="inlineStr">
        <is>
          <t>hayday.info</t>
        </is>
      </c>
      <c r="G13" t="n">
        <v>1</v>
      </c>
      <c r="H13" t="n">
        <v>15</v>
      </c>
      <c r="I13" t="n">
        <v>12</v>
      </c>
      <c r="J13" t="n">
        <v>383</v>
      </c>
      <c r="K13" t="n">
        <v>85</v>
      </c>
      <c r="L13" t="n">
        <v>49</v>
      </c>
      <c r="M13" t="n">
        <v>180</v>
      </c>
      <c r="N13" t="n">
        <v>0</v>
      </c>
      <c r="O13" t="inlineStr">
        <is>
          <t>Fish Fillet x1; Lobster Tail x1</t>
        </is>
      </c>
      <c r="P13" t="n">
        <v>314</v>
      </c>
      <c r="Q13" t="n">
        <v>165</v>
      </c>
      <c r="R13" t="n">
        <v>77.01000000000001</v>
      </c>
      <c r="S13" t="n">
        <v>71</v>
      </c>
      <c r="T13" t="n">
        <v>300</v>
      </c>
      <c r="U13" t="n">
        <v>151</v>
      </c>
      <c r="V13" t="n">
        <v>80.59999999999999</v>
      </c>
      <c r="W13" t="n">
        <v>20</v>
      </c>
      <c r="X13" t="n">
        <v>80</v>
      </c>
      <c r="Y13" t="n">
        <v>100</v>
      </c>
      <c r="Z13" t="n">
        <v>94.12</v>
      </c>
      <c r="AA13" t="inlineStr">
        <is>
          <t>Wheat x2; Fish Fillet x1; Lobster Tail x1; Cheese x1</t>
        </is>
      </c>
      <c r="AB13" t="b">
        <v>0</v>
      </c>
      <c r="AC13" t="inlineStr">
        <is>
          <t>match (normal x0.85)</t>
        </is>
      </c>
    </row>
    <row r="14">
      <c r="A14" t="inlineStr">
        <is>
          <t>Lobster Skewer</t>
        </is>
      </c>
      <c r="B14" t="inlineStr">
        <is>
          <t>machine</t>
        </is>
      </c>
      <c r="C14" t="inlineStr">
        <is>
          <t>BBQ Grill</t>
        </is>
      </c>
      <c r="D14" t="n">
        <v>48</v>
      </c>
      <c r="E14" t="n">
        <v>417</v>
      </c>
      <c r="F14" t="inlineStr">
        <is>
          <t>hayday.info</t>
        </is>
      </c>
      <c r="G14" t="n">
        <v>1</v>
      </c>
      <c r="H14" t="n">
        <v>40</v>
      </c>
      <c r="I14" t="n">
        <v>34</v>
      </c>
      <c r="J14" t="n">
        <v>391</v>
      </c>
      <c r="K14" t="n">
        <v>60</v>
      </c>
      <c r="L14" t="n">
        <v>240</v>
      </c>
      <c r="M14" t="n">
        <v>70</v>
      </c>
      <c r="N14" t="n">
        <v>0</v>
      </c>
      <c r="O14" t="inlineStr">
        <is>
          <t>Lobster Tail x1</t>
        </is>
      </c>
      <c r="P14" t="n">
        <v>370</v>
      </c>
      <c r="Q14" t="n">
        <v>280</v>
      </c>
      <c r="R14" t="n">
        <v>67.62</v>
      </c>
      <c r="S14" t="n">
        <v>51</v>
      </c>
      <c r="T14" t="n">
        <v>361</v>
      </c>
      <c r="U14" t="n">
        <v>274</v>
      </c>
      <c r="V14" t="n">
        <v>69.31</v>
      </c>
      <c r="W14" t="n">
        <v>26</v>
      </c>
      <c r="X14" t="n">
        <v>39</v>
      </c>
      <c r="Y14" t="n">
        <v>45.88</v>
      </c>
      <c r="Z14" t="n">
        <v>45.88</v>
      </c>
      <c r="AA14" t="inlineStr">
        <is>
          <t>Lobster Tail x1; Chili Pepper x1; Honey x1</t>
        </is>
      </c>
      <c r="AB14" t="b">
        <v>0</v>
      </c>
      <c r="AC14" t="inlineStr">
        <is>
          <t>match (mastered)</t>
        </is>
      </c>
    </row>
    <row r="15">
      <c r="A15" t="inlineStr">
        <is>
          <t>Oats</t>
        </is>
      </c>
      <c r="B15" t="inlineStr">
        <is>
          <t>field</t>
        </is>
      </c>
      <c r="C15" t="inlineStr">
        <is>
          <t>Farm</t>
        </is>
      </c>
      <c r="D15" t="n">
        <v>119</v>
      </c>
      <c r="E15" t="n">
        <v>7</v>
      </c>
      <c r="F15" t="inlineStr">
        <is>
          <t>Fandom</t>
        </is>
      </c>
      <c r="G15" t="n">
        <v>1</v>
      </c>
      <c r="H15" t="n">
        <v>7</v>
      </c>
      <c r="J15" t="n">
        <v>0</v>
      </c>
      <c r="K15" t="n">
        <v>0</v>
      </c>
      <c r="L15" t="n">
        <v>7</v>
      </c>
      <c r="M15" t="n">
        <v>0</v>
      </c>
      <c r="N15" t="n">
        <v>0</v>
      </c>
      <c r="P15" t="n">
        <v>7</v>
      </c>
      <c r="Q15" t="n">
        <v>7</v>
      </c>
      <c r="R15" t="n">
        <v>60</v>
      </c>
      <c r="S15" t="n">
        <v>0</v>
      </c>
      <c r="T15" t="n">
        <v>7</v>
      </c>
      <c r="U15" t="n">
        <v>7</v>
      </c>
      <c r="V15" t="n">
        <v>60</v>
      </c>
      <c r="W15" t="n">
        <v>7</v>
      </c>
      <c r="X15" t="n">
        <v>60</v>
      </c>
      <c r="Y15" t="n">
        <v>60</v>
      </c>
      <c r="AB15" t="b">
        <v>0</v>
      </c>
    </row>
    <row r="16">
      <c r="A16" t="inlineStr">
        <is>
          <t>Fresh Pasta</t>
        </is>
      </c>
      <c r="B16" t="inlineStr">
        <is>
          <t>machine</t>
        </is>
      </c>
      <c r="C16" t="inlineStr">
        <is>
          <t>Pasta Maker</t>
        </is>
      </c>
      <c r="D16" t="n">
        <v>67</v>
      </c>
      <c r="E16" t="n">
        <v>43</v>
      </c>
      <c r="F16" t="inlineStr">
        <is>
          <t>hayday.info</t>
        </is>
      </c>
      <c r="G16" t="n">
        <v>1</v>
      </c>
      <c r="H16" t="n">
        <v>15</v>
      </c>
      <c r="I16" t="n">
        <v>12</v>
      </c>
      <c r="J16" t="n">
        <v>24</v>
      </c>
      <c r="K16" t="n">
        <v>16.67</v>
      </c>
      <c r="L16" t="n">
        <v>7</v>
      </c>
      <c r="M16" t="n">
        <v>20</v>
      </c>
      <c r="N16" t="n">
        <v>0</v>
      </c>
      <c r="P16" t="n">
        <v>43.67</v>
      </c>
      <c r="Q16" t="n">
        <v>45</v>
      </c>
      <c r="R16" t="n">
        <v>59.08</v>
      </c>
      <c r="S16" t="n">
        <v>13.33</v>
      </c>
      <c r="T16" t="n">
        <v>40.33</v>
      </c>
      <c r="U16" t="n">
        <v>41</v>
      </c>
      <c r="V16" t="n">
        <v>63.97</v>
      </c>
      <c r="W16" t="n">
        <v>19</v>
      </c>
      <c r="X16" t="n">
        <v>76</v>
      </c>
      <c r="Y16" t="n">
        <v>95</v>
      </c>
      <c r="Z16" t="n">
        <v>89.41</v>
      </c>
      <c r="AA16" t="inlineStr">
        <is>
          <t>Egg x1; Wheat x2</t>
        </is>
      </c>
      <c r="AB16" t="b">
        <v>0</v>
      </c>
      <c r="AC16" t="inlineStr">
        <is>
          <t>match (normal x0.85)</t>
        </is>
      </c>
    </row>
    <row r="17">
      <c r="A17" t="inlineStr">
        <is>
          <t>Honey Toast</t>
        </is>
      </c>
      <c r="B17" t="inlineStr">
        <is>
          <t>machine</t>
        </is>
      </c>
      <c r="C17" t="inlineStr">
        <is>
          <t>Sandwich Bar</t>
        </is>
      </c>
      <c r="D17" t="n">
        <v>69</v>
      </c>
      <c r="E17" t="n">
        <v>255</v>
      </c>
      <c r="F17" t="inlineStr">
        <is>
          <t>hayday.info</t>
        </is>
      </c>
      <c r="G17" t="n">
        <v>1</v>
      </c>
      <c r="H17" t="n">
        <v>60</v>
      </c>
      <c r="I17" t="n">
        <v>51</v>
      </c>
      <c r="J17" t="n">
        <v>225</v>
      </c>
      <c r="K17" t="n">
        <v>90</v>
      </c>
      <c r="L17" t="n">
        <v>24</v>
      </c>
      <c r="M17" t="n">
        <v>150</v>
      </c>
      <c r="N17" t="n">
        <v>0</v>
      </c>
      <c r="P17" t="n">
        <v>264</v>
      </c>
      <c r="Q17" t="n">
        <v>150</v>
      </c>
      <c r="R17" t="n">
        <v>57.95</v>
      </c>
      <c r="S17" t="n">
        <v>76</v>
      </c>
      <c r="T17" t="n">
        <v>250</v>
      </c>
      <c r="U17" t="n">
        <v>139</v>
      </c>
      <c r="V17" t="n">
        <v>61.2</v>
      </c>
      <c r="W17" t="n">
        <v>30</v>
      </c>
      <c r="X17" t="n">
        <v>30</v>
      </c>
      <c r="Y17" t="n">
        <v>35.29</v>
      </c>
      <c r="Z17" t="n">
        <v>35.29</v>
      </c>
      <c r="AA17" t="inlineStr">
        <is>
          <t>Bread x1; Egg x1; Milk x1; Honey x1</t>
        </is>
      </c>
      <c r="AB17" t="b">
        <v>0</v>
      </c>
      <c r="AC17" t="inlineStr">
        <is>
          <t>match (mastered)</t>
        </is>
      </c>
    </row>
    <row r="18">
      <c r="A18" t="inlineStr">
        <is>
          <t>Chamomile Tea</t>
        </is>
      </c>
      <c r="B18" t="inlineStr">
        <is>
          <t>machine</t>
        </is>
      </c>
      <c r="C18" t="inlineStr">
        <is>
          <t>Tea Stand</t>
        </is>
      </c>
      <c r="D18" t="n">
        <v>100</v>
      </c>
      <c r="E18" t="n">
        <v>144</v>
      </c>
      <c r="F18" t="inlineStr">
        <is>
          <t>Fandom</t>
        </is>
      </c>
      <c r="G18" t="n">
        <v>1</v>
      </c>
      <c r="H18" t="n">
        <v>20</v>
      </c>
      <c r="I18" t="n">
        <v>17</v>
      </c>
      <c r="J18" t="n">
        <v>118</v>
      </c>
      <c r="K18" t="n">
        <v>20</v>
      </c>
      <c r="L18" t="n">
        <v>100</v>
      </c>
      <c r="M18" t="n">
        <v>35</v>
      </c>
      <c r="N18" t="n">
        <v>0</v>
      </c>
      <c r="P18" t="n">
        <v>155</v>
      </c>
      <c r="Q18" t="n">
        <v>55</v>
      </c>
      <c r="R18" t="n">
        <v>55.74</v>
      </c>
      <c r="S18" t="n">
        <v>17</v>
      </c>
      <c r="T18" t="n">
        <v>152</v>
      </c>
      <c r="U18" t="n">
        <v>52</v>
      </c>
      <c r="V18" t="n">
        <v>56.84</v>
      </c>
      <c r="W18" t="n">
        <v>26</v>
      </c>
      <c r="X18" t="n">
        <v>78</v>
      </c>
      <c r="Y18" t="n">
        <v>91.76000000000001</v>
      </c>
      <c r="AA18" t="inlineStr">
        <is>
          <t>Chamomile x5; Honeycomb x1</t>
        </is>
      </c>
      <c r="AB18" t="b">
        <v>0</v>
      </c>
    </row>
    <row r="19">
      <c r="A19" t="inlineStr">
        <is>
          <t>Peanut Noodles</t>
        </is>
      </c>
      <c r="B19" t="inlineStr">
        <is>
          <t>machine</t>
        </is>
      </c>
      <c r="C19" t="inlineStr">
        <is>
          <t>Wok Kitchen</t>
        </is>
      </c>
      <c r="D19" t="n">
        <v>86</v>
      </c>
      <c r="E19" t="n">
        <v>669</v>
      </c>
      <c r="F19" t="inlineStr">
        <is>
          <t>hayday.info</t>
        </is>
      </c>
      <c r="G19" t="n">
        <v>1</v>
      </c>
      <c r="H19" t="n">
        <v>45</v>
      </c>
      <c r="I19" t="n">
        <v>38</v>
      </c>
      <c r="J19" t="n">
        <v>516</v>
      </c>
      <c r="K19" t="n">
        <v>245</v>
      </c>
      <c r="L19" t="n">
        <v>557</v>
      </c>
      <c r="M19" t="n">
        <v>0</v>
      </c>
      <c r="N19" t="n">
        <v>0</v>
      </c>
      <c r="O19" t="inlineStr">
        <is>
          <t>Peanuts x1</t>
        </is>
      </c>
      <c r="P19" t="n">
        <v>802</v>
      </c>
      <c r="Q19" t="n">
        <v>245</v>
      </c>
      <c r="R19" t="n">
        <v>50.05</v>
      </c>
      <c r="S19" t="n">
        <v>208</v>
      </c>
      <c r="T19" t="n">
        <v>765</v>
      </c>
      <c r="U19" t="n">
        <v>211</v>
      </c>
      <c r="V19" t="n">
        <v>52.47</v>
      </c>
      <c r="W19" t="n">
        <v>153</v>
      </c>
      <c r="X19" t="n">
        <v>204</v>
      </c>
      <c r="Y19" t="n">
        <v>241.58</v>
      </c>
      <c r="Z19" t="n">
        <v>240</v>
      </c>
      <c r="AA19" t="inlineStr">
        <is>
          <t>Ginger x1; Rice Noodles x1; Soy Sauce x1; Peanuts x1</t>
        </is>
      </c>
      <c r="AB19" t="b">
        <v>0</v>
      </c>
      <c r="AC19" t="inlineStr">
        <is>
          <t>match (normal x0.85)</t>
        </is>
      </c>
    </row>
    <row r="20">
      <c r="A20" t="inlineStr">
        <is>
          <t>Cucumber Smoothie</t>
        </is>
      </c>
      <c r="B20" t="inlineStr">
        <is>
          <t>machine</t>
        </is>
      </c>
      <c r="C20" t="inlineStr">
        <is>
          <t>Smoothie Mixer</t>
        </is>
      </c>
      <c r="D20" t="n">
        <v>70</v>
      </c>
      <c r="E20" t="n">
        <v>266</v>
      </c>
      <c r="F20" t="inlineStr">
        <is>
          <t>hayday.info</t>
        </is>
      </c>
      <c r="G20" t="n">
        <v>1</v>
      </c>
      <c r="H20" t="n">
        <v>40</v>
      </c>
      <c r="I20" t="n">
        <v>34</v>
      </c>
      <c r="J20" t="n">
        <v>238</v>
      </c>
      <c r="K20" t="n">
        <v>60</v>
      </c>
      <c r="L20" t="n">
        <v>195</v>
      </c>
      <c r="M20" t="n">
        <v>70</v>
      </c>
      <c r="N20" t="n">
        <v>0</v>
      </c>
      <c r="P20" t="n">
        <v>325</v>
      </c>
      <c r="Q20" t="n">
        <v>95</v>
      </c>
      <c r="R20" t="n">
        <v>49.11</v>
      </c>
      <c r="S20" t="n">
        <v>51</v>
      </c>
      <c r="T20" t="n">
        <v>316</v>
      </c>
      <c r="U20" t="n">
        <v>86</v>
      </c>
      <c r="V20" t="n">
        <v>50.51</v>
      </c>
      <c r="W20" t="n">
        <v>28</v>
      </c>
      <c r="X20" t="n">
        <v>42</v>
      </c>
      <c r="Y20" t="n">
        <v>49.41</v>
      </c>
      <c r="Z20" t="n">
        <v>49.41</v>
      </c>
      <c r="AA20" t="inlineStr">
        <is>
          <t>Cucumber x3; Honey x1; Pineapple x3</t>
        </is>
      </c>
      <c r="AB20" t="b">
        <v>0</v>
      </c>
      <c r="AC20" t="inlineStr">
        <is>
          <t>match (mastered)</t>
        </is>
      </c>
    </row>
    <row r="21">
      <c r="A21" t="inlineStr">
        <is>
          <t>Corn Bread</t>
        </is>
      </c>
      <c r="B21" t="inlineStr">
        <is>
          <t>machine</t>
        </is>
      </c>
      <c r="C21" t="inlineStr">
        <is>
          <t>Bakery</t>
        </is>
      </c>
      <c r="D21" t="n">
        <v>7</v>
      </c>
      <c r="E21" t="n">
        <v>72</v>
      </c>
      <c r="F21" t="inlineStr">
        <is>
          <t>hayday.info</t>
        </is>
      </c>
      <c r="G21" t="n">
        <v>1</v>
      </c>
      <c r="H21" t="n">
        <v>30</v>
      </c>
      <c r="I21" t="n">
        <v>25</v>
      </c>
      <c r="J21" t="n">
        <v>50</v>
      </c>
      <c r="K21" t="n">
        <v>33.33</v>
      </c>
      <c r="L21" t="n">
        <v>16</v>
      </c>
      <c r="M21" t="n">
        <v>40</v>
      </c>
      <c r="N21" t="n">
        <v>0</v>
      </c>
      <c r="P21" t="n">
        <v>89.33</v>
      </c>
      <c r="Q21" t="n">
        <v>60</v>
      </c>
      <c r="R21" t="n">
        <v>48.36</v>
      </c>
      <c r="S21" t="n">
        <v>27.67</v>
      </c>
      <c r="T21" t="n">
        <v>83.67</v>
      </c>
      <c r="U21" t="n">
        <v>54</v>
      </c>
      <c r="V21" t="n">
        <v>51.63</v>
      </c>
      <c r="W21" t="n">
        <v>22</v>
      </c>
      <c r="X21" t="n">
        <v>44</v>
      </c>
      <c r="Y21" t="n">
        <v>52.8</v>
      </c>
      <c r="Z21" t="n">
        <v>51.76</v>
      </c>
      <c r="AA21" t="inlineStr">
        <is>
          <t>Corn x2; Egg x2</t>
        </is>
      </c>
      <c r="AB21" t="b">
        <v>1</v>
      </c>
      <c r="AC21" t="inlineStr">
        <is>
          <t>match (normal x0.85)</t>
        </is>
      </c>
    </row>
    <row r="22">
      <c r="A22" t="inlineStr">
        <is>
          <t>Popcorn</t>
        </is>
      </c>
      <c r="B22" t="inlineStr">
        <is>
          <t>machine</t>
        </is>
      </c>
      <c r="C22" t="inlineStr">
        <is>
          <t>Popcorn Pot</t>
        </is>
      </c>
      <c r="D22" t="n">
        <v>8</v>
      </c>
      <c r="E22" t="n">
        <v>32</v>
      </c>
      <c r="F22" t="inlineStr">
        <is>
          <t>hayday.info</t>
        </is>
      </c>
      <c r="G22" t="n">
        <v>1</v>
      </c>
      <c r="H22" t="n">
        <v>30</v>
      </c>
      <c r="I22" t="n">
        <v>25</v>
      </c>
      <c r="J22" t="n">
        <v>14</v>
      </c>
      <c r="K22" t="n">
        <v>30</v>
      </c>
      <c r="L22" t="n">
        <v>10</v>
      </c>
      <c r="M22" t="n">
        <v>0</v>
      </c>
      <c r="N22" t="n">
        <v>0</v>
      </c>
      <c r="P22" t="n">
        <v>40</v>
      </c>
      <c r="Q22" t="n">
        <v>35</v>
      </c>
      <c r="R22" t="n">
        <v>48</v>
      </c>
      <c r="S22" t="n">
        <v>25</v>
      </c>
      <c r="T22" t="n">
        <v>35</v>
      </c>
      <c r="U22" t="n">
        <v>30</v>
      </c>
      <c r="V22" t="n">
        <v>54.86</v>
      </c>
      <c r="W22" t="n">
        <v>18</v>
      </c>
      <c r="X22" t="n">
        <v>36</v>
      </c>
      <c r="Y22" t="n">
        <v>43.2</v>
      </c>
      <c r="Z22" t="n">
        <v>42.35</v>
      </c>
      <c r="AA22" t="inlineStr">
        <is>
          <t>Corn x2</t>
        </is>
      </c>
      <c r="AB22" t="b">
        <v>1</v>
      </c>
      <c r="AC22" t="inlineStr">
        <is>
          <t>match (normal x0.85)</t>
        </is>
      </c>
    </row>
    <row r="23">
      <c r="A23" t="inlineStr">
        <is>
          <t>Carrot Juice</t>
        </is>
      </c>
      <c r="B23" t="inlineStr">
        <is>
          <t>machine</t>
        </is>
      </c>
      <c r="C23" t="inlineStr">
        <is>
          <t>Juice Press</t>
        </is>
      </c>
      <c r="D23" t="n">
        <v>26</v>
      </c>
      <c r="E23" t="n">
        <v>46</v>
      </c>
      <c r="F23" t="inlineStr">
        <is>
          <t>hayday.info</t>
        </is>
      </c>
      <c r="G23" t="n">
        <v>1</v>
      </c>
      <c r="H23" t="n">
        <v>30</v>
      </c>
      <c r="I23" t="n">
        <v>25</v>
      </c>
      <c r="J23" t="n">
        <v>21</v>
      </c>
      <c r="K23" t="n">
        <v>30</v>
      </c>
      <c r="L23" t="n">
        <v>30</v>
      </c>
      <c r="M23" t="n">
        <v>0</v>
      </c>
      <c r="N23" t="n">
        <v>0</v>
      </c>
      <c r="P23" t="n">
        <v>60</v>
      </c>
      <c r="Q23" t="n">
        <v>40</v>
      </c>
      <c r="R23" t="n">
        <v>46</v>
      </c>
      <c r="S23" t="n">
        <v>25</v>
      </c>
      <c r="T23" t="n">
        <v>55</v>
      </c>
      <c r="U23" t="n">
        <v>35</v>
      </c>
      <c r="V23" t="n">
        <v>50.18</v>
      </c>
      <c r="W23" t="n">
        <v>25</v>
      </c>
      <c r="X23" t="n">
        <v>50</v>
      </c>
      <c r="Y23" t="n">
        <v>60</v>
      </c>
      <c r="Z23" t="n">
        <v>58.82</v>
      </c>
      <c r="AA23" t="inlineStr">
        <is>
          <t>Carrot x3</t>
        </is>
      </c>
      <c r="AB23" t="b">
        <v>1</v>
      </c>
      <c r="AC23" t="inlineStr">
        <is>
          <t>match (normal x0.85)</t>
        </is>
      </c>
    </row>
    <row r="24">
      <c r="A24" t="inlineStr">
        <is>
          <t>Cow Feed</t>
        </is>
      </c>
      <c r="B24" t="inlineStr">
        <is>
          <t>machine</t>
        </is>
      </c>
      <c r="C24" t="inlineStr">
        <is>
          <t>Feed Mill</t>
        </is>
      </c>
      <c r="D24" t="n">
        <v>6</v>
      </c>
      <c r="E24" t="n">
        <v>14</v>
      </c>
      <c r="F24" t="inlineStr">
        <is>
          <t>hayday.info</t>
        </is>
      </c>
      <c r="G24" t="n">
        <v>3</v>
      </c>
      <c r="H24" t="n">
        <v>10</v>
      </c>
      <c r="I24" t="n">
        <v>8</v>
      </c>
      <c r="J24" t="n">
        <v>9</v>
      </c>
      <c r="K24" t="n">
        <v>3.33</v>
      </c>
      <c r="L24" t="n">
        <v>15</v>
      </c>
      <c r="M24" t="n">
        <v>0</v>
      </c>
      <c r="N24" t="n">
        <v>0</v>
      </c>
      <c r="P24" t="n">
        <v>18.33</v>
      </c>
      <c r="Q24" t="n">
        <v>30</v>
      </c>
      <c r="R24" t="n">
        <v>45.82</v>
      </c>
      <c r="S24" t="n">
        <v>2.67</v>
      </c>
      <c r="T24" t="n">
        <v>17.67</v>
      </c>
      <c r="U24" t="n">
        <v>28</v>
      </c>
      <c r="V24" t="n">
        <v>47.55</v>
      </c>
      <c r="W24" t="n">
        <v>5</v>
      </c>
      <c r="X24" t="n">
        <v>90</v>
      </c>
      <c r="Y24" t="n">
        <v>112.5</v>
      </c>
      <c r="Z24" t="n">
        <v>105.88</v>
      </c>
      <c r="AA24" t="inlineStr">
        <is>
          <t>Soybean x2; Corn x1</t>
        </is>
      </c>
      <c r="AB24" t="b">
        <v>1</v>
      </c>
      <c r="AC24" t="inlineStr">
        <is>
          <t>match (normal x0.85)</t>
        </is>
      </c>
    </row>
    <row r="25">
      <c r="A25" t="inlineStr">
        <is>
          <t>Meat Bucket</t>
        </is>
      </c>
      <c r="B25" t="inlineStr">
        <is>
          <t>machine</t>
        </is>
      </c>
      <c r="C25" t="inlineStr">
        <is>
          <t>Feed Mill</t>
        </is>
      </c>
      <c r="E25" t="n">
        <v>72</v>
      </c>
      <c r="F25" t="inlineStr">
        <is>
          <t>hayday.info</t>
        </is>
      </c>
      <c r="G25" t="n">
        <v>1</v>
      </c>
      <c r="H25" t="n">
        <v>45</v>
      </c>
      <c r="I25" t="n">
        <v>38</v>
      </c>
      <c r="J25" t="n">
        <v>197</v>
      </c>
      <c r="K25" t="n">
        <v>45</v>
      </c>
      <c r="L25" t="n">
        <v>50</v>
      </c>
      <c r="M25" t="n">
        <v>0</v>
      </c>
      <c r="N25" t="n">
        <v>0</v>
      </c>
      <c r="O25" t="inlineStr">
        <is>
          <t>Fish Fillet x3</t>
        </is>
      </c>
      <c r="P25" t="n">
        <v>95</v>
      </c>
      <c r="Q25" t="n">
        <v>55</v>
      </c>
      <c r="R25" t="n">
        <v>45.47</v>
      </c>
      <c r="S25" t="n">
        <v>38</v>
      </c>
      <c r="T25" t="n">
        <v>88</v>
      </c>
      <c r="U25" t="n">
        <v>48</v>
      </c>
      <c r="V25" t="n">
        <v>49.09</v>
      </c>
      <c r="W25" t="n">
        <v>-125</v>
      </c>
      <c r="X25" t="n">
        <v>-166.67</v>
      </c>
      <c r="Y25" t="n">
        <v>-197.37</v>
      </c>
      <c r="Z25" t="n">
        <v>29.8</v>
      </c>
      <c r="AA25" t="inlineStr">
        <is>
          <t>Fish Fillet x3; Carrot x5</t>
        </is>
      </c>
      <c r="AB25" t="b">
        <v>0</v>
      </c>
      <c r="AC25" t="inlineStr">
        <is>
          <t>differs - check recipe / ingredient prices</t>
        </is>
      </c>
    </row>
    <row r="26">
      <c r="A26" t="inlineStr">
        <is>
          <t>Sheep Feed</t>
        </is>
      </c>
      <c r="B26" t="inlineStr">
        <is>
          <t>machine</t>
        </is>
      </c>
      <c r="C26" t="inlineStr">
        <is>
          <t>Feed Mill</t>
        </is>
      </c>
      <c r="D26" t="n">
        <v>16</v>
      </c>
      <c r="E26" t="n">
        <v>14</v>
      </c>
      <c r="F26" t="inlineStr">
        <is>
          <t>hayday.info</t>
        </is>
      </c>
      <c r="G26" t="n">
        <v>3</v>
      </c>
      <c r="H26" t="n">
        <v>30</v>
      </c>
      <c r="I26" t="n">
        <v>25</v>
      </c>
      <c r="J26" t="n">
        <v>6.33</v>
      </c>
      <c r="K26" t="n">
        <v>10</v>
      </c>
      <c r="L26" t="n">
        <v>8.67</v>
      </c>
      <c r="M26" t="n">
        <v>0</v>
      </c>
      <c r="N26" t="n">
        <v>0</v>
      </c>
      <c r="P26" t="n">
        <v>18.67</v>
      </c>
      <c r="Q26" t="n">
        <v>50</v>
      </c>
      <c r="R26" t="n">
        <v>45</v>
      </c>
      <c r="S26" t="n">
        <v>8.33</v>
      </c>
      <c r="T26" t="n">
        <v>17</v>
      </c>
      <c r="U26" t="n">
        <v>45</v>
      </c>
      <c r="V26" t="n">
        <v>49.41</v>
      </c>
      <c r="W26" t="n">
        <v>7.67</v>
      </c>
      <c r="X26" t="n">
        <v>46</v>
      </c>
      <c r="Y26" t="n">
        <v>55.2</v>
      </c>
      <c r="Z26" t="n">
        <v>54.12</v>
      </c>
      <c r="AA26" t="inlineStr">
        <is>
          <t>Wheat x3; Soybean x1</t>
        </is>
      </c>
      <c r="AB26" t="b">
        <v>1</v>
      </c>
      <c r="AC26" t="inlineStr">
        <is>
          <t>match (normal x0.85)</t>
        </is>
      </c>
    </row>
    <row r="27">
      <c r="A27" t="inlineStr">
        <is>
          <t>Steamed Mussels</t>
        </is>
      </c>
      <c r="B27" t="inlineStr">
        <is>
          <t>machine</t>
        </is>
      </c>
      <c r="C27" t="inlineStr">
        <is>
          <t>BBQ Grill</t>
        </is>
      </c>
      <c r="D27" t="n">
        <v>27</v>
      </c>
      <c r="E27" t="n">
        <v>284</v>
      </c>
      <c r="F27" t="inlineStr">
        <is>
          <t>Fandom</t>
        </is>
      </c>
      <c r="G27" t="n">
        <v>1</v>
      </c>
      <c r="H27" t="n">
        <v>15</v>
      </c>
      <c r="I27" t="n">
        <v>12</v>
      </c>
      <c r="J27" t="n">
        <v>276</v>
      </c>
      <c r="K27" t="n">
        <v>88.33</v>
      </c>
      <c r="L27" t="n">
        <v>60</v>
      </c>
      <c r="M27" t="n">
        <v>240</v>
      </c>
      <c r="N27" t="n">
        <v>0</v>
      </c>
      <c r="O27" t="inlineStr">
        <is>
          <t>Mussel Meat x4</t>
        </is>
      </c>
      <c r="P27" t="n">
        <v>388.33</v>
      </c>
      <c r="Q27" t="n">
        <v>175</v>
      </c>
      <c r="R27" t="n">
        <v>43.88</v>
      </c>
      <c r="S27" t="n">
        <v>72.67</v>
      </c>
      <c r="T27" t="n">
        <v>372.67</v>
      </c>
      <c r="U27" t="n">
        <v>158</v>
      </c>
      <c r="V27" t="n">
        <v>45.72</v>
      </c>
      <c r="W27" t="n">
        <v>8</v>
      </c>
      <c r="X27" t="n">
        <v>32</v>
      </c>
      <c r="Y27" t="n">
        <v>40</v>
      </c>
      <c r="AA27" t="inlineStr">
        <is>
          <t>Mussel Meat x4; Butter x2</t>
        </is>
      </c>
      <c r="AB27" t="b">
        <v>1</v>
      </c>
    </row>
    <row r="28">
      <c r="A28" t="inlineStr">
        <is>
          <t>Egg</t>
        </is>
      </c>
      <c r="B28" t="inlineStr">
        <is>
          <t>animal</t>
        </is>
      </c>
      <c r="C28" t="inlineStr">
        <is>
          <t>Chicken</t>
        </is>
      </c>
      <c r="D28" t="n">
        <v>1</v>
      </c>
      <c r="E28" t="n">
        <v>18</v>
      </c>
      <c r="F28" t="inlineStr">
        <is>
          <t>hayday.info</t>
        </is>
      </c>
      <c r="G28" t="n">
        <v>1</v>
      </c>
      <c r="H28" t="n">
        <v>20</v>
      </c>
      <c r="J28" t="n">
        <v>7</v>
      </c>
      <c r="K28" t="n">
        <v>1.67</v>
      </c>
      <c r="L28" t="n">
        <v>3</v>
      </c>
      <c r="M28" t="n">
        <v>20</v>
      </c>
      <c r="N28" t="n">
        <v>0</v>
      </c>
      <c r="P28" t="n">
        <v>24.67</v>
      </c>
      <c r="Q28" t="n">
        <v>30</v>
      </c>
      <c r="R28" t="n">
        <v>43.78</v>
      </c>
      <c r="S28" t="n">
        <v>1.33</v>
      </c>
      <c r="T28" t="n">
        <v>24.33</v>
      </c>
      <c r="U28" t="n">
        <v>29</v>
      </c>
      <c r="V28" t="n">
        <v>44.38</v>
      </c>
      <c r="W28" t="n">
        <v>11</v>
      </c>
      <c r="X28" t="n">
        <v>33</v>
      </c>
      <c r="Y28" t="n">
        <v>33</v>
      </c>
      <c r="Z28" t="n">
        <v>33</v>
      </c>
      <c r="AA28" t="inlineStr">
        <is>
          <t>Chicken Feed x1</t>
        </is>
      </c>
      <c r="AB28" t="b">
        <v>1</v>
      </c>
    </row>
    <row r="29">
      <c r="A29" t="inlineStr">
        <is>
          <t>Pancake</t>
        </is>
      </c>
      <c r="B29" t="inlineStr">
        <is>
          <t>machine</t>
        </is>
      </c>
      <c r="C29" t="inlineStr">
        <is>
          <t>BBQ Grill</t>
        </is>
      </c>
      <c r="D29" t="n">
        <v>9</v>
      </c>
      <c r="E29" t="n">
        <v>108</v>
      </c>
      <c r="F29" t="inlineStr">
        <is>
          <t>hayday.info</t>
        </is>
      </c>
      <c r="G29" t="n">
        <v>1</v>
      </c>
      <c r="H29" t="n">
        <v>30</v>
      </c>
      <c r="I29" t="n">
        <v>25</v>
      </c>
      <c r="J29" t="n">
        <v>86</v>
      </c>
      <c r="K29" t="n">
        <v>55</v>
      </c>
      <c r="L29" t="n">
        <v>39</v>
      </c>
      <c r="M29" t="n">
        <v>60</v>
      </c>
      <c r="N29" t="n">
        <v>0</v>
      </c>
      <c r="P29" t="n">
        <v>154</v>
      </c>
      <c r="Q29" t="n">
        <v>80</v>
      </c>
      <c r="R29" t="n">
        <v>42.08</v>
      </c>
      <c r="S29" t="n">
        <v>46</v>
      </c>
      <c r="T29" t="n">
        <v>145</v>
      </c>
      <c r="U29" t="n">
        <v>72</v>
      </c>
      <c r="V29" t="n">
        <v>44.69</v>
      </c>
      <c r="W29" t="n">
        <v>22</v>
      </c>
      <c r="X29" t="n">
        <v>44</v>
      </c>
      <c r="Y29" t="n">
        <v>52.8</v>
      </c>
      <c r="Z29" t="n">
        <v>51.76</v>
      </c>
      <c r="AA29" t="inlineStr">
        <is>
          <t>Egg x3; Brown Sugar x1</t>
        </is>
      </c>
      <c r="AB29" t="b">
        <v>1</v>
      </c>
      <c r="AC29" t="inlineStr">
        <is>
          <t>match (normal x0.85)</t>
        </is>
      </c>
    </row>
    <row r="30">
      <c r="A30" t="inlineStr">
        <is>
          <t>Carrot</t>
        </is>
      </c>
      <c r="B30" t="inlineStr">
        <is>
          <t>field</t>
        </is>
      </c>
      <c r="C30" t="inlineStr">
        <is>
          <t>Farm</t>
        </is>
      </c>
      <c r="D30" t="n">
        <v>9</v>
      </c>
      <c r="E30" t="n">
        <v>7</v>
      </c>
      <c r="F30" t="inlineStr">
        <is>
          <t>hayday.info</t>
        </is>
      </c>
      <c r="G30" t="n">
        <v>1</v>
      </c>
      <c r="H30" t="n">
        <v>10</v>
      </c>
      <c r="J30" t="n">
        <v>0</v>
      </c>
      <c r="K30" t="n">
        <v>0</v>
      </c>
      <c r="L30" t="n">
        <v>10</v>
      </c>
      <c r="M30" t="n">
        <v>0</v>
      </c>
      <c r="N30" t="n">
        <v>0</v>
      </c>
      <c r="P30" t="n">
        <v>10</v>
      </c>
      <c r="Q30" t="n">
        <v>10</v>
      </c>
      <c r="R30" t="n">
        <v>42</v>
      </c>
      <c r="S30" t="n">
        <v>0</v>
      </c>
      <c r="T30" t="n">
        <v>10</v>
      </c>
      <c r="U30" t="n">
        <v>10</v>
      </c>
      <c r="V30" t="n">
        <v>42</v>
      </c>
      <c r="W30" t="n">
        <v>7</v>
      </c>
      <c r="X30" t="n">
        <v>42</v>
      </c>
      <c r="Y30" t="n">
        <v>42</v>
      </c>
      <c r="Z30" t="n">
        <v>42</v>
      </c>
      <c r="AB30" t="b">
        <v>1</v>
      </c>
    </row>
    <row r="31">
      <c r="A31" t="inlineStr">
        <is>
          <t>Black Bean</t>
        </is>
      </c>
      <c r="B31" t="inlineStr">
        <is>
          <t>field</t>
        </is>
      </c>
      <c r="C31" t="inlineStr">
        <is>
          <t>Farm</t>
        </is>
      </c>
      <c r="D31" t="n">
        <v>25</v>
      </c>
      <c r="E31" t="n">
        <v>7</v>
      </c>
      <c r="F31" t="inlineStr">
        <is>
          <t>Fandom</t>
        </is>
      </c>
      <c r="G31" t="n">
        <v>1</v>
      </c>
      <c r="H31" t="n">
        <v>10</v>
      </c>
      <c r="J31" t="n">
        <v>0</v>
      </c>
      <c r="K31" t="n">
        <v>0</v>
      </c>
      <c r="L31" t="n">
        <v>10</v>
      </c>
      <c r="M31" t="n">
        <v>0</v>
      </c>
      <c r="N31" t="n">
        <v>0</v>
      </c>
      <c r="P31" t="n">
        <v>10</v>
      </c>
      <c r="Q31" t="n">
        <v>10</v>
      </c>
      <c r="R31" t="n">
        <v>42</v>
      </c>
      <c r="S31" t="n">
        <v>0</v>
      </c>
      <c r="T31" t="n">
        <v>10</v>
      </c>
      <c r="U31" t="n">
        <v>10</v>
      </c>
      <c r="V31" t="n">
        <v>42</v>
      </c>
      <c r="W31" t="n">
        <v>7</v>
      </c>
      <c r="X31" t="n">
        <v>42</v>
      </c>
      <c r="Y31" t="n">
        <v>42</v>
      </c>
      <c r="AB31" t="b">
        <v>1</v>
      </c>
    </row>
    <row r="32">
      <c r="A32" t="inlineStr">
        <is>
          <t>Pig Feed</t>
        </is>
      </c>
      <c r="B32" t="inlineStr">
        <is>
          <t>machine</t>
        </is>
      </c>
      <c r="C32" t="inlineStr">
        <is>
          <t>Feed Mill</t>
        </is>
      </c>
      <c r="D32" t="n">
        <v>10</v>
      </c>
      <c r="E32" t="n">
        <v>14</v>
      </c>
      <c r="F32" t="inlineStr">
        <is>
          <t>hayday.info</t>
        </is>
      </c>
      <c r="G32" t="n">
        <v>3</v>
      </c>
      <c r="H32" t="n">
        <v>20</v>
      </c>
      <c r="I32" t="n">
        <v>17</v>
      </c>
      <c r="J32" t="n">
        <v>8</v>
      </c>
      <c r="K32" t="n">
        <v>6.67</v>
      </c>
      <c r="L32" t="n">
        <v>13.33</v>
      </c>
      <c r="M32" t="n">
        <v>0</v>
      </c>
      <c r="N32" t="n">
        <v>0</v>
      </c>
      <c r="P32" t="n">
        <v>20</v>
      </c>
      <c r="Q32" t="n">
        <v>40</v>
      </c>
      <c r="R32" t="n">
        <v>42</v>
      </c>
      <c r="S32" t="n">
        <v>5.67</v>
      </c>
      <c r="T32" t="n">
        <v>19</v>
      </c>
      <c r="U32" t="n">
        <v>37</v>
      </c>
      <c r="V32" t="n">
        <v>44.21</v>
      </c>
      <c r="W32" t="n">
        <v>6</v>
      </c>
      <c r="X32" t="n">
        <v>54</v>
      </c>
      <c r="Y32" t="n">
        <v>63.53</v>
      </c>
      <c r="Z32" t="n">
        <v>63.53</v>
      </c>
      <c r="AA32" t="inlineStr">
        <is>
          <t>Carrot x2; Soybean x1</t>
        </is>
      </c>
      <c r="AB32" t="b">
        <v>1</v>
      </c>
      <c r="AC32" t="inlineStr">
        <is>
          <t>match (mastered)</t>
        </is>
      </c>
    </row>
    <row r="33">
      <c r="A33" t="inlineStr">
        <is>
          <t>Carrot Pie</t>
        </is>
      </c>
      <c r="B33" t="inlineStr">
        <is>
          <t>machine</t>
        </is>
      </c>
      <c r="C33" t="inlineStr">
        <is>
          <t>Pie Oven</t>
        </is>
      </c>
      <c r="D33" t="n">
        <v>14</v>
      </c>
      <c r="E33" t="n">
        <v>82</v>
      </c>
      <c r="F33" t="inlineStr">
        <is>
          <t>hayday.info</t>
        </is>
      </c>
      <c r="G33" t="n">
        <v>1</v>
      </c>
      <c r="H33" t="n">
        <v>60</v>
      </c>
      <c r="I33" t="n">
        <v>51</v>
      </c>
      <c r="J33" t="n">
        <v>45</v>
      </c>
      <c r="K33" t="n">
        <v>61.67</v>
      </c>
      <c r="L33" t="n">
        <v>37</v>
      </c>
      <c r="M33" t="n">
        <v>20</v>
      </c>
      <c r="N33" t="n">
        <v>0</v>
      </c>
      <c r="P33" t="n">
        <v>118.67</v>
      </c>
      <c r="Q33" t="n">
        <v>90</v>
      </c>
      <c r="R33" t="n">
        <v>41.46</v>
      </c>
      <c r="S33" t="n">
        <v>52.33</v>
      </c>
      <c r="T33" t="n">
        <v>109.33</v>
      </c>
      <c r="U33" t="n">
        <v>80</v>
      </c>
      <c r="V33" t="n">
        <v>45</v>
      </c>
      <c r="W33" t="n">
        <v>37</v>
      </c>
      <c r="X33" t="n">
        <v>37</v>
      </c>
      <c r="Y33" t="n">
        <v>43.53</v>
      </c>
      <c r="Z33" t="n">
        <v>43.53</v>
      </c>
      <c r="AA33" t="inlineStr">
        <is>
          <t>Carrot x3; Wheat x2; Egg x1</t>
        </is>
      </c>
      <c r="AB33" t="b">
        <v>1</v>
      </c>
      <c r="AC33" t="inlineStr">
        <is>
          <t>match (mastered)</t>
        </is>
      </c>
    </row>
    <row r="34">
      <c r="A34" t="inlineStr">
        <is>
          <t>Grilled Lamb Skewer</t>
        </is>
      </c>
      <c r="B34" t="inlineStr">
        <is>
          <t>machine</t>
        </is>
      </c>
      <c r="C34" t="inlineStr">
        <is>
          <t>BBQ Grill</t>
        </is>
      </c>
      <c r="D34" t="n">
        <v>25</v>
      </c>
      <c r="E34" t="n">
        <v>90</v>
      </c>
      <c r="F34" t="inlineStr">
        <is>
          <t>Fandom</t>
        </is>
      </c>
      <c r="G34" t="n">
        <v>1</v>
      </c>
      <c r="H34" t="n">
        <v>20</v>
      </c>
      <c r="I34" t="n">
        <v>17</v>
      </c>
      <c r="J34" t="n">
        <v>72</v>
      </c>
      <c r="K34" t="n">
        <v>26.67</v>
      </c>
      <c r="L34" t="n">
        <v>53.33</v>
      </c>
      <c r="M34" t="n">
        <v>60</v>
      </c>
      <c r="N34" t="n">
        <v>0</v>
      </c>
      <c r="P34" t="n">
        <v>140</v>
      </c>
      <c r="Q34" t="n">
        <v>80</v>
      </c>
      <c r="R34" t="n">
        <v>38.57</v>
      </c>
      <c r="S34" t="n">
        <v>22.33</v>
      </c>
      <c r="T34" t="n">
        <v>135.67</v>
      </c>
      <c r="U34" t="n">
        <v>75</v>
      </c>
      <c r="V34" t="n">
        <v>39.8</v>
      </c>
      <c r="W34" t="n">
        <v>18</v>
      </c>
      <c r="X34" t="n">
        <v>54</v>
      </c>
      <c r="Y34" t="n">
        <v>63.53</v>
      </c>
      <c r="AA34" t="inlineStr">
        <is>
          <t>Lamb Chop x2</t>
        </is>
      </c>
      <c r="AB34" t="b">
        <v>1</v>
      </c>
    </row>
    <row r="35">
      <c r="A35" t="inlineStr">
        <is>
          <t>Brown Sugar</t>
        </is>
      </c>
      <c r="B35" t="inlineStr">
        <is>
          <t>machine</t>
        </is>
      </c>
      <c r="C35" t="inlineStr">
        <is>
          <t>Sugar Mill</t>
        </is>
      </c>
      <c r="D35" t="n">
        <v>7</v>
      </c>
      <c r="E35" t="n">
        <v>32</v>
      </c>
      <c r="F35" t="inlineStr">
        <is>
          <t>hayday.info</t>
        </is>
      </c>
      <c r="G35" t="n">
        <v>1</v>
      </c>
      <c r="H35" t="n">
        <v>20</v>
      </c>
      <c r="I35" t="n">
        <v>17</v>
      </c>
      <c r="J35" t="n">
        <v>14</v>
      </c>
      <c r="K35" t="n">
        <v>20</v>
      </c>
      <c r="L35" t="n">
        <v>30</v>
      </c>
      <c r="M35" t="n">
        <v>0</v>
      </c>
      <c r="N35" t="n">
        <v>0</v>
      </c>
      <c r="P35" t="n">
        <v>50</v>
      </c>
      <c r="Q35" t="n">
        <v>50</v>
      </c>
      <c r="R35" t="n">
        <v>38.4</v>
      </c>
      <c r="S35" t="n">
        <v>17</v>
      </c>
      <c r="T35" t="n">
        <v>47</v>
      </c>
      <c r="U35" t="n">
        <v>47</v>
      </c>
      <c r="V35" t="n">
        <v>40.85</v>
      </c>
      <c r="W35" t="n">
        <v>18</v>
      </c>
      <c r="X35" t="n">
        <v>54</v>
      </c>
      <c r="Y35" t="n">
        <v>63.53</v>
      </c>
      <c r="Z35" t="n">
        <v>63.53</v>
      </c>
      <c r="AA35" t="inlineStr">
        <is>
          <t>Sugarcane x1</t>
        </is>
      </c>
      <c r="AB35" t="b">
        <v>1</v>
      </c>
      <c r="AC35" t="inlineStr">
        <is>
          <t>match (mastered)</t>
        </is>
      </c>
    </row>
    <row r="36">
      <c r="A36" t="inlineStr">
        <is>
          <t>Cookie</t>
        </is>
      </c>
      <c r="B36" t="inlineStr">
        <is>
          <t>machine</t>
        </is>
      </c>
      <c r="C36" t="inlineStr">
        <is>
          <t>Bakery</t>
        </is>
      </c>
      <c r="D36" t="n">
        <v>10</v>
      </c>
      <c r="E36" t="n">
        <v>104</v>
      </c>
      <c r="F36" t="inlineStr">
        <is>
          <t>hayday.info</t>
        </is>
      </c>
      <c r="G36" t="n">
        <v>1</v>
      </c>
      <c r="H36" t="n">
        <v>60</v>
      </c>
      <c r="I36" t="n">
        <v>51</v>
      </c>
      <c r="J36" t="n">
        <v>74</v>
      </c>
      <c r="K36" t="n">
        <v>83.33</v>
      </c>
      <c r="L36" t="n">
        <v>40</v>
      </c>
      <c r="M36" t="n">
        <v>40</v>
      </c>
      <c r="N36" t="n">
        <v>0</v>
      </c>
      <c r="P36" t="n">
        <v>163.33</v>
      </c>
      <c r="Q36" t="n">
        <v>110</v>
      </c>
      <c r="R36" t="n">
        <v>38.2</v>
      </c>
      <c r="S36" t="n">
        <v>70.67</v>
      </c>
      <c r="T36" t="n">
        <v>150.67</v>
      </c>
      <c r="U36" t="n">
        <v>98</v>
      </c>
      <c r="V36" t="n">
        <v>41.42</v>
      </c>
      <c r="W36" t="n">
        <v>30</v>
      </c>
      <c r="X36" t="n">
        <v>30</v>
      </c>
      <c r="Y36" t="n">
        <v>35.29</v>
      </c>
      <c r="Z36" t="n">
        <v>35.29</v>
      </c>
      <c r="AA36" t="inlineStr">
        <is>
          <t>Wheat x2; Egg x2; Brown Sugar x1</t>
        </is>
      </c>
      <c r="AB36" t="b">
        <v>1</v>
      </c>
      <c r="AC36" t="inlineStr">
        <is>
          <t>match (mastered)</t>
        </is>
      </c>
    </row>
    <row r="37">
      <c r="A37" t="inlineStr">
        <is>
          <t>Goat Feed</t>
        </is>
      </c>
      <c r="B37" t="inlineStr">
        <is>
          <t>machine</t>
        </is>
      </c>
      <c r="C37" t="inlineStr">
        <is>
          <t>Feed Mill</t>
        </is>
      </c>
      <c r="D37" t="n">
        <v>32</v>
      </c>
      <c r="E37" t="n">
        <v>14</v>
      </c>
      <c r="F37" t="inlineStr">
        <is>
          <t>hayday.info</t>
        </is>
      </c>
      <c r="G37" t="n">
        <v>3</v>
      </c>
      <c r="H37" t="n">
        <v>40</v>
      </c>
      <c r="I37" t="n">
        <v>34</v>
      </c>
      <c r="J37" t="n">
        <v>8</v>
      </c>
      <c r="K37" t="n">
        <v>13.33</v>
      </c>
      <c r="L37" t="n">
        <v>9</v>
      </c>
      <c r="M37" t="n">
        <v>0</v>
      </c>
      <c r="N37" t="n">
        <v>0</v>
      </c>
      <c r="P37" t="n">
        <v>22.33</v>
      </c>
      <c r="Q37" t="n">
        <v>50</v>
      </c>
      <c r="R37" t="n">
        <v>37.61</v>
      </c>
      <c r="S37" t="n">
        <v>11.33</v>
      </c>
      <c r="T37" t="n">
        <v>20.33</v>
      </c>
      <c r="U37" t="n">
        <v>44</v>
      </c>
      <c r="V37" t="n">
        <v>41.31</v>
      </c>
      <c r="W37" t="n">
        <v>6</v>
      </c>
      <c r="X37" t="n">
        <v>27</v>
      </c>
      <c r="Y37" t="n">
        <v>31.76</v>
      </c>
      <c r="Z37" t="n">
        <v>31.76</v>
      </c>
      <c r="AA37" t="inlineStr">
        <is>
          <t>Wheat x1; Corn x1; Carrot x2</t>
        </is>
      </c>
      <c r="AB37" t="b">
        <v>1</v>
      </c>
      <c r="AC37" t="inlineStr">
        <is>
          <t>match (mastered)</t>
        </is>
      </c>
    </row>
    <row r="38">
      <c r="A38" t="inlineStr">
        <is>
          <t>Crunchy Donut</t>
        </is>
      </c>
      <c r="B38" t="inlineStr">
        <is>
          <t>machine</t>
        </is>
      </c>
      <c r="C38" t="inlineStr">
        <is>
          <t>Donut Maker</t>
        </is>
      </c>
      <c r="D38" t="n">
        <v>82</v>
      </c>
      <c r="E38" t="n">
        <v>594</v>
      </c>
      <c r="F38" t="inlineStr">
        <is>
          <t>hayday.info</t>
        </is>
      </c>
      <c r="G38" t="n">
        <v>1</v>
      </c>
      <c r="H38" t="n">
        <v>30</v>
      </c>
      <c r="I38" t="n">
        <v>25</v>
      </c>
      <c r="J38" t="n">
        <v>449</v>
      </c>
      <c r="K38" t="n">
        <v>90</v>
      </c>
      <c r="L38" t="n">
        <v>84</v>
      </c>
      <c r="M38" t="n">
        <v>80</v>
      </c>
      <c r="N38" t="n">
        <v>700</v>
      </c>
      <c r="O38" t="inlineStr">
        <is>
          <t>Peanuts x1</t>
        </is>
      </c>
      <c r="P38" t="n">
        <v>954</v>
      </c>
      <c r="Q38" t="n">
        <v>2130</v>
      </c>
      <c r="R38" t="n">
        <v>37.36</v>
      </c>
      <c r="S38" t="n">
        <v>75</v>
      </c>
      <c r="T38" t="n">
        <v>939</v>
      </c>
      <c r="U38" t="n">
        <v>2125</v>
      </c>
      <c r="V38" t="n">
        <v>37.96</v>
      </c>
      <c r="W38" t="n">
        <v>145</v>
      </c>
      <c r="X38" t="n">
        <v>290</v>
      </c>
      <c r="Y38" t="n">
        <v>348</v>
      </c>
      <c r="Z38" t="n">
        <v>341.18</v>
      </c>
      <c r="AA38" t="inlineStr">
        <is>
          <t>Plain Donut x1; Cacao x1; Peanuts x1</t>
        </is>
      </c>
      <c r="AB38" t="b">
        <v>0</v>
      </c>
      <c r="AC38" t="inlineStr">
        <is>
          <t>match (normal x0.85)</t>
        </is>
      </c>
    </row>
    <row r="39">
      <c r="A39" t="inlineStr">
        <is>
          <t>Lamb Chop</t>
        </is>
      </c>
      <c r="B39" t="inlineStr">
        <is>
          <t>animal</t>
        </is>
      </c>
      <c r="C39" t="inlineStr">
        <is>
          <t>Lamb</t>
        </is>
      </c>
      <c r="D39" t="n">
        <v>25</v>
      </c>
      <c r="E39" t="n">
        <v>36</v>
      </c>
      <c r="F39" t="inlineStr">
        <is>
          <t>Fandom</t>
        </is>
      </c>
      <c r="G39" t="n">
        <v>1</v>
      </c>
      <c r="H39" t="n">
        <v>30</v>
      </c>
      <c r="J39" t="n">
        <v>18</v>
      </c>
      <c r="K39" t="n">
        <v>3.33</v>
      </c>
      <c r="L39" t="n">
        <v>26.67</v>
      </c>
      <c r="M39" t="n">
        <v>30</v>
      </c>
      <c r="N39" t="n">
        <v>0</v>
      </c>
      <c r="P39" t="n">
        <v>60</v>
      </c>
      <c r="Q39" t="n">
        <v>60</v>
      </c>
      <c r="R39" t="n">
        <v>36</v>
      </c>
      <c r="S39" t="n">
        <v>2.67</v>
      </c>
      <c r="T39" t="n">
        <v>59.33</v>
      </c>
      <c r="U39" t="n">
        <v>58</v>
      </c>
      <c r="V39" t="n">
        <v>36.4</v>
      </c>
      <c r="W39" t="n">
        <v>18</v>
      </c>
      <c r="X39" t="n">
        <v>36</v>
      </c>
      <c r="Y39" t="n">
        <v>36</v>
      </c>
      <c r="AA39" t="inlineStr">
        <is>
          <t>Lamb Feed x1</t>
        </is>
      </c>
      <c r="AB39" t="b">
        <v>1</v>
      </c>
    </row>
    <row r="40">
      <c r="A40" t="inlineStr">
        <is>
          <t>Blanket</t>
        </is>
      </c>
      <c r="B40" t="inlineStr">
        <is>
          <t>machine</t>
        </is>
      </c>
      <c r="C40" t="inlineStr">
        <is>
          <t>Sewing Machine</t>
        </is>
      </c>
      <c r="D40" t="n">
        <v>59</v>
      </c>
      <c r="E40" t="n">
        <v>1098</v>
      </c>
      <c r="F40" t="inlineStr">
        <is>
          <t>hayday.info</t>
        </is>
      </c>
      <c r="G40" t="n">
        <v>1</v>
      </c>
      <c r="H40" t="n">
        <v>210</v>
      </c>
      <c r="I40" t="n">
        <v>178</v>
      </c>
      <c r="J40" t="n">
        <v>1056</v>
      </c>
      <c r="K40" t="n">
        <v>300</v>
      </c>
      <c r="L40" t="n">
        <v>1530</v>
      </c>
      <c r="M40" t="n">
        <v>0</v>
      </c>
      <c r="N40" t="n">
        <v>0</v>
      </c>
      <c r="O40" t="inlineStr">
        <is>
          <t>Duck Feather x5</t>
        </is>
      </c>
      <c r="P40" t="n">
        <v>1830</v>
      </c>
      <c r="Q40" t="n">
        <v>450</v>
      </c>
      <c r="R40" t="n">
        <v>36</v>
      </c>
      <c r="S40" t="n">
        <v>253</v>
      </c>
      <c r="T40" t="n">
        <v>1783</v>
      </c>
      <c r="U40" t="n">
        <v>403</v>
      </c>
      <c r="V40" t="n">
        <v>36.95</v>
      </c>
      <c r="W40" t="n">
        <v>42</v>
      </c>
      <c r="X40" t="n">
        <v>12</v>
      </c>
      <c r="Y40" t="n">
        <v>14.16</v>
      </c>
      <c r="Z40" t="n">
        <v>14.12</v>
      </c>
      <c r="AA40" t="inlineStr">
        <is>
          <t>Cotton Fabric x3; Pumpkin x1; Duck Feather x5</t>
        </is>
      </c>
      <c r="AB40" t="b">
        <v>0</v>
      </c>
      <c r="AC40" t="inlineStr">
        <is>
          <t>match (mastered)</t>
        </is>
      </c>
    </row>
    <row r="41">
      <c r="A41" t="inlineStr">
        <is>
          <t>Lamb Feed</t>
        </is>
      </c>
      <c r="B41" t="inlineStr">
        <is>
          <t>machine</t>
        </is>
      </c>
      <c r="C41" t="inlineStr">
        <is>
          <t>Feed Mill</t>
        </is>
      </c>
      <c r="D41" t="n">
        <v>25</v>
      </c>
      <c r="E41" t="n">
        <v>18</v>
      </c>
      <c r="F41" t="inlineStr">
        <is>
          <t>Fandom</t>
        </is>
      </c>
      <c r="G41" t="n">
        <v>3</v>
      </c>
      <c r="H41" t="n">
        <v>10</v>
      </c>
      <c r="I41" t="n">
        <v>8</v>
      </c>
      <c r="J41" t="n">
        <v>16</v>
      </c>
      <c r="K41" t="n">
        <v>3.33</v>
      </c>
      <c r="L41" t="n">
        <v>26.67</v>
      </c>
      <c r="M41" t="n">
        <v>0</v>
      </c>
      <c r="N41" t="n">
        <v>0</v>
      </c>
      <c r="P41" t="n">
        <v>30</v>
      </c>
      <c r="Q41" t="n">
        <v>30</v>
      </c>
      <c r="R41" t="n">
        <v>36</v>
      </c>
      <c r="S41" t="n">
        <v>2.67</v>
      </c>
      <c r="T41" t="n">
        <v>29.33</v>
      </c>
      <c r="U41" t="n">
        <v>28</v>
      </c>
      <c r="V41" t="n">
        <v>36.82</v>
      </c>
      <c r="W41" t="n">
        <v>2</v>
      </c>
      <c r="X41" t="n">
        <v>36</v>
      </c>
      <c r="Y41" t="n">
        <v>45</v>
      </c>
      <c r="AA41" t="inlineStr">
        <is>
          <t>Black Bean x4; Soybean x2</t>
        </is>
      </c>
      <c r="AB41" t="b">
        <v>1</v>
      </c>
    </row>
    <row r="42">
      <c r="A42" t="inlineStr">
        <is>
          <t>Pillow</t>
        </is>
      </c>
      <c r="B42" t="inlineStr">
        <is>
          <t>machine</t>
        </is>
      </c>
      <c r="C42" t="inlineStr">
        <is>
          <t>Sewing Machine</t>
        </is>
      </c>
      <c r="D42" t="n">
        <v>51</v>
      </c>
      <c r="E42" t="n">
        <v>676</v>
      </c>
      <c r="F42" t="inlineStr">
        <is>
          <t>hayday.info</t>
        </is>
      </c>
      <c r="G42" t="n">
        <v>1</v>
      </c>
      <c r="H42" t="n">
        <v>180</v>
      </c>
      <c r="I42" t="n">
        <v>153</v>
      </c>
      <c r="J42" t="n">
        <v>636</v>
      </c>
      <c r="K42" t="n">
        <v>240</v>
      </c>
      <c r="L42" t="n">
        <v>900</v>
      </c>
      <c r="M42" t="n">
        <v>0</v>
      </c>
      <c r="N42" t="n">
        <v>0</v>
      </c>
      <c r="O42" t="inlineStr">
        <is>
          <t>Duck Feather x3</t>
        </is>
      </c>
      <c r="P42" t="n">
        <v>1140</v>
      </c>
      <c r="Q42" t="n">
        <v>390</v>
      </c>
      <c r="R42" t="n">
        <v>35.58</v>
      </c>
      <c r="S42" t="n">
        <v>203</v>
      </c>
      <c r="T42" t="n">
        <v>1103</v>
      </c>
      <c r="U42" t="n">
        <v>353</v>
      </c>
      <c r="V42" t="n">
        <v>36.77</v>
      </c>
      <c r="W42" t="n">
        <v>40</v>
      </c>
      <c r="X42" t="n">
        <v>13.33</v>
      </c>
      <c r="Y42" t="n">
        <v>15.69</v>
      </c>
      <c r="Z42" t="n">
        <v>15.69</v>
      </c>
      <c r="AA42" t="inlineStr">
        <is>
          <t>Cotton Fabric x2; Duck Feather x3</t>
        </is>
      </c>
      <c r="AB42" t="b">
        <v>0</v>
      </c>
      <c r="AC42" t="inlineStr">
        <is>
          <t>match (mastered)</t>
        </is>
      </c>
    </row>
    <row r="43">
      <c r="A43" t="inlineStr">
        <is>
          <t>Fish Burger</t>
        </is>
      </c>
      <c r="B43" t="inlineStr">
        <is>
          <t>machine</t>
        </is>
      </c>
      <c r="C43" t="inlineStr">
        <is>
          <t>BBQ Grill</t>
        </is>
      </c>
      <c r="D43" t="n">
        <v>27</v>
      </c>
      <c r="E43" t="n">
        <v>226</v>
      </c>
      <c r="F43" t="inlineStr">
        <is>
          <t>hayday.info</t>
        </is>
      </c>
      <c r="G43" t="n">
        <v>1</v>
      </c>
      <c r="H43" t="n">
        <v>120</v>
      </c>
      <c r="I43" t="n">
        <v>102</v>
      </c>
      <c r="J43" t="n">
        <v>186</v>
      </c>
      <c r="K43" t="n">
        <v>130</v>
      </c>
      <c r="L43" t="n">
        <v>252</v>
      </c>
      <c r="M43" t="n">
        <v>0</v>
      </c>
      <c r="N43" t="n">
        <v>0</v>
      </c>
      <c r="O43" t="inlineStr">
        <is>
          <t>Fish Fillet x2</t>
        </is>
      </c>
      <c r="P43" t="n">
        <v>382</v>
      </c>
      <c r="Q43" t="n">
        <v>360</v>
      </c>
      <c r="R43" t="n">
        <v>35.5</v>
      </c>
      <c r="S43" t="n">
        <v>110</v>
      </c>
      <c r="T43" t="n">
        <v>362</v>
      </c>
      <c r="U43" t="n">
        <v>342</v>
      </c>
      <c r="V43" t="n">
        <v>37.46</v>
      </c>
      <c r="W43" t="n">
        <v>40</v>
      </c>
      <c r="X43" t="n">
        <v>20</v>
      </c>
      <c r="Y43" t="n">
        <v>23.53</v>
      </c>
      <c r="Z43" t="n">
        <v>23.53</v>
      </c>
      <c r="AA43" t="inlineStr">
        <is>
          <t>Fish Fillet x2; Chili Pepper x1; Bread x2</t>
        </is>
      </c>
      <c r="AB43" t="b">
        <v>1</v>
      </c>
      <c r="AC43" t="inlineStr">
        <is>
          <t>match (mastered)</t>
        </is>
      </c>
    </row>
    <row r="44">
      <c r="A44" t="inlineStr">
        <is>
          <t>Peanut Fudge</t>
        </is>
      </c>
      <c r="B44" t="inlineStr">
        <is>
          <t>machine</t>
        </is>
      </c>
      <c r="C44" t="inlineStr">
        <is>
          <t>Fudge Shop</t>
        </is>
      </c>
      <c r="D44" t="n">
        <v>111</v>
      </c>
      <c r="E44" t="n">
        <v>1141</v>
      </c>
      <c r="F44" t="inlineStr">
        <is>
          <t>hayday.info</t>
        </is>
      </c>
      <c r="G44" t="n">
        <v>1</v>
      </c>
      <c r="H44" t="n">
        <v>90</v>
      </c>
      <c r="I44" t="n">
        <v>76</v>
      </c>
      <c r="J44" t="n">
        <v>854</v>
      </c>
      <c r="K44" t="n">
        <v>203.33</v>
      </c>
      <c r="L44" t="n">
        <v>120</v>
      </c>
      <c r="M44" t="n">
        <v>240</v>
      </c>
      <c r="N44" t="n">
        <v>1400</v>
      </c>
      <c r="O44" t="inlineStr">
        <is>
          <t>Peanuts x2</t>
        </is>
      </c>
      <c r="P44" t="n">
        <v>1963.33</v>
      </c>
      <c r="Q44" t="n">
        <v>2190</v>
      </c>
      <c r="R44" t="n">
        <v>34.87</v>
      </c>
      <c r="S44" t="n">
        <v>170.67</v>
      </c>
      <c r="T44" t="n">
        <v>1930.67</v>
      </c>
      <c r="U44" t="n">
        <v>2176</v>
      </c>
      <c r="V44" t="n">
        <v>35.46</v>
      </c>
      <c r="W44" t="n">
        <v>287</v>
      </c>
      <c r="X44" t="n">
        <v>191.33</v>
      </c>
      <c r="Y44" t="n">
        <v>226.58</v>
      </c>
      <c r="Z44" t="n">
        <v>41.57</v>
      </c>
      <c r="AA44" t="inlineStr">
        <is>
          <t>Butter x2; Cacao x2; White Sugar x1; Peanuts x2</t>
        </is>
      </c>
      <c r="AB44" t="b">
        <v>0</v>
      </c>
      <c r="AC44" t="inlineStr">
        <is>
          <t>differs - check recipe / ingredient prices</t>
        </is>
      </c>
    </row>
    <row r="45">
      <c r="A45" t="inlineStr">
        <is>
          <t>Lobster Sushi</t>
        </is>
      </c>
      <c r="B45" t="inlineStr">
        <is>
          <t>machine</t>
        </is>
      </c>
      <c r="C45" t="inlineStr">
        <is>
          <t>Sushi Bar</t>
        </is>
      </c>
      <c r="D45" t="n">
        <v>59</v>
      </c>
      <c r="E45" t="n">
        <v>637</v>
      </c>
      <c r="F45" t="inlineStr">
        <is>
          <t>hayday.info</t>
        </is>
      </c>
      <c r="G45" t="n">
        <v>1</v>
      </c>
      <c r="H45" t="n">
        <v>60</v>
      </c>
      <c r="I45" t="n">
        <v>51</v>
      </c>
      <c r="J45" t="n">
        <v>625</v>
      </c>
      <c r="K45" t="n">
        <v>240</v>
      </c>
      <c r="L45" t="n">
        <v>857</v>
      </c>
      <c r="M45" t="n">
        <v>0</v>
      </c>
      <c r="N45" t="n">
        <v>0</v>
      </c>
      <c r="O45" t="inlineStr">
        <is>
          <t>Lobster Tail x1</t>
        </is>
      </c>
      <c r="P45" t="n">
        <v>1097</v>
      </c>
      <c r="Q45" t="n">
        <v>260</v>
      </c>
      <c r="R45" t="n">
        <v>34.84</v>
      </c>
      <c r="S45" t="n">
        <v>204</v>
      </c>
      <c r="T45" t="n">
        <v>1061</v>
      </c>
      <c r="U45" t="n">
        <v>224</v>
      </c>
      <c r="V45" t="n">
        <v>36.02</v>
      </c>
      <c r="W45" t="n">
        <v>12</v>
      </c>
      <c r="X45" t="n">
        <v>12</v>
      </c>
      <c r="Y45" t="n">
        <v>14.12</v>
      </c>
      <c r="Z45" t="n">
        <v>14.12</v>
      </c>
      <c r="AA45" t="inlineStr">
        <is>
          <t>Lobster Tail x1; Rice x15; Soy Sauce x1</t>
        </is>
      </c>
      <c r="AB45" t="b">
        <v>0</v>
      </c>
      <c r="AC45" t="inlineStr">
        <is>
          <t>match (mastered)</t>
        </is>
      </c>
    </row>
    <row r="46">
      <c r="A46" t="inlineStr">
        <is>
          <t>Cream Donut</t>
        </is>
      </c>
      <c r="B46" t="inlineStr">
        <is>
          <t>machine</t>
        </is>
      </c>
      <c r="C46" t="inlineStr">
        <is>
          <t>Donut Maker</t>
        </is>
      </c>
      <c r="D46" t="n">
        <v>86</v>
      </c>
      <c r="E46" t="n">
        <v>230</v>
      </c>
      <c r="F46" t="inlineStr">
        <is>
          <t>hayday.info</t>
        </is>
      </c>
      <c r="G46" t="n">
        <v>1</v>
      </c>
      <c r="H46" t="n">
        <v>25</v>
      </c>
      <c r="I46" t="n">
        <v>21</v>
      </c>
      <c r="J46" t="n">
        <v>211</v>
      </c>
      <c r="K46" t="n">
        <v>128.33</v>
      </c>
      <c r="L46" t="n">
        <v>129</v>
      </c>
      <c r="M46" t="n">
        <v>140</v>
      </c>
      <c r="N46" t="n">
        <v>0</v>
      </c>
      <c r="P46" t="n">
        <v>397.33</v>
      </c>
      <c r="Q46" t="n">
        <v>135</v>
      </c>
      <c r="R46" t="n">
        <v>34.73</v>
      </c>
      <c r="S46" t="n">
        <v>107.67</v>
      </c>
      <c r="T46" t="n">
        <v>376.67</v>
      </c>
      <c r="U46" t="n">
        <v>126</v>
      </c>
      <c r="V46" t="n">
        <v>36.64</v>
      </c>
      <c r="W46" t="n">
        <v>19</v>
      </c>
      <c r="X46" t="n">
        <v>45.6</v>
      </c>
      <c r="Y46" t="n">
        <v>54.29</v>
      </c>
      <c r="Z46" t="n">
        <v>53.65</v>
      </c>
      <c r="AA46" t="inlineStr">
        <is>
          <t>Plain Donut x1; Cream x1; Brown Sugar x1</t>
        </is>
      </c>
      <c r="AB46" t="b">
        <v>0</v>
      </c>
      <c r="AC46" t="inlineStr">
        <is>
          <t>match (normal x0.85)</t>
        </is>
      </c>
    </row>
    <row r="47">
      <c r="A47" t="inlineStr">
        <is>
          <t>Garlic Bread</t>
        </is>
      </c>
      <c r="B47" t="inlineStr">
        <is>
          <t>machine</t>
        </is>
      </c>
      <c r="C47" t="inlineStr">
        <is>
          <t>BBQ Grill</t>
        </is>
      </c>
      <c r="D47" t="n">
        <v>60</v>
      </c>
      <c r="E47" t="n">
        <v>198</v>
      </c>
      <c r="F47" t="inlineStr">
        <is>
          <t>hayday.info</t>
        </is>
      </c>
      <c r="G47" t="n">
        <v>1</v>
      </c>
      <c r="H47" t="n">
        <v>15</v>
      </c>
      <c r="I47" t="n">
        <v>12</v>
      </c>
      <c r="J47" t="n">
        <v>180</v>
      </c>
      <c r="K47" t="n">
        <v>61.67</v>
      </c>
      <c r="L47" t="n">
        <v>162</v>
      </c>
      <c r="M47" t="n">
        <v>120</v>
      </c>
      <c r="N47" t="n">
        <v>0</v>
      </c>
      <c r="P47" t="n">
        <v>343.67</v>
      </c>
      <c r="Q47" t="n">
        <v>135</v>
      </c>
      <c r="R47" t="n">
        <v>34.57</v>
      </c>
      <c r="S47" t="n">
        <v>50.33</v>
      </c>
      <c r="T47" t="n">
        <v>332.33</v>
      </c>
      <c r="U47" t="n">
        <v>125</v>
      </c>
      <c r="V47" t="n">
        <v>35.75</v>
      </c>
      <c r="W47" t="n">
        <v>18</v>
      </c>
      <c r="X47" t="n">
        <v>72</v>
      </c>
      <c r="Y47" t="n">
        <v>90</v>
      </c>
      <c r="Z47" t="n">
        <v>84.70999999999999</v>
      </c>
      <c r="AA47" t="inlineStr">
        <is>
          <t>Bread x2; Butter x1; Garlic x4</t>
        </is>
      </c>
      <c r="AB47" t="b">
        <v>0</v>
      </c>
      <c r="AC47" t="inlineStr">
        <is>
          <t>match (normal x0.85)</t>
        </is>
      </c>
    </row>
    <row r="48">
      <c r="A48" t="inlineStr">
        <is>
          <t>Plain Donut</t>
        </is>
      </c>
      <c r="B48" t="inlineStr">
        <is>
          <t>machine</t>
        </is>
      </c>
      <c r="C48" t="inlineStr">
        <is>
          <t>Donut Maker</t>
        </is>
      </c>
      <c r="D48" t="n">
        <v>76</v>
      </c>
      <c r="E48" t="n">
        <v>129</v>
      </c>
      <c r="F48" t="inlineStr">
        <is>
          <t>hayday.info</t>
        </is>
      </c>
      <c r="G48" t="n">
        <v>1</v>
      </c>
      <c r="H48" t="n">
        <v>15</v>
      </c>
      <c r="I48" t="n">
        <v>12</v>
      </c>
      <c r="J48" t="n">
        <v>109</v>
      </c>
      <c r="K48" t="n">
        <v>60</v>
      </c>
      <c r="L48" t="n">
        <v>84</v>
      </c>
      <c r="M48" t="n">
        <v>80</v>
      </c>
      <c r="N48" t="n">
        <v>0</v>
      </c>
      <c r="P48" t="n">
        <v>224</v>
      </c>
      <c r="Q48" t="n">
        <v>105</v>
      </c>
      <c r="R48" t="n">
        <v>34.55</v>
      </c>
      <c r="S48" t="n">
        <v>50</v>
      </c>
      <c r="T48" t="n">
        <v>214</v>
      </c>
      <c r="U48" t="n">
        <v>100</v>
      </c>
      <c r="V48" t="n">
        <v>36.17</v>
      </c>
      <c r="W48" t="n">
        <v>20</v>
      </c>
      <c r="X48" t="n">
        <v>80</v>
      </c>
      <c r="Y48" t="n">
        <v>100</v>
      </c>
      <c r="Z48" t="n">
        <v>94.12</v>
      </c>
      <c r="AA48" t="inlineStr">
        <is>
          <t>Milk x1; White Sugar x1; Egg x1; Wheat x3</t>
        </is>
      </c>
      <c r="AB48" t="b">
        <v>0</v>
      </c>
      <c r="AC48" t="inlineStr">
        <is>
          <t>match (normal x0.85)</t>
        </is>
      </c>
    </row>
    <row r="49">
      <c r="A49" t="inlineStr">
        <is>
          <t>Cream Cake</t>
        </is>
      </c>
      <c r="B49" t="inlineStr">
        <is>
          <t>machine</t>
        </is>
      </c>
      <c r="C49" t="inlineStr">
        <is>
          <t>Cake Oven</t>
        </is>
      </c>
      <c r="D49" t="n">
        <v>23</v>
      </c>
      <c r="E49" t="n">
        <v>219</v>
      </c>
      <c r="F49" t="inlineStr">
        <is>
          <t>hayday.info</t>
        </is>
      </c>
      <c r="G49" t="n">
        <v>1</v>
      </c>
      <c r="H49" t="n">
        <v>180</v>
      </c>
      <c r="I49" t="n">
        <v>153</v>
      </c>
      <c r="J49" t="n">
        <v>115</v>
      </c>
      <c r="K49" t="n">
        <v>243.33</v>
      </c>
      <c r="L49" t="n">
        <v>85</v>
      </c>
      <c r="M49" t="n">
        <v>60</v>
      </c>
      <c r="N49" t="n">
        <v>0</v>
      </c>
      <c r="P49" t="n">
        <v>388.33</v>
      </c>
      <c r="Q49" t="n">
        <v>290</v>
      </c>
      <c r="R49" t="n">
        <v>33.84</v>
      </c>
      <c r="S49" t="n">
        <v>206.67</v>
      </c>
      <c r="T49" t="n">
        <v>351.67</v>
      </c>
      <c r="U49" t="n">
        <v>258</v>
      </c>
      <c r="V49" t="n">
        <v>37.36</v>
      </c>
      <c r="W49" t="n">
        <v>104</v>
      </c>
      <c r="X49" t="n">
        <v>34.67</v>
      </c>
      <c r="Y49" t="n">
        <v>40.78</v>
      </c>
      <c r="Z49" t="n">
        <v>40.78</v>
      </c>
      <c r="AA49" t="inlineStr">
        <is>
          <t>Wheat x5; Cream x1; White Sugar x1</t>
        </is>
      </c>
      <c r="AB49" t="b">
        <v>1</v>
      </c>
      <c r="AC49" t="inlineStr">
        <is>
          <t>match (mastered)</t>
        </is>
      </c>
    </row>
    <row r="50">
      <c r="A50" t="inlineStr">
        <is>
          <t>Sesame Brittle</t>
        </is>
      </c>
      <c r="B50" t="inlineStr">
        <is>
          <t>machine</t>
        </is>
      </c>
      <c r="C50" t="inlineStr">
        <is>
          <t>Candy Machine</t>
        </is>
      </c>
      <c r="D50" t="n">
        <v>78</v>
      </c>
      <c r="E50" t="n">
        <v>270</v>
      </c>
      <c r="F50" t="inlineStr">
        <is>
          <t>hayday.info</t>
        </is>
      </c>
      <c r="G50" t="n">
        <v>1</v>
      </c>
      <c r="H50" t="n">
        <v>60</v>
      </c>
      <c r="I50" t="n">
        <v>51</v>
      </c>
      <c r="J50" t="n">
        <v>236</v>
      </c>
      <c r="K50" t="n">
        <v>80</v>
      </c>
      <c r="L50" t="n">
        <v>330</v>
      </c>
      <c r="M50" t="n">
        <v>70</v>
      </c>
      <c r="N50" t="n">
        <v>0</v>
      </c>
      <c r="P50" t="n">
        <v>480</v>
      </c>
      <c r="Q50" t="n">
        <v>210</v>
      </c>
      <c r="R50" t="n">
        <v>33.75</v>
      </c>
      <c r="S50" t="n">
        <v>68</v>
      </c>
      <c r="T50" t="n">
        <v>468</v>
      </c>
      <c r="U50" t="n">
        <v>201</v>
      </c>
      <c r="V50" t="n">
        <v>34.62</v>
      </c>
      <c r="W50" t="n">
        <v>34</v>
      </c>
      <c r="X50" t="n">
        <v>34</v>
      </c>
      <c r="Y50" t="n">
        <v>40</v>
      </c>
      <c r="Z50" t="n">
        <v>40</v>
      </c>
      <c r="AA50" t="inlineStr">
        <is>
          <t>Sesame x3; Ginger x1; Honey x1</t>
        </is>
      </c>
      <c r="AB50" t="b">
        <v>0</v>
      </c>
      <c r="AC50" t="inlineStr">
        <is>
          <t>match (mastered)</t>
        </is>
      </c>
    </row>
    <row r="51">
      <c r="A51" t="inlineStr">
        <is>
          <t>Lobster Soup</t>
        </is>
      </c>
      <c r="B51" t="inlineStr">
        <is>
          <t>machine</t>
        </is>
      </c>
      <c r="C51" t="inlineStr">
        <is>
          <t>Soup Kitchen</t>
        </is>
      </c>
      <c r="D51" t="n">
        <v>46</v>
      </c>
      <c r="E51" t="n">
        <v>612</v>
      </c>
      <c r="F51" t="inlineStr">
        <is>
          <t>hayday.info</t>
        </is>
      </c>
      <c r="G51" t="n">
        <v>1</v>
      </c>
      <c r="H51" t="n">
        <v>150</v>
      </c>
      <c r="I51" t="n">
        <v>127</v>
      </c>
      <c r="J51" t="n">
        <v>567</v>
      </c>
      <c r="K51" t="n">
        <v>173.33</v>
      </c>
      <c r="L51" t="n">
        <v>855</v>
      </c>
      <c r="M51" t="n">
        <v>60</v>
      </c>
      <c r="N51" t="n">
        <v>0</v>
      </c>
      <c r="O51" t="inlineStr">
        <is>
          <t>Lobster Tail x2</t>
        </is>
      </c>
      <c r="P51" t="n">
        <v>1088.33</v>
      </c>
      <c r="Q51" t="n">
        <v>510</v>
      </c>
      <c r="R51" t="n">
        <v>33.74</v>
      </c>
      <c r="S51" t="n">
        <v>146.67</v>
      </c>
      <c r="T51" t="n">
        <v>1061.67</v>
      </c>
      <c r="U51" t="n">
        <v>487</v>
      </c>
      <c r="V51" t="n">
        <v>34.59</v>
      </c>
      <c r="W51" t="n">
        <v>45</v>
      </c>
      <c r="X51" t="n">
        <v>18</v>
      </c>
      <c r="Y51" t="n">
        <v>21.26</v>
      </c>
      <c r="Z51" t="n">
        <v>21.18</v>
      </c>
      <c r="AA51" t="inlineStr">
        <is>
          <t>Lobster Tail x2; Tomato x1; Chili Pepper x2; Cream x1</t>
        </is>
      </c>
      <c r="AB51" t="b">
        <v>0</v>
      </c>
      <c r="AC51" t="inlineStr">
        <is>
          <t>match (mastered)</t>
        </is>
      </c>
    </row>
    <row r="52">
      <c r="A52" t="inlineStr">
        <is>
          <t>Plain Cupcake</t>
        </is>
      </c>
      <c r="B52" t="inlineStr">
        <is>
          <t>machine</t>
        </is>
      </c>
      <c r="C52" t="inlineStr">
        <is>
          <t>Cupcake Maker</t>
        </is>
      </c>
      <c r="D52" t="n">
        <v>109</v>
      </c>
      <c r="E52" t="n">
        <v>280</v>
      </c>
      <c r="F52" t="inlineStr">
        <is>
          <t>hayday.info</t>
        </is>
      </c>
      <c r="G52" t="n">
        <v>1</v>
      </c>
      <c r="H52" t="n">
        <v>40</v>
      </c>
      <c r="I52" t="n">
        <v>34</v>
      </c>
      <c r="J52" t="n">
        <v>247</v>
      </c>
      <c r="K52" t="n">
        <v>168.33</v>
      </c>
      <c r="L52" t="n">
        <v>223</v>
      </c>
      <c r="M52" t="n">
        <v>140</v>
      </c>
      <c r="N52" t="n">
        <v>0</v>
      </c>
      <c r="P52" t="n">
        <v>531.33</v>
      </c>
      <c r="Q52" t="n">
        <v>190</v>
      </c>
      <c r="R52" t="n">
        <v>31.62</v>
      </c>
      <c r="S52" t="n">
        <v>142.67</v>
      </c>
      <c r="T52" t="n">
        <v>505.67</v>
      </c>
      <c r="U52" t="n">
        <v>166</v>
      </c>
      <c r="V52" t="n">
        <v>33.22</v>
      </c>
      <c r="W52" t="n">
        <v>33</v>
      </c>
      <c r="X52" t="n">
        <v>49.5</v>
      </c>
      <c r="Y52" t="n">
        <v>58.24</v>
      </c>
      <c r="Z52" t="n">
        <v>43.5</v>
      </c>
      <c r="AA52" t="inlineStr">
        <is>
          <t>Milk x2; White Sugar x3; Egg x1; Wheat x5</t>
        </is>
      </c>
      <c r="AB52" t="b">
        <v>0</v>
      </c>
      <c r="AC52" t="inlineStr">
        <is>
          <t>differs - check recipe / ingredient prices</t>
        </is>
      </c>
    </row>
    <row r="53">
      <c r="A53" t="inlineStr">
        <is>
          <t>Mushroom Pot Pie</t>
        </is>
      </c>
      <c r="B53" t="inlineStr">
        <is>
          <t>machine</t>
        </is>
      </c>
      <c r="C53" t="inlineStr">
        <is>
          <t>Pie Oven</t>
        </is>
      </c>
      <c r="D53" t="n">
        <v>97</v>
      </c>
      <c r="E53" t="n">
        <v>162</v>
      </c>
      <c r="F53" t="inlineStr">
        <is>
          <t>hayday.info</t>
        </is>
      </c>
      <c r="G53" t="n">
        <v>1</v>
      </c>
      <c r="H53" t="n">
        <v>60</v>
      </c>
      <c r="I53" t="n">
        <v>51</v>
      </c>
      <c r="J53" t="n">
        <v>129</v>
      </c>
      <c r="K53" t="n">
        <v>63.33</v>
      </c>
      <c r="L53" t="n">
        <v>207</v>
      </c>
      <c r="M53" t="n">
        <v>40</v>
      </c>
      <c r="N53" t="n">
        <v>0</v>
      </c>
      <c r="P53" t="n">
        <v>310.33</v>
      </c>
      <c r="Q53" t="n">
        <v>105</v>
      </c>
      <c r="R53" t="n">
        <v>31.32</v>
      </c>
      <c r="S53" t="n">
        <v>53.67</v>
      </c>
      <c r="T53" t="n">
        <v>300.67</v>
      </c>
      <c r="U53" t="n">
        <v>96</v>
      </c>
      <c r="V53" t="n">
        <v>32.33</v>
      </c>
      <c r="W53" t="n">
        <v>33</v>
      </c>
      <c r="X53" t="n">
        <v>33</v>
      </c>
      <c r="Y53" t="n">
        <v>38.82</v>
      </c>
      <c r="Z53" t="n">
        <v>38.82</v>
      </c>
      <c r="AA53" t="inlineStr">
        <is>
          <t>Mushroom x3; Cabbage x3; Wheat x3; Egg x2</t>
        </is>
      </c>
      <c r="AB53" t="b">
        <v>0</v>
      </c>
      <c r="AC53" t="inlineStr">
        <is>
          <t>match (mastered)</t>
        </is>
      </c>
    </row>
    <row r="54">
      <c r="A54" t="inlineStr">
        <is>
          <t>Gracious Bouquet</t>
        </is>
      </c>
      <c r="B54" t="inlineStr">
        <is>
          <t>machine</t>
        </is>
      </c>
      <c r="C54" t="inlineStr">
        <is>
          <t>Flower Shop</t>
        </is>
      </c>
      <c r="D54" t="n">
        <v>73</v>
      </c>
      <c r="E54" t="n">
        <v>500</v>
      </c>
      <c r="F54" t="inlineStr">
        <is>
          <t>hayday.info</t>
        </is>
      </c>
      <c r="G54" t="n">
        <v>1</v>
      </c>
      <c r="H54" t="n">
        <v>40</v>
      </c>
      <c r="I54" t="n">
        <v>34</v>
      </c>
      <c r="J54" t="n">
        <v>234</v>
      </c>
      <c r="K54" t="n">
        <v>70</v>
      </c>
      <c r="L54" t="n">
        <v>900</v>
      </c>
      <c r="M54" t="n">
        <v>0</v>
      </c>
      <c r="N54" t="n">
        <v>0</v>
      </c>
      <c r="O54" t="inlineStr">
        <is>
          <t>Gold Ore x1</t>
        </is>
      </c>
      <c r="P54" t="n">
        <v>970</v>
      </c>
      <c r="Q54" t="n">
        <v>220</v>
      </c>
      <c r="R54" t="n">
        <v>30.93</v>
      </c>
      <c r="S54" t="n">
        <v>59</v>
      </c>
      <c r="T54" t="n">
        <v>959</v>
      </c>
      <c r="U54" t="n">
        <v>209</v>
      </c>
      <c r="V54" t="n">
        <v>31.28</v>
      </c>
      <c r="W54" t="n">
        <v>266</v>
      </c>
      <c r="X54" t="n">
        <v>399</v>
      </c>
      <c r="Y54" t="n">
        <v>469.41</v>
      </c>
      <c r="Z54" t="n">
        <v>469.41</v>
      </c>
      <c r="AA54" t="inlineStr">
        <is>
          <t>Cotton Fabric x1; Lily x5; Gold Ore x1; Diamond x1</t>
        </is>
      </c>
      <c r="AB54" t="b">
        <v>0</v>
      </c>
      <c r="AC54" t="inlineStr">
        <is>
          <t>match (mastered)</t>
        </is>
      </c>
    </row>
    <row r="55">
      <c r="A55" t="inlineStr">
        <is>
          <t>Colorful Candles</t>
        </is>
      </c>
      <c r="B55" t="inlineStr">
        <is>
          <t>machine</t>
        </is>
      </c>
      <c r="C55" t="inlineStr">
        <is>
          <t>Candle Maker</t>
        </is>
      </c>
      <c r="D55" t="n">
        <v>84</v>
      </c>
      <c r="E55" t="n">
        <v>324</v>
      </c>
      <c r="F55" t="inlineStr">
        <is>
          <t>hayday.info</t>
        </is>
      </c>
      <c r="G55" t="n">
        <v>1</v>
      </c>
      <c r="H55" t="n">
        <v>110</v>
      </c>
      <c r="I55" t="n">
        <v>93</v>
      </c>
      <c r="J55" t="n">
        <v>287</v>
      </c>
      <c r="K55" t="n">
        <v>155</v>
      </c>
      <c r="L55" t="n">
        <v>10</v>
      </c>
      <c r="M55" t="n">
        <v>105</v>
      </c>
      <c r="N55" t="n">
        <v>360</v>
      </c>
      <c r="P55" t="n">
        <v>630</v>
      </c>
      <c r="Q55" t="n">
        <v>1190</v>
      </c>
      <c r="R55" t="n">
        <v>30.86</v>
      </c>
      <c r="S55" t="n">
        <v>131</v>
      </c>
      <c r="T55" t="n">
        <v>606</v>
      </c>
      <c r="U55" t="n">
        <v>1173</v>
      </c>
      <c r="V55" t="n">
        <v>32.08</v>
      </c>
      <c r="W55" t="n">
        <v>37</v>
      </c>
      <c r="X55" t="n">
        <v>20.18</v>
      </c>
      <c r="Y55" t="n">
        <v>23.87</v>
      </c>
      <c r="Z55" t="n">
        <v>23.74</v>
      </c>
      <c r="AA55" t="inlineStr">
        <is>
          <t>Beeswax x1; Raspberry x1; Carrot x1</t>
        </is>
      </c>
      <c r="AB55" t="b">
        <v>0</v>
      </c>
      <c r="AC55" t="inlineStr">
        <is>
          <t>match (mastered)</t>
        </is>
      </c>
    </row>
    <row r="56">
      <c r="A56" t="inlineStr">
        <is>
          <t>Cream</t>
        </is>
      </c>
      <c r="B56" t="inlineStr">
        <is>
          <t>machine</t>
        </is>
      </c>
      <c r="C56" t="inlineStr">
        <is>
          <t>Dairy</t>
        </is>
      </c>
      <c r="D56" t="n">
        <v>6</v>
      </c>
      <c r="E56" t="n">
        <v>50</v>
      </c>
      <c r="F56" t="inlineStr">
        <is>
          <t>hayday.info</t>
        </is>
      </c>
      <c r="G56" t="n">
        <v>1</v>
      </c>
      <c r="H56" t="n">
        <v>20</v>
      </c>
      <c r="I56" t="n">
        <v>17</v>
      </c>
      <c r="J56" t="n">
        <v>32</v>
      </c>
      <c r="K56" t="n">
        <v>23.33</v>
      </c>
      <c r="L56" t="n">
        <v>15</v>
      </c>
      <c r="M56" t="n">
        <v>60</v>
      </c>
      <c r="N56" t="n">
        <v>0</v>
      </c>
      <c r="P56" t="n">
        <v>98.33</v>
      </c>
      <c r="Q56" t="n">
        <v>110</v>
      </c>
      <c r="R56" t="n">
        <v>30.51</v>
      </c>
      <c r="S56" t="n">
        <v>19.67</v>
      </c>
      <c r="T56" t="n">
        <v>94.67</v>
      </c>
      <c r="U56" t="n">
        <v>105</v>
      </c>
      <c r="V56" t="n">
        <v>31.69</v>
      </c>
      <c r="W56" t="n">
        <v>18</v>
      </c>
      <c r="X56" t="n">
        <v>54</v>
      </c>
      <c r="Y56" t="n">
        <v>63.53</v>
      </c>
      <c r="Z56" t="n">
        <v>63.53</v>
      </c>
      <c r="AA56" t="inlineStr">
        <is>
          <t>Milk x1</t>
        </is>
      </c>
      <c r="AB56" t="b">
        <v>1</v>
      </c>
      <c r="AC56" t="inlineStr">
        <is>
          <t>match (mastered)</t>
        </is>
      </c>
    </row>
    <row r="57">
      <c r="A57" t="inlineStr">
        <is>
          <t>Pineapple Juice</t>
        </is>
      </c>
      <c r="B57" t="inlineStr">
        <is>
          <t>machine</t>
        </is>
      </c>
      <c r="C57" t="inlineStr">
        <is>
          <t>Juice Press</t>
        </is>
      </c>
      <c r="D57" t="n">
        <v>52</v>
      </c>
      <c r="E57" t="n">
        <v>68</v>
      </c>
      <c r="F57" t="inlineStr">
        <is>
          <t>hayday.info</t>
        </is>
      </c>
      <c r="G57" t="n">
        <v>1</v>
      </c>
      <c r="H57" t="n">
        <v>45</v>
      </c>
      <c r="I57" t="n">
        <v>38</v>
      </c>
      <c r="J57" t="n">
        <v>42</v>
      </c>
      <c r="K57" t="n">
        <v>45</v>
      </c>
      <c r="L57" t="n">
        <v>90</v>
      </c>
      <c r="M57" t="n">
        <v>0</v>
      </c>
      <c r="N57" t="n">
        <v>0</v>
      </c>
      <c r="P57" t="n">
        <v>135</v>
      </c>
      <c r="Q57" t="n">
        <v>75</v>
      </c>
      <c r="R57" t="n">
        <v>30.22</v>
      </c>
      <c r="S57" t="n">
        <v>38</v>
      </c>
      <c r="T57" t="n">
        <v>128</v>
      </c>
      <c r="U57" t="n">
        <v>68</v>
      </c>
      <c r="V57" t="n">
        <v>31.88</v>
      </c>
      <c r="W57" t="n">
        <v>26</v>
      </c>
      <c r="X57" t="n">
        <v>34.67</v>
      </c>
      <c r="Y57" t="n">
        <v>41.05</v>
      </c>
      <c r="Z57" t="n">
        <v>40.78</v>
      </c>
      <c r="AA57" t="inlineStr">
        <is>
          <t>Pineapple x3</t>
        </is>
      </c>
      <c r="AB57" t="b">
        <v>0</v>
      </c>
      <c r="AC57" t="inlineStr">
        <is>
          <t>match (mastered)</t>
        </is>
      </c>
    </row>
    <row r="58">
      <c r="A58" t="inlineStr">
        <is>
          <t>Fried Rice</t>
        </is>
      </c>
      <c r="B58" t="inlineStr">
        <is>
          <t>machine</t>
        </is>
      </c>
      <c r="C58" t="inlineStr">
        <is>
          <t>Wok Kitchen</t>
        </is>
      </c>
      <c r="D58" t="n">
        <v>69</v>
      </c>
      <c r="E58" t="n">
        <v>205</v>
      </c>
      <c r="F58" t="inlineStr">
        <is>
          <t>hayday.info</t>
        </is>
      </c>
      <c r="G58" t="n">
        <v>1</v>
      </c>
      <c r="H58" t="n">
        <v>60</v>
      </c>
      <c r="I58" t="n">
        <v>51</v>
      </c>
      <c r="J58" t="n">
        <v>180</v>
      </c>
      <c r="K58" t="n">
        <v>68.33</v>
      </c>
      <c r="L58" t="n">
        <v>240</v>
      </c>
      <c r="M58" t="n">
        <v>100</v>
      </c>
      <c r="N58" t="n">
        <v>0</v>
      </c>
      <c r="P58" t="n">
        <v>408.33</v>
      </c>
      <c r="Q58" t="n">
        <v>105</v>
      </c>
      <c r="R58" t="n">
        <v>30.12</v>
      </c>
      <c r="S58" t="n">
        <v>57.67</v>
      </c>
      <c r="T58" t="n">
        <v>397.67</v>
      </c>
      <c r="U58" t="n">
        <v>96</v>
      </c>
      <c r="V58" t="n">
        <v>30.93</v>
      </c>
      <c r="W58" t="n">
        <v>25</v>
      </c>
      <c r="X58" t="n">
        <v>25</v>
      </c>
      <c r="Y58" t="n">
        <v>29.41</v>
      </c>
      <c r="Z58" t="n">
        <v>29.41</v>
      </c>
      <c r="AA58" t="inlineStr">
        <is>
          <t>Rice x5; Egg x5</t>
        </is>
      </c>
      <c r="AB58" t="b">
        <v>0</v>
      </c>
      <c r="AC58" t="inlineStr">
        <is>
          <t>match (mastered)</t>
        </is>
      </c>
    </row>
    <row r="59">
      <c r="A59" t="inlineStr">
        <is>
          <t>Soybean</t>
        </is>
      </c>
      <c r="B59" t="inlineStr">
        <is>
          <t>field</t>
        </is>
      </c>
      <c r="C59" t="inlineStr">
        <is>
          <t>Farm</t>
        </is>
      </c>
      <c r="D59" t="n">
        <v>5</v>
      </c>
      <c r="E59" t="n">
        <v>10</v>
      </c>
      <c r="F59" t="inlineStr">
        <is>
          <t>hayday.info</t>
        </is>
      </c>
      <c r="G59" t="n">
        <v>1</v>
      </c>
      <c r="H59" t="n">
        <v>20</v>
      </c>
      <c r="J59" t="n">
        <v>0</v>
      </c>
      <c r="K59" t="n">
        <v>0</v>
      </c>
      <c r="L59" t="n">
        <v>20</v>
      </c>
      <c r="M59" t="n">
        <v>0</v>
      </c>
      <c r="N59" t="n">
        <v>0</v>
      </c>
      <c r="P59" t="n">
        <v>20</v>
      </c>
      <c r="Q59" t="n">
        <v>20</v>
      </c>
      <c r="R59" t="n">
        <v>30</v>
      </c>
      <c r="S59" t="n">
        <v>0</v>
      </c>
      <c r="T59" t="n">
        <v>20</v>
      </c>
      <c r="U59" t="n">
        <v>20</v>
      </c>
      <c r="V59" t="n">
        <v>30</v>
      </c>
      <c r="W59" t="n">
        <v>10</v>
      </c>
      <c r="X59" t="n">
        <v>30</v>
      </c>
      <c r="Y59" t="n">
        <v>30</v>
      </c>
      <c r="Z59" t="n">
        <v>30</v>
      </c>
      <c r="AB59" t="b">
        <v>1</v>
      </c>
    </row>
    <row r="60">
      <c r="A60" t="inlineStr">
        <is>
          <t>White Sugar</t>
        </is>
      </c>
      <c r="B60" t="inlineStr">
        <is>
          <t>machine</t>
        </is>
      </c>
      <c r="C60" t="inlineStr">
        <is>
          <t>Sugar Mill</t>
        </is>
      </c>
      <c r="D60" t="n">
        <v>13</v>
      </c>
      <c r="E60" t="n">
        <v>50</v>
      </c>
      <c r="F60" t="inlineStr">
        <is>
          <t>hayday.info</t>
        </is>
      </c>
      <c r="G60" t="n">
        <v>1</v>
      </c>
      <c r="H60" t="n">
        <v>40</v>
      </c>
      <c r="I60" t="n">
        <v>34</v>
      </c>
      <c r="J60" t="n">
        <v>28</v>
      </c>
      <c r="K60" t="n">
        <v>40</v>
      </c>
      <c r="L60" t="n">
        <v>60</v>
      </c>
      <c r="M60" t="n">
        <v>0</v>
      </c>
      <c r="N60" t="n">
        <v>0</v>
      </c>
      <c r="P60" t="n">
        <v>100</v>
      </c>
      <c r="Q60" t="n">
        <v>70</v>
      </c>
      <c r="R60" t="n">
        <v>30</v>
      </c>
      <c r="S60" t="n">
        <v>34</v>
      </c>
      <c r="T60" t="n">
        <v>94</v>
      </c>
      <c r="U60" t="n">
        <v>64</v>
      </c>
      <c r="V60" t="n">
        <v>31.91</v>
      </c>
      <c r="W60" t="n">
        <v>22</v>
      </c>
      <c r="X60" t="n">
        <v>33</v>
      </c>
      <c r="Y60" t="n">
        <v>38.82</v>
      </c>
      <c r="Z60" t="n">
        <v>38.82</v>
      </c>
      <c r="AA60" t="inlineStr">
        <is>
          <t>Sugarcane x2</t>
        </is>
      </c>
      <c r="AB60" t="b">
        <v>1</v>
      </c>
      <c r="AC60" t="inlineStr">
        <is>
          <t>match (mastered)</t>
        </is>
      </c>
    </row>
    <row r="61">
      <c r="A61" t="inlineStr">
        <is>
          <t>Mushroom</t>
        </is>
      </c>
      <c r="B61" t="inlineStr">
        <is>
          <t>field</t>
        </is>
      </c>
      <c r="C61" t="inlineStr">
        <is>
          <t>Farm</t>
        </is>
      </c>
      <c r="D61" t="n">
        <v>89</v>
      </c>
      <c r="E61" t="n">
        <v>10</v>
      </c>
      <c r="F61" t="inlineStr">
        <is>
          <t>hayday.info</t>
        </is>
      </c>
      <c r="G61" t="n">
        <v>1</v>
      </c>
      <c r="H61" t="n">
        <v>20</v>
      </c>
      <c r="J61" t="n">
        <v>0</v>
      </c>
      <c r="K61" t="n">
        <v>0</v>
      </c>
      <c r="L61" t="n">
        <v>20</v>
      </c>
      <c r="M61" t="n">
        <v>0</v>
      </c>
      <c r="N61" t="n">
        <v>0</v>
      </c>
      <c r="P61" t="n">
        <v>20</v>
      </c>
      <c r="Q61" t="n">
        <v>20</v>
      </c>
      <c r="R61" t="n">
        <v>30</v>
      </c>
      <c r="S61" t="n">
        <v>0</v>
      </c>
      <c r="T61" t="n">
        <v>20</v>
      </c>
      <c r="U61" t="n">
        <v>20</v>
      </c>
      <c r="V61" t="n">
        <v>30</v>
      </c>
      <c r="W61" t="n">
        <v>10</v>
      </c>
      <c r="X61" t="n">
        <v>30</v>
      </c>
      <c r="Y61" t="n">
        <v>30</v>
      </c>
      <c r="Z61" t="n">
        <v>30</v>
      </c>
      <c r="AB61" t="b">
        <v>0</v>
      </c>
    </row>
    <row r="62">
      <c r="A62" t="inlineStr">
        <is>
          <t>Chamomile</t>
        </is>
      </c>
      <c r="B62" t="inlineStr">
        <is>
          <t>field</t>
        </is>
      </c>
      <c r="C62" t="inlineStr">
        <is>
          <t>Farm</t>
        </is>
      </c>
      <c r="D62" t="n">
        <v>45</v>
      </c>
      <c r="E62" t="n">
        <v>10</v>
      </c>
      <c r="F62" t="inlineStr">
        <is>
          <t>Fandom</t>
        </is>
      </c>
      <c r="G62" t="n">
        <v>1</v>
      </c>
      <c r="H62" t="n">
        <v>20</v>
      </c>
      <c r="J62" t="n">
        <v>0</v>
      </c>
      <c r="K62" t="n">
        <v>0</v>
      </c>
      <c r="L62" t="n">
        <v>20</v>
      </c>
      <c r="M62" t="n">
        <v>0</v>
      </c>
      <c r="N62" t="n">
        <v>0</v>
      </c>
      <c r="P62" t="n">
        <v>20</v>
      </c>
      <c r="Q62" t="n">
        <v>20</v>
      </c>
      <c r="R62" t="n">
        <v>30</v>
      </c>
      <c r="S62" t="n">
        <v>0</v>
      </c>
      <c r="T62" t="n">
        <v>20</v>
      </c>
      <c r="U62" t="n">
        <v>20</v>
      </c>
      <c r="V62" t="n">
        <v>30</v>
      </c>
      <c r="W62" t="n">
        <v>10</v>
      </c>
      <c r="X62" t="n">
        <v>30</v>
      </c>
      <c r="Y62" t="n">
        <v>30</v>
      </c>
      <c r="AB62" t="b">
        <v>0</v>
      </c>
    </row>
    <row r="63">
      <c r="A63" t="inlineStr">
        <is>
          <t>Buttered Popcorn</t>
        </is>
      </c>
      <c r="B63" t="inlineStr">
        <is>
          <t>machine</t>
        </is>
      </c>
      <c r="C63" t="inlineStr">
        <is>
          <t>Popcorn Pot</t>
        </is>
      </c>
      <c r="D63" t="n">
        <v>16</v>
      </c>
      <c r="E63" t="n">
        <v>126</v>
      </c>
      <c r="F63" t="inlineStr">
        <is>
          <t>hayday.info</t>
        </is>
      </c>
      <c r="G63" t="n">
        <v>1</v>
      </c>
      <c r="H63" t="n">
        <v>60</v>
      </c>
      <c r="I63" t="n">
        <v>51</v>
      </c>
      <c r="J63" t="n">
        <v>96</v>
      </c>
      <c r="K63" t="n">
        <v>96.67</v>
      </c>
      <c r="L63" t="n">
        <v>40</v>
      </c>
      <c r="M63" t="n">
        <v>120</v>
      </c>
      <c r="N63" t="n">
        <v>0</v>
      </c>
      <c r="P63" t="n">
        <v>256.67</v>
      </c>
      <c r="Q63" t="n">
        <v>180</v>
      </c>
      <c r="R63" t="n">
        <v>29.45</v>
      </c>
      <c r="S63" t="n">
        <v>81.33</v>
      </c>
      <c r="T63" t="n">
        <v>241.33</v>
      </c>
      <c r="U63" t="n">
        <v>164</v>
      </c>
      <c r="V63" t="n">
        <v>31.33</v>
      </c>
      <c r="W63" t="n">
        <v>30</v>
      </c>
      <c r="X63" t="n">
        <v>30</v>
      </c>
      <c r="Y63" t="n">
        <v>35.29</v>
      </c>
      <c r="Z63" t="n">
        <v>35.29</v>
      </c>
      <c r="AA63" t="inlineStr">
        <is>
          <t>Corn x2; Butter x1</t>
        </is>
      </c>
      <c r="AB63" t="b">
        <v>1</v>
      </c>
      <c r="AC63" t="inlineStr">
        <is>
          <t>match (mastered)</t>
        </is>
      </c>
    </row>
    <row r="64">
      <c r="A64" t="inlineStr">
        <is>
          <t>Fish Skewer</t>
        </is>
      </c>
      <c r="B64" t="inlineStr">
        <is>
          <t>machine</t>
        </is>
      </c>
      <c r="C64" t="inlineStr">
        <is>
          <t>BBQ Grill</t>
        </is>
      </c>
      <c r="D64" t="n">
        <v>96</v>
      </c>
      <c r="E64" t="n">
        <v>176</v>
      </c>
      <c r="F64" t="inlineStr">
        <is>
          <t>hayday.info</t>
        </is>
      </c>
      <c r="G64" t="n">
        <v>1</v>
      </c>
      <c r="H64" t="n">
        <v>30</v>
      </c>
      <c r="I64" t="n">
        <v>25</v>
      </c>
      <c r="J64" t="n">
        <v>148</v>
      </c>
      <c r="K64" t="n">
        <v>30</v>
      </c>
      <c r="L64" t="n">
        <v>330</v>
      </c>
      <c r="M64" t="n">
        <v>0</v>
      </c>
      <c r="N64" t="n">
        <v>0</v>
      </c>
      <c r="O64" t="inlineStr">
        <is>
          <t>Fish Fillet x1</t>
        </is>
      </c>
      <c r="P64" t="n">
        <v>360</v>
      </c>
      <c r="Q64" t="n">
        <v>180</v>
      </c>
      <c r="R64" t="n">
        <v>29.33</v>
      </c>
      <c r="S64" t="n">
        <v>25</v>
      </c>
      <c r="T64" t="n">
        <v>355</v>
      </c>
      <c r="U64" t="n">
        <v>175</v>
      </c>
      <c r="V64" t="n">
        <v>29.75</v>
      </c>
      <c r="W64" t="n">
        <v>28</v>
      </c>
      <c r="X64" t="n">
        <v>56</v>
      </c>
      <c r="Y64" t="n">
        <v>67.2</v>
      </c>
      <c r="Z64" t="n">
        <v>65.88</v>
      </c>
      <c r="AA64" t="inlineStr">
        <is>
          <t>Fish Fillet x1; Mushroom x3; Ginger x1; Sesame x2</t>
        </is>
      </c>
      <c r="AB64" t="b">
        <v>0</v>
      </c>
      <c r="AC64" t="inlineStr">
        <is>
          <t>match (normal x0.85)</t>
        </is>
      </c>
    </row>
    <row r="65">
      <c r="A65" t="inlineStr">
        <is>
          <t>Mussel Nigiri</t>
        </is>
      </c>
      <c r="B65" t="inlineStr">
        <is>
          <t>machine</t>
        </is>
      </c>
      <c r="C65" t="inlineStr">
        <is>
          <t>Sushi Bar</t>
        </is>
      </c>
      <c r="D65" t="n">
        <v>56</v>
      </c>
      <c r="E65" t="n">
        <v>543</v>
      </c>
      <c r="F65" t="inlineStr">
        <is>
          <t>Fandom</t>
        </is>
      </c>
      <c r="G65" t="n">
        <v>1</v>
      </c>
      <c r="H65" t="n">
        <v>90</v>
      </c>
      <c r="I65" t="n">
        <v>76</v>
      </c>
      <c r="J65" t="n">
        <v>536</v>
      </c>
      <c r="K65" t="n">
        <v>270</v>
      </c>
      <c r="L65" t="n">
        <v>857</v>
      </c>
      <c r="M65" t="n">
        <v>0</v>
      </c>
      <c r="N65" t="n">
        <v>0</v>
      </c>
      <c r="O65" t="inlineStr">
        <is>
          <t>Mussel Meat x4</t>
        </is>
      </c>
      <c r="P65" t="n">
        <v>1127</v>
      </c>
      <c r="Q65" t="n">
        <v>290</v>
      </c>
      <c r="R65" t="n">
        <v>28.91</v>
      </c>
      <c r="S65" t="n">
        <v>229</v>
      </c>
      <c r="T65" t="n">
        <v>1086</v>
      </c>
      <c r="U65" t="n">
        <v>249</v>
      </c>
      <c r="V65" t="n">
        <v>30</v>
      </c>
      <c r="W65" t="n">
        <v>7</v>
      </c>
      <c r="X65" t="n">
        <v>4.67</v>
      </c>
      <c r="Y65" t="n">
        <v>5.53</v>
      </c>
      <c r="AA65" t="inlineStr">
        <is>
          <t>Rice x15; Mussel Meat x4; Soy Sauce x1</t>
        </is>
      </c>
      <c r="AB65" t="b">
        <v>0</v>
      </c>
    </row>
    <row r="66">
      <c r="A66" t="inlineStr">
        <is>
          <t>Carrot Cake</t>
        </is>
      </c>
      <c r="B66" t="inlineStr">
        <is>
          <t>machine</t>
        </is>
      </c>
      <c r="C66" t="inlineStr">
        <is>
          <t>Cake Oven</t>
        </is>
      </c>
      <c r="D66" t="n">
        <v>21</v>
      </c>
      <c r="E66" t="n">
        <v>165</v>
      </c>
      <c r="F66" t="inlineStr">
        <is>
          <t>hayday.info</t>
        </is>
      </c>
      <c r="G66" t="n">
        <v>1</v>
      </c>
      <c r="H66" t="n">
        <v>90</v>
      </c>
      <c r="I66" t="n">
        <v>76</v>
      </c>
      <c r="J66" t="n">
        <v>128</v>
      </c>
      <c r="K66" t="n">
        <v>146.67</v>
      </c>
      <c r="L66" t="n">
        <v>80</v>
      </c>
      <c r="M66" t="n">
        <v>120</v>
      </c>
      <c r="N66" t="n">
        <v>0</v>
      </c>
      <c r="P66" t="n">
        <v>346.67</v>
      </c>
      <c r="Q66" t="n">
        <v>210</v>
      </c>
      <c r="R66" t="n">
        <v>28.56</v>
      </c>
      <c r="S66" t="n">
        <v>123.33</v>
      </c>
      <c r="T66" t="n">
        <v>323.33</v>
      </c>
      <c r="U66" t="n">
        <v>189</v>
      </c>
      <c r="V66" t="n">
        <v>30.62</v>
      </c>
      <c r="W66" t="n">
        <v>37</v>
      </c>
      <c r="X66" t="n">
        <v>24.67</v>
      </c>
      <c r="Y66" t="n">
        <v>29.21</v>
      </c>
      <c r="Z66" t="n">
        <v>29.02</v>
      </c>
      <c r="AA66" t="inlineStr">
        <is>
          <t>Carrot x2; Butter x1; Brown Sugar x1</t>
        </is>
      </c>
      <c r="AB66" t="b">
        <v>1</v>
      </c>
      <c r="AC66" t="inlineStr">
        <is>
          <t>match (mastered)</t>
        </is>
      </c>
    </row>
    <row r="67">
      <c r="A67" t="inlineStr">
        <is>
          <t>Broccoli Pasta</t>
        </is>
      </c>
      <c r="B67" t="inlineStr">
        <is>
          <t>machine</t>
        </is>
      </c>
      <c r="C67" t="inlineStr">
        <is>
          <t>Pasta Kitchen</t>
        </is>
      </c>
      <c r="D67" t="n">
        <v>83</v>
      </c>
      <c r="E67" t="n">
        <v>345</v>
      </c>
      <c r="F67" t="inlineStr">
        <is>
          <t>hayday.info</t>
        </is>
      </c>
      <c r="G67" t="n">
        <v>1</v>
      </c>
      <c r="H67" t="n">
        <v>60</v>
      </c>
      <c r="I67" t="n">
        <v>51</v>
      </c>
      <c r="J67" t="n">
        <v>314</v>
      </c>
      <c r="K67" t="n">
        <v>180</v>
      </c>
      <c r="L67" t="n">
        <v>306</v>
      </c>
      <c r="M67" t="n">
        <v>240</v>
      </c>
      <c r="N67" t="n">
        <v>0</v>
      </c>
      <c r="P67" t="n">
        <v>726</v>
      </c>
      <c r="Q67" t="n">
        <v>210</v>
      </c>
      <c r="R67" t="n">
        <v>28.51</v>
      </c>
      <c r="S67" t="n">
        <v>150</v>
      </c>
      <c r="T67" t="n">
        <v>696</v>
      </c>
      <c r="U67" t="n">
        <v>190</v>
      </c>
      <c r="V67" t="n">
        <v>29.74</v>
      </c>
      <c r="W67" t="n">
        <v>31</v>
      </c>
      <c r="X67" t="n">
        <v>31</v>
      </c>
      <c r="Y67" t="n">
        <v>36.47</v>
      </c>
      <c r="Z67" t="n">
        <v>36.47</v>
      </c>
      <c r="AA67" t="inlineStr">
        <is>
          <t>Broccoli x3; Cheese x1; Fresh Pasta x3</t>
        </is>
      </c>
      <c r="AB67" t="b">
        <v>0</v>
      </c>
      <c r="AC67" t="inlineStr">
        <is>
          <t>match (mastered)</t>
        </is>
      </c>
    </row>
    <row r="68">
      <c r="A68" t="inlineStr">
        <is>
          <t>Pineapple</t>
        </is>
      </c>
      <c r="B68" t="inlineStr">
        <is>
          <t>field</t>
        </is>
      </c>
      <c r="C68" t="inlineStr">
        <is>
          <t>Farm</t>
        </is>
      </c>
      <c r="D68" t="n">
        <v>52</v>
      </c>
      <c r="E68" t="n">
        <v>14</v>
      </c>
      <c r="F68" t="inlineStr">
        <is>
          <t>hayday.info</t>
        </is>
      </c>
      <c r="G68" t="n">
        <v>1</v>
      </c>
      <c r="H68" t="n">
        <v>30</v>
      </c>
      <c r="J68" t="n">
        <v>0</v>
      </c>
      <c r="K68" t="n">
        <v>0</v>
      </c>
      <c r="L68" t="n">
        <v>30</v>
      </c>
      <c r="M68" t="n">
        <v>0</v>
      </c>
      <c r="N68" t="n">
        <v>0</v>
      </c>
      <c r="P68" t="n">
        <v>30</v>
      </c>
      <c r="Q68" t="n">
        <v>30</v>
      </c>
      <c r="R68" t="n">
        <v>28</v>
      </c>
      <c r="S68" t="n">
        <v>0</v>
      </c>
      <c r="T68" t="n">
        <v>30</v>
      </c>
      <c r="U68" t="n">
        <v>30</v>
      </c>
      <c r="V68" t="n">
        <v>28</v>
      </c>
      <c r="W68" t="n">
        <v>14</v>
      </c>
      <c r="X68" t="n">
        <v>28</v>
      </c>
      <c r="Y68" t="n">
        <v>28</v>
      </c>
      <c r="Z68" t="n">
        <v>28</v>
      </c>
      <c r="AB68" t="b">
        <v>0</v>
      </c>
    </row>
    <row r="69">
      <c r="A69" t="inlineStr">
        <is>
          <t>Garlic</t>
        </is>
      </c>
      <c r="B69" t="inlineStr">
        <is>
          <t>field</t>
        </is>
      </c>
      <c r="C69" t="inlineStr">
        <is>
          <t>Farm</t>
        </is>
      </c>
      <c r="D69" t="n">
        <v>60</v>
      </c>
      <c r="E69" t="n">
        <v>14</v>
      </c>
      <c r="F69" t="inlineStr">
        <is>
          <t>hayday.info</t>
        </is>
      </c>
      <c r="G69" t="n">
        <v>1</v>
      </c>
      <c r="H69" t="n">
        <v>30</v>
      </c>
      <c r="J69" t="n">
        <v>0</v>
      </c>
      <c r="K69" t="n">
        <v>0</v>
      </c>
      <c r="L69" t="n">
        <v>30</v>
      </c>
      <c r="M69" t="n">
        <v>0</v>
      </c>
      <c r="N69" t="n">
        <v>0</v>
      </c>
      <c r="P69" t="n">
        <v>30</v>
      </c>
      <c r="Q69" t="n">
        <v>30</v>
      </c>
      <c r="R69" t="n">
        <v>28</v>
      </c>
      <c r="S69" t="n">
        <v>0</v>
      </c>
      <c r="T69" t="n">
        <v>30</v>
      </c>
      <c r="U69" t="n">
        <v>30</v>
      </c>
      <c r="V69" t="n">
        <v>28</v>
      </c>
      <c r="W69" t="n">
        <v>14</v>
      </c>
      <c r="X69" t="n">
        <v>28</v>
      </c>
      <c r="Y69" t="n">
        <v>28</v>
      </c>
      <c r="Z69" t="n">
        <v>28</v>
      </c>
      <c r="AB69" t="b">
        <v>0</v>
      </c>
    </row>
    <row r="70">
      <c r="A70" t="inlineStr">
        <is>
          <t>Sugarcane</t>
        </is>
      </c>
      <c r="B70" t="inlineStr">
        <is>
          <t>field</t>
        </is>
      </c>
      <c r="C70" t="inlineStr">
        <is>
          <t>Farm</t>
        </is>
      </c>
      <c r="D70" t="n">
        <v>7</v>
      </c>
      <c r="E70" t="n">
        <v>14</v>
      </c>
      <c r="F70" t="inlineStr">
        <is>
          <t>hayday.info</t>
        </is>
      </c>
      <c r="G70" t="n">
        <v>1</v>
      </c>
      <c r="H70" t="n">
        <v>30</v>
      </c>
      <c r="J70" t="n">
        <v>0</v>
      </c>
      <c r="K70" t="n">
        <v>0</v>
      </c>
      <c r="L70" t="n">
        <v>30</v>
      </c>
      <c r="M70" t="n">
        <v>0</v>
      </c>
      <c r="N70" t="n">
        <v>0</v>
      </c>
      <c r="P70" t="n">
        <v>30</v>
      </c>
      <c r="Q70" t="n">
        <v>30</v>
      </c>
      <c r="R70" t="n">
        <v>28</v>
      </c>
      <c r="S70" t="n">
        <v>0</v>
      </c>
      <c r="T70" t="n">
        <v>30</v>
      </c>
      <c r="U70" t="n">
        <v>30</v>
      </c>
      <c r="V70" t="n">
        <v>28</v>
      </c>
      <c r="W70" t="n">
        <v>14</v>
      </c>
      <c r="X70" t="n">
        <v>28</v>
      </c>
      <c r="Y70" t="n">
        <v>28</v>
      </c>
      <c r="Z70" t="n">
        <v>28</v>
      </c>
      <c r="AB70" t="b">
        <v>1</v>
      </c>
    </row>
    <row r="71">
      <c r="A71" t="inlineStr">
        <is>
          <t>Toffee</t>
        </is>
      </c>
      <c r="B71" t="inlineStr">
        <is>
          <t>machine</t>
        </is>
      </c>
      <c r="C71" t="inlineStr">
        <is>
          <t>Candy Machine</t>
        </is>
      </c>
      <c r="D71" t="n">
        <v>52</v>
      </c>
      <c r="E71" t="n">
        <v>176</v>
      </c>
      <c r="F71" t="inlineStr">
        <is>
          <t>hayday.info</t>
        </is>
      </c>
      <c r="G71" t="n">
        <v>1</v>
      </c>
      <c r="H71" t="n">
        <v>90</v>
      </c>
      <c r="I71" t="n">
        <v>76</v>
      </c>
      <c r="J71" t="n">
        <v>135</v>
      </c>
      <c r="K71" t="n">
        <v>166.67</v>
      </c>
      <c r="L71" t="n">
        <v>92</v>
      </c>
      <c r="M71" t="n">
        <v>120</v>
      </c>
      <c r="N71" t="n">
        <v>0</v>
      </c>
      <c r="P71" t="n">
        <v>378.67</v>
      </c>
      <c r="Q71" t="n">
        <v>210</v>
      </c>
      <c r="R71" t="n">
        <v>27.89</v>
      </c>
      <c r="S71" t="n">
        <v>140.33</v>
      </c>
      <c r="T71" t="n">
        <v>352.33</v>
      </c>
      <c r="U71" t="n">
        <v>189</v>
      </c>
      <c r="V71" t="n">
        <v>29.97</v>
      </c>
      <c r="W71" t="n">
        <v>41</v>
      </c>
      <c r="X71" t="n">
        <v>27.33</v>
      </c>
      <c r="Y71" t="n">
        <v>32.37</v>
      </c>
      <c r="Z71" t="n">
        <v>32.16</v>
      </c>
      <c r="AA71" t="inlineStr">
        <is>
          <t>Butter x1; Wheat x1; White Sugar x1</t>
        </is>
      </c>
      <c r="AB71" t="b">
        <v>0</v>
      </c>
      <c r="AC71" t="inlineStr">
        <is>
          <t>match (mastered)</t>
        </is>
      </c>
    </row>
    <row r="72">
      <c r="A72" t="inlineStr">
        <is>
          <t>Honey Apple Cake</t>
        </is>
      </c>
      <c r="B72" t="inlineStr">
        <is>
          <t>machine</t>
        </is>
      </c>
      <c r="C72" t="inlineStr">
        <is>
          <t>Cake Oven</t>
        </is>
      </c>
      <c r="D72" t="n">
        <v>42</v>
      </c>
      <c r="E72" t="n">
        <v>482</v>
      </c>
      <c r="F72" t="inlineStr">
        <is>
          <t>hayday.info</t>
        </is>
      </c>
      <c r="G72" t="n">
        <v>1</v>
      </c>
      <c r="H72" t="n">
        <v>200</v>
      </c>
      <c r="I72" t="n">
        <v>170</v>
      </c>
      <c r="J72" t="n">
        <v>428</v>
      </c>
      <c r="K72" t="n">
        <v>243.33</v>
      </c>
      <c r="L72" t="n">
        <v>10</v>
      </c>
      <c r="M72" t="n">
        <v>180</v>
      </c>
      <c r="N72" t="n">
        <v>640</v>
      </c>
      <c r="P72" t="n">
        <v>1073.33</v>
      </c>
      <c r="Q72" t="n">
        <v>1160</v>
      </c>
      <c r="R72" t="n">
        <v>26.94</v>
      </c>
      <c r="S72" t="n">
        <v>206.67</v>
      </c>
      <c r="T72" t="n">
        <v>1036.67</v>
      </c>
      <c r="U72" t="n">
        <v>1130</v>
      </c>
      <c r="V72" t="n">
        <v>27.9</v>
      </c>
      <c r="W72" t="n">
        <v>54</v>
      </c>
      <c r="X72" t="n">
        <v>16.2</v>
      </c>
      <c r="Y72" t="n">
        <v>19.06</v>
      </c>
      <c r="Z72" t="n">
        <v>19.06</v>
      </c>
      <c r="AA72" t="inlineStr">
        <is>
          <t>Wheat x2; Egg x2; Apple x2; Honey x2</t>
        </is>
      </c>
      <c r="AB72" t="b">
        <v>0</v>
      </c>
      <c r="AC72" t="inlineStr">
        <is>
          <t>match (mastered)</t>
        </is>
      </c>
    </row>
    <row r="73">
      <c r="A73" t="inlineStr">
        <is>
          <t>Sushi Roll</t>
        </is>
      </c>
      <c r="B73" t="inlineStr">
        <is>
          <t>machine</t>
        </is>
      </c>
      <c r="C73" t="inlineStr">
        <is>
          <t>Sushi Bar</t>
        </is>
      </c>
      <c r="D73" t="n">
        <v>56</v>
      </c>
      <c r="E73" t="n">
        <v>489</v>
      </c>
      <c r="F73" t="inlineStr">
        <is>
          <t>hayday.info</t>
        </is>
      </c>
      <c r="G73" t="n">
        <v>1</v>
      </c>
      <c r="H73" t="n">
        <v>60</v>
      </c>
      <c r="I73" t="n">
        <v>51</v>
      </c>
      <c r="J73" t="n">
        <v>478</v>
      </c>
      <c r="K73" t="n">
        <v>240</v>
      </c>
      <c r="L73" t="n">
        <v>857</v>
      </c>
      <c r="M73" t="n">
        <v>0</v>
      </c>
      <c r="N73" t="n">
        <v>0</v>
      </c>
      <c r="O73" t="inlineStr">
        <is>
          <t>Fish Fillet x1</t>
        </is>
      </c>
      <c r="P73" t="n">
        <v>1097</v>
      </c>
      <c r="Q73" t="n">
        <v>260</v>
      </c>
      <c r="R73" t="n">
        <v>26.75</v>
      </c>
      <c r="S73" t="n">
        <v>204</v>
      </c>
      <c r="T73" t="n">
        <v>1061</v>
      </c>
      <c r="U73" t="n">
        <v>224</v>
      </c>
      <c r="V73" t="n">
        <v>27.65</v>
      </c>
      <c r="W73" t="n">
        <v>11</v>
      </c>
      <c r="X73" t="n">
        <v>11</v>
      </c>
      <c r="Y73" t="n">
        <v>12.94</v>
      </c>
      <c r="Z73" t="n">
        <v>12.94</v>
      </c>
      <c r="AA73" t="inlineStr">
        <is>
          <t>Fish Fillet x1; Rice x15; Soy Sauce x1</t>
        </is>
      </c>
      <c r="AB73" t="b">
        <v>0</v>
      </c>
      <c r="AC73" t="inlineStr">
        <is>
          <t>match (mastered)</t>
        </is>
      </c>
    </row>
    <row r="74">
      <c r="A74" t="inlineStr">
        <is>
          <t>Butter</t>
        </is>
      </c>
      <c r="B74" t="inlineStr">
        <is>
          <t>machine</t>
        </is>
      </c>
      <c r="C74" t="inlineStr">
        <is>
          <t>Dairy</t>
        </is>
      </c>
      <c r="D74" t="n">
        <v>9</v>
      </c>
      <c r="E74" t="n">
        <v>82</v>
      </c>
      <c r="F74" t="inlineStr">
        <is>
          <t>hayday.info</t>
        </is>
      </c>
      <c r="G74" t="n">
        <v>1</v>
      </c>
      <c r="H74" t="n">
        <v>30</v>
      </c>
      <c r="I74" t="n">
        <v>25</v>
      </c>
      <c r="J74" t="n">
        <v>64</v>
      </c>
      <c r="K74" t="n">
        <v>36.67</v>
      </c>
      <c r="L74" t="n">
        <v>30</v>
      </c>
      <c r="M74" t="n">
        <v>120</v>
      </c>
      <c r="N74" t="n">
        <v>0</v>
      </c>
      <c r="P74" t="n">
        <v>186.67</v>
      </c>
      <c r="Q74" t="n">
        <v>120</v>
      </c>
      <c r="R74" t="n">
        <v>26.36</v>
      </c>
      <c r="S74" t="n">
        <v>30.33</v>
      </c>
      <c r="T74" t="n">
        <v>180.33</v>
      </c>
      <c r="U74" t="n">
        <v>113</v>
      </c>
      <c r="V74" t="n">
        <v>27.28</v>
      </c>
      <c r="W74" t="n">
        <v>18</v>
      </c>
      <c r="X74" t="n">
        <v>36</v>
      </c>
      <c r="Y74" t="n">
        <v>43.2</v>
      </c>
      <c r="Z74" t="n">
        <v>42.35</v>
      </c>
      <c r="AA74" t="inlineStr">
        <is>
          <t>Milk x2</t>
        </is>
      </c>
      <c r="AB74" t="b">
        <v>1</v>
      </c>
      <c r="AC74" t="inlineStr">
        <is>
          <t>match (normal x0.85)</t>
        </is>
      </c>
    </row>
    <row r="75">
      <c r="A75" t="inlineStr">
        <is>
          <t>Peanut Butter and Jelly Sandwich</t>
        </is>
      </c>
      <c r="B75" t="inlineStr">
        <is>
          <t>machine</t>
        </is>
      </c>
      <c r="C75" t="inlineStr">
        <is>
          <t>Sandwich Bar</t>
        </is>
      </c>
      <c r="D75" t="n">
        <v>71</v>
      </c>
      <c r="E75" t="n">
        <v>673</v>
      </c>
      <c r="F75" t="inlineStr">
        <is>
          <t>hayday.info</t>
        </is>
      </c>
      <c r="G75" t="n">
        <v>1</v>
      </c>
      <c r="H75" t="n">
        <v>25</v>
      </c>
      <c r="I75" t="n">
        <v>21</v>
      </c>
      <c r="J75" t="n">
        <v>528</v>
      </c>
      <c r="K75" t="n">
        <v>455</v>
      </c>
      <c r="L75" t="n">
        <v>12</v>
      </c>
      <c r="M75" t="n">
        <v>0</v>
      </c>
      <c r="N75" t="n">
        <v>1080</v>
      </c>
      <c r="O75" t="inlineStr">
        <is>
          <t>Peanuts x1</t>
        </is>
      </c>
      <c r="P75" t="n">
        <v>1547</v>
      </c>
      <c r="Q75" t="n">
        <v>1525</v>
      </c>
      <c r="R75" t="n">
        <v>26.1</v>
      </c>
      <c r="S75" t="n">
        <v>386</v>
      </c>
      <c r="T75" t="n">
        <v>1478</v>
      </c>
      <c r="U75" t="n">
        <v>1458</v>
      </c>
      <c r="V75" t="n">
        <v>27.32</v>
      </c>
      <c r="W75" t="n">
        <v>145</v>
      </c>
      <c r="X75" t="n">
        <v>348</v>
      </c>
      <c r="Y75" t="n">
        <v>414.29</v>
      </c>
      <c r="Z75" t="n">
        <v>409.41</v>
      </c>
      <c r="AA75" t="inlineStr">
        <is>
          <t>Bread x2; Raspberry Jam x1; Peanuts x1</t>
        </is>
      </c>
      <c r="AB75" t="b">
        <v>0</v>
      </c>
      <c r="AC75" t="inlineStr">
        <is>
          <t>match (normal x0.85)</t>
        </is>
      </c>
    </row>
    <row r="76">
      <c r="A76" t="inlineStr">
        <is>
          <t>Vanilla Ice Cream</t>
        </is>
      </c>
      <c r="B76" t="inlineStr">
        <is>
          <t>machine</t>
        </is>
      </c>
      <c r="C76" t="inlineStr">
        <is>
          <t>Ice Cream Maker</t>
        </is>
      </c>
      <c r="D76" t="n">
        <v>29</v>
      </c>
      <c r="E76" t="n">
        <v>172</v>
      </c>
      <c r="F76" t="inlineStr">
        <is>
          <t>hayday.info</t>
        </is>
      </c>
      <c r="G76" t="n">
        <v>1</v>
      </c>
      <c r="H76" t="n">
        <v>120</v>
      </c>
      <c r="I76" t="n">
        <v>102</v>
      </c>
      <c r="J76" t="n">
        <v>132</v>
      </c>
      <c r="K76" t="n">
        <v>186.67</v>
      </c>
      <c r="L76" t="n">
        <v>90</v>
      </c>
      <c r="M76" t="n">
        <v>120</v>
      </c>
      <c r="N76" t="n">
        <v>0</v>
      </c>
      <c r="P76" t="n">
        <v>396.67</v>
      </c>
      <c r="Q76" t="n">
        <v>230</v>
      </c>
      <c r="R76" t="n">
        <v>26.02</v>
      </c>
      <c r="S76" t="n">
        <v>158.33</v>
      </c>
      <c r="T76" t="n">
        <v>368.33</v>
      </c>
      <c r="U76" t="n">
        <v>207</v>
      </c>
      <c r="V76" t="n">
        <v>28.02</v>
      </c>
      <c r="W76" t="n">
        <v>40</v>
      </c>
      <c r="X76" t="n">
        <v>20</v>
      </c>
      <c r="Y76" t="n">
        <v>23.53</v>
      </c>
      <c r="Z76" t="n">
        <v>23.53</v>
      </c>
      <c r="AA76" t="inlineStr">
        <is>
          <t>Milk x1; Cream x1; White Sugar x1</t>
        </is>
      </c>
      <c r="AB76" t="b">
        <v>1</v>
      </c>
      <c r="AC76" t="inlineStr">
        <is>
          <t>match (mastered)</t>
        </is>
      </c>
    </row>
    <row r="77">
      <c r="A77" t="inlineStr">
        <is>
          <t>Passion Fruit Pie</t>
        </is>
      </c>
      <c r="B77" t="inlineStr">
        <is>
          <t>machine</t>
        </is>
      </c>
      <c r="C77" t="inlineStr">
        <is>
          <t>Pie Oven</t>
        </is>
      </c>
      <c r="D77" t="n">
        <v>92</v>
      </c>
      <c r="E77" t="n">
        <v>111</v>
      </c>
      <c r="F77" t="inlineStr">
        <is>
          <t>hayday.info</t>
        </is>
      </c>
      <c r="G77" t="n">
        <v>1</v>
      </c>
      <c r="H77" t="n">
        <v>50</v>
      </c>
      <c r="I77" t="n">
        <v>42</v>
      </c>
      <c r="J77" t="n">
        <v>78</v>
      </c>
      <c r="K77" t="n">
        <v>51.67</v>
      </c>
      <c r="L77" t="n">
        <v>187</v>
      </c>
      <c r="M77" t="n">
        <v>20</v>
      </c>
      <c r="N77" t="n">
        <v>0</v>
      </c>
      <c r="P77" t="n">
        <v>258.67</v>
      </c>
      <c r="Q77" t="n">
        <v>110</v>
      </c>
      <c r="R77" t="n">
        <v>25.75</v>
      </c>
      <c r="S77" t="n">
        <v>43.33</v>
      </c>
      <c r="T77" t="n">
        <v>250.33</v>
      </c>
      <c r="U77" t="n">
        <v>102</v>
      </c>
      <c r="V77" t="n">
        <v>26.6</v>
      </c>
      <c r="W77" t="n">
        <v>33</v>
      </c>
      <c r="X77" t="n">
        <v>39.6</v>
      </c>
      <c r="Y77" t="n">
        <v>47.14</v>
      </c>
      <c r="Z77" t="n">
        <v>46.59</v>
      </c>
      <c r="AA77" t="inlineStr">
        <is>
          <t>Passion Fruit x3; Wheat x2; Egg x1</t>
        </is>
      </c>
      <c r="AB77" t="b">
        <v>0</v>
      </c>
      <c r="AC77" t="inlineStr">
        <is>
          <t>match (mastered)</t>
        </is>
      </c>
    </row>
    <row r="78">
      <c r="A78" t="inlineStr">
        <is>
          <t>Syrup</t>
        </is>
      </c>
      <c r="B78" t="inlineStr">
        <is>
          <t>machine</t>
        </is>
      </c>
      <c r="C78" t="inlineStr">
        <is>
          <t>Sugar Mill</t>
        </is>
      </c>
      <c r="D78" t="n">
        <v>18</v>
      </c>
      <c r="E78" t="n">
        <v>90</v>
      </c>
      <c r="F78" t="inlineStr">
        <is>
          <t>hayday.info</t>
        </is>
      </c>
      <c r="G78" t="n">
        <v>1</v>
      </c>
      <c r="H78" t="n">
        <v>90</v>
      </c>
      <c r="I78" t="n">
        <v>76</v>
      </c>
      <c r="J78" t="n">
        <v>56</v>
      </c>
      <c r="K78" t="n">
        <v>90</v>
      </c>
      <c r="L78" t="n">
        <v>120</v>
      </c>
      <c r="M78" t="n">
        <v>0</v>
      </c>
      <c r="N78" t="n">
        <v>0</v>
      </c>
      <c r="P78" t="n">
        <v>210</v>
      </c>
      <c r="Q78" t="n">
        <v>120</v>
      </c>
      <c r="R78" t="n">
        <v>25.71</v>
      </c>
      <c r="S78" t="n">
        <v>76</v>
      </c>
      <c r="T78" t="n">
        <v>196</v>
      </c>
      <c r="U78" t="n">
        <v>106</v>
      </c>
      <c r="V78" t="n">
        <v>27.55</v>
      </c>
      <c r="W78" t="n">
        <v>34</v>
      </c>
      <c r="X78" t="n">
        <v>22.67</v>
      </c>
      <c r="Y78" t="n">
        <v>26.84</v>
      </c>
      <c r="Z78" t="n">
        <v>26.67</v>
      </c>
      <c r="AA78" t="inlineStr">
        <is>
          <t>Sugarcane x4</t>
        </is>
      </c>
      <c r="AB78" t="b">
        <v>1</v>
      </c>
      <c r="AC78" t="inlineStr">
        <is>
          <t>match (mastered)</t>
        </is>
      </c>
    </row>
    <row r="79">
      <c r="A79" t="inlineStr">
        <is>
          <t>Soy Sauce</t>
        </is>
      </c>
      <c r="B79" t="inlineStr">
        <is>
          <t>machine</t>
        </is>
      </c>
      <c r="C79" t="inlineStr">
        <is>
          <t>Sauce Maker</t>
        </is>
      </c>
      <c r="D79" t="n">
        <v>54</v>
      </c>
      <c r="E79" t="n">
        <v>154</v>
      </c>
      <c r="F79" t="inlineStr">
        <is>
          <t>hayday.info</t>
        </is>
      </c>
      <c r="G79" t="n">
        <v>1</v>
      </c>
      <c r="H79" t="n">
        <v>180</v>
      </c>
      <c r="I79" t="n">
        <v>153</v>
      </c>
      <c r="J79" t="n">
        <v>93</v>
      </c>
      <c r="K79" t="n">
        <v>180</v>
      </c>
      <c r="L79" t="n">
        <v>182</v>
      </c>
      <c r="M79" t="n">
        <v>0</v>
      </c>
      <c r="N79" t="n">
        <v>0</v>
      </c>
      <c r="P79" t="n">
        <v>362</v>
      </c>
      <c r="Q79" t="n">
        <v>200</v>
      </c>
      <c r="R79" t="n">
        <v>25.52</v>
      </c>
      <c r="S79" t="n">
        <v>153</v>
      </c>
      <c r="T79" t="n">
        <v>335</v>
      </c>
      <c r="U79" t="n">
        <v>173</v>
      </c>
      <c r="V79" t="n">
        <v>27.58</v>
      </c>
      <c r="W79" t="n">
        <v>61</v>
      </c>
      <c r="X79" t="n">
        <v>20.33</v>
      </c>
      <c r="Y79" t="n">
        <v>23.92</v>
      </c>
      <c r="Z79" t="n">
        <v>23.92</v>
      </c>
      <c r="AA79" t="inlineStr">
        <is>
          <t>Soybean x9; Wheat x1</t>
        </is>
      </c>
      <c r="AB79" t="b">
        <v>0</v>
      </c>
      <c r="AC79" t="inlineStr">
        <is>
          <t>match (mastered)</t>
        </is>
      </c>
    </row>
    <row r="80">
      <c r="A80" t="inlineStr">
        <is>
          <t>Plain Yogurt</t>
        </is>
      </c>
      <c r="B80" t="inlineStr">
        <is>
          <t>machine</t>
        </is>
      </c>
      <c r="C80" t="inlineStr">
        <is>
          <t>Yogurt Maker</t>
        </is>
      </c>
      <c r="D80" t="n">
        <v>103</v>
      </c>
      <c r="E80" t="n">
        <v>234</v>
      </c>
      <c r="F80" t="inlineStr">
        <is>
          <t>hayday.info</t>
        </is>
      </c>
      <c r="G80" t="n">
        <v>1</v>
      </c>
      <c r="H80" t="n">
        <v>120</v>
      </c>
      <c r="I80" t="n">
        <v>102</v>
      </c>
      <c r="J80" t="n">
        <v>196</v>
      </c>
      <c r="K80" t="n">
        <v>176.67</v>
      </c>
      <c r="L80" t="n">
        <v>75</v>
      </c>
      <c r="M80" t="n">
        <v>300</v>
      </c>
      <c r="N80" t="n">
        <v>0</v>
      </c>
      <c r="P80" t="n">
        <v>551.67</v>
      </c>
      <c r="Q80" t="n">
        <v>250</v>
      </c>
      <c r="R80" t="n">
        <v>25.45</v>
      </c>
      <c r="S80" t="n">
        <v>149.33</v>
      </c>
      <c r="T80" t="n">
        <v>524.33</v>
      </c>
      <c r="U80" t="n">
        <v>224</v>
      </c>
      <c r="V80" t="n">
        <v>26.78</v>
      </c>
      <c r="W80" t="n">
        <v>38</v>
      </c>
      <c r="X80" t="n">
        <v>19</v>
      </c>
      <c r="Y80" t="n">
        <v>22.35</v>
      </c>
      <c r="Z80" t="n">
        <v>22.35</v>
      </c>
      <c r="AA80" t="inlineStr">
        <is>
          <t>Milk x3; Cream x2</t>
        </is>
      </c>
      <c r="AB80" t="b">
        <v>0</v>
      </c>
      <c r="AC80" t="inlineStr">
        <is>
          <t>match (mastered)</t>
        </is>
      </c>
    </row>
    <row r="81">
      <c r="A81" t="inlineStr">
        <is>
          <t>Egg Sushi</t>
        </is>
      </c>
      <c r="B81" t="inlineStr">
        <is>
          <t>machine</t>
        </is>
      </c>
      <c r="C81" t="inlineStr">
        <is>
          <t>Sushi Bar</t>
        </is>
      </c>
      <c r="D81" t="n">
        <v>63</v>
      </c>
      <c r="E81" t="n">
        <v>550</v>
      </c>
      <c r="F81" t="inlineStr">
        <is>
          <t>hayday.info</t>
        </is>
      </c>
      <c r="G81" t="n">
        <v>1</v>
      </c>
      <c r="H81" t="n">
        <v>120</v>
      </c>
      <c r="I81" t="n">
        <v>102</v>
      </c>
      <c r="J81" t="n">
        <v>528</v>
      </c>
      <c r="K81" t="n">
        <v>326.67</v>
      </c>
      <c r="L81" t="n">
        <v>899</v>
      </c>
      <c r="M81" t="n">
        <v>80</v>
      </c>
      <c r="N81" t="n">
        <v>0</v>
      </c>
      <c r="P81" t="n">
        <v>1305.67</v>
      </c>
      <c r="Q81" t="n">
        <v>320</v>
      </c>
      <c r="R81" t="n">
        <v>25.27</v>
      </c>
      <c r="S81" t="n">
        <v>277.33</v>
      </c>
      <c r="T81" t="n">
        <v>1256.33</v>
      </c>
      <c r="U81" t="n">
        <v>275</v>
      </c>
      <c r="V81" t="n">
        <v>26.27</v>
      </c>
      <c r="W81" t="n">
        <v>22</v>
      </c>
      <c r="X81" t="n">
        <v>11</v>
      </c>
      <c r="Y81" t="n">
        <v>12.94</v>
      </c>
      <c r="Z81" t="n">
        <v>12.94</v>
      </c>
      <c r="AA81" t="inlineStr">
        <is>
          <t>Brown Sugar x1; Egg x4; Rice x15; Soy Sauce x1</t>
        </is>
      </c>
      <c r="AB81" t="b">
        <v>0</v>
      </c>
      <c r="AC81" t="inlineStr">
        <is>
          <t>match (mastered)</t>
        </is>
      </c>
    </row>
    <row r="82">
      <c r="A82" t="inlineStr">
        <is>
          <t>Cheese</t>
        </is>
      </c>
      <c r="B82" t="inlineStr">
        <is>
          <t>machine</t>
        </is>
      </c>
      <c r="C82" t="inlineStr">
        <is>
          <t>Dairy</t>
        </is>
      </c>
      <c r="D82" t="n">
        <v>12</v>
      </c>
      <c r="E82" t="n">
        <v>122</v>
      </c>
      <c r="F82" t="inlineStr">
        <is>
          <t>hayday.info</t>
        </is>
      </c>
      <c r="G82" t="n">
        <v>1</v>
      </c>
      <c r="H82" t="n">
        <v>60</v>
      </c>
      <c r="I82" t="n">
        <v>51</v>
      </c>
      <c r="J82" t="n">
        <v>96</v>
      </c>
      <c r="K82" t="n">
        <v>70</v>
      </c>
      <c r="L82" t="n">
        <v>45</v>
      </c>
      <c r="M82" t="n">
        <v>180</v>
      </c>
      <c r="N82" t="n">
        <v>0</v>
      </c>
      <c r="P82" t="n">
        <v>295</v>
      </c>
      <c r="Q82" t="n">
        <v>150</v>
      </c>
      <c r="R82" t="n">
        <v>24.81</v>
      </c>
      <c r="S82" t="n">
        <v>59</v>
      </c>
      <c r="T82" t="n">
        <v>284</v>
      </c>
      <c r="U82" t="n">
        <v>139</v>
      </c>
      <c r="V82" t="n">
        <v>25.77</v>
      </c>
      <c r="W82" t="n">
        <v>26</v>
      </c>
      <c r="X82" t="n">
        <v>26</v>
      </c>
      <c r="Y82" t="n">
        <v>30.59</v>
      </c>
      <c r="Z82" t="n">
        <v>30.59</v>
      </c>
      <c r="AA82" t="inlineStr">
        <is>
          <t>Milk x3</t>
        </is>
      </c>
      <c r="AB82" t="b">
        <v>1</v>
      </c>
      <c r="AC82" t="inlineStr">
        <is>
          <t>match (mastered)</t>
        </is>
      </c>
    </row>
    <row r="83">
      <c r="A83" t="inlineStr">
        <is>
          <t>Pumpkin Soup</t>
        </is>
      </c>
      <c r="B83" t="inlineStr">
        <is>
          <t>machine</t>
        </is>
      </c>
      <c r="C83" t="inlineStr">
        <is>
          <t>Soup Kitchen</t>
        </is>
      </c>
      <c r="D83" t="n">
        <v>49</v>
      </c>
      <c r="E83" t="n">
        <v>392</v>
      </c>
      <c r="F83" t="inlineStr">
        <is>
          <t>hayday.info</t>
        </is>
      </c>
      <c r="G83" t="n">
        <v>1</v>
      </c>
      <c r="H83" t="n">
        <v>120</v>
      </c>
      <c r="I83" t="n">
        <v>102</v>
      </c>
      <c r="J83" t="n">
        <v>346</v>
      </c>
      <c r="K83" t="n">
        <v>176.67</v>
      </c>
      <c r="L83" t="n">
        <v>590</v>
      </c>
      <c r="M83" t="n">
        <v>190</v>
      </c>
      <c r="N83" t="n">
        <v>0</v>
      </c>
      <c r="P83" t="n">
        <v>956.67</v>
      </c>
      <c r="Q83" t="n">
        <v>300</v>
      </c>
      <c r="R83" t="n">
        <v>24.59</v>
      </c>
      <c r="S83" t="n">
        <v>149.33</v>
      </c>
      <c r="T83" t="n">
        <v>929.33</v>
      </c>
      <c r="U83" t="n">
        <v>282</v>
      </c>
      <c r="V83" t="n">
        <v>25.31</v>
      </c>
      <c r="W83" t="n">
        <v>46</v>
      </c>
      <c r="X83" t="n">
        <v>23</v>
      </c>
      <c r="Y83" t="n">
        <v>27.06</v>
      </c>
      <c r="Z83" t="n">
        <v>27.06</v>
      </c>
      <c r="AA83" t="inlineStr">
        <is>
          <t>Pumpkin x3; Butter x1; Honey x1; Carrot x2</t>
        </is>
      </c>
      <c r="AB83" t="b">
        <v>0</v>
      </c>
      <c r="AC83" t="inlineStr">
        <is>
          <t>match (mastered)</t>
        </is>
      </c>
    </row>
    <row r="84">
      <c r="A84" t="inlineStr">
        <is>
          <t>Milk</t>
        </is>
      </c>
      <c r="B84" t="inlineStr">
        <is>
          <t>animal</t>
        </is>
      </c>
      <c r="C84" t="inlineStr">
        <is>
          <t>Cow</t>
        </is>
      </c>
      <c r="D84" t="n">
        <v>6</v>
      </c>
      <c r="E84" t="n">
        <v>32</v>
      </c>
      <c r="F84" t="inlineStr">
        <is>
          <t>hayday.info</t>
        </is>
      </c>
      <c r="G84" t="n">
        <v>1</v>
      </c>
      <c r="H84" t="n">
        <v>60</v>
      </c>
      <c r="J84" t="n">
        <v>14</v>
      </c>
      <c r="K84" t="n">
        <v>3.33</v>
      </c>
      <c r="L84" t="n">
        <v>15</v>
      </c>
      <c r="M84" t="n">
        <v>60</v>
      </c>
      <c r="N84" t="n">
        <v>0</v>
      </c>
      <c r="P84" t="n">
        <v>78.33</v>
      </c>
      <c r="Q84" t="n">
        <v>90</v>
      </c>
      <c r="R84" t="n">
        <v>24.51</v>
      </c>
      <c r="S84" t="n">
        <v>2.67</v>
      </c>
      <c r="T84" t="n">
        <v>77.67</v>
      </c>
      <c r="U84" t="n">
        <v>88</v>
      </c>
      <c r="V84" t="n">
        <v>24.72</v>
      </c>
      <c r="W84" t="n">
        <v>18</v>
      </c>
      <c r="X84" t="n">
        <v>18</v>
      </c>
      <c r="Y84" t="n">
        <v>18</v>
      </c>
      <c r="Z84" t="n">
        <v>18</v>
      </c>
      <c r="AA84" t="inlineStr">
        <is>
          <t>Cow Feed x1</t>
        </is>
      </c>
      <c r="AB84" t="b">
        <v>1</v>
      </c>
    </row>
    <row r="85">
      <c r="A85" t="inlineStr">
        <is>
          <t>Rice Noodles</t>
        </is>
      </c>
      <c r="B85" t="inlineStr">
        <is>
          <t>machine</t>
        </is>
      </c>
      <c r="C85" t="inlineStr">
        <is>
          <t>Pasta Maker</t>
        </is>
      </c>
      <c r="D85" t="n">
        <v>73</v>
      </c>
      <c r="E85" t="n">
        <v>100</v>
      </c>
      <c r="F85" t="inlineStr">
        <is>
          <t>hayday.info</t>
        </is>
      </c>
      <c r="G85" t="n">
        <v>1</v>
      </c>
      <c r="H85" t="n">
        <v>20</v>
      </c>
      <c r="I85" t="n">
        <v>17</v>
      </c>
      <c r="J85" t="n">
        <v>90</v>
      </c>
      <c r="K85" t="n">
        <v>20</v>
      </c>
      <c r="L85" t="n">
        <v>225</v>
      </c>
      <c r="M85" t="n">
        <v>0</v>
      </c>
      <c r="N85" t="n">
        <v>0</v>
      </c>
      <c r="P85" t="n">
        <v>245</v>
      </c>
      <c r="Q85" t="n">
        <v>65</v>
      </c>
      <c r="R85" t="n">
        <v>24.49</v>
      </c>
      <c r="S85" t="n">
        <v>17</v>
      </c>
      <c r="T85" t="n">
        <v>242</v>
      </c>
      <c r="U85" t="n">
        <v>62</v>
      </c>
      <c r="V85" t="n">
        <v>24.79</v>
      </c>
      <c r="W85" t="n">
        <v>10</v>
      </c>
      <c r="X85" t="n">
        <v>30</v>
      </c>
      <c r="Y85" t="n">
        <v>35.29</v>
      </c>
      <c r="Z85" t="n">
        <v>35.29</v>
      </c>
      <c r="AA85" t="inlineStr">
        <is>
          <t>Rice x5</t>
        </is>
      </c>
      <c r="AB85" t="b">
        <v>0</v>
      </c>
      <c r="AC85" t="inlineStr">
        <is>
          <t>match (mastered)</t>
        </is>
      </c>
    </row>
    <row r="86">
      <c r="A86" t="inlineStr">
        <is>
          <t>Cheesecake</t>
        </is>
      </c>
      <c r="B86" t="inlineStr">
        <is>
          <t>machine</t>
        </is>
      </c>
      <c r="C86" t="inlineStr">
        <is>
          <t>Cake Oven</t>
        </is>
      </c>
      <c r="D86" t="n">
        <v>24</v>
      </c>
      <c r="E86" t="n">
        <v>284</v>
      </c>
      <c r="F86" t="inlineStr">
        <is>
          <t>hayday.info</t>
        </is>
      </c>
      <c r="G86" t="n">
        <v>1</v>
      </c>
      <c r="H86" t="n">
        <v>240</v>
      </c>
      <c r="I86" t="n">
        <v>204</v>
      </c>
      <c r="J86" t="n">
        <v>226</v>
      </c>
      <c r="K86" t="n">
        <v>393.33</v>
      </c>
      <c r="L86" t="n">
        <v>85</v>
      </c>
      <c r="M86" t="n">
        <v>220</v>
      </c>
      <c r="N86" t="n">
        <v>0</v>
      </c>
      <c r="P86" t="n">
        <v>698.33</v>
      </c>
      <c r="Q86" t="n">
        <v>390</v>
      </c>
      <c r="R86" t="n">
        <v>24.4</v>
      </c>
      <c r="S86" t="n">
        <v>333.67</v>
      </c>
      <c r="T86" t="n">
        <v>638.67</v>
      </c>
      <c r="U86" t="n">
        <v>343</v>
      </c>
      <c r="V86" t="n">
        <v>26.68</v>
      </c>
      <c r="W86" t="n">
        <v>58</v>
      </c>
      <c r="X86" t="n">
        <v>14.5</v>
      </c>
      <c r="Y86" t="n">
        <v>17.06</v>
      </c>
      <c r="Z86" t="n">
        <v>17.06</v>
      </c>
      <c r="AA86" t="inlineStr">
        <is>
          <t>Cheese x1; Cookie x1</t>
        </is>
      </c>
      <c r="AB86" t="b">
        <v>1</v>
      </c>
      <c r="AC86" t="inlineStr">
        <is>
          <t>match (mastered)</t>
        </is>
      </c>
    </row>
    <row r="87">
      <c r="A87" t="inlineStr">
        <is>
          <t>Cucumber</t>
        </is>
      </c>
      <c r="B87" t="inlineStr">
        <is>
          <t>field</t>
        </is>
      </c>
      <c r="C87" t="inlineStr">
        <is>
          <t>Farm</t>
        </is>
      </c>
      <c r="D87" t="n">
        <v>70</v>
      </c>
      <c r="E87" t="n">
        <v>14</v>
      </c>
      <c r="F87" t="inlineStr">
        <is>
          <t>hayday.info</t>
        </is>
      </c>
      <c r="G87" t="n">
        <v>1</v>
      </c>
      <c r="H87" t="n">
        <v>35</v>
      </c>
      <c r="J87" t="n">
        <v>0</v>
      </c>
      <c r="K87" t="n">
        <v>0</v>
      </c>
      <c r="L87" t="n">
        <v>35</v>
      </c>
      <c r="M87" t="n">
        <v>0</v>
      </c>
      <c r="N87" t="n">
        <v>0</v>
      </c>
      <c r="P87" t="n">
        <v>35</v>
      </c>
      <c r="Q87" t="n">
        <v>35</v>
      </c>
      <c r="R87" t="n">
        <v>24</v>
      </c>
      <c r="S87" t="n">
        <v>0</v>
      </c>
      <c r="T87" t="n">
        <v>35</v>
      </c>
      <c r="U87" t="n">
        <v>35</v>
      </c>
      <c r="V87" t="n">
        <v>24</v>
      </c>
      <c r="W87" t="n">
        <v>14</v>
      </c>
      <c r="X87" t="n">
        <v>24</v>
      </c>
      <c r="Y87" t="n">
        <v>24</v>
      </c>
      <c r="Z87" t="n">
        <v>24</v>
      </c>
      <c r="AB87" t="b">
        <v>0</v>
      </c>
    </row>
    <row r="88">
      <c r="A88" t="inlineStr">
        <is>
          <t>Tart Dressing</t>
        </is>
      </c>
      <c r="B88" t="inlineStr">
        <is>
          <t>machine</t>
        </is>
      </c>
      <c r="C88" t="inlineStr">
        <is>
          <t>Sauce Maker</t>
        </is>
      </c>
      <c r="D88" t="n">
        <v>100</v>
      </c>
      <c r="E88" t="n">
        <v>288</v>
      </c>
      <c r="F88" t="inlineStr">
        <is>
          <t>hayday.info</t>
        </is>
      </c>
      <c r="G88" t="n">
        <v>1</v>
      </c>
      <c r="H88" t="n">
        <v>30</v>
      </c>
      <c r="I88" t="n">
        <v>25</v>
      </c>
      <c r="J88" t="n">
        <v>262</v>
      </c>
      <c r="K88" t="n">
        <v>50</v>
      </c>
      <c r="L88" t="n">
        <v>600</v>
      </c>
      <c r="M88" t="n">
        <v>70</v>
      </c>
      <c r="N88" t="n">
        <v>0</v>
      </c>
      <c r="P88" t="n">
        <v>720</v>
      </c>
      <c r="Q88" t="n">
        <v>270</v>
      </c>
      <c r="R88" t="n">
        <v>24</v>
      </c>
      <c r="S88" t="n">
        <v>42</v>
      </c>
      <c r="T88" t="n">
        <v>712</v>
      </c>
      <c r="U88" t="n">
        <v>265</v>
      </c>
      <c r="V88" t="n">
        <v>24.27</v>
      </c>
      <c r="W88" t="n">
        <v>26</v>
      </c>
      <c r="X88" t="n">
        <v>52</v>
      </c>
      <c r="Y88" t="n">
        <v>62.4</v>
      </c>
      <c r="Z88" t="n">
        <v>61.18</v>
      </c>
      <c r="AA88" t="inlineStr">
        <is>
          <t>Passion Fruit x2; Chili Pepper x2; Honey x1</t>
        </is>
      </c>
      <c r="AB88" t="b">
        <v>0</v>
      </c>
      <c r="AC88" t="inlineStr">
        <is>
          <t>match (normal x0.85)</t>
        </is>
      </c>
    </row>
    <row r="89">
      <c r="A89" t="inlineStr">
        <is>
          <t>Cabbage</t>
        </is>
      </c>
      <c r="B89" t="inlineStr">
        <is>
          <t>field</t>
        </is>
      </c>
      <c r="C89" t="inlineStr">
        <is>
          <t>Farm</t>
        </is>
      </c>
      <c r="D89" t="n">
        <v>65</v>
      </c>
      <c r="E89" t="n">
        <v>18</v>
      </c>
      <c r="F89" t="inlineStr">
        <is>
          <t>hayday.info</t>
        </is>
      </c>
      <c r="G89" t="n">
        <v>1</v>
      </c>
      <c r="H89" t="n">
        <v>45</v>
      </c>
      <c r="J89" t="n">
        <v>0</v>
      </c>
      <c r="K89" t="n">
        <v>0</v>
      </c>
      <c r="L89" t="n">
        <v>45</v>
      </c>
      <c r="M89" t="n">
        <v>0</v>
      </c>
      <c r="N89" t="n">
        <v>0</v>
      </c>
      <c r="P89" t="n">
        <v>45</v>
      </c>
      <c r="Q89" t="n">
        <v>45</v>
      </c>
      <c r="R89" t="n">
        <v>24</v>
      </c>
      <c r="S89" t="n">
        <v>0</v>
      </c>
      <c r="T89" t="n">
        <v>45</v>
      </c>
      <c r="U89" t="n">
        <v>45</v>
      </c>
      <c r="V89" t="n">
        <v>24</v>
      </c>
      <c r="W89" t="n">
        <v>18</v>
      </c>
      <c r="X89" t="n">
        <v>24</v>
      </c>
      <c r="Y89" t="n">
        <v>24</v>
      </c>
      <c r="Z89" t="n">
        <v>24</v>
      </c>
      <c r="AB89" t="b">
        <v>0</v>
      </c>
    </row>
    <row r="90">
      <c r="A90" t="inlineStr">
        <is>
          <t>Rice</t>
        </is>
      </c>
      <c r="B90" t="inlineStr">
        <is>
          <t>field</t>
        </is>
      </c>
      <c r="C90" t="inlineStr">
        <is>
          <t>Farm</t>
        </is>
      </c>
      <c r="D90" t="n">
        <v>56</v>
      </c>
      <c r="E90" t="n">
        <v>18</v>
      </c>
      <c r="F90" t="inlineStr">
        <is>
          <t>hayday.info</t>
        </is>
      </c>
      <c r="G90" t="n">
        <v>1</v>
      </c>
      <c r="H90" t="n">
        <v>45</v>
      </c>
      <c r="J90" t="n">
        <v>0</v>
      </c>
      <c r="K90" t="n">
        <v>0</v>
      </c>
      <c r="L90" t="n">
        <v>45</v>
      </c>
      <c r="M90" t="n">
        <v>0</v>
      </c>
      <c r="N90" t="n">
        <v>0</v>
      </c>
      <c r="P90" t="n">
        <v>45</v>
      </c>
      <c r="Q90" t="n">
        <v>45</v>
      </c>
      <c r="R90" t="n">
        <v>24</v>
      </c>
      <c r="S90" t="n">
        <v>0</v>
      </c>
      <c r="T90" t="n">
        <v>45</v>
      </c>
      <c r="U90" t="n">
        <v>45</v>
      </c>
      <c r="V90" t="n">
        <v>24</v>
      </c>
      <c r="W90" t="n">
        <v>18</v>
      </c>
      <c r="X90" t="n">
        <v>24</v>
      </c>
      <c r="Y90" t="n">
        <v>24</v>
      </c>
      <c r="Z90" t="n">
        <v>24</v>
      </c>
      <c r="AB90" t="b">
        <v>0</v>
      </c>
    </row>
    <row r="91">
      <c r="A91" t="inlineStr">
        <is>
          <t>Sesame Ice Cream</t>
        </is>
      </c>
      <c r="B91" t="inlineStr">
        <is>
          <t>machine</t>
        </is>
      </c>
      <c r="C91" t="inlineStr">
        <is>
          <t>Ice Cream Maker</t>
        </is>
      </c>
      <c r="D91" t="n">
        <v>50</v>
      </c>
      <c r="E91" t="n">
        <v>176</v>
      </c>
      <c r="F91" t="inlineStr">
        <is>
          <t>hayday.info</t>
        </is>
      </c>
      <c r="G91" t="n">
        <v>1</v>
      </c>
      <c r="H91" t="n">
        <v>120</v>
      </c>
      <c r="I91" t="n">
        <v>102</v>
      </c>
      <c r="J91" t="n">
        <v>136</v>
      </c>
      <c r="K91" t="n">
        <v>163.33</v>
      </c>
      <c r="L91" t="n">
        <v>225</v>
      </c>
      <c r="M91" t="n">
        <v>60</v>
      </c>
      <c r="N91" t="n">
        <v>0</v>
      </c>
      <c r="P91" t="n">
        <v>448.33</v>
      </c>
      <c r="Q91" t="n">
        <v>230</v>
      </c>
      <c r="R91" t="n">
        <v>23.55</v>
      </c>
      <c r="S91" t="n">
        <v>138.67</v>
      </c>
      <c r="T91" t="n">
        <v>423.67</v>
      </c>
      <c r="U91" t="n">
        <v>207</v>
      </c>
      <c r="V91" t="n">
        <v>24.93</v>
      </c>
      <c r="W91" t="n">
        <v>40</v>
      </c>
      <c r="X91" t="n">
        <v>20</v>
      </c>
      <c r="Y91" t="n">
        <v>23.53</v>
      </c>
      <c r="Z91" t="n">
        <v>23.53</v>
      </c>
      <c r="AA91" t="inlineStr">
        <is>
          <t>Cream x1; Sesame x3; Brown Sugar x1</t>
        </is>
      </c>
      <c r="AB91" t="b">
        <v>0</v>
      </c>
      <c r="AC91" t="inlineStr">
        <is>
          <t>match (mastered)</t>
        </is>
      </c>
    </row>
    <row r="92">
      <c r="A92" t="inlineStr">
        <is>
          <t>Passion Fruit Juice</t>
        </is>
      </c>
      <c r="B92" t="inlineStr">
        <is>
          <t>machine</t>
        </is>
      </c>
      <c r="C92" t="inlineStr">
        <is>
          <t>Juice Press</t>
        </is>
      </c>
      <c r="D92" t="n">
        <v>88</v>
      </c>
      <c r="E92" t="n">
        <v>64</v>
      </c>
      <c r="F92" t="inlineStr">
        <is>
          <t>hayday.info</t>
        </is>
      </c>
      <c r="G92" t="n">
        <v>1</v>
      </c>
      <c r="H92" t="n">
        <v>45</v>
      </c>
      <c r="I92" t="n">
        <v>38</v>
      </c>
      <c r="J92" t="n">
        <v>36</v>
      </c>
      <c r="K92" t="n">
        <v>45</v>
      </c>
      <c r="L92" t="n">
        <v>120</v>
      </c>
      <c r="M92" t="n">
        <v>0</v>
      </c>
      <c r="N92" t="n">
        <v>0</v>
      </c>
      <c r="P92" t="n">
        <v>165</v>
      </c>
      <c r="Q92" t="n">
        <v>105</v>
      </c>
      <c r="R92" t="n">
        <v>23.27</v>
      </c>
      <c r="S92" t="n">
        <v>38</v>
      </c>
      <c r="T92" t="n">
        <v>158</v>
      </c>
      <c r="U92" t="n">
        <v>98</v>
      </c>
      <c r="V92" t="n">
        <v>24.3</v>
      </c>
      <c r="W92" t="n">
        <v>28</v>
      </c>
      <c r="X92" t="n">
        <v>37.33</v>
      </c>
      <c r="Y92" t="n">
        <v>44.21</v>
      </c>
      <c r="Z92" t="n">
        <v>43.92</v>
      </c>
      <c r="AA92" t="inlineStr">
        <is>
          <t>Passion Fruit x2</t>
        </is>
      </c>
      <c r="AB92" t="b">
        <v>0</v>
      </c>
      <c r="AC92" t="inlineStr">
        <is>
          <t>match (mastered)</t>
        </is>
      </c>
    </row>
    <row r="93">
      <c r="A93" t="inlineStr">
        <is>
          <t>Honey Face Mask</t>
        </is>
      </c>
      <c r="B93" t="inlineStr">
        <is>
          <t>machine</t>
        </is>
      </c>
      <c r="C93" t="inlineStr">
        <is>
          <t>Bath Kiosk</t>
        </is>
      </c>
      <c r="D93" t="n">
        <v>99</v>
      </c>
      <c r="E93" t="n">
        <v>320</v>
      </c>
      <c r="F93" t="inlineStr">
        <is>
          <t>hayday.info</t>
        </is>
      </c>
      <c r="G93" t="n">
        <v>1</v>
      </c>
      <c r="H93" t="n">
        <v>90</v>
      </c>
      <c r="I93" t="n">
        <v>77</v>
      </c>
      <c r="J93" t="n">
        <v>283</v>
      </c>
      <c r="K93" t="n">
        <v>113.33</v>
      </c>
      <c r="L93" t="n">
        <v>6</v>
      </c>
      <c r="M93" t="n">
        <v>110</v>
      </c>
      <c r="N93" t="n">
        <v>600</v>
      </c>
      <c r="P93" t="n">
        <v>829.33</v>
      </c>
      <c r="Q93" t="n">
        <v>1890</v>
      </c>
      <c r="R93" t="n">
        <v>23.15</v>
      </c>
      <c r="S93" t="n">
        <v>96.67</v>
      </c>
      <c r="T93" t="n">
        <v>812.67</v>
      </c>
      <c r="U93" t="n">
        <v>1877</v>
      </c>
      <c r="V93" t="n">
        <v>23.63</v>
      </c>
      <c r="W93" t="n">
        <v>37</v>
      </c>
      <c r="X93" t="n">
        <v>24.67</v>
      </c>
      <c r="Y93" t="n">
        <v>28.83</v>
      </c>
      <c r="Z93" t="n">
        <v>29.02</v>
      </c>
      <c r="AA93" t="inlineStr">
        <is>
          <t>Egg x2; Honey x1; Lemon x1</t>
        </is>
      </c>
      <c r="AB93" t="b">
        <v>0</v>
      </c>
      <c r="AC93" t="inlineStr">
        <is>
          <t>match (mastered)</t>
        </is>
      </c>
    </row>
    <row r="94">
      <c r="A94" t="inlineStr">
        <is>
          <t>Cookie Cupcake</t>
        </is>
      </c>
      <c r="B94" t="inlineStr">
        <is>
          <t>machine</t>
        </is>
      </c>
      <c r="C94" t="inlineStr">
        <is>
          <t>Cupcake Maker</t>
        </is>
      </c>
      <c r="D94" t="n">
        <v>114</v>
      </c>
      <c r="E94" t="n">
        <v>712</v>
      </c>
      <c r="F94" t="inlineStr">
        <is>
          <t>hayday.info</t>
        </is>
      </c>
      <c r="G94" t="n">
        <v>1</v>
      </c>
      <c r="H94" t="n">
        <v>120</v>
      </c>
      <c r="I94" t="n">
        <v>102</v>
      </c>
      <c r="J94" t="n">
        <v>674</v>
      </c>
      <c r="K94" t="n">
        <v>501.67</v>
      </c>
      <c r="L94" t="n">
        <v>333</v>
      </c>
      <c r="M94" t="n">
        <v>340</v>
      </c>
      <c r="N94" t="n">
        <v>700</v>
      </c>
      <c r="P94" t="n">
        <v>1874.67</v>
      </c>
      <c r="Q94" t="n">
        <v>2220</v>
      </c>
      <c r="R94" t="n">
        <v>22.79</v>
      </c>
      <c r="S94" t="n">
        <v>425.33</v>
      </c>
      <c r="T94" t="n">
        <v>1798.33</v>
      </c>
      <c r="U94" t="n">
        <v>2202</v>
      </c>
      <c r="V94" t="n">
        <v>23.76</v>
      </c>
      <c r="W94" t="n">
        <v>38</v>
      </c>
      <c r="X94" t="n">
        <v>19</v>
      </c>
      <c r="Y94" t="n">
        <v>22.35</v>
      </c>
      <c r="Z94" t="n">
        <v>69</v>
      </c>
      <c r="AA94" t="inlineStr">
        <is>
          <t>Plain Cupcake x1; Cream x2; Cookie x2; Cacao x1</t>
        </is>
      </c>
      <c r="AB94" t="b">
        <v>0</v>
      </c>
      <c r="AC94" t="inlineStr">
        <is>
          <t>differs - check recipe / ingredient prices</t>
        </is>
      </c>
    </row>
    <row r="95">
      <c r="A95" t="inlineStr">
        <is>
          <t>Floral Candle</t>
        </is>
      </c>
      <c r="B95" t="inlineStr">
        <is>
          <t>machine</t>
        </is>
      </c>
      <c r="C95" t="inlineStr">
        <is>
          <t>Candle Maker</t>
        </is>
      </c>
      <c r="D95" t="n">
        <v>95</v>
      </c>
      <c r="E95" t="n">
        <v>442</v>
      </c>
      <c r="F95" t="inlineStr">
        <is>
          <t>hayday.info</t>
        </is>
      </c>
      <c r="G95" t="n">
        <v>1</v>
      </c>
      <c r="H95" t="n">
        <v>120</v>
      </c>
      <c r="I95" t="n">
        <v>102</v>
      </c>
      <c r="J95" t="n">
        <v>398</v>
      </c>
      <c r="K95" t="n">
        <v>165</v>
      </c>
      <c r="L95" t="n">
        <v>900</v>
      </c>
      <c r="M95" t="n">
        <v>105</v>
      </c>
      <c r="N95" t="n">
        <v>0</v>
      </c>
      <c r="P95" t="n">
        <v>1170</v>
      </c>
      <c r="Q95" t="n">
        <v>360</v>
      </c>
      <c r="R95" t="n">
        <v>22.67</v>
      </c>
      <c r="S95" t="n">
        <v>140</v>
      </c>
      <c r="T95" t="n">
        <v>1145</v>
      </c>
      <c r="U95" t="n">
        <v>342</v>
      </c>
      <c r="V95" t="n">
        <v>23.16</v>
      </c>
      <c r="W95" t="n">
        <v>44</v>
      </c>
      <c r="X95" t="n">
        <v>22</v>
      </c>
      <c r="Y95" t="n">
        <v>25.88</v>
      </c>
      <c r="Z95" t="n">
        <v>11.18</v>
      </c>
      <c r="AA95" t="inlineStr">
        <is>
          <t>Beeswax x1; Peony x2; Sunflower x2; Indigo x2</t>
        </is>
      </c>
      <c r="AB95" t="b">
        <v>0</v>
      </c>
      <c r="AC95" t="inlineStr">
        <is>
          <t>differs - check recipe / ingredient prices</t>
        </is>
      </c>
    </row>
    <row r="96">
      <c r="A96" t="inlineStr">
        <is>
          <t>Noodle Soup</t>
        </is>
      </c>
      <c r="B96" t="inlineStr">
        <is>
          <t>machine</t>
        </is>
      </c>
      <c r="C96" t="inlineStr">
        <is>
          <t>Soup Kitchen</t>
        </is>
      </c>
      <c r="D96" t="n">
        <v>73</v>
      </c>
      <c r="E96" t="n">
        <v>432</v>
      </c>
      <c r="F96" t="inlineStr">
        <is>
          <t>hayday.info</t>
        </is>
      </c>
      <c r="G96" t="n">
        <v>1</v>
      </c>
      <c r="H96" t="n">
        <v>120</v>
      </c>
      <c r="I96" t="n">
        <v>102</v>
      </c>
      <c r="J96" t="n">
        <v>386</v>
      </c>
      <c r="K96" t="n">
        <v>183.33</v>
      </c>
      <c r="L96" t="n">
        <v>941</v>
      </c>
      <c r="M96" t="n">
        <v>40</v>
      </c>
      <c r="N96" t="n">
        <v>0</v>
      </c>
      <c r="P96" t="n">
        <v>1164.33</v>
      </c>
      <c r="Q96" t="n">
        <v>360</v>
      </c>
      <c r="R96" t="n">
        <v>22.26</v>
      </c>
      <c r="S96" t="n">
        <v>155.67</v>
      </c>
      <c r="T96" t="n">
        <v>1136.67</v>
      </c>
      <c r="U96" t="n">
        <v>342</v>
      </c>
      <c r="V96" t="n">
        <v>22.8</v>
      </c>
      <c r="W96" t="n">
        <v>46</v>
      </c>
      <c r="X96" t="n">
        <v>23</v>
      </c>
      <c r="Y96" t="n">
        <v>27.06</v>
      </c>
      <c r="Z96" t="n">
        <v>27.06</v>
      </c>
      <c r="AA96" t="inlineStr">
        <is>
          <t>Carrot x2; Chili Pepper x1; Egg x2; Rice Noodles x3</t>
        </is>
      </c>
      <c r="AB96" t="b">
        <v>0</v>
      </c>
      <c r="AC96" t="inlineStr">
        <is>
          <t>match (mastered)</t>
        </is>
      </c>
    </row>
    <row r="97">
      <c r="A97" t="inlineStr">
        <is>
          <t>Gingerbread Cookie</t>
        </is>
      </c>
      <c r="B97" t="inlineStr">
        <is>
          <t>machine</t>
        </is>
      </c>
      <c r="C97" t="inlineStr">
        <is>
          <t>Bakery</t>
        </is>
      </c>
      <c r="D97" t="n">
        <v>86</v>
      </c>
      <c r="E97" t="n">
        <v>273</v>
      </c>
      <c r="F97" t="inlineStr">
        <is>
          <t>hayday.info</t>
        </is>
      </c>
      <c r="G97" t="n">
        <v>1</v>
      </c>
      <c r="H97" t="n">
        <v>30</v>
      </c>
      <c r="I97" t="n">
        <v>25</v>
      </c>
      <c r="J97" t="n">
        <v>243</v>
      </c>
      <c r="K97" t="n">
        <v>156.67</v>
      </c>
      <c r="L97" t="n">
        <v>460</v>
      </c>
      <c r="M97" t="n">
        <v>120</v>
      </c>
      <c r="N97" t="n">
        <v>0</v>
      </c>
      <c r="P97" t="n">
        <v>736.67</v>
      </c>
      <c r="Q97" t="n">
        <v>180</v>
      </c>
      <c r="R97" t="n">
        <v>22.24</v>
      </c>
      <c r="S97" t="n">
        <v>131.33</v>
      </c>
      <c r="T97" t="n">
        <v>711.33</v>
      </c>
      <c r="U97" t="n">
        <v>175</v>
      </c>
      <c r="V97" t="n">
        <v>23.03</v>
      </c>
      <c r="W97" t="n">
        <v>30</v>
      </c>
      <c r="X97" t="n">
        <v>60</v>
      </c>
      <c r="Y97" t="n">
        <v>72</v>
      </c>
      <c r="Z97" t="n">
        <v>70.59</v>
      </c>
      <c r="AA97" t="inlineStr">
        <is>
          <t>Wheat x5; Butter x1; Syrup x1; Ginger x2</t>
        </is>
      </c>
      <c r="AB97" t="b">
        <v>0</v>
      </c>
      <c r="AC97" t="inlineStr">
        <is>
          <t>match (normal x0.85)</t>
        </is>
      </c>
    </row>
    <row r="98">
      <c r="A98" t="inlineStr">
        <is>
          <t>Raspberry Candle</t>
        </is>
      </c>
      <c r="B98" t="inlineStr">
        <is>
          <t>machine</t>
        </is>
      </c>
      <c r="C98" t="inlineStr">
        <is>
          <t>Candle Maker</t>
        </is>
      </c>
      <c r="D98" t="n">
        <v>52</v>
      </c>
      <c r="E98" t="n">
        <v>360</v>
      </c>
      <c r="F98" t="inlineStr">
        <is>
          <t>hayday.info</t>
        </is>
      </c>
      <c r="G98" t="n">
        <v>1</v>
      </c>
      <c r="H98" t="n">
        <v>105</v>
      </c>
      <c r="I98" t="n">
        <v>89</v>
      </c>
      <c r="J98" t="n">
        <v>326</v>
      </c>
      <c r="K98" t="n">
        <v>150</v>
      </c>
      <c r="L98" t="n">
        <v>0</v>
      </c>
      <c r="M98" t="n">
        <v>105</v>
      </c>
      <c r="N98" t="n">
        <v>720</v>
      </c>
      <c r="P98" t="n">
        <v>975</v>
      </c>
      <c r="Q98" t="n">
        <v>1185</v>
      </c>
      <c r="R98" t="n">
        <v>22.15</v>
      </c>
      <c r="S98" t="n">
        <v>127</v>
      </c>
      <c r="T98" t="n">
        <v>952</v>
      </c>
      <c r="U98" t="n">
        <v>1169</v>
      </c>
      <c r="V98" t="n">
        <v>22.69</v>
      </c>
      <c r="W98" t="n">
        <v>34</v>
      </c>
      <c r="X98" t="n">
        <v>19.43</v>
      </c>
      <c r="Y98" t="n">
        <v>22.92</v>
      </c>
      <c r="Z98" t="n">
        <v>22.86</v>
      </c>
      <c r="AA98" t="inlineStr">
        <is>
          <t>Beeswax x1; Raspberry x2</t>
        </is>
      </c>
      <c r="AB98" t="b">
        <v>0</v>
      </c>
      <c r="AC98" t="inlineStr">
        <is>
          <t>match (mastered)</t>
        </is>
      </c>
    </row>
    <row r="99">
      <c r="A99" t="inlineStr">
        <is>
          <t>Pasta Carbonara</t>
        </is>
      </c>
      <c r="B99" t="inlineStr">
        <is>
          <t>machine</t>
        </is>
      </c>
      <c r="C99" t="inlineStr">
        <is>
          <t>Pasta Kitchen</t>
        </is>
      </c>
      <c r="D99" t="n">
        <v>83</v>
      </c>
      <c r="E99" t="n">
        <v>410</v>
      </c>
      <c r="F99" t="inlineStr">
        <is>
          <t>hayday.info</t>
        </is>
      </c>
      <c r="G99" t="n">
        <v>1</v>
      </c>
      <c r="H99" t="n">
        <v>150</v>
      </c>
      <c r="I99" t="n">
        <v>127</v>
      </c>
      <c r="J99" t="n">
        <v>369</v>
      </c>
      <c r="K99" t="n">
        <v>285</v>
      </c>
      <c r="L99" t="n">
        <v>95.67</v>
      </c>
      <c r="M99" t="n">
        <v>740</v>
      </c>
      <c r="N99" t="n">
        <v>0</v>
      </c>
      <c r="P99" t="n">
        <v>1120.67</v>
      </c>
      <c r="Q99" t="n">
        <v>430</v>
      </c>
      <c r="R99" t="n">
        <v>21.95</v>
      </c>
      <c r="S99" t="n">
        <v>238.67</v>
      </c>
      <c r="T99" t="n">
        <v>1074.33</v>
      </c>
      <c r="U99" t="n">
        <v>404</v>
      </c>
      <c r="V99" t="n">
        <v>22.9</v>
      </c>
      <c r="W99" t="n">
        <v>41</v>
      </c>
      <c r="X99" t="n">
        <v>16.4</v>
      </c>
      <c r="Y99" t="n">
        <v>19.37</v>
      </c>
      <c r="Z99" t="n">
        <v>19.29</v>
      </c>
      <c r="AA99" t="inlineStr">
        <is>
          <t>Fresh Pasta x3; Bacon x2; Egg x1; Cheese x1</t>
        </is>
      </c>
      <c r="AB99" t="b">
        <v>0</v>
      </c>
      <c r="AC99" t="inlineStr">
        <is>
          <t>match (mastered)</t>
        </is>
      </c>
    </row>
    <row r="100">
      <c r="A100" t="inlineStr">
        <is>
          <t>Lamb Soup</t>
        </is>
      </c>
      <c r="B100" t="inlineStr">
        <is>
          <t>machine</t>
        </is>
      </c>
      <c r="C100" t="inlineStr">
        <is>
          <t>Soup Kitchen</t>
        </is>
      </c>
      <c r="D100" t="n">
        <v>46</v>
      </c>
      <c r="E100" t="n">
        <v>180</v>
      </c>
      <c r="F100" t="inlineStr">
        <is>
          <t>Fandom</t>
        </is>
      </c>
      <c r="G100" t="n">
        <v>1</v>
      </c>
      <c r="H100" t="n">
        <v>120</v>
      </c>
      <c r="I100" t="n">
        <v>102</v>
      </c>
      <c r="J100" t="n">
        <v>140</v>
      </c>
      <c r="K100" t="n">
        <v>146.67</v>
      </c>
      <c r="L100" t="n">
        <v>293.33</v>
      </c>
      <c r="M100" t="n">
        <v>60</v>
      </c>
      <c r="N100" t="n">
        <v>0</v>
      </c>
      <c r="P100" t="n">
        <v>500</v>
      </c>
      <c r="Q100" t="n">
        <v>340</v>
      </c>
      <c r="R100" t="n">
        <v>21.6</v>
      </c>
      <c r="S100" t="n">
        <v>124.33</v>
      </c>
      <c r="T100" t="n">
        <v>477.67</v>
      </c>
      <c r="U100" t="n">
        <v>322</v>
      </c>
      <c r="V100" t="n">
        <v>22.61</v>
      </c>
      <c r="W100" t="n">
        <v>40</v>
      </c>
      <c r="X100" t="n">
        <v>20</v>
      </c>
      <c r="Y100" t="n">
        <v>23.53</v>
      </c>
      <c r="AA100" t="inlineStr">
        <is>
          <t>Grilled Lamb Skewer x1; Potato x1; Carrot x2</t>
        </is>
      </c>
      <c r="AB100" t="b">
        <v>0</v>
      </c>
    </row>
    <row r="101">
      <c r="A101" t="inlineStr">
        <is>
          <t>Eggplant</t>
        </is>
      </c>
      <c r="B101" t="inlineStr">
        <is>
          <t>field</t>
        </is>
      </c>
      <c r="C101" t="inlineStr">
        <is>
          <t>Farm</t>
        </is>
      </c>
      <c r="D101" t="n">
        <v>90</v>
      </c>
      <c r="E101" t="n">
        <v>14</v>
      </c>
      <c r="F101" t="inlineStr">
        <is>
          <t>hayday.info</t>
        </is>
      </c>
      <c r="G101" t="n">
        <v>1</v>
      </c>
      <c r="H101" t="n">
        <v>40</v>
      </c>
      <c r="J101" t="n">
        <v>0</v>
      </c>
      <c r="K101" t="n">
        <v>0</v>
      </c>
      <c r="L101" t="n">
        <v>40</v>
      </c>
      <c r="M101" t="n">
        <v>0</v>
      </c>
      <c r="N101" t="n">
        <v>0</v>
      </c>
      <c r="P101" t="n">
        <v>40</v>
      </c>
      <c r="Q101" t="n">
        <v>40</v>
      </c>
      <c r="R101" t="n">
        <v>21</v>
      </c>
      <c r="S101" t="n">
        <v>0</v>
      </c>
      <c r="T101" t="n">
        <v>40</v>
      </c>
      <c r="U101" t="n">
        <v>40</v>
      </c>
      <c r="V101" t="n">
        <v>21</v>
      </c>
      <c r="W101" t="n">
        <v>14</v>
      </c>
      <c r="X101" t="n">
        <v>21</v>
      </c>
      <c r="Y101" t="n">
        <v>21</v>
      </c>
      <c r="Z101" t="n">
        <v>21</v>
      </c>
      <c r="AB101" t="b">
        <v>0</v>
      </c>
    </row>
    <row r="102">
      <c r="A102" t="inlineStr">
        <is>
          <t>Beetroot</t>
        </is>
      </c>
      <c r="B102" t="inlineStr">
        <is>
          <t>field</t>
        </is>
      </c>
      <c r="C102" t="inlineStr">
        <is>
          <t>Farm</t>
        </is>
      </c>
      <c r="D102" t="n">
        <v>72</v>
      </c>
      <c r="E102" t="n">
        <v>14</v>
      </c>
      <c r="F102" t="inlineStr">
        <is>
          <t>hayday.info</t>
        </is>
      </c>
      <c r="G102" t="n">
        <v>1</v>
      </c>
      <c r="H102" t="n">
        <v>40</v>
      </c>
      <c r="J102" t="n">
        <v>0</v>
      </c>
      <c r="K102" t="n">
        <v>0</v>
      </c>
      <c r="L102" t="n">
        <v>40</v>
      </c>
      <c r="M102" t="n">
        <v>0</v>
      </c>
      <c r="N102" t="n">
        <v>0</v>
      </c>
      <c r="P102" t="n">
        <v>40</v>
      </c>
      <c r="Q102" t="n">
        <v>40</v>
      </c>
      <c r="R102" t="n">
        <v>21</v>
      </c>
      <c r="S102" t="n">
        <v>0</v>
      </c>
      <c r="T102" t="n">
        <v>40</v>
      </c>
      <c r="U102" t="n">
        <v>40</v>
      </c>
      <c r="V102" t="n">
        <v>21</v>
      </c>
      <c r="W102" t="n">
        <v>14</v>
      </c>
      <c r="X102" t="n">
        <v>21</v>
      </c>
      <c r="Y102" t="n">
        <v>21</v>
      </c>
      <c r="Z102" t="n">
        <v>21</v>
      </c>
      <c r="AB102" t="b">
        <v>0</v>
      </c>
    </row>
    <row r="103">
      <c r="A103" t="inlineStr">
        <is>
          <t>Mushroom Pasta</t>
        </is>
      </c>
      <c r="B103" t="inlineStr">
        <is>
          <t>machine</t>
        </is>
      </c>
      <c r="C103" t="inlineStr">
        <is>
          <t>Pasta Kitchen</t>
        </is>
      </c>
      <c r="D103" t="n">
        <v>101</v>
      </c>
      <c r="E103" t="n">
        <v>280</v>
      </c>
      <c r="F103" t="inlineStr">
        <is>
          <t>hayday.info</t>
        </is>
      </c>
      <c r="G103" t="n">
        <v>1</v>
      </c>
      <c r="H103" t="n">
        <v>75</v>
      </c>
      <c r="I103" t="n">
        <v>63</v>
      </c>
      <c r="J103" t="n">
        <v>243</v>
      </c>
      <c r="K103" t="n">
        <v>138.33</v>
      </c>
      <c r="L103" t="n">
        <v>130</v>
      </c>
      <c r="M103" t="n">
        <v>540</v>
      </c>
      <c r="N103" t="n">
        <v>0</v>
      </c>
      <c r="P103" t="n">
        <v>808.33</v>
      </c>
      <c r="Q103" t="n">
        <v>605</v>
      </c>
      <c r="R103" t="n">
        <v>20.78</v>
      </c>
      <c r="S103" t="n">
        <v>114.33</v>
      </c>
      <c r="T103" t="n">
        <v>784.33</v>
      </c>
      <c r="U103" t="n">
        <v>587</v>
      </c>
      <c r="V103" t="n">
        <v>21.42</v>
      </c>
      <c r="W103" t="n">
        <v>37</v>
      </c>
      <c r="X103" t="n">
        <v>29.6</v>
      </c>
      <c r="Y103" t="n">
        <v>35.24</v>
      </c>
      <c r="Z103" t="n">
        <v>34.82</v>
      </c>
      <c r="AA103" t="inlineStr">
        <is>
          <t>Mushroom x5; Fresh Pasta x3; Goat Milk x1</t>
        </is>
      </c>
      <c r="AB103" t="b">
        <v>0</v>
      </c>
      <c r="AC103" t="inlineStr">
        <is>
          <t>match (mastered)</t>
        </is>
      </c>
    </row>
    <row r="104">
      <c r="A104" t="inlineStr">
        <is>
          <t>Bright Bouquet</t>
        </is>
      </c>
      <c r="B104" t="inlineStr">
        <is>
          <t>machine</t>
        </is>
      </c>
      <c r="C104" t="inlineStr">
        <is>
          <t>Flower Shop</t>
        </is>
      </c>
      <c r="D104" t="n">
        <v>65</v>
      </c>
      <c r="E104" t="n">
        <v>338</v>
      </c>
      <c r="F104" t="inlineStr">
        <is>
          <t>hayday.info</t>
        </is>
      </c>
      <c r="G104" t="n">
        <v>1</v>
      </c>
      <c r="H104" t="n">
        <v>20</v>
      </c>
      <c r="I104" t="n">
        <v>17</v>
      </c>
      <c r="J104" t="n">
        <v>278</v>
      </c>
      <c r="K104" t="n">
        <v>20</v>
      </c>
      <c r="L104" t="n">
        <v>960</v>
      </c>
      <c r="M104" t="n">
        <v>0</v>
      </c>
      <c r="N104" t="n">
        <v>0</v>
      </c>
      <c r="O104" t="inlineStr">
        <is>
          <t>Iron Ore x5</t>
        </is>
      </c>
      <c r="P104" t="n">
        <v>980</v>
      </c>
      <c r="Q104" t="n">
        <v>170</v>
      </c>
      <c r="R104" t="n">
        <v>20.69</v>
      </c>
      <c r="S104" t="n">
        <v>17</v>
      </c>
      <c r="T104" t="n">
        <v>977</v>
      </c>
      <c r="U104" t="n">
        <v>167</v>
      </c>
      <c r="V104" t="n">
        <v>20.76</v>
      </c>
      <c r="W104" t="n">
        <v>60</v>
      </c>
      <c r="X104" t="n">
        <v>180</v>
      </c>
      <c r="Y104" t="n">
        <v>211.76</v>
      </c>
      <c r="Z104" t="n">
        <v>458.82</v>
      </c>
      <c r="AA104" t="inlineStr">
        <is>
          <t>Sunflower x5; Indigo x3; Cotton x1; Iron Ore x5</t>
        </is>
      </c>
      <c r="AB104" t="b">
        <v>0</v>
      </c>
      <c r="AC104" t="inlineStr">
        <is>
          <t>differs - check recipe / ingredient prices</t>
        </is>
      </c>
    </row>
    <row r="105">
      <c r="A105" t="inlineStr">
        <is>
          <t>Grilled Mussels</t>
        </is>
      </c>
      <c r="B105" t="inlineStr">
        <is>
          <t>machine</t>
        </is>
      </c>
      <c r="C105" t="inlineStr">
        <is>
          <t>BBQ Grill</t>
        </is>
      </c>
      <c r="D105" t="n">
        <v>32</v>
      </c>
      <c r="E105" t="n">
        <v>370</v>
      </c>
      <c r="F105" t="inlineStr">
        <is>
          <t>Fandom</t>
        </is>
      </c>
      <c r="G105" t="n">
        <v>1</v>
      </c>
      <c r="H105" t="n">
        <v>80</v>
      </c>
      <c r="I105" t="n">
        <v>68</v>
      </c>
      <c r="J105" t="n">
        <v>346</v>
      </c>
      <c r="K105" t="n">
        <v>150</v>
      </c>
      <c r="L105" t="n">
        <v>766</v>
      </c>
      <c r="M105" t="n">
        <v>160</v>
      </c>
      <c r="N105" t="n">
        <v>0</v>
      </c>
      <c r="O105" t="inlineStr">
        <is>
          <t>Mussel Meat x3</t>
        </is>
      </c>
      <c r="P105" t="n">
        <v>1076</v>
      </c>
      <c r="Q105" t="n">
        <v>320</v>
      </c>
      <c r="R105" t="n">
        <v>20.63</v>
      </c>
      <c r="S105" t="n">
        <v>126</v>
      </c>
      <c r="T105" t="n">
        <v>1052</v>
      </c>
      <c r="U105" t="n">
        <v>308</v>
      </c>
      <c r="V105" t="n">
        <v>21.1</v>
      </c>
      <c r="W105" t="n">
        <v>24</v>
      </c>
      <c r="X105" t="n">
        <v>18</v>
      </c>
      <c r="Y105" t="n">
        <v>21.18</v>
      </c>
      <c r="AA105" t="inlineStr">
        <is>
          <t>Mussel Meat x3; Butter x1; Chili Pepper x3; Corn Bread x1</t>
        </is>
      </c>
      <c r="AB105" t="b">
        <v>1</v>
      </c>
    </row>
    <row r="106">
      <c r="A106" t="inlineStr">
        <is>
          <t>Chocolate Pie</t>
        </is>
      </c>
      <c r="B106" t="inlineStr">
        <is>
          <t>machine</t>
        </is>
      </c>
      <c r="C106" t="inlineStr">
        <is>
          <t>Pie Oven</t>
        </is>
      </c>
      <c r="D106" t="n">
        <v>65</v>
      </c>
      <c r="E106" t="n">
        <v>514</v>
      </c>
      <c r="F106" t="inlineStr">
        <is>
          <t>hayday.info</t>
        </is>
      </c>
      <c r="G106" t="n">
        <v>1</v>
      </c>
      <c r="H106" t="n">
        <v>75</v>
      </c>
      <c r="I106" t="n">
        <v>63</v>
      </c>
      <c r="J106" t="n">
        <v>433</v>
      </c>
      <c r="K106" t="n">
        <v>76.67</v>
      </c>
      <c r="L106" t="n">
        <v>9</v>
      </c>
      <c r="M106" t="n">
        <v>20</v>
      </c>
      <c r="N106" t="n">
        <v>1400</v>
      </c>
      <c r="O106" t="inlineStr">
        <is>
          <t>Peanuts x1</t>
        </is>
      </c>
      <c r="P106" t="n">
        <v>1505.67</v>
      </c>
      <c r="Q106" t="n">
        <v>2175</v>
      </c>
      <c r="R106" t="n">
        <v>20.48</v>
      </c>
      <c r="S106" t="n">
        <v>64.33</v>
      </c>
      <c r="T106" t="n">
        <v>1493.33</v>
      </c>
      <c r="U106" t="n">
        <v>2163</v>
      </c>
      <c r="V106" t="n">
        <v>20.65</v>
      </c>
      <c r="W106" t="n">
        <v>81</v>
      </c>
      <c r="X106" t="n">
        <v>64.8</v>
      </c>
      <c r="Y106" t="n">
        <v>77.14</v>
      </c>
      <c r="Z106" t="n">
        <v>76.23999999999999</v>
      </c>
      <c r="AA106" t="inlineStr">
        <is>
          <t>Wheat x3; Cacao x2; Egg x1; Peanuts x1</t>
        </is>
      </c>
      <c r="AB106" t="b">
        <v>0</v>
      </c>
      <c r="AC106" t="inlineStr">
        <is>
          <t>match (normal x0.85)</t>
        </is>
      </c>
    </row>
    <row r="107">
      <c r="A107" t="inlineStr">
        <is>
          <t>Lobster Pasta</t>
        </is>
      </c>
      <c r="B107" t="inlineStr">
        <is>
          <t>machine</t>
        </is>
      </c>
      <c r="C107" t="inlineStr">
        <is>
          <t>Pasta Kitchen</t>
        </is>
      </c>
      <c r="D107" t="n">
        <v>79</v>
      </c>
      <c r="E107" t="n">
        <v>637</v>
      </c>
      <c r="F107" t="inlineStr">
        <is>
          <t>hayday.info</t>
        </is>
      </c>
      <c r="G107" t="n">
        <v>1</v>
      </c>
      <c r="H107" t="n">
        <v>120</v>
      </c>
      <c r="I107" t="n">
        <v>102</v>
      </c>
      <c r="J107" t="n">
        <v>602</v>
      </c>
      <c r="K107" t="n">
        <v>216.67</v>
      </c>
      <c r="L107" t="n">
        <v>1491</v>
      </c>
      <c r="M107" t="n">
        <v>180</v>
      </c>
      <c r="N107" t="n">
        <v>0</v>
      </c>
      <c r="O107" t="inlineStr">
        <is>
          <t>Lobster Tail x1</t>
        </is>
      </c>
      <c r="P107" t="n">
        <v>1887.67</v>
      </c>
      <c r="Q107" t="n">
        <v>480</v>
      </c>
      <c r="R107" t="n">
        <v>20.25</v>
      </c>
      <c r="S107" t="n">
        <v>181.33</v>
      </c>
      <c r="T107" t="n">
        <v>1852.33</v>
      </c>
      <c r="U107" t="n">
        <v>462</v>
      </c>
      <c r="V107" t="n">
        <v>20.63</v>
      </c>
      <c r="W107" t="n">
        <v>35</v>
      </c>
      <c r="X107" t="n">
        <v>17.5</v>
      </c>
      <c r="Y107" t="n">
        <v>20.59</v>
      </c>
      <c r="Z107" t="n">
        <v>20.59</v>
      </c>
      <c r="AA107" t="inlineStr">
        <is>
          <t>Lobster Tail x1; Cream x2; Fresh Pasta x3; Tomato x4</t>
        </is>
      </c>
      <c r="AB107" t="b">
        <v>0</v>
      </c>
      <c r="AC107" t="inlineStr">
        <is>
          <t>match (mastered)</t>
        </is>
      </c>
    </row>
    <row r="108">
      <c r="A108" t="inlineStr">
        <is>
          <t>Potato Bread</t>
        </is>
      </c>
      <c r="B108" t="inlineStr">
        <is>
          <t>machine</t>
        </is>
      </c>
      <c r="C108" t="inlineStr">
        <is>
          <t>Bakery</t>
        </is>
      </c>
      <c r="D108" t="n">
        <v>39</v>
      </c>
      <c r="E108" t="n">
        <v>284</v>
      </c>
      <c r="F108" t="inlineStr">
        <is>
          <t>hayday.info</t>
        </is>
      </c>
      <c r="G108" t="n">
        <v>1</v>
      </c>
      <c r="H108" t="n">
        <v>45</v>
      </c>
      <c r="I108" t="n">
        <v>38</v>
      </c>
      <c r="J108" t="n">
        <v>258</v>
      </c>
      <c r="K108" t="n">
        <v>126.67</v>
      </c>
      <c r="L108" t="n">
        <v>539</v>
      </c>
      <c r="M108" t="n">
        <v>180</v>
      </c>
      <c r="N108" t="n">
        <v>0</v>
      </c>
      <c r="P108" t="n">
        <v>845.67</v>
      </c>
      <c r="Q108" t="n">
        <v>265</v>
      </c>
      <c r="R108" t="n">
        <v>20.15</v>
      </c>
      <c r="S108" t="n">
        <v>106.33</v>
      </c>
      <c r="T108" t="n">
        <v>825.33</v>
      </c>
      <c r="U108" t="n">
        <v>258</v>
      </c>
      <c r="V108" t="n">
        <v>20.65</v>
      </c>
      <c r="W108" t="n">
        <v>26</v>
      </c>
      <c r="X108" t="n">
        <v>34.67</v>
      </c>
      <c r="Y108" t="n">
        <v>41.05</v>
      </c>
      <c r="Z108" t="n">
        <v>40.78</v>
      </c>
      <c r="AA108" t="inlineStr">
        <is>
          <t>Potato x2; White Sugar x1; Egg x3; Butter x1</t>
        </is>
      </c>
      <c r="AB108" t="b">
        <v>1</v>
      </c>
      <c r="AC108" t="inlineStr">
        <is>
          <t>match (mastered)</t>
        </is>
      </c>
    </row>
    <row r="109">
      <c r="A109" t="inlineStr">
        <is>
          <t>Pomegranate Cake</t>
        </is>
      </c>
      <c r="B109" t="inlineStr">
        <is>
          <t>machine</t>
        </is>
      </c>
      <c r="C109" t="inlineStr">
        <is>
          <t>Cake Oven</t>
        </is>
      </c>
      <c r="D109" t="n">
        <v>108</v>
      </c>
      <c r="E109" t="n">
        <v>316</v>
      </c>
      <c r="F109" t="inlineStr">
        <is>
          <t>Fandom</t>
        </is>
      </c>
      <c r="G109" t="n">
        <v>1</v>
      </c>
      <c r="H109" t="n">
        <v>160</v>
      </c>
      <c r="I109" t="n">
        <v>136</v>
      </c>
      <c r="J109" t="n">
        <v>265</v>
      </c>
      <c r="K109" t="n">
        <v>210</v>
      </c>
      <c r="L109" t="n">
        <v>48</v>
      </c>
      <c r="M109" t="n">
        <v>160</v>
      </c>
      <c r="N109" t="n">
        <v>540</v>
      </c>
      <c r="P109" t="n">
        <v>958</v>
      </c>
      <c r="Q109" t="n">
        <v>1780</v>
      </c>
      <c r="R109" t="n">
        <v>19.79</v>
      </c>
      <c r="S109" t="n">
        <v>178</v>
      </c>
      <c r="T109" t="n">
        <v>926</v>
      </c>
      <c r="U109" t="n">
        <v>1756</v>
      </c>
      <c r="V109" t="n">
        <v>20.48</v>
      </c>
      <c r="W109" t="n">
        <v>51</v>
      </c>
      <c r="X109" t="n">
        <v>19.12</v>
      </c>
      <c r="Y109" t="n">
        <v>22.5</v>
      </c>
      <c r="AA109" t="inlineStr">
        <is>
          <t>Pomegranate x1; Egg x2; Cream x2; Wheat x6</t>
        </is>
      </c>
      <c r="AB109" t="b">
        <v>0</v>
      </c>
    </row>
    <row r="110">
      <c r="A110" t="inlineStr">
        <is>
          <t>Fish and Chips</t>
        </is>
      </c>
      <c r="B110" t="inlineStr">
        <is>
          <t>machine</t>
        </is>
      </c>
      <c r="C110" t="inlineStr">
        <is>
          <t>BBQ Grill</t>
        </is>
      </c>
      <c r="D110" t="n">
        <v>41</v>
      </c>
      <c r="E110" t="n">
        <v>244</v>
      </c>
      <c r="F110" t="inlineStr">
        <is>
          <t>hayday.info</t>
        </is>
      </c>
      <c r="G110" t="n">
        <v>1</v>
      </c>
      <c r="H110" t="n">
        <v>90</v>
      </c>
      <c r="I110" t="n">
        <v>76</v>
      </c>
      <c r="J110" t="n">
        <v>216</v>
      </c>
      <c r="K110" t="n">
        <v>90</v>
      </c>
      <c r="L110" t="n">
        <v>660</v>
      </c>
      <c r="M110" t="n">
        <v>0</v>
      </c>
      <c r="N110" t="n">
        <v>0</v>
      </c>
      <c r="O110" t="inlineStr">
        <is>
          <t>Fish Fillet x2</t>
        </is>
      </c>
      <c r="P110" t="n">
        <v>750</v>
      </c>
      <c r="Q110" t="n">
        <v>310</v>
      </c>
      <c r="R110" t="n">
        <v>19.52</v>
      </c>
      <c r="S110" t="n">
        <v>76</v>
      </c>
      <c r="T110" t="n">
        <v>736</v>
      </c>
      <c r="U110" t="n">
        <v>296</v>
      </c>
      <c r="V110" t="n">
        <v>19.89</v>
      </c>
      <c r="W110" t="n">
        <v>28</v>
      </c>
      <c r="X110" t="n">
        <v>18.67</v>
      </c>
      <c r="Y110" t="n">
        <v>22.11</v>
      </c>
      <c r="Z110" t="n">
        <v>21.96</v>
      </c>
      <c r="AA110" t="inlineStr">
        <is>
          <t>Fish Fillet x2; Potato x3</t>
        </is>
      </c>
      <c r="AB110" t="b">
        <v>0</v>
      </c>
      <c r="AC110" t="inlineStr">
        <is>
          <t>match (mastered)</t>
        </is>
      </c>
    </row>
    <row r="111">
      <c r="A111" t="inlineStr">
        <is>
          <t>Seafood Salad</t>
        </is>
      </c>
      <c r="B111" t="inlineStr">
        <is>
          <t>machine</t>
        </is>
      </c>
      <c r="C111" t="inlineStr">
        <is>
          <t>Salad Bar</t>
        </is>
      </c>
      <c r="D111" t="n">
        <v>64</v>
      </c>
      <c r="E111" t="n">
        <v>763</v>
      </c>
      <c r="F111" t="inlineStr">
        <is>
          <t>hayday.info</t>
        </is>
      </c>
      <c r="G111" t="n">
        <v>1</v>
      </c>
      <c r="H111" t="n">
        <v>120</v>
      </c>
      <c r="I111" t="n">
        <v>102</v>
      </c>
      <c r="J111" t="n">
        <v>718</v>
      </c>
      <c r="K111" t="n">
        <v>186.67</v>
      </c>
      <c r="L111" t="n">
        <v>642</v>
      </c>
      <c r="M111" t="n">
        <v>80</v>
      </c>
      <c r="N111" t="n">
        <v>1440</v>
      </c>
      <c r="O111" t="inlineStr">
        <is>
          <t>Fish Fillet x1; Lobster Tail x1</t>
        </is>
      </c>
      <c r="P111" t="n">
        <v>2348.67</v>
      </c>
      <c r="Q111" t="n">
        <v>1620</v>
      </c>
      <c r="R111" t="n">
        <v>19.49</v>
      </c>
      <c r="S111" t="n">
        <v>157.33</v>
      </c>
      <c r="T111" t="n">
        <v>2319.33</v>
      </c>
      <c r="U111" t="n">
        <v>1592</v>
      </c>
      <c r="V111" t="n">
        <v>19.74</v>
      </c>
      <c r="W111" t="n">
        <v>45</v>
      </c>
      <c r="X111" t="n">
        <v>22.5</v>
      </c>
      <c r="Y111" t="n">
        <v>26.47</v>
      </c>
      <c r="Z111" t="n">
        <v>26.47</v>
      </c>
      <c r="AA111" t="inlineStr">
        <is>
          <t>Lettuce x3; Fish Fillet x1; Lobster Tail x1; Mayonnaise x1</t>
        </is>
      </c>
      <c r="AB111" t="b">
        <v>0</v>
      </c>
      <c r="AC111" t="inlineStr">
        <is>
          <t>match (mastered)</t>
        </is>
      </c>
    </row>
    <row r="112">
      <c r="A112" t="inlineStr">
        <is>
          <t>Mussel Linguine</t>
        </is>
      </c>
      <c r="B112" t="inlineStr">
        <is>
          <t>machine</t>
        </is>
      </c>
      <c r="C112" t="inlineStr">
        <is>
          <t>Pasta Kitchen</t>
        </is>
      </c>
      <c r="D112" t="n">
        <v>73</v>
      </c>
      <c r="E112" t="n">
        <v>583</v>
      </c>
      <c r="F112" t="inlineStr">
        <is>
          <t>Fandom</t>
        </is>
      </c>
      <c r="G112" t="n">
        <v>1</v>
      </c>
      <c r="H112" t="n">
        <v>90</v>
      </c>
      <c r="I112" t="n">
        <v>76</v>
      </c>
      <c r="J112" t="n">
        <v>560</v>
      </c>
      <c r="K112" t="n">
        <v>185</v>
      </c>
      <c r="L112" t="n">
        <v>111</v>
      </c>
      <c r="M112" t="n">
        <v>60</v>
      </c>
      <c r="N112" t="n">
        <v>1440</v>
      </c>
      <c r="O112" t="inlineStr">
        <is>
          <t>Mussel Meat x4</t>
        </is>
      </c>
      <c r="P112" t="n">
        <v>1796</v>
      </c>
      <c r="Q112" t="n">
        <v>1575</v>
      </c>
      <c r="R112" t="n">
        <v>19.48</v>
      </c>
      <c r="S112" t="n">
        <v>154</v>
      </c>
      <c r="T112" t="n">
        <v>1765</v>
      </c>
      <c r="U112" t="n">
        <v>1554</v>
      </c>
      <c r="V112" t="n">
        <v>19.82</v>
      </c>
      <c r="W112" t="n">
        <v>23</v>
      </c>
      <c r="X112" t="n">
        <v>15.33</v>
      </c>
      <c r="Y112" t="n">
        <v>18.16</v>
      </c>
      <c r="AA112" t="inlineStr">
        <is>
          <t>Fresh Pasta x3; Mussel Meat x4; Garlic x3; Olive Oil x1</t>
        </is>
      </c>
      <c r="AB112" t="b">
        <v>0</v>
      </c>
    </row>
    <row r="113">
      <c r="A113" t="inlineStr">
        <is>
          <t>Onion Melt</t>
        </is>
      </c>
      <c r="B113" t="inlineStr">
        <is>
          <t>machine</t>
        </is>
      </c>
      <c r="C113" t="inlineStr">
        <is>
          <t>Sandwich Bar</t>
        </is>
      </c>
      <c r="D113" t="n">
        <v>84</v>
      </c>
      <c r="E113" t="n">
        <v>471</v>
      </c>
      <c r="F113" t="inlineStr">
        <is>
          <t>hayday.info</t>
        </is>
      </c>
      <c r="G113" t="n">
        <v>1</v>
      </c>
      <c r="H113" t="n">
        <v>90</v>
      </c>
      <c r="I113" t="n">
        <v>76</v>
      </c>
      <c r="J113" t="n">
        <v>383</v>
      </c>
      <c r="K113" t="n">
        <v>226.67</v>
      </c>
      <c r="L113" t="n">
        <v>977</v>
      </c>
      <c r="M113" t="n">
        <v>260</v>
      </c>
      <c r="N113" t="n">
        <v>0</v>
      </c>
      <c r="P113" t="n">
        <v>1463.67</v>
      </c>
      <c r="Q113" t="n">
        <v>390</v>
      </c>
      <c r="R113" t="n">
        <v>19.31</v>
      </c>
      <c r="S113" t="n">
        <v>190.33</v>
      </c>
      <c r="T113" t="n">
        <v>1427.33</v>
      </c>
      <c r="U113" t="n">
        <v>376</v>
      </c>
      <c r="V113" t="n">
        <v>19.8</v>
      </c>
      <c r="W113" t="n">
        <v>88</v>
      </c>
      <c r="X113" t="n">
        <v>58.67</v>
      </c>
      <c r="Y113" t="n">
        <v>69.47</v>
      </c>
      <c r="Z113" t="n">
        <v>69.02</v>
      </c>
      <c r="AA113" t="inlineStr">
        <is>
          <t>Corn Bread x2; Onion x3; Cheese x1</t>
        </is>
      </c>
      <c r="AB113" t="b">
        <v>0</v>
      </c>
      <c r="AC113" t="inlineStr">
        <is>
          <t>match (mastered)</t>
        </is>
      </c>
    </row>
    <row r="114">
      <c r="A114" t="inlineStr">
        <is>
          <t>Fish Soup</t>
        </is>
      </c>
      <c r="B114" t="inlineStr">
        <is>
          <t>machine</t>
        </is>
      </c>
      <c r="C114" t="inlineStr">
        <is>
          <t>Soup Kitchen</t>
        </is>
      </c>
      <c r="D114" t="n">
        <v>53</v>
      </c>
      <c r="E114" t="n">
        <v>298</v>
      </c>
      <c r="F114" t="inlineStr">
        <is>
          <t>hayday.info</t>
        </is>
      </c>
      <c r="G114" t="n">
        <v>1</v>
      </c>
      <c r="H114" t="n">
        <v>180</v>
      </c>
      <c r="I114" t="n">
        <v>153</v>
      </c>
      <c r="J114" t="n">
        <v>255</v>
      </c>
      <c r="K114" t="n">
        <v>183.33</v>
      </c>
      <c r="L114" t="n">
        <v>685</v>
      </c>
      <c r="M114" t="n">
        <v>60</v>
      </c>
      <c r="N114" t="n">
        <v>0</v>
      </c>
      <c r="O114" t="inlineStr">
        <is>
          <t>Fish Fillet x2</t>
        </is>
      </c>
      <c r="P114" t="n">
        <v>928.33</v>
      </c>
      <c r="Q114" t="n">
        <v>400</v>
      </c>
      <c r="R114" t="n">
        <v>19.26</v>
      </c>
      <c r="S114" t="n">
        <v>155.67</v>
      </c>
      <c r="T114" t="n">
        <v>900.67</v>
      </c>
      <c r="U114" t="n">
        <v>373</v>
      </c>
      <c r="V114" t="n">
        <v>19.85</v>
      </c>
      <c r="W114" t="n">
        <v>43</v>
      </c>
      <c r="X114" t="n">
        <v>14.33</v>
      </c>
      <c r="Y114" t="n">
        <v>16.86</v>
      </c>
      <c r="Z114" t="n">
        <v>16.86</v>
      </c>
      <c r="AA114" t="inlineStr">
        <is>
          <t>Potato x3; Fish Fillet x2; Milk x1; Carrot x1</t>
        </is>
      </c>
      <c r="AB114" t="b">
        <v>0</v>
      </c>
      <c r="AC114" t="inlineStr">
        <is>
          <t>match (mastered)</t>
        </is>
      </c>
    </row>
    <row r="115">
      <c r="A115" t="inlineStr">
        <is>
          <t>Sun Hat</t>
        </is>
      </c>
      <c r="B115" t="inlineStr">
        <is>
          <t>machine</t>
        </is>
      </c>
      <c r="C115" t="inlineStr">
        <is>
          <t>Hat Maker</t>
        </is>
      </c>
      <c r="D115" t="n">
        <v>74</v>
      </c>
      <c r="E115" t="n">
        <v>558</v>
      </c>
      <c r="F115" t="inlineStr">
        <is>
          <t>hayday.info</t>
        </is>
      </c>
      <c r="G115" t="n">
        <v>1</v>
      </c>
      <c r="H115" t="n">
        <v>150</v>
      </c>
      <c r="I115" t="n">
        <v>127</v>
      </c>
      <c r="J115" t="n">
        <v>513</v>
      </c>
      <c r="K115" t="n">
        <v>180</v>
      </c>
      <c r="L115" t="n">
        <v>146</v>
      </c>
      <c r="M115" t="n">
        <v>1080</v>
      </c>
      <c r="N115" t="n">
        <v>360</v>
      </c>
      <c r="O115" t="inlineStr">
        <is>
          <t>Duck Feather x2</t>
        </is>
      </c>
      <c r="P115" t="n">
        <v>1766</v>
      </c>
      <c r="Q115" t="n">
        <v>1230</v>
      </c>
      <c r="R115" t="n">
        <v>18.96</v>
      </c>
      <c r="S115" t="n">
        <v>152</v>
      </c>
      <c r="T115" t="n">
        <v>1738</v>
      </c>
      <c r="U115" t="n">
        <v>1207</v>
      </c>
      <c r="V115" t="n">
        <v>19.26</v>
      </c>
      <c r="W115" t="n">
        <v>45</v>
      </c>
      <c r="X115" t="n">
        <v>18</v>
      </c>
      <c r="Y115" t="n">
        <v>21.26</v>
      </c>
      <c r="Z115" t="n">
        <v>21.18</v>
      </c>
      <c r="AA115" t="inlineStr">
        <is>
          <t>Wool x3; Indigo x1; Duck Feather x2; Raspberry x1</t>
        </is>
      </c>
      <c r="AB115" t="b">
        <v>0</v>
      </c>
      <c r="AC115" t="inlineStr">
        <is>
          <t>match (mastered)</t>
        </is>
      </c>
    </row>
    <row r="116">
      <c r="A116" t="inlineStr">
        <is>
          <t>Cheese Fondue</t>
        </is>
      </c>
      <c r="B116" t="inlineStr">
        <is>
          <t>machine</t>
        </is>
      </c>
      <c r="C116" t="inlineStr">
        <is>
          <t>Fondue Pot</t>
        </is>
      </c>
      <c r="D116" t="n">
        <v>91</v>
      </c>
      <c r="E116" t="n">
        <v>493</v>
      </c>
      <c r="F116" t="inlineStr">
        <is>
          <t>hayday.info</t>
        </is>
      </c>
      <c r="G116" t="n">
        <v>1</v>
      </c>
      <c r="H116" t="n">
        <v>20</v>
      </c>
      <c r="I116" t="n">
        <v>17</v>
      </c>
      <c r="J116" t="n">
        <v>469</v>
      </c>
      <c r="K116" t="n">
        <v>216.67</v>
      </c>
      <c r="L116" t="n">
        <v>984</v>
      </c>
      <c r="M116" t="n">
        <v>360</v>
      </c>
      <c r="N116" t="n">
        <v>0</v>
      </c>
      <c r="P116" t="n">
        <v>1560.67</v>
      </c>
      <c r="Q116" t="n">
        <v>380</v>
      </c>
      <c r="R116" t="n">
        <v>18.95</v>
      </c>
      <c r="S116" t="n">
        <v>182.33</v>
      </c>
      <c r="T116" t="n">
        <v>1526.33</v>
      </c>
      <c r="U116" t="n">
        <v>377</v>
      </c>
      <c r="V116" t="n">
        <v>19.38</v>
      </c>
      <c r="W116" t="n">
        <v>24</v>
      </c>
      <c r="X116" t="n">
        <v>72</v>
      </c>
      <c r="Y116" t="n">
        <v>84.70999999999999</v>
      </c>
      <c r="Z116" t="n">
        <v>84.70999999999999</v>
      </c>
      <c r="AA116" t="inlineStr">
        <is>
          <t>Potato Bread x1; Cheese x1; Mushroom x2; Tomato x1</t>
        </is>
      </c>
      <c r="AB116" t="b">
        <v>0</v>
      </c>
      <c r="AC116" t="inlineStr">
        <is>
          <t>match (mastered)</t>
        </is>
      </c>
    </row>
    <row r="117">
      <c r="A117" t="inlineStr">
        <is>
          <t>Bacon Donut</t>
        </is>
      </c>
      <c r="B117" t="inlineStr">
        <is>
          <t>machine</t>
        </is>
      </c>
      <c r="C117" t="inlineStr">
        <is>
          <t>Donut Maker</t>
        </is>
      </c>
      <c r="D117" t="n">
        <v>88</v>
      </c>
      <c r="E117" t="n">
        <v>388</v>
      </c>
      <c r="F117" t="inlineStr">
        <is>
          <t>hayday.info</t>
        </is>
      </c>
      <c r="G117" t="n">
        <v>1</v>
      </c>
      <c r="H117" t="n">
        <v>30</v>
      </c>
      <c r="I117" t="n">
        <v>25</v>
      </c>
      <c r="J117" t="n">
        <v>369</v>
      </c>
      <c r="K117" t="n">
        <v>200</v>
      </c>
      <c r="L117" t="n">
        <v>244</v>
      </c>
      <c r="M117" t="n">
        <v>800</v>
      </c>
      <c r="N117" t="n">
        <v>0</v>
      </c>
      <c r="P117" t="n">
        <v>1244</v>
      </c>
      <c r="Q117" t="n">
        <v>310</v>
      </c>
      <c r="R117" t="n">
        <v>18.71</v>
      </c>
      <c r="S117" t="n">
        <v>168</v>
      </c>
      <c r="T117" t="n">
        <v>1212</v>
      </c>
      <c r="U117" t="n">
        <v>302</v>
      </c>
      <c r="V117" t="n">
        <v>19.21</v>
      </c>
      <c r="W117" t="n">
        <v>19</v>
      </c>
      <c r="X117" t="n">
        <v>38</v>
      </c>
      <c r="Y117" t="n">
        <v>45.6</v>
      </c>
      <c r="Z117" t="n">
        <v>44.71</v>
      </c>
      <c r="AA117" t="inlineStr">
        <is>
          <t>Plain Donut x1; Bacon x3; Syrup x1</t>
        </is>
      </c>
      <c r="AB117" t="b">
        <v>0</v>
      </c>
      <c r="AC117" t="inlineStr">
        <is>
          <t>match (normal x0.85)</t>
        </is>
      </c>
    </row>
    <row r="118">
      <c r="A118" t="inlineStr">
        <is>
          <t>Summer Rolls</t>
        </is>
      </c>
      <c r="B118" t="inlineStr">
        <is>
          <t>machine</t>
        </is>
      </c>
      <c r="C118" t="inlineStr">
        <is>
          <t>Salad Bar</t>
        </is>
      </c>
      <c r="D118" t="n">
        <v>78</v>
      </c>
      <c r="E118" t="n">
        <v>316</v>
      </c>
      <c r="F118" t="inlineStr">
        <is>
          <t>hayday.info</t>
        </is>
      </c>
      <c r="G118" t="n">
        <v>1</v>
      </c>
      <c r="H118" t="n">
        <v>60</v>
      </c>
      <c r="I118" t="n">
        <v>51</v>
      </c>
      <c r="J118" t="n">
        <v>282</v>
      </c>
      <c r="K118" t="n">
        <v>100</v>
      </c>
      <c r="L118" t="n">
        <v>920</v>
      </c>
      <c r="M118" t="n">
        <v>0</v>
      </c>
      <c r="N118" t="n">
        <v>0</v>
      </c>
      <c r="P118" t="n">
        <v>1020</v>
      </c>
      <c r="Q118" t="n">
        <v>300</v>
      </c>
      <c r="R118" t="n">
        <v>18.59</v>
      </c>
      <c r="S118" t="n">
        <v>85</v>
      </c>
      <c r="T118" t="n">
        <v>1005</v>
      </c>
      <c r="U118" t="n">
        <v>291</v>
      </c>
      <c r="V118" t="n">
        <v>18.87</v>
      </c>
      <c r="W118" t="n">
        <v>34</v>
      </c>
      <c r="X118" t="n">
        <v>34</v>
      </c>
      <c r="Y118" t="n">
        <v>40</v>
      </c>
      <c r="Z118" t="n">
        <v>40</v>
      </c>
      <c r="AA118" t="inlineStr">
        <is>
          <t>Rice Noodles x2; Carrot x2; Lettuce x1; Chili Pepper x1</t>
        </is>
      </c>
      <c r="AB118" t="b">
        <v>0</v>
      </c>
      <c r="AC118" t="inlineStr">
        <is>
          <t>match (mastered)</t>
        </is>
      </c>
    </row>
    <row r="119">
      <c r="A119" t="inlineStr">
        <is>
          <t>Iron Bracelet</t>
        </is>
      </c>
      <c r="B119" t="inlineStr">
        <is>
          <t>machine</t>
        </is>
      </c>
      <c r="C119" t="inlineStr">
        <is>
          <t>Jeweler</t>
        </is>
      </c>
      <c r="D119" t="n">
        <v>41</v>
      </c>
      <c r="E119" t="n">
        <v>658</v>
      </c>
      <c r="F119" t="inlineStr">
        <is>
          <t>hayday.info</t>
        </is>
      </c>
      <c r="G119" t="n">
        <v>1</v>
      </c>
      <c r="H119" t="n">
        <v>90</v>
      </c>
      <c r="I119" t="n">
        <v>76</v>
      </c>
      <c r="J119" t="n">
        <v>621</v>
      </c>
      <c r="K119" t="n">
        <v>2130</v>
      </c>
      <c r="L119" t="n">
        <v>0</v>
      </c>
      <c r="M119" t="n">
        <v>0</v>
      </c>
      <c r="N119" t="n">
        <v>0</v>
      </c>
      <c r="O119" t="inlineStr">
        <is>
          <t>Silver Ore x3; Coal x6; Iron Ore x6</t>
        </is>
      </c>
      <c r="P119" t="n">
        <v>2130</v>
      </c>
      <c r="Q119" t="n">
        <v>930</v>
      </c>
      <c r="R119" t="n">
        <v>18.54</v>
      </c>
      <c r="S119" t="n">
        <v>1810</v>
      </c>
      <c r="T119" t="n">
        <v>1810</v>
      </c>
      <c r="U119" t="n">
        <v>790</v>
      </c>
      <c r="V119" t="n">
        <v>21.81</v>
      </c>
      <c r="W119" t="n">
        <v>37</v>
      </c>
      <c r="X119" t="n">
        <v>24.67</v>
      </c>
      <c r="Y119" t="n">
        <v>29.21</v>
      </c>
      <c r="Z119" t="n">
        <v>29.02</v>
      </c>
      <c r="AA119" t="inlineStr">
        <is>
          <t>Silver Bar x1; Refined Coal x2; Iron Bar x2</t>
        </is>
      </c>
      <c r="AB119" t="b">
        <v>0</v>
      </c>
      <c r="AC119" t="inlineStr">
        <is>
          <t>match (mastered)</t>
        </is>
      </c>
    </row>
    <row r="120">
      <c r="A120" t="inlineStr">
        <is>
          <t>Rice Ball</t>
        </is>
      </c>
      <c r="B120" t="inlineStr">
        <is>
          <t>machine</t>
        </is>
      </c>
      <c r="C120" t="inlineStr">
        <is>
          <t>Sushi Bar</t>
        </is>
      </c>
      <c r="D120" t="n">
        <v>110</v>
      </c>
      <c r="E120" t="n">
        <v>464</v>
      </c>
      <c r="F120" t="inlineStr">
        <is>
          <t>hayday.info</t>
        </is>
      </c>
      <c r="G120" t="n">
        <v>1</v>
      </c>
      <c r="H120" t="n">
        <v>45</v>
      </c>
      <c r="I120" t="n">
        <v>38</v>
      </c>
      <c r="J120" t="n">
        <v>460</v>
      </c>
      <c r="K120" t="n">
        <v>45</v>
      </c>
      <c r="L120" t="n">
        <v>960</v>
      </c>
      <c r="M120" t="n">
        <v>0</v>
      </c>
      <c r="N120" t="n">
        <v>500</v>
      </c>
      <c r="P120" t="n">
        <v>1505</v>
      </c>
      <c r="Q120" t="n">
        <v>1545</v>
      </c>
      <c r="R120" t="n">
        <v>18.5</v>
      </c>
      <c r="S120" t="n">
        <v>38</v>
      </c>
      <c r="T120" t="n">
        <v>1498</v>
      </c>
      <c r="U120" t="n">
        <v>1538</v>
      </c>
      <c r="V120" t="n">
        <v>18.58</v>
      </c>
      <c r="W120" t="n">
        <v>4</v>
      </c>
      <c r="X120" t="n">
        <v>5.33</v>
      </c>
      <c r="Y120" t="n">
        <v>6.32</v>
      </c>
      <c r="Z120" t="n">
        <v>6.27</v>
      </c>
      <c r="AA120" t="inlineStr">
        <is>
          <t>Rice x20; Sesame x1; Plum x1</t>
        </is>
      </c>
      <c r="AB120" t="b">
        <v>0</v>
      </c>
      <c r="AC120" t="inlineStr">
        <is>
          <t>match (mastered)</t>
        </is>
      </c>
    </row>
    <row r="121">
      <c r="A121" t="inlineStr">
        <is>
          <t>Top Hat</t>
        </is>
      </c>
      <c r="B121" t="inlineStr">
        <is>
          <t>machine</t>
        </is>
      </c>
      <c r="C121" t="inlineStr">
        <is>
          <t>Hat Maker</t>
        </is>
      </c>
      <c r="D121" t="n">
        <v>72</v>
      </c>
      <c r="E121" t="n">
        <v>619</v>
      </c>
      <c r="F121" t="inlineStr">
        <is>
          <t>hayday.info</t>
        </is>
      </c>
      <c r="G121" t="n">
        <v>1</v>
      </c>
      <c r="H121" t="n">
        <v>210</v>
      </c>
      <c r="I121" t="n">
        <v>178</v>
      </c>
      <c r="J121" t="n">
        <v>572</v>
      </c>
      <c r="K121" t="n">
        <v>660</v>
      </c>
      <c r="L121" t="n">
        <v>1350</v>
      </c>
      <c r="M121" t="n">
        <v>0</v>
      </c>
      <c r="N121" t="n">
        <v>0</v>
      </c>
      <c r="O121" t="inlineStr">
        <is>
          <t>Coal x3; Duck Feather x1</t>
        </is>
      </c>
      <c r="P121" t="n">
        <v>2010</v>
      </c>
      <c r="Q121" t="n">
        <v>570</v>
      </c>
      <c r="R121" t="n">
        <v>18.48</v>
      </c>
      <c r="S121" t="n">
        <v>559</v>
      </c>
      <c r="T121" t="n">
        <v>1909</v>
      </c>
      <c r="U121" t="n">
        <v>484</v>
      </c>
      <c r="V121" t="n">
        <v>19.46</v>
      </c>
      <c r="W121" t="n">
        <v>47</v>
      </c>
      <c r="X121" t="n">
        <v>13.43</v>
      </c>
      <c r="Y121" t="n">
        <v>15.84</v>
      </c>
      <c r="Z121" t="n">
        <v>15.8</v>
      </c>
      <c r="AA121" t="inlineStr">
        <is>
          <t>Cotton Fabric x3; Refined Coal x1; Duck Feather x1</t>
        </is>
      </c>
      <c r="AB121" t="b">
        <v>0</v>
      </c>
      <c r="AC121" t="inlineStr">
        <is>
          <t>match (mastered)</t>
        </is>
      </c>
    </row>
    <row r="122">
      <c r="A122" t="inlineStr">
        <is>
          <t>Lemon Candle</t>
        </is>
      </c>
      <c r="B122" t="inlineStr">
        <is>
          <t>machine</t>
        </is>
      </c>
      <c r="C122" t="inlineStr">
        <is>
          <t>Candle Maker</t>
        </is>
      </c>
      <c r="D122" t="n">
        <v>72</v>
      </c>
      <c r="E122" t="n">
        <v>457</v>
      </c>
      <c r="F122" t="inlineStr">
        <is>
          <t>hayday.info</t>
        </is>
      </c>
      <c r="G122" t="n">
        <v>1</v>
      </c>
      <c r="H122" t="n">
        <v>135</v>
      </c>
      <c r="I122" t="n">
        <v>114</v>
      </c>
      <c r="J122" t="n">
        <v>420</v>
      </c>
      <c r="K122" t="n">
        <v>180</v>
      </c>
      <c r="L122" t="n">
        <v>0</v>
      </c>
      <c r="M122" t="n">
        <v>105</v>
      </c>
      <c r="N122" t="n">
        <v>1200</v>
      </c>
      <c r="P122" t="n">
        <v>1485</v>
      </c>
      <c r="Q122" t="n">
        <v>1935</v>
      </c>
      <c r="R122" t="n">
        <v>18.46</v>
      </c>
      <c r="S122" t="n">
        <v>152</v>
      </c>
      <c r="T122" t="n">
        <v>1457</v>
      </c>
      <c r="U122" t="n">
        <v>1914</v>
      </c>
      <c r="V122" t="n">
        <v>18.82</v>
      </c>
      <c r="W122" t="n">
        <v>37</v>
      </c>
      <c r="X122" t="n">
        <v>16.44</v>
      </c>
      <c r="Y122" t="n">
        <v>19.47</v>
      </c>
      <c r="Z122" t="n">
        <v>19.35</v>
      </c>
      <c r="AA122" t="inlineStr">
        <is>
          <t>Beeswax x1; Lemon x2</t>
        </is>
      </c>
      <c r="AB122" t="b">
        <v>0</v>
      </c>
      <c r="AC122" t="inlineStr">
        <is>
          <t>match (mastered)</t>
        </is>
      </c>
    </row>
    <row r="123">
      <c r="A123" t="inlineStr">
        <is>
          <t>Iron Bar</t>
        </is>
      </c>
      <c r="B123" t="inlineStr">
        <is>
          <t>machine</t>
        </is>
      </c>
      <c r="C123" t="inlineStr">
        <is>
          <t>Smelter</t>
        </is>
      </c>
      <c r="D123" t="n">
        <v>34</v>
      </c>
      <c r="E123" t="n">
        <v>129</v>
      </c>
      <c r="F123" t="inlineStr">
        <is>
          <t>hayday.info</t>
        </is>
      </c>
      <c r="G123" t="n">
        <v>1</v>
      </c>
      <c r="H123" t="n">
        <v>420</v>
      </c>
      <c r="I123" t="n">
        <v>357</v>
      </c>
      <c r="J123" t="n">
        <v>42</v>
      </c>
      <c r="K123" t="n">
        <v>420</v>
      </c>
      <c r="L123" t="n">
        <v>0</v>
      </c>
      <c r="M123" t="n">
        <v>0</v>
      </c>
      <c r="N123" t="n">
        <v>0</v>
      </c>
      <c r="O123" t="inlineStr">
        <is>
          <t>Iron Ore x3</t>
        </is>
      </c>
      <c r="P123" t="n">
        <v>420</v>
      </c>
      <c r="Q123" t="n">
        <v>420</v>
      </c>
      <c r="R123" t="n">
        <v>18.43</v>
      </c>
      <c r="S123" t="n">
        <v>357</v>
      </c>
      <c r="T123" t="n">
        <v>357</v>
      </c>
      <c r="U123" t="n">
        <v>357</v>
      </c>
      <c r="V123" t="n">
        <v>21.68</v>
      </c>
      <c r="W123" t="n">
        <v>87</v>
      </c>
      <c r="X123" t="n">
        <v>12.43</v>
      </c>
      <c r="Y123" t="n">
        <v>14.62</v>
      </c>
      <c r="Z123" t="n">
        <v>14.62</v>
      </c>
      <c r="AA123" t="inlineStr">
        <is>
          <t>Iron Ore x3</t>
        </is>
      </c>
      <c r="AB123" t="b">
        <v>1</v>
      </c>
      <c r="AC123" t="inlineStr">
        <is>
          <t>match (mastered)</t>
        </is>
      </c>
    </row>
    <row r="124">
      <c r="A124" t="inlineStr">
        <is>
          <t>Big Sushi Roll</t>
        </is>
      </c>
      <c r="B124" t="inlineStr">
        <is>
          <t>machine</t>
        </is>
      </c>
      <c r="C124" t="inlineStr">
        <is>
          <t>Sushi Bar</t>
        </is>
      </c>
      <c r="D124" t="n">
        <v>76</v>
      </c>
      <c r="E124" t="n">
        <v>648</v>
      </c>
      <c r="F124" t="inlineStr">
        <is>
          <t>hayday.info</t>
        </is>
      </c>
      <c r="G124" t="n">
        <v>1</v>
      </c>
      <c r="H124" t="n">
        <v>90</v>
      </c>
      <c r="I124" t="n">
        <v>76</v>
      </c>
      <c r="J124" t="n">
        <v>628</v>
      </c>
      <c r="K124" t="n">
        <v>95</v>
      </c>
      <c r="L124" t="n">
        <v>1959</v>
      </c>
      <c r="M124" t="n">
        <v>60</v>
      </c>
      <c r="N124" t="n">
        <v>0</v>
      </c>
      <c r="O124" t="inlineStr">
        <is>
          <t>Fish Fillet x1</t>
        </is>
      </c>
      <c r="P124" t="n">
        <v>2114</v>
      </c>
      <c r="Q124" t="n">
        <v>300</v>
      </c>
      <c r="R124" t="n">
        <v>18.39</v>
      </c>
      <c r="S124" t="n">
        <v>80</v>
      </c>
      <c r="T124" t="n">
        <v>2099</v>
      </c>
      <c r="U124" t="n">
        <v>286</v>
      </c>
      <c r="V124" t="n">
        <v>18.52</v>
      </c>
      <c r="W124" t="n">
        <v>20</v>
      </c>
      <c r="X124" t="n">
        <v>13.33</v>
      </c>
      <c r="Y124" t="n">
        <v>15.79</v>
      </c>
      <c r="Z124" t="n">
        <v>15.69</v>
      </c>
      <c r="AA124" t="inlineStr">
        <is>
          <t>Fish Fillet x1; Rice x20; Egg x3; Lettuce x5</t>
        </is>
      </c>
      <c r="AB124" t="b">
        <v>0</v>
      </c>
      <c r="AC124" t="inlineStr">
        <is>
          <t>match (mastered)</t>
        </is>
      </c>
    </row>
    <row r="125">
      <c r="A125" t="inlineStr">
        <is>
          <t>Silver Bar</t>
        </is>
      </c>
      <c r="B125" t="inlineStr">
        <is>
          <t>machine</t>
        </is>
      </c>
      <c r="C125" t="inlineStr">
        <is>
          <t>Smelter</t>
        </is>
      </c>
      <c r="D125" t="n">
        <v>24</v>
      </c>
      <c r="E125" t="n">
        <v>147</v>
      </c>
      <c r="F125" t="inlineStr">
        <is>
          <t>hayday.info</t>
        </is>
      </c>
      <c r="G125" t="n">
        <v>1</v>
      </c>
      <c r="H125" t="n">
        <v>480</v>
      </c>
      <c r="I125" t="n">
        <v>408</v>
      </c>
      <c r="J125" t="n">
        <v>54</v>
      </c>
      <c r="K125" t="n">
        <v>480</v>
      </c>
      <c r="L125" t="n">
        <v>0</v>
      </c>
      <c r="M125" t="n">
        <v>0</v>
      </c>
      <c r="N125" t="n">
        <v>0</v>
      </c>
      <c r="O125" t="inlineStr">
        <is>
          <t>Silver Ore x3</t>
        </is>
      </c>
      <c r="P125" t="n">
        <v>480</v>
      </c>
      <c r="Q125" t="n">
        <v>480</v>
      </c>
      <c r="R125" t="n">
        <v>18.38</v>
      </c>
      <c r="S125" t="n">
        <v>408</v>
      </c>
      <c r="T125" t="n">
        <v>408</v>
      </c>
      <c r="U125" t="n">
        <v>408</v>
      </c>
      <c r="V125" t="n">
        <v>21.62</v>
      </c>
      <c r="W125" t="n">
        <v>93</v>
      </c>
      <c r="X125" t="n">
        <v>11.62</v>
      </c>
      <c r="Y125" t="n">
        <v>13.68</v>
      </c>
      <c r="Z125" t="n">
        <v>13.68</v>
      </c>
      <c r="AA125" t="inlineStr">
        <is>
          <t>Silver Ore x3</t>
        </is>
      </c>
      <c r="AB125" t="b">
        <v>1</v>
      </c>
      <c r="AC125" t="inlineStr">
        <is>
          <t>match (mastered)</t>
        </is>
      </c>
    </row>
    <row r="126">
      <c r="A126" t="inlineStr">
        <is>
          <t>Breakfast Bowl</t>
        </is>
      </c>
      <c r="B126" t="inlineStr">
        <is>
          <t>machine</t>
        </is>
      </c>
      <c r="C126" t="inlineStr">
        <is>
          <t>Yogurt Maker</t>
        </is>
      </c>
      <c r="D126" t="n">
        <v>119</v>
      </c>
      <c r="E126" t="n">
        <v>604</v>
      </c>
      <c r="F126" t="inlineStr">
        <is>
          <t>Fandom</t>
        </is>
      </c>
      <c r="G126" t="n">
        <v>1</v>
      </c>
      <c r="H126" t="n">
        <v>50</v>
      </c>
      <c r="I126" t="n">
        <v>42</v>
      </c>
      <c r="J126" t="n">
        <v>580</v>
      </c>
      <c r="K126" t="n">
        <v>246.67</v>
      </c>
      <c r="L126" t="n">
        <v>103</v>
      </c>
      <c r="M126" t="n">
        <v>370</v>
      </c>
      <c r="N126" t="n">
        <v>1280</v>
      </c>
      <c r="P126" t="n">
        <v>1999.67</v>
      </c>
      <c r="Q126" t="n">
        <v>1970</v>
      </c>
      <c r="R126" t="n">
        <v>18.12</v>
      </c>
      <c r="S126" t="n">
        <v>208.33</v>
      </c>
      <c r="T126" t="n">
        <v>1961.33</v>
      </c>
      <c r="U126" t="n">
        <v>1962</v>
      </c>
      <c r="V126" t="n">
        <v>18.48</v>
      </c>
      <c r="W126" t="n">
        <v>24</v>
      </c>
      <c r="X126" t="n">
        <v>28.8</v>
      </c>
      <c r="Y126" t="n">
        <v>34.29</v>
      </c>
      <c r="AA126" t="inlineStr">
        <is>
          <t>Plain Yogurt x1; Oats x4; Honey x1; Blackberry x2</t>
        </is>
      </c>
      <c r="AB126" t="b">
        <v>0</v>
      </c>
    </row>
    <row r="127">
      <c r="A127" t="inlineStr">
        <is>
          <t>Strawberry Candle</t>
        </is>
      </c>
      <c r="B127" t="inlineStr">
        <is>
          <t>machine</t>
        </is>
      </c>
      <c r="C127" t="inlineStr">
        <is>
          <t>Candle Maker</t>
        </is>
      </c>
      <c r="D127" t="n">
        <v>48</v>
      </c>
      <c r="E127" t="n">
        <v>370</v>
      </c>
      <c r="F127" t="inlineStr">
        <is>
          <t>hayday.info</t>
        </is>
      </c>
      <c r="G127" t="n">
        <v>1</v>
      </c>
      <c r="H127" t="n">
        <v>120</v>
      </c>
      <c r="I127" t="n">
        <v>102</v>
      </c>
      <c r="J127" t="n">
        <v>334</v>
      </c>
      <c r="K127" t="n">
        <v>165</v>
      </c>
      <c r="L127" t="n">
        <v>960</v>
      </c>
      <c r="M127" t="n">
        <v>105</v>
      </c>
      <c r="N127" t="n">
        <v>0</v>
      </c>
      <c r="P127" t="n">
        <v>1230</v>
      </c>
      <c r="Q127" t="n">
        <v>600</v>
      </c>
      <c r="R127" t="n">
        <v>18.05</v>
      </c>
      <c r="S127" t="n">
        <v>140</v>
      </c>
      <c r="T127" t="n">
        <v>1205</v>
      </c>
      <c r="U127" t="n">
        <v>582</v>
      </c>
      <c r="V127" t="n">
        <v>18.42</v>
      </c>
      <c r="W127" t="n">
        <v>36</v>
      </c>
      <c r="X127" t="n">
        <v>18</v>
      </c>
      <c r="Y127" t="n">
        <v>21.18</v>
      </c>
      <c r="Z127" t="n">
        <v>21.18</v>
      </c>
      <c r="AA127" t="inlineStr">
        <is>
          <t>Beeswax x1; Strawberry x2</t>
        </is>
      </c>
      <c r="AB127" t="b">
        <v>0</v>
      </c>
      <c r="AC127" t="inlineStr">
        <is>
          <t>match (mastered)</t>
        </is>
      </c>
    </row>
    <row r="128">
      <c r="A128" t="inlineStr">
        <is>
          <t>Sesame</t>
        </is>
      </c>
      <c r="B128" t="inlineStr">
        <is>
          <t>field</t>
        </is>
      </c>
      <c r="C128" t="inlineStr">
        <is>
          <t>Farm</t>
        </is>
      </c>
      <c r="D128" t="n">
        <v>50</v>
      </c>
      <c r="E128" t="n">
        <v>18</v>
      </c>
      <c r="F128" t="inlineStr">
        <is>
          <t>hayday.info</t>
        </is>
      </c>
      <c r="G128" t="n">
        <v>1</v>
      </c>
      <c r="H128" t="n">
        <v>60</v>
      </c>
      <c r="J128" t="n">
        <v>0</v>
      </c>
      <c r="K128" t="n">
        <v>0</v>
      </c>
      <c r="L128" t="n">
        <v>60</v>
      </c>
      <c r="M128" t="n">
        <v>0</v>
      </c>
      <c r="N128" t="n">
        <v>0</v>
      </c>
      <c r="P128" t="n">
        <v>60</v>
      </c>
      <c r="Q128" t="n">
        <v>60</v>
      </c>
      <c r="R128" t="n">
        <v>18</v>
      </c>
      <c r="S128" t="n">
        <v>0</v>
      </c>
      <c r="T128" t="n">
        <v>60</v>
      </c>
      <c r="U128" t="n">
        <v>60</v>
      </c>
      <c r="V128" t="n">
        <v>18</v>
      </c>
      <c r="W128" t="n">
        <v>18</v>
      </c>
      <c r="X128" t="n">
        <v>18</v>
      </c>
      <c r="Y128" t="n">
        <v>18</v>
      </c>
      <c r="Z128" t="n">
        <v>18</v>
      </c>
      <c r="AB128" t="b">
        <v>0</v>
      </c>
    </row>
    <row r="129">
      <c r="A129" t="inlineStr">
        <is>
          <t>Refined Coal</t>
        </is>
      </c>
      <c r="B129" t="inlineStr">
        <is>
          <t>machine</t>
        </is>
      </c>
      <c r="C129" t="inlineStr">
        <is>
          <t>Smelter</t>
        </is>
      </c>
      <c r="D129" t="n">
        <v>33</v>
      </c>
      <c r="E129" t="n">
        <v>108</v>
      </c>
      <c r="F129" t="inlineStr">
        <is>
          <t>hayday.info</t>
        </is>
      </c>
      <c r="G129" t="n">
        <v>1</v>
      </c>
      <c r="H129" t="n">
        <v>360</v>
      </c>
      <c r="I129" t="n">
        <v>306</v>
      </c>
      <c r="J129" t="n">
        <v>30</v>
      </c>
      <c r="K129" t="n">
        <v>360</v>
      </c>
      <c r="L129" t="n">
        <v>0</v>
      </c>
      <c r="M129" t="n">
        <v>0</v>
      </c>
      <c r="N129" t="n">
        <v>0</v>
      </c>
      <c r="O129" t="inlineStr">
        <is>
          <t>Coal x3</t>
        </is>
      </c>
      <c r="P129" t="n">
        <v>360</v>
      </c>
      <c r="Q129" t="n">
        <v>360</v>
      </c>
      <c r="R129" t="n">
        <v>18</v>
      </c>
      <c r="S129" t="n">
        <v>306</v>
      </c>
      <c r="T129" t="n">
        <v>306</v>
      </c>
      <c r="U129" t="n">
        <v>306</v>
      </c>
      <c r="V129" t="n">
        <v>21.18</v>
      </c>
      <c r="W129" t="n">
        <v>78</v>
      </c>
      <c r="X129" t="n">
        <v>13</v>
      </c>
      <c r="Y129" t="n">
        <v>15.29</v>
      </c>
      <c r="Z129" t="n">
        <v>15.29</v>
      </c>
      <c r="AA129" t="inlineStr">
        <is>
          <t>Coal x3</t>
        </is>
      </c>
      <c r="AB129" t="b">
        <v>1</v>
      </c>
      <c r="AC129" t="inlineStr">
        <is>
          <t>match (mastered)</t>
        </is>
      </c>
    </row>
    <row r="130">
      <c r="A130" t="inlineStr">
        <is>
          <t>Chickpea</t>
        </is>
      </c>
      <c r="B130" t="inlineStr">
        <is>
          <t>field</t>
        </is>
      </c>
      <c r="C130" t="inlineStr">
        <is>
          <t>Farm</t>
        </is>
      </c>
      <c r="D130" t="n">
        <v>95</v>
      </c>
      <c r="E130" t="n">
        <v>18</v>
      </c>
      <c r="F130" t="inlineStr">
        <is>
          <t>hayday.info</t>
        </is>
      </c>
      <c r="G130" t="n">
        <v>1</v>
      </c>
      <c r="H130" t="n">
        <v>60</v>
      </c>
      <c r="J130" t="n">
        <v>0</v>
      </c>
      <c r="K130" t="n">
        <v>0</v>
      </c>
      <c r="L130" t="n">
        <v>60</v>
      </c>
      <c r="M130" t="n">
        <v>0</v>
      </c>
      <c r="N130" t="n">
        <v>0</v>
      </c>
      <c r="P130" t="n">
        <v>60</v>
      </c>
      <c r="Q130" t="n">
        <v>60</v>
      </c>
      <c r="R130" t="n">
        <v>18</v>
      </c>
      <c r="S130" t="n">
        <v>0</v>
      </c>
      <c r="T130" t="n">
        <v>60</v>
      </c>
      <c r="U130" t="n">
        <v>60</v>
      </c>
      <c r="V130" t="n">
        <v>18</v>
      </c>
      <c r="W130" t="n">
        <v>18</v>
      </c>
      <c r="X130" t="n">
        <v>18</v>
      </c>
      <c r="Y130" t="n">
        <v>18</v>
      </c>
      <c r="Z130" t="n">
        <v>18</v>
      </c>
      <c r="AB130" t="b">
        <v>0</v>
      </c>
    </row>
    <row r="131">
      <c r="A131" t="inlineStr">
        <is>
          <t>Passion Fruit</t>
        </is>
      </c>
      <c r="B131" t="inlineStr">
        <is>
          <t>field</t>
        </is>
      </c>
      <c r="C131" t="inlineStr">
        <is>
          <t>Farm</t>
        </is>
      </c>
      <c r="D131" t="n">
        <v>88</v>
      </c>
      <c r="E131" t="n">
        <v>18</v>
      </c>
      <c r="F131" t="inlineStr">
        <is>
          <t>hayday.info</t>
        </is>
      </c>
      <c r="G131" t="n">
        <v>1</v>
      </c>
      <c r="H131" t="n">
        <v>60</v>
      </c>
      <c r="J131" t="n">
        <v>0</v>
      </c>
      <c r="K131" t="n">
        <v>0</v>
      </c>
      <c r="L131" t="n">
        <v>60</v>
      </c>
      <c r="M131" t="n">
        <v>0</v>
      </c>
      <c r="N131" t="n">
        <v>0</v>
      </c>
      <c r="P131" t="n">
        <v>60</v>
      </c>
      <c r="Q131" t="n">
        <v>60</v>
      </c>
      <c r="R131" t="n">
        <v>18</v>
      </c>
      <c r="S131" t="n">
        <v>0</v>
      </c>
      <c r="T131" t="n">
        <v>60</v>
      </c>
      <c r="U131" t="n">
        <v>60</v>
      </c>
      <c r="V131" t="n">
        <v>18</v>
      </c>
      <c r="W131" t="n">
        <v>18</v>
      </c>
      <c r="X131" t="n">
        <v>18</v>
      </c>
      <c r="Y131" t="n">
        <v>18</v>
      </c>
      <c r="Z131" t="n">
        <v>18</v>
      </c>
      <c r="AB131" t="b">
        <v>0</v>
      </c>
    </row>
    <row r="132">
      <c r="A132" t="inlineStr">
        <is>
          <t>Caramel Apple</t>
        </is>
      </c>
      <c r="B132" t="inlineStr">
        <is>
          <t>machine</t>
        </is>
      </c>
      <c r="C132" t="inlineStr">
        <is>
          <t>Candy Machine</t>
        </is>
      </c>
      <c r="D132" t="n">
        <v>51</v>
      </c>
      <c r="E132" t="n">
        <v>255</v>
      </c>
      <c r="F132" t="inlineStr">
        <is>
          <t>hayday.info</t>
        </is>
      </c>
      <c r="G132" t="n">
        <v>1</v>
      </c>
      <c r="H132" t="n">
        <v>120</v>
      </c>
      <c r="I132" t="n">
        <v>102</v>
      </c>
      <c r="J132" t="n">
        <v>219</v>
      </c>
      <c r="K132" t="n">
        <v>300</v>
      </c>
      <c r="L132" t="n">
        <v>240</v>
      </c>
      <c r="M132" t="n">
        <v>0</v>
      </c>
      <c r="N132" t="n">
        <v>320</v>
      </c>
      <c r="P132" t="n">
        <v>860</v>
      </c>
      <c r="Q132" t="n">
        <v>1080</v>
      </c>
      <c r="R132" t="n">
        <v>17.79</v>
      </c>
      <c r="S132" t="n">
        <v>254</v>
      </c>
      <c r="T132" t="n">
        <v>814</v>
      </c>
      <c r="U132" t="n">
        <v>1062</v>
      </c>
      <c r="V132" t="n">
        <v>18.8</v>
      </c>
      <c r="W132" t="n">
        <v>36</v>
      </c>
      <c r="X132" t="n">
        <v>18</v>
      </c>
      <c r="Y132" t="n">
        <v>21.18</v>
      </c>
      <c r="Z132" t="n">
        <v>21.18</v>
      </c>
      <c r="AA132" t="inlineStr">
        <is>
          <t>Syrup x2; Apple x1</t>
        </is>
      </c>
      <c r="AB132" t="b">
        <v>0</v>
      </c>
      <c r="AC132" t="inlineStr">
        <is>
          <t>match (mastered)</t>
        </is>
      </c>
    </row>
    <row r="133">
      <c r="A133" t="inlineStr">
        <is>
          <t>Bacon and Eggs</t>
        </is>
      </c>
      <c r="B133" t="inlineStr">
        <is>
          <t>machine</t>
        </is>
      </c>
      <c r="C133" t="inlineStr">
        <is>
          <t>BBQ Grill</t>
        </is>
      </c>
      <c r="D133" t="n">
        <v>11</v>
      </c>
      <c r="E133" t="n">
        <v>201</v>
      </c>
      <c r="F133" t="inlineStr">
        <is>
          <t>hayday.info</t>
        </is>
      </c>
      <c r="G133" t="n">
        <v>1</v>
      </c>
      <c r="H133" t="n">
        <v>60</v>
      </c>
      <c r="I133" t="n">
        <v>51</v>
      </c>
      <c r="J133" t="n">
        <v>172</v>
      </c>
      <c r="K133" t="n">
        <v>80</v>
      </c>
      <c r="L133" t="n">
        <v>38.67</v>
      </c>
      <c r="M133" t="n">
        <v>560</v>
      </c>
      <c r="N133" t="n">
        <v>0</v>
      </c>
      <c r="P133" t="n">
        <v>678.67</v>
      </c>
      <c r="Q133" t="n">
        <v>340</v>
      </c>
      <c r="R133" t="n">
        <v>17.77</v>
      </c>
      <c r="S133" t="n">
        <v>67.67</v>
      </c>
      <c r="T133" t="n">
        <v>666.33</v>
      </c>
      <c r="U133" t="n">
        <v>328</v>
      </c>
      <c r="V133" t="n">
        <v>18.1</v>
      </c>
      <c r="W133" t="n">
        <v>29</v>
      </c>
      <c r="X133" t="n">
        <v>29</v>
      </c>
      <c r="Y133" t="n">
        <v>34.12</v>
      </c>
      <c r="Z133" t="n">
        <v>34.12</v>
      </c>
      <c r="AA133" t="inlineStr">
        <is>
          <t>Egg x4; Bacon x2</t>
        </is>
      </c>
      <c r="AB133" t="b">
        <v>1</v>
      </c>
      <c r="AC133" t="inlineStr">
        <is>
          <t>match (mastered)</t>
        </is>
      </c>
    </row>
    <row r="134">
      <c r="A134" t="inlineStr">
        <is>
          <t>Mussel Chowder</t>
        </is>
      </c>
      <c r="B134" t="inlineStr">
        <is>
          <t>machine</t>
        </is>
      </c>
      <c r="C134" t="inlineStr">
        <is>
          <t>Soup Kitchen</t>
        </is>
      </c>
      <c r="D134" t="n">
        <v>47</v>
      </c>
      <c r="E134" t="n">
        <v>626</v>
      </c>
      <c r="F134" t="inlineStr">
        <is>
          <t>Fandom</t>
        </is>
      </c>
      <c r="G134" t="n">
        <v>1</v>
      </c>
      <c r="H134" t="n">
        <v>180</v>
      </c>
      <c r="I134" t="n">
        <v>153</v>
      </c>
      <c r="J134" t="n">
        <v>592</v>
      </c>
      <c r="K134" t="n">
        <v>331.67</v>
      </c>
      <c r="L134" t="n">
        <v>795</v>
      </c>
      <c r="M134" t="n">
        <v>1020</v>
      </c>
      <c r="N134" t="n">
        <v>0</v>
      </c>
      <c r="O134" t="inlineStr">
        <is>
          <t>Mussel Meat x4</t>
        </is>
      </c>
      <c r="P134" t="n">
        <v>2146.67</v>
      </c>
      <c r="Q134" t="n">
        <v>460</v>
      </c>
      <c r="R134" t="n">
        <v>17.5</v>
      </c>
      <c r="S134" t="n">
        <v>280.33</v>
      </c>
      <c r="T134" t="n">
        <v>2095.33</v>
      </c>
      <c r="U134" t="n">
        <v>430</v>
      </c>
      <c r="V134" t="n">
        <v>17.93</v>
      </c>
      <c r="W134" t="n">
        <v>34</v>
      </c>
      <c r="X134" t="n">
        <v>11.33</v>
      </c>
      <c r="Y134" t="n">
        <v>13.33</v>
      </c>
      <c r="AA134" t="inlineStr">
        <is>
          <t>Mussel Meat x4; Bacon x3; Milk x1; Baked Potato x1</t>
        </is>
      </c>
      <c r="AB134" t="b">
        <v>0</v>
      </c>
    </row>
    <row r="135">
      <c r="A135" t="inlineStr">
        <is>
          <t>Fish Taco</t>
        </is>
      </c>
      <c r="B135" t="inlineStr">
        <is>
          <t>machine</t>
        </is>
      </c>
      <c r="C135" t="inlineStr">
        <is>
          <t>Taco Kitchen</t>
        </is>
      </c>
      <c r="D135" t="n">
        <v>79</v>
      </c>
      <c r="E135" t="n">
        <v>392</v>
      </c>
      <c r="F135" t="inlineStr">
        <is>
          <t>hayday.info</t>
        </is>
      </c>
      <c r="G135" t="n">
        <v>1</v>
      </c>
      <c r="H135" t="n">
        <v>90</v>
      </c>
      <c r="I135" t="n">
        <v>76</v>
      </c>
      <c r="J135" t="n">
        <v>363</v>
      </c>
      <c r="K135" t="n">
        <v>156.67</v>
      </c>
      <c r="L135" t="n">
        <v>512</v>
      </c>
      <c r="M135" t="n">
        <v>80</v>
      </c>
      <c r="N135" t="n">
        <v>600</v>
      </c>
      <c r="O135" t="inlineStr">
        <is>
          <t>Fish Fillet x1</t>
        </is>
      </c>
      <c r="P135" t="n">
        <v>1348.67</v>
      </c>
      <c r="Q135" t="n">
        <v>1890</v>
      </c>
      <c r="R135" t="n">
        <v>17.44</v>
      </c>
      <c r="S135" t="n">
        <v>131.33</v>
      </c>
      <c r="T135" t="n">
        <v>1323.33</v>
      </c>
      <c r="U135" t="n">
        <v>1876</v>
      </c>
      <c r="V135" t="n">
        <v>17.77</v>
      </c>
      <c r="W135" t="n">
        <v>29</v>
      </c>
      <c r="X135" t="n">
        <v>19.33</v>
      </c>
      <c r="Y135" t="n">
        <v>22.89</v>
      </c>
      <c r="Z135" t="n">
        <v>22.75</v>
      </c>
      <c r="AA135" t="inlineStr">
        <is>
          <t>Chili Pepper x2; Corn Bread x2; Fish Fillet x1; Lemon x1</t>
        </is>
      </c>
      <c r="AB135" t="b">
        <v>0</v>
      </c>
      <c r="AC135" t="inlineStr">
        <is>
          <t>match (mastered)</t>
        </is>
      </c>
    </row>
    <row r="136">
      <c r="A136" t="inlineStr">
        <is>
          <t>Lamb Stir Fry</t>
        </is>
      </c>
      <c r="B136" t="inlineStr">
        <is>
          <t>machine</t>
        </is>
      </c>
      <c r="C136" t="inlineStr">
        <is>
          <t>Wok Kitchen</t>
        </is>
      </c>
      <c r="D136" t="n">
        <v>69</v>
      </c>
      <c r="E136" t="n">
        <v>270</v>
      </c>
      <c r="F136" t="inlineStr">
        <is>
          <t>Fandom</t>
        </is>
      </c>
      <c r="G136" t="n">
        <v>1</v>
      </c>
      <c r="H136" t="n">
        <v>120</v>
      </c>
      <c r="I136" t="n">
        <v>102</v>
      </c>
      <c r="J136" t="n">
        <v>234</v>
      </c>
      <c r="K136" t="n">
        <v>146.67</v>
      </c>
      <c r="L136" t="n">
        <v>728.33</v>
      </c>
      <c r="M136" t="n">
        <v>60</v>
      </c>
      <c r="N136" t="n">
        <v>0</v>
      </c>
      <c r="P136" t="n">
        <v>935</v>
      </c>
      <c r="Q136" t="n">
        <v>360</v>
      </c>
      <c r="R136" t="n">
        <v>17.33</v>
      </c>
      <c r="S136" t="n">
        <v>124.33</v>
      </c>
      <c r="T136" t="n">
        <v>912.67</v>
      </c>
      <c r="U136" t="n">
        <v>342</v>
      </c>
      <c r="V136" t="n">
        <v>17.75</v>
      </c>
      <c r="W136" t="n">
        <v>36</v>
      </c>
      <c r="X136" t="n">
        <v>18</v>
      </c>
      <c r="Y136" t="n">
        <v>21.18</v>
      </c>
      <c r="AA136" t="inlineStr">
        <is>
          <t>Rice x3; Grilled Lamb Skewer x1; Chili Pepper x2; Sesame x1</t>
        </is>
      </c>
      <c r="AB136" t="b">
        <v>0</v>
      </c>
    </row>
    <row r="137">
      <c r="A137" t="inlineStr">
        <is>
          <t>Fried Candy Bar</t>
        </is>
      </c>
      <c r="B137" t="inlineStr">
        <is>
          <t>machine</t>
        </is>
      </c>
      <c r="C137" t="inlineStr">
        <is>
          <t>Deep Fryer</t>
        </is>
      </c>
      <c r="D137" t="n">
        <v>100</v>
      </c>
      <c r="E137" t="n">
        <v>658</v>
      </c>
      <c r="F137" t="inlineStr">
        <is>
          <t>hayday.info</t>
        </is>
      </c>
      <c r="G137" t="n">
        <v>1</v>
      </c>
      <c r="H137" t="n">
        <v>15</v>
      </c>
      <c r="I137" t="n">
        <v>12</v>
      </c>
      <c r="J137" t="n">
        <v>596</v>
      </c>
      <c r="K137" t="n">
        <v>98.33</v>
      </c>
      <c r="L137" t="n">
        <v>40</v>
      </c>
      <c r="M137" t="n">
        <v>40</v>
      </c>
      <c r="N137" t="n">
        <v>2100</v>
      </c>
      <c r="O137" t="inlineStr">
        <is>
          <t>Peanuts x1</t>
        </is>
      </c>
      <c r="P137" t="n">
        <v>2278.33</v>
      </c>
      <c r="Q137" t="n">
        <v>2115</v>
      </c>
      <c r="R137" t="n">
        <v>17.33</v>
      </c>
      <c r="S137" t="n">
        <v>82.67</v>
      </c>
      <c r="T137" t="n">
        <v>2262.67</v>
      </c>
      <c r="U137" t="n">
        <v>2112</v>
      </c>
      <c r="V137" t="n">
        <v>17.45</v>
      </c>
      <c r="W137" t="n">
        <v>62</v>
      </c>
      <c r="X137" t="n">
        <v>248</v>
      </c>
      <c r="Y137" t="n">
        <v>310</v>
      </c>
      <c r="Z137" t="n">
        <v>291.76</v>
      </c>
      <c r="AA137" t="inlineStr">
        <is>
          <t>Cacao x3; Cookie x1; Peanuts x1</t>
        </is>
      </c>
      <c r="AB137" t="b">
        <v>0</v>
      </c>
      <c r="AC137" t="inlineStr">
        <is>
          <t>match (normal x0.85)</t>
        </is>
      </c>
    </row>
    <row r="138">
      <c r="A138" t="inlineStr">
        <is>
          <t>Peach Ice Cream</t>
        </is>
      </c>
      <c r="B138" t="inlineStr">
        <is>
          <t>machine</t>
        </is>
      </c>
      <c r="C138" t="inlineStr">
        <is>
          <t>Ice Cream Maker</t>
        </is>
      </c>
      <c r="D138" t="n">
        <v>83</v>
      </c>
      <c r="E138" t="n">
        <v>450</v>
      </c>
      <c r="F138" t="inlineStr">
        <is>
          <t>hayday.info</t>
        </is>
      </c>
      <c r="G138" t="n">
        <v>1</v>
      </c>
      <c r="H138" t="n">
        <v>180</v>
      </c>
      <c r="I138" t="n">
        <v>153</v>
      </c>
      <c r="J138" t="n">
        <v>404</v>
      </c>
      <c r="K138" t="n">
        <v>223.33</v>
      </c>
      <c r="L138" t="n">
        <v>15</v>
      </c>
      <c r="M138" t="n">
        <v>130</v>
      </c>
      <c r="N138" t="n">
        <v>1200</v>
      </c>
      <c r="P138" t="n">
        <v>1568.33</v>
      </c>
      <c r="Q138" t="n">
        <v>1980</v>
      </c>
      <c r="R138" t="n">
        <v>17.22</v>
      </c>
      <c r="S138" t="n">
        <v>189.67</v>
      </c>
      <c r="T138" t="n">
        <v>1534.67</v>
      </c>
      <c r="U138" t="n">
        <v>1953</v>
      </c>
      <c r="V138" t="n">
        <v>17.59</v>
      </c>
      <c r="W138" t="n">
        <v>46</v>
      </c>
      <c r="X138" t="n">
        <v>15.33</v>
      </c>
      <c r="Y138" t="n">
        <v>18.04</v>
      </c>
      <c r="Z138" t="n">
        <v>18.04</v>
      </c>
      <c r="AA138" t="inlineStr">
        <is>
          <t>Cream x1; Honey x1; Peach x2</t>
        </is>
      </c>
      <c r="AB138" t="b">
        <v>0</v>
      </c>
      <c r="AC138" t="inlineStr">
        <is>
          <t>match (mastered)</t>
        </is>
      </c>
    </row>
    <row r="139">
      <c r="A139" t="inlineStr">
        <is>
          <t>Soothing Pad</t>
        </is>
      </c>
      <c r="B139" t="inlineStr">
        <is>
          <t>machine</t>
        </is>
      </c>
      <c r="C139" t="inlineStr">
        <is>
          <t>Sewing Machine</t>
        </is>
      </c>
      <c r="D139" t="n">
        <v>45</v>
      </c>
      <c r="E139" t="n">
        <v>324</v>
      </c>
      <c r="F139" t="inlineStr">
        <is>
          <t>Fandom</t>
        </is>
      </c>
      <c r="G139" t="n">
        <v>1</v>
      </c>
      <c r="H139" t="n">
        <v>60</v>
      </c>
      <c r="I139" t="n">
        <v>51</v>
      </c>
      <c r="J139" t="n">
        <v>281</v>
      </c>
      <c r="K139" t="n">
        <v>120</v>
      </c>
      <c r="L139" t="n">
        <v>1010</v>
      </c>
      <c r="M139" t="n">
        <v>0</v>
      </c>
      <c r="N139" t="n">
        <v>0</v>
      </c>
      <c r="P139" t="n">
        <v>1130</v>
      </c>
      <c r="Q139" t="n">
        <v>270</v>
      </c>
      <c r="R139" t="n">
        <v>17.2</v>
      </c>
      <c r="S139" t="n">
        <v>101</v>
      </c>
      <c r="T139" t="n">
        <v>1111</v>
      </c>
      <c r="U139" t="n">
        <v>251</v>
      </c>
      <c r="V139" t="n">
        <v>17.5</v>
      </c>
      <c r="W139" t="n">
        <v>43</v>
      </c>
      <c r="X139" t="n">
        <v>43</v>
      </c>
      <c r="Y139" t="n">
        <v>50.59</v>
      </c>
      <c r="AA139" t="inlineStr">
        <is>
          <t>Cotton Fabric x2; Wheat x5; Chamomile x5</t>
        </is>
      </c>
      <c r="AB139" t="b">
        <v>0</v>
      </c>
    </row>
    <row r="140">
      <c r="A140" t="inlineStr">
        <is>
          <t>Quesadilla</t>
        </is>
      </c>
      <c r="B140" t="inlineStr">
        <is>
          <t>machine</t>
        </is>
      </c>
      <c r="C140" t="inlineStr">
        <is>
          <t>Taco Kitchen</t>
        </is>
      </c>
      <c r="D140" t="n">
        <v>82</v>
      </c>
      <c r="E140" t="n">
        <v>241</v>
      </c>
      <c r="F140" t="inlineStr">
        <is>
          <t>hayday.info</t>
        </is>
      </c>
      <c r="G140" t="n">
        <v>1</v>
      </c>
      <c r="H140" t="n">
        <v>60</v>
      </c>
      <c r="I140" t="n">
        <v>51</v>
      </c>
      <c r="J140" t="n">
        <v>206</v>
      </c>
      <c r="K140" t="n">
        <v>130</v>
      </c>
      <c r="L140" t="n">
        <v>533</v>
      </c>
      <c r="M140" t="n">
        <v>180</v>
      </c>
      <c r="N140" t="n">
        <v>0</v>
      </c>
      <c r="P140" t="n">
        <v>843</v>
      </c>
      <c r="Q140" t="n">
        <v>300</v>
      </c>
      <c r="R140" t="n">
        <v>17.15</v>
      </c>
      <c r="S140" t="n">
        <v>110</v>
      </c>
      <c r="T140" t="n">
        <v>823</v>
      </c>
      <c r="U140" t="n">
        <v>291</v>
      </c>
      <c r="V140" t="n">
        <v>17.57</v>
      </c>
      <c r="W140" t="n">
        <v>35</v>
      </c>
      <c r="X140" t="n">
        <v>35</v>
      </c>
      <c r="Y140" t="n">
        <v>41.18</v>
      </c>
      <c r="Z140" t="n">
        <v>41.18</v>
      </c>
      <c r="AA140" t="inlineStr">
        <is>
          <t>Cheese x1; Chili Pepper x2; Wheat x4</t>
        </is>
      </c>
      <c r="AB140" t="b">
        <v>0</v>
      </c>
      <c r="AC140" t="inlineStr">
        <is>
          <t>match (mastered)</t>
        </is>
      </c>
    </row>
    <row r="141">
      <c r="A141" t="inlineStr">
        <is>
          <t>Bracelet</t>
        </is>
      </c>
      <c r="B141" t="inlineStr">
        <is>
          <t>machine</t>
        </is>
      </c>
      <c r="C141" t="inlineStr">
        <is>
          <t>Jeweler</t>
        </is>
      </c>
      <c r="D141" t="n">
        <v>38</v>
      </c>
      <c r="E141" t="n">
        <v>514</v>
      </c>
      <c r="F141" t="inlineStr">
        <is>
          <t>hayday.info</t>
        </is>
      </c>
      <c r="G141" t="n">
        <v>1</v>
      </c>
      <c r="H141" t="n">
        <v>120</v>
      </c>
      <c r="I141" t="n">
        <v>102</v>
      </c>
      <c r="J141" t="n">
        <v>474</v>
      </c>
      <c r="K141" t="n">
        <v>1800</v>
      </c>
      <c r="L141" t="n">
        <v>0</v>
      </c>
      <c r="M141" t="n">
        <v>0</v>
      </c>
      <c r="N141" t="n">
        <v>0</v>
      </c>
      <c r="O141" t="inlineStr">
        <is>
          <t>Silver Ore x6; Gold Ore x3</t>
        </is>
      </c>
      <c r="P141" t="n">
        <v>1800</v>
      </c>
      <c r="Q141" t="n">
        <v>1080</v>
      </c>
      <c r="R141" t="n">
        <v>17.13</v>
      </c>
      <c r="S141" t="n">
        <v>1530</v>
      </c>
      <c r="T141" t="n">
        <v>1530</v>
      </c>
      <c r="U141" t="n">
        <v>918</v>
      </c>
      <c r="V141" t="n">
        <v>20.16</v>
      </c>
      <c r="W141" t="n">
        <v>40</v>
      </c>
      <c r="X141" t="n">
        <v>20</v>
      </c>
      <c r="Y141" t="n">
        <v>23.53</v>
      </c>
      <c r="Z141" t="n">
        <v>23.53</v>
      </c>
      <c r="AA141" t="inlineStr">
        <is>
          <t>Silver Bar x2; Gold Bar x1</t>
        </is>
      </c>
      <c r="AB141" t="b">
        <v>1</v>
      </c>
      <c r="AC141" t="inlineStr">
        <is>
          <t>match (mastered)</t>
        </is>
      </c>
    </row>
    <row r="142">
      <c r="A142" t="inlineStr">
        <is>
          <t>Guava Cupcake</t>
        </is>
      </c>
      <c r="B142" t="inlineStr">
        <is>
          <t>machine</t>
        </is>
      </c>
      <c r="C142" t="inlineStr">
        <is>
          <t>Cupcake Maker</t>
        </is>
      </c>
      <c r="D142" t="n">
        <v>109</v>
      </c>
      <c r="E142" t="n">
        <v>583</v>
      </c>
      <c r="F142" t="inlineStr">
        <is>
          <t>hayday.info</t>
        </is>
      </c>
      <c r="G142" t="n">
        <v>1</v>
      </c>
      <c r="H142" t="n">
        <v>70</v>
      </c>
      <c r="I142" t="n">
        <v>59</v>
      </c>
      <c r="J142" t="n">
        <v>552</v>
      </c>
      <c r="K142" t="n">
        <v>261.67</v>
      </c>
      <c r="L142" t="n">
        <v>238</v>
      </c>
      <c r="M142" t="n">
        <v>200</v>
      </c>
      <c r="N142" t="n">
        <v>1360</v>
      </c>
      <c r="P142" t="n">
        <v>2059.67</v>
      </c>
      <c r="Q142" t="n">
        <v>2110</v>
      </c>
      <c r="R142" t="n">
        <v>16.98</v>
      </c>
      <c r="S142" t="n">
        <v>221.33</v>
      </c>
      <c r="T142" t="n">
        <v>2019.33</v>
      </c>
      <c r="U142" t="n">
        <v>2099</v>
      </c>
      <c r="V142" t="n">
        <v>17.32</v>
      </c>
      <c r="W142" t="n">
        <v>31</v>
      </c>
      <c r="X142" t="n">
        <v>26.57</v>
      </c>
      <c r="Y142" t="n">
        <v>31.53</v>
      </c>
      <c r="Z142" t="n">
        <v>26.57</v>
      </c>
      <c r="AA142" t="inlineStr">
        <is>
          <t>Plain Cupcake x1; Guava x2; Cream x1</t>
        </is>
      </c>
      <c r="AB142" t="b">
        <v>0</v>
      </c>
      <c r="AC142" t="inlineStr">
        <is>
          <t>match (site uses normal time)</t>
        </is>
      </c>
    </row>
    <row r="143">
      <c r="A143" t="inlineStr">
        <is>
          <t>Pizza</t>
        </is>
      </c>
      <c r="B143" t="inlineStr">
        <is>
          <t>machine</t>
        </is>
      </c>
      <c r="C143" t="inlineStr">
        <is>
          <t>Bakery</t>
        </is>
      </c>
      <c r="D143" t="n">
        <v>33</v>
      </c>
      <c r="E143" t="n">
        <v>190</v>
      </c>
      <c r="F143" t="inlineStr">
        <is>
          <t>hayday.info</t>
        </is>
      </c>
      <c r="G143" t="n">
        <v>1</v>
      </c>
      <c r="H143" t="n">
        <v>15</v>
      </c>
      <c r="I143" t="n">
        <v>12</v>
      </c>
      <c r="J143" t="n">
        <v>171</v>
      </c>
      <c r="K143" t="n">
        <v>85</v>
      </c>
      <c r="L143" t="n">
        <v>409</v>
      </c>
      <c r="M143" t="n">
        <v>180</v>
      </c>
      <c r="N143" t="n">
        <v>0</v>
      </c>
      <c r="P143" t="n">
        <v>674</v>
      </c>
      <c r="Q143" t="n">
        <v>375</v>
      </c>
      <c r="R143" t="n">
        <v>16.91</v>
      </c>
      <c r="S143" t="n">
        <v>71</v>
      </c>
      <c r="T143" t="n">
        <v>660</v>
      </c>
      <c r="U143" t="n">
        <v>372</v>
      </c>
      <c r="V143" t="n">
        <v>17.27</v>
      </c>
      <c r="W143" t="n">
        <v>19</v>
      </c>
      <c r="X143" t="n">
        <v>76</v>
      </c>
      <c r="Y143" t="n">
        <v>95</v>
      </c>
      <c r="Z143" t="n">
        <v>89.41</v>
      </c>
      <c r="AA143" t="inlineStr">
        <is>
          <t>Wheat x2; Tomato x1; Cheese x1</t>
        </is>
      </c>
      <c r="AB143" t="b">
        <v>1</v>
      </c>
      <c r="AC143" t="inlineStr">
        <is>
          <t>match (normal x0.85)</t>
        </is>
      </c>
    </row>
    <row r="144">
      <c r="A144" t="inlineStr">
        <is>
          <t>Candy Bouquet</t>
        </is>
      </c>
      <c r="B144" t="inlineStr">
        <is>
          <t>machine</t>
        </is>
      </c>
      <c r="C144" t="inlineStr">
        <is>
          <t>Flower Shop</t>
        </is>
      </c>
      <c r="D144" t="n">
        <v>90</v>
      </c>
      <c r="E144" t="n">
        <v>554</v>
      </c>
      <c r="F144" t="inlineStr">
        <is>
          <t>hayday.info</t>
        </is>
      </c>
      <c r="G144" t="n">
        <v>1</v>
      </c>
      <c r="H144" t="n">
        <v>20</v>
      </c>
      <c r="I144" t="n">
        <v>17</v>
      </c>
      <c r="J144" t="n">
        <v>539</v>
      </c>
      <c r="K144" t="n">
        <v>486.67</v>
      </c>
      <c r="L144" t="n">
        <v>1052</v>
      </c>
      <c r="M144" t="n">
        <v>120</v>
      </c>
      <c r="N144" t="n">
        <v>320</v>
      </c>
      <c r="P144" t="n">
        <v>1978.67</v>
      </c>
      <c r="Q144" t="n">
        <v>1100</v>
      </c>
      <c r="R144" t="n">
        <v>16.8</v>
      </c>
      <c r="S144" t="n">
        <v>411.33</v>
      </c>
      <c r="T144" t="n">
        <v>1903.33</v>
      </c>
      <c r="U144" t="n">
        <v>1079</v>
      </c>
      <c r="V144" t="n">
        <v>17.46</v>
      </c>
      <c r="W144" t="n">
        <v>15</v>
      </c>
      <c r="X144" t="n">
        <v>45</v>
      </c>
      <c r="Y144" t="n">
        <v>52.94</v>
      </c>
      <c r="Z144" t="n">
        <v>52.94</v>
      </c>
      <c r="AA144" t="inlineStr">
        <is>
          <t>Peony x3; Caramel Apple x1; Toffee x1</t>
        </is>
      </c>
      <c r="AB144" t="b">
        <v>0</v>
      </c>
      <c r="AC144" t="inlineStr">
        <is>
          <t>match (mastered)</t>
        </is>
      </c>
    </row>
    <row r="145">
      <c r="A145" t="inlineStr">
        <is>
          <t>Cotton Candy</t>
        </is>
      </c>
      <c r="B145" t="inlineStr">
        <is>
          <t>machine</t>
        </is>
      </c>
      <c r="C145" t="inlineStr">
        <is>
          <t>Candy Machine</t>
        </is>
      </c>
      <c r="D145" t="n">
        <v>75</v>
      </c>
      <c r="E145" t="n">
        <v>226</v>
      </c>
      <c r="F145" t="inlineStr">
        <is>
          <t>hayday.info</t>
        </is>
      </c>
      <c r="G145" t="n">
        <v>1</v>
      </c>
      <c r="H145" t="n">
        <v>30</v>
      </c>
      <c r="I145" t="n">
        <v>25</v>
      </c>
      <c r="J145" t="n">
        <v>200</v>
      </c>
      <c r="K145" t="n">
        <v>150</v>
      </c>
      <c r="L145" t="n">
        <v>660</v>
      </c>
      <c r="M145" t="n">
        <v>0</v>
      </c>
      <c r="N145" t="n">
        <v>0</v>
      </c>
      <c r="P145" t="n">
        <v>810</v>
      </c>
      <c r="Q145" t="n">
        <v>510</v>
      </c>
      <c r="R145" t="n">
        <v>16.74</v>
      </c>
      <c r="S145" t="n">
        <v>127</v>
      </c>
      <c r="T145" t="n">
        <v>787</v>
      </c>
      <c r="U145" t="n">
        <v>505</v>
      </c>
      <c r="V145" t="n">
        <v>17.23</v>
      </c>
      <c r="W145" t="n">
        <v>26</v>
      </c>
      <c r="X145" t="n">
        <v>52</v>
      </c>
      <c r="Y145" t="n">
        <v>62.4</v>
      </c>
      <c r="Z145" t="n">
        <v>61.18</v>
      </c>
      <c r="AA145" t="inlineStr">
        <is>
          <t>White Sugar x3; Strawberry x1</t>
        </is>
      </c>
      <c r="AB145" t="b">
        <v>0</v>
      </c>
      <c r="AC145" t="inlineStr">
        <is>
          <t>match (normal x0.85)</t>
        </is>
      </c>
    </row>
    <row r="146">
      <c r="A146" t="inlineStr">
        <is>
          <t>Lemon Fudge</t>
        </is>
      </c>
      <c r="B146" t="inlineStr">
        <is>
          <t>machine</t>
        </is>
      </c>
      <c r="C146" t="inlineStr">
        <is>
          <t>Fudge Shop</t>
        </is>
      </c>
      <c r="D146" t="n">
        <v>108</v>
      </c>
      <c r="E146" t="n">
        <v>590</v>
      </c>
      <c r="F146" t="inlineStr">
        <is>
          <t>hayday.info</t>
        </is>
      </c>
      <c r="G146" t="n">
        <v>1</v>
      </c>
      <c r="H146" t="n">
        <v>110</v>
      </c>
      <c r="I146" t="n">
        <v>93</v>
      </c>
      <c r="J146" t="n">
        <v>546</v>
      </c>
      <c r="K146" t="n">
        <v>273.33</v>
      </c>
      <c r="L146" t="n">
        <v>225</v>
      </c>
      <c r="M146" t="n">
        <v>420</v>
      </c>
      <c r="N146" t="n">
        <v>1200</v>
      </c>
      <c r="P146" t="n">
        <v>2118.33</v>
      </c>
      <c r="Q146" t="n">
        <v>1910</v>
      </c>
      <c r="R146" t="n">
        <v>16.71</v>
      </c>
      <c r="S146" t="n">
        <v>229.67</v>
      </c>
      <c r="T146" t="n">
        <v>2074.67</v>
      </c>
      <c r="U146" t="n">
        <v>1893</v>
      </c>
      <c r="V146" t="n">
        <v>17.06</v>
      </c>
      <c r="W146" t="n">
        <v>44</v>
      </c>
      <c r="X146" t="n">
        <v>24</v>
      </c>
      <c r="Y146" t="n">
        <v>28.39</v>
      </c>
      <c r="Z146" t="n">
        <v>28.24</v>
      </c>
      <c r="AA146" t="inlineStr">
        <is>
          <t>Butter x2; White Sugar x2; Milk x3; Lemon x2</t>
        </is>
      </c>
      <c r="AB146" t="b">
        <v>0</v>
      </c>
      <c r="AC146" t="inlineStr">
        <is>
          <t>match (mastered)</t>
        </is>
      </c>
    </row>
    <row r="147">
      <c r="A147" t="inlineStr">
        <is>
          <t>Veggie Lasagna</t>
        </is>
      </c>
      <c r="B147" t="inlineStr">
        <is>
          <t>machine</t>
        </is>
      </c>
      <c r="C147" t="inlineStr">
        <is>
          <t>Pasta Kitchen</t>
        </is>
      </c>
      <c r="D147" t="n">
        <v>74</v>
      </c>
      <c r="E147" t="n">
        <v>532</v>
      </c>
      <c r="F147" t="inlineStr">
        <is>
          <t>hayday.info</t>
        </is>
      </c>
      <c r="G147" t="n">
        <v>1</v>
      </c>
      <c r="H147" t="n">
        <v>100</v>
      </c>
      <c r="I147" t="n">
        <v>85</v>
      </c>
      <c r="J147" t="n">
        <v>488</v>
      </c>
      <c r="K147" t="n">
        <v>270</v>
      </c>
      <c r="L147" t="n">
        <v>826</v>
      </c>
      <c r="M147" t="n">
        <v>240</v>
      </c>
      <c r="N147" t="n">
        <v>600</v>
      </c>
      <c r="P147" t="n">
        <v>1936</v>
      </c>
      <c r="Q147" t="n">
        <v>1930</v>
      </c>
      <c r="R147" t="n">
        <v>16.49</v>
      </c>
      <c r="S147" t="n">
        <v>226</v>
      </c>
      <c r="T147" t="n">
        <v>1892</v>
      </c>
      <c r="U147" t="n">
        <v>1910</v>
      </c>
      <c r="V147" t="n">
        <v>16.87</v>
      </c>
      <c r="W147" t="n">
        <v>44</v>
      </c>
      <c r="X147" t="n">
        <v>26.4</v>
      </c>
      <c r="Y147" t="n">
        <v>31.06</v>
      </c>
      <c r="Z147" t="n">
        <v>31.06</v>
      </c>
      <c r="AA147" t="inlineStr">
        <is>
          <t>Carrot x1; Cheese x1; Tomato Sauce x1; Fresh Pasta x3</t>
        </is>
      </c>
      <c r="AB147" t="b">
        <v>0</v>
      </c>
      <c r="AC147" t="inlineStr">
        <is>
          <t>match (mastered)</t>
        </is>
      </c>
    </row>
    <row r="148">
      <c r="A148" t="inlineStr">
        <is>
          <t>Pineapple Coconut Bars</t>
        </is>
      </c>
      <c r="B148" t="inlineStr">
        <is>
          <t>machine</t>
        </is>
      </c>
      <c r="C148" t="inlineStr">
        <is>
          <t>Bakery</t>
        </is>
      </c>
      <c r="D148" t="n">
        <v>120</v>
      </c>
      <c r="E148" t="n">
        <v>284</v>
      </c>
      <c r="F148" t="inlineStr">
        <is>
          <t>Fandom</t>
        </is>
      </c>
      <c r="G148" t="n">
        <v>1</v>
      </c>
      <c r="H148" t="n">
        <v>40</v>
      </c>
      <c r="I148" t="n">
        <v>34</v>
      </c>
      <c r="J148" t="n">
        <v>257</v>
      </c>
      <c r="K148" t="n">
        <v>120</v>
      </c>
      <c r="L148" t="n">
        <v>201</v>
      </c>
      <c r="M148" t="n">
        <v>0</v>
      </c>
      <c r="N148" t="n">
        <v>720</v>
      </c>
      <c r="P148" t="n">
        <v>1041</v>
      </c>
      <c r="Q148" t="n">
        <v>2200</v>
      </c>
      <c r="R148" t="n">
        <v>16.37</v>
      </c>
      <c r="S148" t="n">
        <v>102</v>
      </c>
      <c r="T148" t="n">
        <v>1023</v>
      </c>
      <c r="U148" t="n">
        <v>2194</v>
      </c>
      <c r="V148" t="n">
        <v>16.66</v>
      </c>
      <c r="W148" t="n">
        <v>27</v>
      </c>
      <c r="X148" t="n">
        <v>40.5</v>
      </c>
      <c r="Y148" t="n">
        <v>47.65</v>
      </c>
      <c r="AA148" t="inlineStr">
        <is>
          <t>Coconut x1; White Sugar x2; Oats x3; Pineapple x2</t>
        </is>
      </c>
      <c r="AB148" t="b">
        <v>0</v>
      </c>
    </row>
    <row r="149">
      <c r="A149" t="inlineStr">
        <is>
          <t>Hamburger</t>
        </is>
      </c>
      <c r="B149" t="inlineStr">
        <is>
          <t>machine</t>
        </is>
      </c>
      <c r="C149" t="inlineStr">
        <is>
          <t>BBQ Grill</t>
        </is>
      </c>
      <c r="D149" t="n">
        <v>18</v>
      </c>
      <c r="E149" t="n">
        <v>180</v>
      </c>
      <c r="F149" t="inlineStr">
        <is>
          <t>hayday.info</t>
        </is>
      </c>
      <c r="G149" t="n">
        <v>1</v>
      </c>
      <c r="H149" t="n">
        <v>120</v>
      </c>
      <c r="I149" t="n">
        <v>102</v>
      </c>
      <c r="J149" t="n">
        <v>142</v>
      </c>
      <c r="K149" t="n">
        <v>143.33</v>
      </c>
      <c r="L149" t="n">
        <v>38.67</v>
      </c>
      <c r="M149" t="n">
        <v>480</v>
      </c>
      <c r="N149" t="n">
        <v>0</v>
      </c>
      <c r="P149" t="n">
        <v>662</v>
      </c>
      <c r="Q149" t="n">
        <v>400</v>
      </c>
      <c r="R149" t="n">
        <v>16.31</v>
      </c>
      <c r="S149" t="n">
        <v>121.33</v>
      </c>
      <c r="T149" t="n">
        <v>640</v>
      </c>
      <c r="U149" t="n">
        <v>379</v>
      </c>
      <c r="V149" t="n">
        <v>16.88</v>
      </c>
      <c r="W149" t="n">
        <v>38</v>
      </c>
      <c r="X149" t="n">
        <v>19</v>
      </c>
      <c r="Y149" t="n">
        <v>22.35</v>
      </c>
      <c r="Z149" t="n">
        <v>22.35</v>
      </c>
      <c r="AA149" t="inlineStr">
        <is>
          <t>Bread x2; Bacon x2</t>
        </is>
      </c>
      <c r="AB149" t="b">
        <v>1</v>
      </c>
      <c r="AC149" t="inlineStr">
        <is>
          <t>match (mastered)</t>
        </is>
      </c>
    </row>
    <row r="150">
      <c r="A150" t="inlineStr">
        <is>
          <t>Baked Potato</t>
        </is>
      </c>
      <c r="B150" t="inlineStr">
        <is>
          <t>machine</t>
        </is>
      </c>
      <c r="C150" t="inlineStr">
        <is>
          <t>BBQ Grill</t>
        </is>
      </c>
      <c r="D150" t="n">
        <v>35</v>
      </c>
      <c r="E150" t="n">
        <v>298</v>
      </c>
      <c r="F150" t="inlineStr">
        <is>
          <t>hayday.info</t>
        </is>
      </c>
      <c r="G150" t="n">
        <v>1</v>
      </c>
      <c r="H150" t="n">
        <v>35</v>
      </c>
      <c r="I150" t="n">
        <v>29</v>
      </c>
      <c r="J150" t="n">
        <v>280</v>
      </c>
      <c r="K150" t="n">
        <v>128.33</v>
      </c>
      <c r="L150" t="n">
        <v>740</v>
      </c>
      <c r="M150" t="n">
        <v>240</v>
      </c>
      <c r="N150" t="n">
        <v>0</v>
      </c>
      <c r="P150" t="n">
        <v>1108.33</v>
      </c>
      <c r="Q150" t="n">
        <v>275</v>
      </c>
      <c r="R150" t="n">
        <v>16.13</v>
      </c>
      <c r="S150" t="n">
        <v>107.67</v>
      </c>
      <c r="T150" t="n">
        <v>1087.67</v>
      </c>
      <c r="U150" t="n">
        <v>269</v>
      </c>
      <c r="V150" t="n">
        <v>16.44</v>
      </c>
      <c r="W150" t="n">
        <v>18</v>
      </c>
      <c r="X150" t="n">
        <v>30.86</v>
      </c>
      <c r="Y150" t="n">
        <v>37.24</v>
      </c>
      <c r="Z150" t="n">
        <v>36.3</v>
      </c>
      <c r="AA150" t="inlineStr">
        <is>
          <t>Potato x2; Chili Pepper x1; Cream x1; Cheese x1</t>
        </is>
      </c>
      <c r="AB150" t="b">
        <v>1</v>
      </c>
      <c r="AC150" t="inlineStr">
        <is>
          <t>match (normal x0.85)</t>
        </is>
      </c>
    </row>
    <row r="151">
      <c r="A151" t="inlineStr">
        <is>
          <t>Cucumber Sandwich</t>
        </is>
      </c>
      <c r="B151" t="inlineStr">
        <is>
          <t>machine</t>
        </is>
      </c>
      <c r="C151" t="inlineStr">
        <is>
          <t>Sandwich Bar</t>
        </is>
      </c>
      <c r="D151" t="n">
        <v>79</v>
      </c>
      <c r="E151" t="n">
        <v>464</v>
      </c>
      <c r="F151" t="inlineStr">
        <is>
          <t>hayday.info</t>
        </is>
      </c>
      <c r="G151" t="n">
        <v>1</v>
      </c>
      <c r="H151" t="n">
        <v>35</v>
      </c>
      <c r="I151" t="n">
        <v>29</v>
      </c>
      <c r="J151" t="n">
        <v>437</v>
      </c>
      <c r="K151" t="n">
        <v>111.67</v>
      </c>
      <c r="L151" t="n">
        <v>94</v>
      </c>
      <c r="M151" t="n">
        <v>80</v>
      </c>
      <c r="N151" t="n">
        <v>1440</v>
      </c>
      <c r="P151" t="n">
        <v>1725.67</v>
      </c>
      <c r="Q151" t="n">
        <v>1535</v>
      </c>
      <c r="R151" t="n">
        <v>16.13</v>
      </c>
      <c r="S151" t="n">
        <v>92.33</v>
      </c>
      <c r="T151" t="n">
        <v>1706.33</v>
      </c>
      <c r="U151" t="n">
        <v>1519</v>
      </c>
      <c r="V151" t="n">
        <v>16.32</v>
      </c>
      <c r="W151" t="n">
        <v>27</v>
      </c>
      <c r="X151" t="n">
        <v>46.29</v>
      </c>
      <c r="Y151" t="n">
        <v>55.86</v>
      </c>
      <c r="Z151" t="n">
        <v>54.45</v>
      </c>
      <c r="AA151" t="inlineStr">
        <is>
          <t>Cucumber x2; Mayonnaise x1; Bread x2</t>
        </is>
      </c>
      <c r="AB151" t="b">
        <v>0</v>
      </c>
      <c r="AC151" t="inlineStr">
        <is>
          <t>match (normal x0.85)</t>
        </is>
      </c>
    </row>
    <row r="152">
      <c r="A152" t="inlineStr">
        <is>
          <t>Tropical Cupcake</t>
        </is>
      </c>
      <c r="B152" t="inlineStr">
        <is>
          <t>machine</t>
        </is>
      </c>
      <c r="C152" t="inlineStr">
        <is>
          <t>Cupcake Maker</t>
        </is>
      </c>
      <c r="D152" t="n">
        <v>112</v>
      </c>
      <c r="E152" t="n">
        <v>572</v>
      </c>
      <c r="F152" t="inlineStr">
        <is>
          <t>hayday.info</t>
        </is>
      </c>
      <c r="G152" t="n">
        <v>1</v>
      </c>
      <c r="H152" t="n">
        <v>90</v>
      </c>
      <c r="I152" t="n">
        <v>76</v>
      </c>
      <c r="J152" t="n">
        <v>538</v>
      </c>
      <c r="K152" t="n">
        <v>258.33</v>
      </c>
      <c r="L152" t="n">
        <v>313</v>
      </c>
      <c r="M152" t="n">
        <v>140</v>
      </c>
      <c r="N152" t="n">
        <v>1440</v>
      </c>
      <c r="P152" t="n">
        <v>2151.33</v>
      </c>
      <c r="Q152" t="n">
        <v>2250</v>
      </c>
      <c r="R152" t="n">
        <v>15.95</v>
      </c>
      <c r="S152" t="n">
        <v>218.67</v>
      </c>
      <c r="T152" t="n">
        <v>2111.67</v>
      </c>
      <c r="U152" t="n">
        <v>2236</v>
      </c>
      <c r="V152" t="n">
        <v>16.25</v>
      </c>
      <c r="W152" t="n">
        <v>34</v>
      </c>
      <c r="X152" t="n">
        <v>22.67</v>
      </c>
      <c r="Y152" t="n">
        <v>26.84</v>
      </c>
      <c r="Z152" t="n">
        <v>22.67</v>
      </c>
      <c r="AA152" t="inlineStr">
        <is>
          <t>Plain Cupcake x1; Pineapple x3; Coconut x2</t>
        </is>
      </c>
      <c r="AB152" t="b">
        <v>0</v>
      </c>
      <c r="AC152" t="inlineStr">
        <is>
          <t>match (site uses normal time)</t>
        </is>
      </c>
    </row>
    <row r="153">
      <c r="A153" t="inlineStr">
        <is>
          <t>Broccoli</t>
        </is>
      </c>
      <c r="B153" t="inlineStr">
        <is>
          <t>field</t>
        </is>
      </c>
      <c r="C153" t="inlineStr">
        <is>
          <t>Farm</t>
        </is>
      </c>
      <c r="D153" t="n">
        <v>83</v>
      </c>
      <c r="E153" t="n">
        <v>21</v>
      </c>
      <c r="F153" t="inlineStr">
        <is>
          <t>hayday.info</t>
        </is>
      </c>
      <c r="G153" t="n">
        <v>1</v>
      </c>
      <c r="H153" t="n">
        <v>80</v>
      </c>
      <c r="J153" t="n">
        <v>0</v>
      </c>
      <c r="K153" t="n">
        <v>0</v>
      </c>
      <c r="L153" t="n">
        <v>80</v>
      </c>
      <c r="M153" t="n">
        <v>0</v>
      </c>
      <c r="N153" t="n">
        <v>0</v>
      </c>
      <c r="P153" t="n">
        <v>80</v>
      </c>
      <c r="Q153" t="n">
        <v>80</v>
      </c>
      <c r="R153" t="n">
        <v>15.75</v>
      </c>
      <c r="S153" t="n">
        <v>0</v>
      </c>
      <c r="T153" t="n">
        <v>80</v>
      </c>
      <c r="U153" t="n">
        <v>80</v>
      </c>
      <c r="V153" t="n">
        <v>15.75</v>
      </c>
      <c r="W153" t="n">
        <v>21</v>
      </c>
      <c r="X153" t="n">
        <v>15.75</v>
      </c>
      <c r="Y153" t="n">
        <v>15.75</v>
      </c>
      <c r="Z153" t="n">
        <v>14</v>
      </c>
      <c r="AB153" t="b">
        <v>0</v>
      </c>
    </row>
    <row r="154">
      <c r="A154" t="inlineStr">
        <is>
          <t>Lemon Cake</t>
        </is>
      </c>
      <c r="B154" t="inlineStr">
        <is>
          <t>machine</t>
        </is>
      </c>
      <c r="C154" t="inlineStr">
        <is>
          <t>Cake Oven</t>
        </is>
      </c>
      <c r="D154" t="n">
        <v>68</v>
      </c>
      <c r="E154" t="n">
        <v>896</v>
      </c>
      <c r="F154" t="inlineStr">
        <is>
          <t>hayday.info</t>
        </is>
      </c>
      <c r="G154" t="n">
        <v>1</v>
      </c>
      <c r="H154" t="n">
        <v>150</v>
      </c>
      <c r="I154" t="n">
        <v>127</v>
      </c>
      <c r="J154" t="n">
        <v>851</v>
      </c>
      <c r="K154" t="n">
        <v>386.67</v>
      </c>
      <c r="L154" t="n">
        <v>219</v>
      </c>
      <c r="M154" t="n">
        <v>420</v>
      </c>
      <c r="N154" t="n">
        <v>2400</v>
      </c>
      <c r="P154" t="n">
        <v>3425.67</v>
      </c>
      <c r="Q154" t="n">
        <v>2000</v>
      </c>
      <c r="R154" t="n">
        <v>15.69</v>
      </c>
      <c r="S154" t="n">
        <v>325.33</v>
      </c>
      <c r="T154" t="n">
        <v>3364.33</v>
      </c>
      <c r="U154" t="n">
        <v>1969</v>
      </c>
      <c r="V154" t="n">
        <v>15.98</v>
      </c>
      <c r="W154" t="n">
        <v>45</v>
      </c>
      <c r="X154" t="n">
        <v>18</v>
      </c>
      <c r="Y154" t="n">
        <v>21.26</v>
      </c>
      <c r="Z154" t="n">
        <v>21.18</v>
      </c>
      <c r="AA154" t="inlineStr">
        <is>
          <t>Lemon Curd x2; Egg x2; Cream x1; Wheat x3</t>
        </is>
      </c>
      <c r="AB154" t="b">
        <v>0</v>
      </c>
      <c r="AC154" t="inlineStr">
        <is>
          <t>match (mastered)</t>
        </is>
      </c>
    </row>
    <row r="155">
      <c r="A155" t="inlineStr">
        <is>
          <t>Peanut Butter Milkshake</t>
        </is>
      </c>
      <c r="B155" t="inlineStr">
        <is>
          <t>machine</t>
        </is>
      </c>
      <c r="C155" t="inlineStr">
        <is>
          <t>Ice Cream Maker</t>
        </is>
      </c>
      <c r="D155" t="n">
        <v>68</v>
      </c>
      <c r="E155" t="n">
        <v>619</v>
      </c>
      <c r="F155" t="inlineStr">
        <is>
          <t>hayday.info</t>
        </is>
      </c>
      <c r="G155" t="n">
        <v>1</v>
      </c>
      <c r="H155" t="n">
        <v>100</v>
      </c>
      <c r="I155" t="n">
        <v>85</v>
      </c>
      <c r="J155" t="n">
        <v>574</v>
      </c>
      <c r="K155" t="n">
        <v>126.67</v>
      </c>
      <c r="L155" t="n">
        <v>30</v>
      </c>
      <c r="M155" t="n">
        <v>120</v>
      </c>
      <c r="N155" t="n">
        <v>2100</v>
      </c>
      <c r="O155" t="inlineStr">
        <is>
          <t>Peanuts x1</t>
        </is>
      </c>
      <c r="P155" t="n">
        <v>2376.67</v>
      </c>
      <c r="Q155" t="n">
        <v>2200</v>
      </c>
      <c r="R155" t="n">
        <v>15.63</v>
      </c>
      <c r="S155" t="n">
        <v>107.33</v>
      </c>
      <c r="T155" t="n">
        <v>2357.33</v>
      </c>
      <c r="U155" t="n">
        <v>2185</v>
      </c>
      <c r="V155" t="n">
        <v>15.76</v>
      </c>
      <c r="W155" t="n">
        <v>45</v>
      </c>
      <c r="X155" t="n">
        <v>27</v>
      </c>
      <c r="Y155" t="n">
        <v>31.76</v>
      </c>
      <c r="Z155" t="n">
        <v>31.76</v>
      </c>
      <c r="AA155" t="inlineStr">
        <is>
          <t>Peanuts x1; Milk x1; Cream x1; Cacao x3</t>
        </is>
      </c>
      <c r="AB155" t="b">
        <v>0</v>
      </c>
      <c r="AC155" t="inlineStr">
        <is>
          <t>match (mastered)</t>
        </is>
      </c>
    </row>
    <row r="156">
      <c r="A156" t="inlineStr">
        <is>
          <t>Orange Sorbet</t>
        </is>
      </c>
      <c r="B156" t="inlineStr">
        <is>
          <t>machine</t>
        </is>
      </c>
      <c r="C156" t="inlineStr">
        <is>
          <t>Ice Cream Maker</t>
        </is>
      </c>
      <c r="D156" t="n">
        <v>78</v>
      </c>
      <c r="E156" t="n">
        <v>399</v>
      </c>
      <c r="F156" t="inlineStr">
        <is>
          <t>hayday.info</t>
        </is>
      </c>
      <c r="G156" t="n">
        <v>1</v>
      </c>
      <c r="H156" t="n">
        <v>210</v>
      </c>
      <c r="I156" t="n">
        <v>178</v>
      </c>
      <c r="J156" t="n">
        <v>348</v>
      </c>
      <c r="K156" t="n">
        <v>230</v>
      </c>
      <c r="L156" t="n">
        <v>0</v>
      </c>
      <c r="M156" t="n">
        <v>70</v>
      </c>
      <c r="N156" t="n">
        <v>1240</v>
      </c>
      <c r="P156" t="n">
        <v>1540</v>
      </c>
      <c r="Q156" t="n">
        <v>2070</v>
      </c>
      <c r="R156" t="n">
        <v>15.55</v>
      </c>
      <c r="S156" t="n">
        <v>195</v>
      </c>
      <c r="T156" t="n">
        <v>1505</v>
      </c>
      <c r="U156" t="n">
        <v>2038</v>
      </c>
      <c r="V156" t="n">
        <v>15.91</v>
      </c>
      <c r="W156" t="n">
        <v>51</v>
      </c>
      <c r="X156" t="n">
        <v>14.57</v>
      </c>
      <c r="Y156" t="n">
        <v>17.19</v>
      </c>
      <c r="Z156" t="n">
        <v>17.14</v>
      </c>
      <c r="AA156" t="inlineStr">
        <is>
          <t>Honey x1; Orange x2</t>
        </is>
      </c>
      <c r="AB156" t="b">
        <v>0</v>
      </c>
      <c r="AC156" t="inlineStr">
        <is>
          <t>match (mastered)</t>
        </is>
      </c>
    </row>
    <row r="157">
      <c r="A157" t="inlineStr">
        <is>
          <t>Lemon Pie</t>
        </is>
      </c>
      <c r="B157" t="inlineStr">
        <is>
          <t>machine</t>
        </is>
      </c>
      <c r="C157" t="inlineStr">
        <is>
          <t>Pie Oven</t>
        </is>
      </c>
      <c r="D157" t="n">
        <v>67</v>
      </c>
      <c r="E157" t="n">
        <v>446</v>
      </c>
      <c r="F157" t="inlineStr">
        <is>
          <t>hayday.info</t>
        </is>
      </c>
      <c r="G157" t="n">
        <v>1</v>
      </c>
      <c r="H157" t="n">
        <v>135</v>
      </c>
      <c r="I157" t="n">
        <v>114</v>
      </c>
      <c r="J157" t="n">
        <v>402</v>
      </c>
      <c r="K157" t="n">
        <v>241.67</v>
      </c>
      <c r="L157" t="n">
        <v>103</v>
      </c>
      <c r="M157" t="n">
        <v>180</v>
      </c>
      <c r="N157" t="n">
        <v>1200</v>
      </c>
      <c r="P157" t="n">
        <v>1724.67</v>
      </c>
      <c r="Q157" t="n">
        <v>1960</v>
      </c>
      <c r="R157" t="n">
        <v>15.52</v>
      </c>
      <c r="S157" t="n">
        <v>203.33</v>
      </c>
      <c r="T157" t="n">
        <v>1686.33</v>
      </c>
      <c r="U157" t="n">
        <v>1935</v>
      </c>
      <c r="V157" t="n">
        <v>15.87</v>
      </c>
      <c r="W157" t="n">
        <v>44</v>
      </c>
      <c r="X157" t="n">
        <v>19.56</v>
      </c>
      <c r="Y157" t="n">
        <v>23.16</v>
      </c>
      <c r="Z157" t="n">
        <v>23.01</v>
      </c>
      <c r="AA157" t="inlineStr">
        <is>
          <t>Lemon Curd x1; Wheat x2; Egg x1</t>
        </is>
      </c>
      <c r="AB157" t="b">
        <v>0</v>
      </c>
      <c r="AC157" t="inlineStr">
        <is>
          <t>match (mastered)</t>
        </is>
      </c>
    </row>
    <row r="158">
      <c r="A158" t="inlineStr">
        <is>
          <t>Necklace</t>
        </is>
      </c>
      <c r="B158" t="inlineStr">
        <is>
          <t>machine</t>
        </is>
      </c>
      <c r="C158" t="inlineStr">
        <is>
          <t>Jeweler</t>
        </is>
      </c>
      <c r="D158" t="n">
        <v>39</v>
      </c>
      <c r="E158" t="n">
        <v>727</v>
      </c>
      <c r="F158" t="inlineStr">
        <is>
          <t>hayday.info</t>
        </is>
      </c>
      <c r="G158" t="n">
        <v>1</v>
      </c>
      <c r="H158" t="n">
        <v>180</v>
      </c>
      <c r="I158" t="n">
        <v>153</v>
      </c>
      <c r="J158" t="n">
        <v>679</v>
      </c>
      <c r="K158" t="n">
        <v>2820</v>
      </c>
      <c r="L158" t="n">
        <v>0</v>
      </c>
      <c r="M158" t="n">
        <v>0</v>
      </c>
      <c r="N158" t="n">
        <v>0</v>
      </c>
      <c r="O158" t="inlineStr">
        <is>
          <t>Silver Ore x6; Gold Ore x3; Platinum Ore x3</t>
        </is>
      </c>
      <c r="P158" t="n">
        <v>2820</v>
      </c>
      <c r="Q158" t="n">
        <v>1140</v>
      </c>
      <c r="R158" t="n">
        <v>15.47</v>
      </c>
      <c r="S158" t="n">
        <v>2397</v>
      </c>
      <c r="T158" t="n">
        <v>2397</v>
      </c>
      <c r="U158" t="n">
        <v>969</v>
      </c>
      <c r="V158" t="n">
        <v>18.2</v>
      </c>
      <c r="W158" t="n">
        <v>48</v>
      </c>
      <c r="X158" t="n">
        <v>16</v>
      </c>
      <c r="Y158" t="n">
        <v>18.82</v>
      </c>
      <c r="Z158" t="n">
        <v>18.82</v>
      </c>
      <c r="AA158" t="inlineStr">
        <is>
          <t>Silver Bar x2; Gold Bar x1; Platinum Bar x1</t>
        </is>
      </c>
      <c r="AB158" t="b">
        <v>1</v>
      </c>
      <c r="AC158" t="inlineStr">
        <is>
          <t>match (mastered)</t>
        </is>
      </c>
    </row>
    <row r="159">
      <c r="A159" t="inlineStr">
        <is>
          <t>Casserole</t>
        </is>
      </c>
      <c r="B159" t="inlineStr">
        <is>
          <t>machine</t>
        </is>
      </c>
      <c r="C159" t="inlineStr">
        <is>
          <t>Pie Oven</t>
        </is>
      </c>
      <c r="D159" t="n">
        <v>36</v>
      </c>
      <c r="E159" t="n">
        <v>367</v>
      </c>
      <c r="F159" t="inlineStr">
        <is>
          <t>hayday.info</t>
        </is>
      </c>
      <c r="G159" t="n">
        <v>1</v>
      </c>
      <c r="H159" t="n">
        <v>120</v>
      </c>
      <c r="I159" t="n">
        <v>102</v>
      </c>
      <c r="J159" t="n">
        <v>330</v>
      </c>
      <c r="K159" t="n">
        <v>206.67</v>
      </c>
      <c r="L159" t="n">
        <v>517.67</v>
      </c>
      <c r="M159" t="n">
        <v>700</v>
      </c>
      <c r="N159" t="n">
        <v>0</v>
      </c>
      <c r="P159" t="n">
        <v>1424.33</v>
      </c>
      <c r="Q159" t="n">
        <v>400</v>
      </c>
      <c r="R159" t="n">
        <v>15.46</v>
      </c>
      <c r="S159" t="n">
        <v>175</v>
      </c>
      <c r="T159" t="n">
        <v>1392.67</v>
      </c>
      <c r="U159" t="n">
        <v>379</v>
      </c>
      <c r="V159" t="n">
        <v>15.81</v>
      </c>
      <c r="W159" t="n">
        <v>37</v>
      </c>
      <c r="X159" t="n">
        <v>18.5</v>
      </c>
      <c r="Y159" t="n">
        <v>21.76</v>
      </c>
      <c r="Z159" t="n">
        <v>21.76</v>
      </c>
      <c r="AA159" t="inlineStr">
        <is>
          <t>Potato x2; Bacon x2; Egg x2; Cheese x1</t>
        </is>
      </c>
      <c r="AB159" t="b">
        <v>1</v>
      </c>
      <c r="AC159" t="inlineStr">
        <is>
          <t>match (mastered)</t>
        </is>
      </c>
    </row>
    <row r="160">
      <c r="A160" t="inlineStr">
        <is>
          <t>Fancy Cake</t>
        </is>
      </c>
      <c r="B160" t="inlineStr">
        <is>
          <t>machine</t>
        </is>
      </c>
      <c r="C160" t="inlineStr">
        <is>
          <t>Cake Oven</t>
        </is>
      </c>
      <c r="D160" t="n">
        <v>54</v>
      </c>
      <c r="E160" t="n">
        <v>450</v>
      </c>
      <c r="F160" t="inlineStr">
        <is>
          <t>hayday.info</t>
        </is>
      </c>
      <c r="G160" t="n">
        <v>1</v>
      </c>
      <c r="H160" t="n">
        <v>15</v>
      </c>
      <c r="I160" t="n">
        <v>12</v>
      </c>
      <c r="J160" t="n">
        <v>441</v>
      </c>
      <c r="K160" t="n">
        <v>258.33</v>
      </c>
      <c r="L160" t="n">
        <v>355</v>
      </c>
      <c r="M160" t="n">
        <v>60</v>
      </c>
      <c r="N160" t="n">
        <v>1080</v>
      </c>
      <c r="O160" t="inlineStr">
        <is>
          <t>Gold Ore x1</t>
        </is>
      </c>
      <c r="P160" t="n">
        <v>1753.33</v>
      </c>
      <c r="Q160" t="n">
        <v>1095</v>
      </c>
      <c r="R160" t="n">
        <v>15.4</v>
      </c>
      <c r="S160" t="n">
        <v>218.67</v>
      </c>
      <c r="T160" t="n">
        <v>1713.67</v>
      </c>
      <c r="U160" t="n">
        <v>1092</v>
      </c>
      <c r="V160" t="n">
        <v>15.76</v>
      </c>
      <c r="W160" t="n">
        <v>9</v>
      </c>
      <c r="X160" t="n">
        <v>36</v>
      </c>
      <c r="Y160" t="n">
        <v>45</v>
      </c>
      <c r="Z160" t="n">
        <v>42.35</v>
      </c>
      <c r="AA160" t="inlineStr">
        <is>
          <t>Cream Cake x1; Lily x3; Raspberry x3; Gold Ore x1</t>
        </is>
      </c>
      <c r="AB160" t="b">
        <v>0</v>
      </c>
      <c r="AC160" t="inlineStr">
        <is>
          <t>match (normal x0.85)</t>
        </is>
      </c>
    </row>
    <row r="161">
      <c r="A161" t="inlineStr">
        <is>
          <t>Coleslaw</t>
        </is>
      </c>
      <c r="B161" t="inlineStr">
        <is>
          <t>machine</t>
        </is>
      </c>
      <c r="C161" t="inlineStr">
        <is>
          <t>Salad Bar</t>
        </is>
      </c>
      <c r="D161" t="n">
        <v>75</v>
      </c>
      <c r="E161" t="n">
        <v>468</v>
      </c>
      <c r="F161" t="inlineStr">
        <is>
          <t>hayday.info</t>
        </is>
      </c>
      <c r="G161" t="n">
        <v>1</v>
      </c>
      <c r="H161" t="n">
        <v>75</v>
      </c>
      <c r="I161" t="n">
        <v>63</v>
      </c>
      <c r="J161" t="n">
        <v>435</v>
      </c>
      <c r="K161" t="n">
        <v>141.67</v>
      </c>
      <c r="L161" t="n">
        <v>167</v>
      </c>
      <c r="M161" t="n">
        <v>80</v>
      </c>
      <c r="N161" t="n">
        <v>1440</v>
      </c>
      <c r="P161" t="n">
        <v>1828.67</v>
      </c>
      <c r="Q161" t="n">
        <v>1575</v>
      </c>
      <c r="R161" t="n">
        <v>15.36</v>
      </c>
      <c r="S161" t="n">
        <v>118.33</v>
      </c>
      <c r="T161" t="n">
        <v>1805.33</v>
      </c>
      <c r="U161" t="n">
        <v>1553</v>
      </c>
      <c r="V161" t="n">
        <v>15.55</v>
      </c>
      <c r="W161" t="n">
        <v>33</v>
      </c>
      <c r="X161" t="n">
        <v>26.4</v>
      </c>
      <c r="Y161" t="n">
        <v>31.43</v>
      </c>
      <c r="Z161" t="n">
        <v>31.06</v>
      </c>
      <c r="AA161" t="inlineStr">
        <is>
          <t>Cabbage x3; Carrot x2; Mayonnaise x1</t>
        </is>
      </c>
      <c r="AB161" t="b">
        <v>0</v>
      </c>
      <c r="AC161" t="inlineStr">
        <is>
          <t>match (mastered)</t>
        </is>
      </c>
    </row>
    <row r="162">
      <c r="A162" t="inlineStr">
        <is>
          <t>Asparagus Quiche</t>
        </is>
      </c>
      <c r="B162" t="inlineStr">
        <is>
          <t>machine</t>
        </is>
      </c>
      <c r="C162" t="inlineStr">
        <is>
          <t>Pie Oven</t>
        </is>
      </c>
      <c r="D162" t="n">
        <v>49</v>
      </c>
      <c r="E162" t="n">
        <v>302</v>
      </c>
      <c r="F162" t="inlineStr">
        <is>
          <t>Fandom</t>
        </is>
      </c>
      <c r="G162" t="n">
        <v>1</v>
      </c>
      <c r="H162" t="n">
        <v>120</v>
      </c>
      <c r="I162" t="n">
        <v>102</v>
      </c>
      <c r="J162" t="n">
        <v>256</v>
      </c>
      <c r="K162" t="n">
        <v>193.33</v>
      </c>
      <c r="L162" t="n">
        <v>779</v>
      </c>
      <c r="M162" t="n">
        <v>220</v>
      </c>
      <c r="N162" t="n">
        <v>0</v>
      </c>
      <c r="P162" t="n">
        <v>1192.33</v>
      </c>
      <c r="Q162" t="n">
        <v>480</v>
      </c>
      <c r="R162" t="n">
        <v>15.2</v>
      </c>
      <c r="S162" t="n">
        <v>163.67</v>
      </c>
      <c r="T162" t="n">
        <v>1162.67</v>
      </c>
      <c r="U162" t="n">
        <v>462</v>
      </c>
      <c r="V162" t="n">
        <v>15.58</v>
      </c>
      <c r="W162" t="n">
        <v>46</v>
      </c>
      <c r="X162" t="n">
        <v>23</v>
      </c>
      <c r="Y162" t="n">
        <v>27.06</v>
      </c>
      <c r="AA162" t="inlineStr">
        <is>
          <t>Asparagus x2; Egg x2; Cheese x1; Wheat x4</t>
        </is>
      </c>
      <c r="AB162" t="b">
        <v>0</v>
      </c>
    </row>
    <row r="163">
      <c r="A163" t="inlineStr">
        <is>
          <t>Gold Bar</t>
        </is>
      </c>
      <c r="B163" t="inlineStr">
        <is>
          <t>machine</t>
        </is>
      </c>
      <c r="C163" t="inlineStr">
        <is>
          <t>Smelter</t>
        </is>
      </c>
      <c r="D163" t="n">
        <v>25</v>
      </c>
      <c r="E163" t="n">
        <v>180</v>
      </c>
      <c r="F163" t="inlineStr">
        <is>
          <t>hayday.info</t>
        </is>
      </c>
      <c r="G163" t="n">
        <v>1</v>
      </c>
      <c r="H163" t="n">
        <v>720</v>
      </c>
      <c r="I163" t="n">
        <v>612</v>
      </c>
      <c r="J163" t="n">
        <v>63</v>
      </c>
      <c r="K163" t="n">
        <v>720</v>
      </c>
      <c r="L163" t="n">
        <v>0</v>
      </c>
      <c r="M163" t="n">
        <v>0</v>
      </c>
      <c r="N163" t="n">
        <v>0</v>
      </c>
      <c r="O163" t="inlineStr">
        <is>
          <t>Gold Ore x3</t>
        </is>
      </c>
      <c r="P163" t="n">
        <v>720</v>
      </c>
      <c r="Q163" t="n">
        <v>720</v>
      </c>
      <c r="R163" t="n">
        <v>15</v>
      </c>
      <c r="S163" t="n">
        <v>612</v>
      </c>
      <c r="T163" t="n">
        <v>612</v>
      </c>
      <c r="U163" t="n">
        <v>612</v>
      </c>
      <c r="V163" t="n">
        <v>17.65</v>
      </c>
      <c r="W163" t="n">
        <v>117</v>
      </c>
      <c r="X163" t="n">
        <v>9.75</v>
      </c>
      <c r="Y163" t="n">
        <v>11.47</v>
      </c>
      <c r="Z163" t="n">
        <v>11.47</v>
      </c>
      <c r="AA163" t="inlineStr">
        <is>
          <t>Gold Ore x3</t>
        </is>
      </c>
      <c r="AB163" t="b">
        <v>1</v>
      </c>
      <c r="AC163" t="inlineStr">
        <is>
          <t>match (mastered)</t>
        </is>
      </c>
    </row>
    <row r="164">
      <c r="A164" t="inlineStr">
        <is>
          <t>Spicy Pizza</t>
        </is>
      </c>
      <c r="B164" t="inlineStr">
        <is>
          <t>machine</t>
        </is>
      </c>
      <c r="C164" t="inlineStr">
        <is>
          <t>Bakery</t>
        </is>
      </c>
      <c r="D164" t="n">
        <v>37</v>
      </c>
      <c r="E164" t="n">
        <v>226</v>
      </c>
      <c r="F164" t="inlineStr">
        <is>
          <t>hayday.info</t>
        </is>
      </c>
      <c r="G164" t="n">
        <v>1</v>
      </c>
      <c r="H164" t="n">
        <v>15</v>
      </c>
      <c r="I164" t="n">
        <v>12</v>
      </c>
      <c r="J164" t="n">
        <v>207</v>
      </c>
      <c r="K164" t="n">
        <v>85</v>
      </c>
      <c r="L164" t="n">
        <v>649</v>
      </c>
      <c r="M164" t="n">
        <v>180</v>
      </c>
      <c r="N164" t="n">
        <v>0</v>
      </c>
      <c r="P164" t="n">
        <v>914</v>
      </c>
      <c r="Q164" t="n">
        <v>375</v>
      </c>
      <c r="R164" t="n">
        <v>14.84</v>
      </c>
      <c r="S164" t="n">
        <v>71</v>
      </c>
      <c r="T164" t="n">
        <v>900</v>
      </c>
      <c r="U164" t="n">
        <v>372</v>
      </c>
      <c r="V164" t="n">
        <v>15.07</v>
      </c>
      <c r="W164" t="n">
        <v>19</v>
      </c>
      <c r="X164" t="n">
        <v>76</v>
      </c>
      <c r="Y164" t="n">
        <v>95</v>
      </c>
      <c r="Z164" t="n">
        <v>89.41</v>
      </c>
      <c r="AA164" t="inlineStr">
        <is>
          <t>Wheat x2; Tomato x1; Cheese x1; Chili Pepper x1</t>
        </is>
      </c>
      <c r="AB164" t="b">
        <v>1</v>
      </c>
      <c r="AC164" t="inlineStr">
        <is>
          <t>match (normal x0.85)</t>
        </is>
      </c>
    </row>
    <row r="165">
      <c r="A165" t="inlineStr">
        <is>
          <t>Tropical Fondue</t>
        </is>
      </c>
      <c r="B165" t="inlineStr">
        <is>
          <t>machine</t>
        </is>
      </c>
      <c r="C165" t="inlineStr">
        <is>
          <t>Fondue Pot</t>
        </is>
      </c>
      <c r="D165" t="n">
        <v>100</v>
      </c>
      <c r="E165" t="n">
        <v>417</v>
      </c>
      <c r="F165" t="inlineStr">
        <is>
          <t>hayday.info</t>
        </is>
      </c>
      <c r="G165" t="n">
        <v>1</v>
      </c>
      <c r="H165" t="n">
        <v>35</v>
      </c>
      <c r="I165" t="n">
        <v>29</v>
      </c>
      <c r="J165" t="n">
        <v>392</v>
      </c>
      <c r="K165" t="n">
        <v>121.67</v>
      </c>
      <c r="L165" t="n">
        <v>180</v>
      </c>
      <c r="M165" t="n">
        <v>120</v>
      </c>
      <c r="N165" t="n">
        <v>1280</v>
      </c>
      <c r="P165" t="n">
        <v>1701.67</v>
      </c>
      <c r="Q165" t="n">
        <v>1955</v>
      </c>
      <c r="R165" t="n">
        <v>14.7</v>
      </c>
      <c r="S165" t="n">
        <v>102.33</v>
      </c>
      <c r="T165" t="n">
        <v>1682.33</v>
      </c>
      <c r="U165" t="n">
        <v>1949</v>
      </c>
      <c r="V165" t="n">
        <v>14.87</v>
      </c>
      <c r="W165" t="n">
        <v>25</v>
      </c>
      <c r="X165" t="n">
        <v>42.86</v>
      </c>
      <c r="Y165" t="n">
        <v>51.72</v>
      </c>
      <c r="Z165" t="n">
        <v>50.42</v>
      </c>
      <c r="AA165" t="inlineStr">
        <is>
          <t>White Sugar x1; Cream x2; Pineapple x3; Mango x2</t>
        </is>
      </c>
      <c r="AB165" t="b">
        <v>0</v>
      </c>
      <c r="AC165" t="inlineStr">
        <is>
          <t>match (normal x0.85)</t>
        </is>
      </c>
    </row>
    <row r="166">
      <c r="A166" t="inlineStr">
        <is>
          <t>Egg Sandwich</t>
        </is>
      </c>
      <c r="B166" t="inlineStr">
        <is>
          <t>machine</t>
        </is>
      </c>
      <c r="C166" t="inlineStr">
        <is>
          <t>Sandwich Bar</t>
        </is>
      </c>
      <c r="D166" t="n">
        <v>66</v>
      </c>
      <c r="E166" t="n">
        <v>583</v>
      </c>
      <c r="F166" t="inlineStr">
        <is>
          <t>hayday.info</t>
        </is>
      </c>
      <c r="G166" t="n">
        <v>1</v>
      </c>
      <c r="H166" t="n">
        <v>80</v>
      </c>
      <c r="I166" t="n">
        <v>68</v>
      </c>
      <c r="J166" t="n">
        <v>541</v>
      </c>
      <c r="K166" t="n">
        <v>160</v>
      </c>
      <c r="L166" t="n">
        <v>660</v>
      </c>
      <c r="M166" t="n">
        <v>120</v>
      </c>
      <c r="N166" t="n">
        <v>1440</v>
      </c>
      <c r="P166" t="n">
        <v>2380</v>
      </c>
      <c r="Q166" t="n">
        <v>1580</v>
      </c>
      <c r="R166" t="n">
        <v>14.7</v>
      </c>
      <c r="S166" t="n">
        <v>134</v>
      </c>
      <c r="T166" t="n">
        <v>2354</v>
      </c>
      <c r="U166" t="n">
        <v>1558</v>
      </c>
      <c r="V166" t="n">
        <v>14.86</v>
      </c>
      <c r="W166" t="n">
        <v>42</v>
      </c>
      <c r="X166" t="n">
        <v>31.5</v>
      </c>
      <c r="Y166" t="n">
        <v>37.06</v>
      </c>
      <c r="Z166" t="n">
        <v>37.06</v>
      </c>
      <c r="AA166" t="inlineStr">
        <is>
          <t>Bread x2; Egg x2; Lettuce x3; Mayonnaise x1</t>
        </is>
      </c>
      <c r="AB166" t="b">
        <v>0</v>
      </c>
      <c r="AC166" t="inlineStr">
        <is>
          <t>match (mastered)</t>
        </is>
      </c>
    </row>
    <row r="167">
      <c r="A167" t="inlineStr">
        <is>
          <t>Lemon Curd</t>
        </is>
      </c>
      <c r="B167" t="inlineStr">
        <is>
          <t>machine</t>
        </is>
      </c>
      <c r="C167" t="inlineStr">
        <is>
          <t>Sauce Maker</t>
        </is>
      </c>
      <c r="D167" t="n">
        <v>66</v>
      </c>
      <c r="E167" t="n">
        <v>378</v>
      </c>
      <c r="F167" t="inlineStr">
        <is>
          <t>hayday.info</t>
        </is>
      </c>
      <c r="G167" t="n">
        <v>1</v>
      </c>
      <c r="H167" t="n">
        <v>25</v>
      </c>
      <c r="I167" t="n">
        <v>21</v>
      </c>
      <c r="J167" t="n">
        <v>354</v>
      </c>
      <c r="K167" t="n">
        <v>105</v>
      </c>
      <c r="L167" t="n">
        <v>96</v>
      </c>
      <c r="M167" t="n">
        <v>160</v>
      </c>
      <c r="N167" t="n">
        <v>1200</v>
      </c>
      <c r="P167" t="n">
        <v>1561</v>
      </c>
      <c r="Q167" t="n">
        <v>1825</v>
      </c>
      <c r="R167" t="n">
        <v>14.53</v>
      </c>
      <c r="S167" t="n">
        <v>88</v>
      </c>
      <c r="T167" t="n">
        <v>1544</v>
      </c>
      <c r="U167" t="n">
        <v>1821</v>
      </c>
      <c r="V167" t="n">
        <v>14.69</v>
      </c>
      <c r="W167" t="n">
        <v>24</v>
      </c>
      <c r="X167" t="n">
        <v>57.6</v>
      </c>
      <c r="Y167" t="n">
        <v>68.56999999999999</v>
      </c>
      <c r="Z167" t="n">
        <v>67.76000000000001</v>
      </c>
      <c r="AA167" t="inlineStr">
        <is>
          <t>Lemon x2; Butter x1; Egg x2; White Sugar x1</t>
        </is>
      </c>
      <c r="AB167" t="b">
        <v>0</v>
      </c>
      <c r="AC167" t="inlineStr">
        <is>
          <t>match (normal x0.85)</t>
        </is>
      </c>
    </row>
    <row r="168">
      <c r="A168" t="inlineStr">
        <is>
          <t>Canned Fish</t>
        </is>
      </c>
      <c r="B168" t="inlineStr">
        <is>
          <t>machine</t>
        </is>
      </c>
      <c r="C168" t="inlineStr">
        <is>
          <t>Preservation Station</t>
        </is>
      </c>
      <c r="D168" t="n">
        <v>95</v>
      </c>
      <c r="E168" t="n">
        <v>471</v>
      </c>
      <c r="F168" t="inlineStr">
        <is>
          <t>hayday.info</t>
        </is>
      </c>
      <c r="G168" t="n">
        <v>1</v>
      </c>
      <c r="H168" t="n">
        <v>220</v>
      </c>
      <c r="I168" t="n">
        <v>187</v>
      </c>
      <c r="J168" t="n">
        <v>421</v>
      </c>
      <c r="K168" t="n">
        <v>265</v>
      </c>
      <c r="L168" t="n">
        <v>240</v>
      </c>
      <c r="M168" t="n">
        <v>0</v>
      </c>
      <c r="N168" t="n">
        <v>1440</v>
      </c>
      <c r="O168" t="inlineStr">
        <is>
          <t>Fish Fillet x2</t>
        </is>
      </c>
      <c r="P168" t="n">
        <v>1945</v>
      </c>
      <c r="Q168" t="n">
        <v>1705</v>
      </c>
      <c r="R168" t="n">
        <v>14.53</v>
      </c>
      <c r="S168" t="n">
        <v>225</v>
      </c>
      <c r="T168" t="n">
        <v>1905</v>
      </c>
      <c r="U168" t="n">
        <v>1665</v>
      </c>
      <c r="V168" t="n">
        <v>14.83</v>
      </c>
      <c r="W168" t="n">
        <v>50</v>
      </c>
      <c r="X168" t="n">
        <v>13.64</v>
      </c>
      <c r="Y168" t="n">
        <v>16.04</v>
      </c>
      <c r="Z168" t="n">
        <v>16.04</v>
      </c>
      <c r="AA168" t="inlineStr">
        <is>
          <t>Fish Fillet x2; Chili Pepper x1; Olive Oil x1</t>
        </is>
      </c>
      <c r="AB168" t="b">
        <v>0</v>
      </c>
      <c r="AC168" t="inlineStr">
        <is>
          <t>match (mastered)</t>
        </is>
      </c>
    </row>
    <row r="169">
      <c r="A169" t="inlineStr">
        <is>
          <t>Plum Smoothie</t>
        </is>
      </c>
      <c r="B169" t="inlineStr">
        <is>
          <t>machine</t>
        </is>
      </c>
      <c r="C169" t="inlineStr">
        <is>
          <t>Smoothie Mixer</t>
        </is>
      </c>
      <c r="D169" t="n">
        <v>102</v>
      </c>
      <c r="E169" t="n">
        <v>522</v>
      </c>
      <c r="F169" t="inlineStr">
        <is>
          <t>hayday.info</t>
        </is>
      </c>
      <c r="G169" t="n">
        <v>1</v>
      </c>
      <c r="H169" t="n">
        <v>35</v>
      </c>
      <c r="I169" t="n">
        <v>29</v>
      </c>
      <c r="J169" t="n">
        <v>496</v>
      </c>
      <c r="K169" t="n">
        <v>55</v>
      </c>
      <c r="L169" t="n">
        <v>540</v>
      </c>
      <c r="M169" t="n">
        <v>70</v>
      </c>
      <c r="N169" t="n">
        <v>1500</v>
      </c>
      <c r="P169" t="n">
        <v>2165</v>
      </c>
      <c r="Q169" t="n">
        <v>1535</v>
      </c>
      <c r="R169" t="n">
        <v>14.47</v>
      </c>
      <c r="S169" t="n">
        <v>46</v>
      </c>
      <c r="T169" t="n">
        <v>2156</v>
      </c>
      <c r="U169" t="n">
        <v>1529</v>
      </c>
      <c r="V169" t="n">
        <v>14.53</v>
      </c>
      <c r="W169" t="n">
        <v>26</v>
      </c>
      <c r="X169" t="n">
        <v>44.57</v>
      </c>
      <c r="Y169" t="n">
        <v>53.79</v>
      </c>
      <c r="Z169" t="n">
        <v>116.97</v>
      </c>
      <c r="AA169" t="inlineStr">
        <is>
          <t>Plum x3; Grapes x2; Mint x1; Honey x1</t>
        </is>
      </c>
      <c r="AB169" t="b">
        <v>0</v>
      </c>
      <c r="AC169" t="inlineStr">
        <is>
          <t>differs - check recipe / ingredient prices</t>
        </is>
      </c>
    </row>
    <row r="170">
      <c r="A170" t="inlineStr">
        <is>
          <t>Honey Tea</t>
        </is>
      </c>
      <c r="B170" t="inlineStr">
        <is>
          <t>machine</t>
        </is>
      </c>
      <c r="C170" t="inlineStr">
        <is>
          <t>Tea Stand</t>
        </is>
      </c>
      <c r="D170" t="n">
        <v>83</v>
      </c>
      <c r="E170" t="n">
        <v>313</v>
      </c>
      <c r="F170" t="inlineStr">
        <is>
          <t>hayday.info</t>
        </is>
      </c>
      <c r="G170" t="n">
        <v>1</v>
      </c>
      <c r="H170" t="n">
        <v>40</v>
      </c>
      <c r="I170" t="n">
        <v>34</v>
      </c>
      <c r="J170" t="n">
        <v>283</v>
      </c>
      <c r="K170" t="n">
        <v>60</v>
      </c>
      <c r="L170" t="n">
        <v>1170</v>
      </c>
      <c r="M170" t="n">
        <v>70</v>
      </c>
      <c r="N170" t="n">
        <v>0</v>
      </c>
      <c r="P170" t="n">
        <v>1300</v>
      </c>
      <c r="Q170" t="n">
        <v>430</v>
      </c>
      <c r="R170" t="n">
        <v>14.45</v>
      </c>
      <c r="S170" t="n">
        <v>51</v>
      </c>
      <c r="T170" t="n">
        <v>1291</v>
      </c>
      <c r="U170" t="n">
        <v>424</v>
      </c>
      <c r="V170" t="n">
        <v>14.55</v>
      </c>
      <c r="W170" t="n">
        <v>30</v>
      </c>
      <c r="X170" t="n">
        <v>45</v>
      </c>
      <c r="Y170" t="n">
        <v>52.94</v>
      </c>
      <c r="Z170" t="n">
        <v>52.94</v>
      </c>
      <c r="AA170" t="inlineStr">
        <is>
          <t>Honey x1; Tea Leaf x3</t>
        </is>
      </c>
      <c r="AB170" t="b">
        <v>0</v>
      </c>
      <c r="AC170" t="inlineStr">
        <is>
          <t>match (mastered)</t>
        </is>
      </c>
    </row>
    <row r="171">
      <c r="A171" t="inlineStr">
        <is>
          <t>Rustic Bouquet</t>
        </is>
      </c>
      <c r="B171" t="inlineStr">
        <is>
          <t>machine</t>
        </is>
      </c>
      <c r="C171" t="inlineStr">
        <is>
          <t>Flower Shop</t>
        </is>
      </c>
      <c r="D171" t="n">
        <v>49</v>
      </c>
      <c r="E171" t="n">
        <v>208</v>
      </c>
      <c r="F171" t="inlineStr">
        <is>
          <t>hayday.info</t>
        </is>
      </c>
      <c r="G171" t="n">
        <v>1</v>
      </c>
      <c r="H171" t="n">
        <v>45</v>
      </c>
      <c r="I171" t="n">
        <v>38</v>
      </c>
      <c r="J171" t="n">
        <v>174</v>
      </c>
      <c r="K171" t="n">
        <v>45</v>
      </c>
      <c r="L171" t="n">
        <v>820</v>
      </c>
      <c r="M171" t="n">
        <v>0</v>
      </c>
      <c r="N171" t="n">
        <v>0</v>
      </c>
      <c r="P171" t="n">
        <v>865</v>
      </c>
      <c r="Q171" t="n">
        <v>195</v>
      </c>
      <c r="R171" t="n">
        <v>14.43</v>
      </c>
      <c r="S171" t="n">
        <v>38</v>
      </c>
      <c r="T171" t="n">
        <v>858</v>
      </c>
      <c r="U171" t="n">
        <v>188</v>
      </c>
      <c r="V171" t="n">
        <v>14.55</v>
      </c>
      <c r="W171" t="n">
        <v>34</v>
      </c>
      <c r="X171" t="n">
        <v>45.33</v>
      </c>
      <c r="Y171" t="n">
        <v>53.68</v>
      </c>
      <c r="Z171" t="n">
        <v>53.33</v>
      </c>
      <c r="AA171" t="inlineStr">
        <is>
          <t>Wheat x5; Indigo x3; Cotton x3</t>
        </is>
      </c>
      <c r="AB171" t="b">
        <v>0</v>
      </c>
      <c r="AC171" t="inlineStr">
        <is>
          <t>match (mastered)</t>
        </is>
      </c>
    </row>
    <row r="172">
      <c r="A172" t="inlineStr">
        <is>
          <t>Cotton Shirt</t>
        </is>
      </c>
      <c r="B172" t="inlineStr">
        <is>
          <t>machine</t>
        </is>
      </c>
      <c r="C172" t="inlineStr">
        <is>
          <t>Sewing Machine</t>
        </is>
      </c>
      <c r="D172" t="n">
        <v>19</v>
      </c>
      <c r="E172" t="n">
        <v>241</v>
      </c>
      <c r="F172" t="inlineStr">
        <is>
          <t>hayday.info</t>
        </is>
      </c>
      <c r="G172" t="n">
        <v>1</v>
      </c>
      <c r="H172" t="n">
        <v>45</v>
      </c>
      <c r="I172" t="n">
        <v>38</v>
      </c>
      <c r="J172" t="n">
        <v>216</v>
      </c>
      <c r="K172" t="n">
        <v>105</v>
      </c>
      <c r="L172" t="n">
        <v>900</v>
      </c>
      <c r="M172" t="n">
        <v>0</v>
      </c>
      <c r="N172" t="n">
        <v>0</v>
      </c>
      <c r="P172" t="n">
        <v>1005</v>
      </c>
      <c r="Q172" t="n">
        <v>255</v>
      </c>
      <c r="R172" t="n">
        <v>14.39</v>
      </c>
      <c r="S172" t="n">
        <v>88</v>
      </c>
      <c r="T172" t="n">
        <v>988</v>
      </c>
      <c r="U172" t="n">
        <v>238</v>
      </c>
      <c r="V172" t="n">
        <v>14.64</v>
      </c>
      <c r="W172" t="n">
        <v>25</v>
      </c>
      <c r="X172" t="n">
        <v>33.33</v>
      </c>
      <c r="Y172" t="n">
        <v>39.47</v>
      </c>
      <c r="Z172" t="n">
        <v>39.22</v>
      </c>
      <c r="AA172" t="inlineStr">
        <is>
          <t>Cotton Fabric x2</t>
        </is>
      </c>
      <c r="AB172" t="b">
        <v>1</v>
      </c>
      <c r="AC172" t="inlineStr">
        <is>
          <t>match (mastered)</t>
        </is>
      </c>
    </row>
    <row r="173">
      <c r="A173" t="inlineStr">
        <is>
          <t>Onion Soup</t>
        </is>
      </c>
      <c r="B173" t="inlineStr">
        <is>
          <t>machine</t>
        </is>
      </c>
      <c r="C173" t="inlineStr">
        <is>
          <t>Soup Kitchen</t>
        </is>
      </c>
      <c r="D173" t="n">
        <v>72</v>
      </c>
      <c r="E173" t="n">
        <v>327</v>
      </c>
      <c r="F173" t="inlineStr">
        <is>
          <t>hayday.info</t>
        </is>
      </c>
      <c r="G173" t="n">
        <v>1</v>
      </c>
      <c r="H173" t="n">
        <v>150</v>
      </c>
      <c r="I173" t="n">
        <v>127</v>
      </c>
      <c r="J173" t="n">
        <v>281</v>
      </c>
      <c r="K173" t="n">
        <v>230</v>
      </c>
      <c r="L173" t="n">
        <v>957</v>
      </c>
      <c r="M173" t="n">
        <v>180</v>
      </c>
      <c r="N173" t="n">
        <v>0</v>
      </c>
      <c r="P173" t="n">
        <v>1367</v>
      </c>
      <c r="Q173" t="n">
        <v>450</v>
      </c>
      <c r="R173" t="n">
        <v>14.35</v>
      </c>
      <c r="S173" t="n">
        <v>194</v>
      </c>
      <c r="T173" t="n">
        <v>1331</v>
      </c>
      <c r="U173" t="n">
        <v>427</v>
      </c>
      <c r="V173" t="n">
        <v>14.74</v>
      </c>
      <c r="W173" t="n">
        <v>46</v>
      </c>
      <c r="X173" t="n">
        <v>18.4</v>
      </c>
      <c r="Y173" t="n">
        <v>21.73</v>
      </c>
      <c r="Z173" t="n">
        <v>21.65</v>
      </c>
      <c r="AA173" t="inlineStr">
        <is>
          <t>Bread x2; Cheese x1; Onion x3</t>
        </is>
      </c>
      <c r="AB173" t="b">
        <v>0</v>
      </c>
      <c r="AC173" t="inlineStr">
        <is>
          <t>match (mastered)</t>
        </is>
      </c>
    </row>
    <row r="174">
      <c r="A174" t="inlineStr">
        <is>
          <t>Potted Plant</t>
        </is>
      </c>
      <c r="B174" t="inlineStr">
        <is>
          <t>machine</t>
        </is>
      </c>
      <c r="C174" t="inlineStr">
        <is>
          <t>Pottery Studio</t>
        </is>
      </c>
      <c r="D174" t="n">
        <v>96</v>
      </c>
      <c r="E174" t="n">
        <v>151</v>
      </c>
      <c r="F174" t="inlineStr">
        <is>
          <t>hayday.info</t>
        </is>
      </c>
      <c r="G174" t="n">
        <v>1</v>
      </c>
      <c r="H174" t="n">
        <v>220</v>
      </c>
      <c r="I174" t="n">
        <v>187</v>
      </c>
      <c r="J174" t="n">
        <v>75</v>
      </c>
      <c r="K174" t="n">
        <v>220</v>
      </c>
      <c r="L174" t="n">
        <v>420</v>
      </c>
      <c r="M174" t="n">
        <v>0</v>
      </c>
      <c r="N174" t="n">
        <v>0</v>
      </c>
      <c r="P174" t="n">
        <v>640</v>
      </c>
      <c r="Q174" t="n">
        <v>330</v>
      </c>
      <c r="R174" t="n">
        <v>14.16</v>
      </c>
      <c r="S174" t="n">
        <v>187</v>
      </c>
      <c r="T174" t="n">
        <v>607</v>
      </c>
      <c r="U174" t="n">
        <v>297</v>
      </c>
      <c r="V174" t="n">
        <v>14.93</v>
      </c>
      <c r="W174" t="n">
        <v>76</v>
      </c>
      <c r="X174" t="n">
        <v>20.73</v>
      </c>
      <c r="Y174" t="n">
        <v>24.39</v>
      </c>
      <c r="Z174" t="n">
        <v>24.39</v>
      </c>
      <c r="AA174" t="inlineStr">
        <is>
          <t>Clay x3; Sunflower x1</t>
        </is>
      </c>
      <c r="AB174" t="b">
        <v>0</v>
      </c>
      <c r="AC174" t="inlineStr">
        <is>
          <t>match (mastered)</t>
        </is>
      </c>
    </row>
    <row r="175">
      <c r="A175" t="inlineStr">
        <is>
          <t>Passion Fruit Jam</t>
        </is>
      </c>
      <c r="B175" t="inlineStr">
        <is>
          <t>machine</t>
        </is>
      </c>
      <c r="C175" t="inlineStr">
        <is>
          <t>Jam Maker</t>
        </is>
      </c>
      <c r="D175" t="n">
        <v>96</v>
      </c>
      <c r="E175" t="n">
        <v>118</v>
      </c>
      <c r="F175" t="inlineStr">
        <is>
          <t>hayday.info</t>
        </is>
      </c>
      <c r="G175" t="n">
        <v>1</v>
      </c>
      <c r="H175" t="n">
        <v>320</v>
      </c>
      <c r="I175" t="n">
        <v>272</v>
      </c>
      <c r="J175" t="n">
        <v>54</v>
      </c>
      <c r="K175" t="n">
        <v>320</v>
      </c>
      <c r="L175" t="n">
        <v>180</v>
      </c>
      <c r="M175" t="n">
        <v>0</v>
      </c>
      <c r="N175" t="n">
        <v>0</v>
      </c>
      <c r="P175" t="n">
        <v>500</v>
      </c>
      <c r="Q175" t="n">
        <v>380</v>
      </c>
      <c r="R175" t="n">
        <v>14.16</v>
      </c>
      <c r="S175" t="n">
        <v>272</v>
      </c>
      <c r="T175" t="n">
        <v>452</v>
      </c>
      <c r="U175" t="n">
        <v>332</v>
      </c>
      <c r="V175" t="n">
        <v>15.66</v>
      </c>
      <c r="W175" t="n">
        <v>64</v>
      </c>
      <c r="X175" t="n">
        <v>12</v>
      </c>
      <c r="Y175" t="n">
        <v>14.12</v>
      </c>
      <c r="Z175" t="n">
        <v>14.12</v>
      </c>
      <c r="AA175" t="inlineStr">
        <is>
          <t>Passion Fruit x3</t>
        </is>
      </c>
      <c r="AB175" t="b">
        <v>0</v>
      </c>
      <c r="AC175" t="inlineStr">
        <is>
          <t>match (mastered)</t>
        </is>
      </c>
    </row>
    <row r="176">
      <c r="A176" t="inlineStr">
        <is>
          <t>Strawberry Cake</t>
        </is>
      </c>
      <c r="B176" t="inlineStr">
        <is>
          <t>machine</t>
        </is>
      </c>
      <c r="C176" t="inlineStr">
        <is>
          <t>Cake Oven</t>
        </is>
      </c>
      <c r="D176" t="n">
        <v>35</v>
      </c>
      <c r="E176" t="n">
        <v>316</v>
      </c>
      <c r="F176" t="inlineStr">
        <is>
          <t>hayday.info</t>
        </is>
      </c>
      <c r="G176" t="n">
        <v>1</v>
      </c>
      <c r="H176" t="n">
        <v>180</v>
      </c>
      <c r="I176" t="n">
        <v>153</v>
      </c>
      <c r="J176" t="n">
        <v>209</v>
      </c>
      <c r="K176" t="n">
        <v>243.33</v>
      </c>
      <c r="L176" t="n">
        <v>1041</v>
      </c>
      <c r="M176" t="n">
        <v>60</v>
      </c>
      <c r="N176" t="n">
        <v>0</v>
      </c>
      <c r="P176" t="n">
        <v>1344.33</v>
      </c>
      <c r="Q176" t="n">
        <v>660</v>
      </c>
      <c r="R176" t="n">
        <v>14.1</v>
      </c>
      <c r="S176" t="n">
        <v>206.67</v>
      </c>
      <c r="T176" t="n">
        <v>1307.67</v>
      </c>
      <c r="U176" t="n">
        <v>633</v>
      </c>
      <c r="V176" t="n">
        <v>14.5</v>
      </c>
      <c r="W176" t="n">
        <v>107</v>
      </c>
      <c r="X176" t="n">
        <v>35.67</v>
      </c>
      <c r="Y176" t="n">
        <v>41.96</v>
      </c>
      <c r="Z176" t="n">
        <v>41.96</v>
      </c>
      <c r="AA176" t="inlineStr">
        <is>
          <t>Wheat x3; Strawberry x2; Cream x1; White Sugar x1</t>
        </is>
      </c>
      <c r="AB176" t="b">
        <v>1</v>
      </c>
      <c r="AC176" t="inlineStr">
        <is>
          <t>match (mastered)</t>
        </is>
      </c>
    </row>
    <row r="177">
      <c r="A177" t="inlineStr">
        <is>
          <t>Caramel Latte</t>
        </is>
      </c>
      <c r="B177" t="inlineStr">
        <is>
          <t>machine</t>
        </is>
      </c>
      <c r="C177" t="inlineStr">
        <is>
          <t>Coffee Kiosk</t>
        </is>
      </c>
      <c r="D177" t="n">
        <v>62</v>
      </c>
      <c r="E177" t="n">
        <v>345</v>
      </c>
      <c r="F177" t="inlineStr">
        <is>
          <t>hayday.info</t>
        </is>
      </c>
      <c r="G177" t="n">
        <v>1</v>
      </c>
      <c r="H177" t="n">
        <v>15</v>
      </c>
      <c r="I177" t="n">
        <v>12</v>
      </c>
      <c r="J177" t="n">
        <v>336</v>
      </c>
      <c r="K177" t="n">
        <v>185</v>
      </c>
      <c r="L177" t="n">
        <v>107</v>
      </c>
      <c r="M177" t="n">
        <v>180</v>
      </c>
      <c r="N177" t="n">
        <v>1000</v>
      </c>
      <c r="P177" t="n">
        <v>1472</v>
      </c>
      <c r="Q177" t="n">
        <v>1515</v>
      </c>
      <c r="R177" t="n">
        <v>14.06</v>
      </c>
      <c r="S177" t="n">
        <v>155</v>
      </c>
      <c r="T177" t="n">
        <v>1442</v>
      </c>
      <c r="U177" t="n">
        <v>1512</v>
      </c>
      <c r="V177" t="n">
        <v>14.36</v>
      </c>
      <c r="W177" t="n">
        <v>9</v>
      </c>
      <c r="X177" t="n">
        <v>36</v>
      </c>
      <c r="Y177" t="n">
        <v>45</v>
      </c>
      <c r="Z177" t="n">
        <v>42.35</v>
      </c>
      <c r="AA177" t="inlineStr">
        <is>
          <t>Coffee Bean x2; Toffee x1; Milk x1</t>
        </is>
      </c>
      <c r="AB177" t="b">
        <v>0</v>
      </c>
      <c r="AC177" t="inlineStr">
        <is>
          <t>match (normal x0.85)</t>
        </is>
      </c>
    </row>
    <row r="178">
      <c r="A178" t="inlineStr">
        <is>
          <t>Lily</t>
        </is>
      </c>
      <c r="B178" t="inlineStr">
        <is>
          <t>field</t>
        </is>
      </c>
      <c r="C178" t="inlineStr">
        <is>
          <t>Farm</t>
        </is>
      </c>
      <c r="D178" t="n">
        <v>53</v>
      </c>
      <c r="E178" t="n">
        <v>21</v>
      </c>
      <c r="F178" t="inlineStr">
        <is>
          <t>hayday.info</t>
        </is>
      </c>
      <c r="G178" t="n">
        <v>1</v>
      </c>
      <c r="H178" t="n">
        <v>90</v>
      </c>
      <c r="J178" t="n">
        <v>0</v>
      </c>
      <c r="K178" t="n">
        <v>0</v>
      </c>
      <c r="L178" t="n">
        <v>90</v>
      </c>
      <c r="M178" t="n">
        <v>0</v>
      </c>
      <c r="N178" t="n">
        <v>0</v>
      </c>
      <c r="P178" t="n">
        <v>90</v>
      </c>
      <c r="Q178" t="n">
        <v>90</v>
      </c>
      <c r="R178" t="n">
        <v>14</v>
      </c>
      <c r="S178" t="n">
        <v>0</v>
      </c>
      <c r="T178" t="n">
        <v>90</v>
      </c>
      <c r="U178" t="n">
        <v>90</v>
      </c>
      <c r="V178" t="n">
        <v>14</v>
      </c>
      <c r="W178" t="n">
        <v>21</v>
      </c>
      <c r="X178" t="n">
        <v>14</v>
      </c>
      <c r="Y178" t="n">
        <v>14</v>
      </c>
      <c r="Z178" t="n">
        <v>14</v>
      </c>
      <c r="AB178" t="b">
        <v>0</v>
      </c>
    </row>
    <row r="179">
      <c r="A179" t="inlineStr">
        <is>
          <t>Sunflower</t>
        </is>
      </c>
      <c r="B179" t="inlineStr">
        <is>
          <t>field</t>
        </is>
      </c>
      <c r="C179" t="inlineStr">
        <is>
          <t>Farm</t>
        </is>
      </c>
      <c r="D179" t="n">
        <v>63</v>
      </c>
      <c r="E179" t="n">
        <v>21</v>
      </c>
      <c r="F179" t="inlineStr">
        <is>
          <t>hayday.info</t>
        </is>
      </c>
      <c r="G179" t="n">
        <v>1</v>
      </c>
      <c r="H179" t="n">
        <v>90</v>
      </c>
      <c r="J179" t="n">
        <v>0</v>
      </c>
      <c r="K179" t="n">
        <v>0</v>
      </c>
      <c r="L179" t="n">
        <v>90</v>
      </c>
      <c r="M179" t="n">
        <v>0</v>
      </c>
      <c r="N179" t="n">
        <v>0</v>
      </c>
      <c r="P179" t="n">
        <v>90</v>
      </c>
      <c r="Q179" t="n">
        <v>90</v>
      </c>
      <c r="R179" t="n">
        <v>14</v>
      </c>
      <c r="S179" t="n">
        <v>0</v>
      </c>
      <c r="T179" t="n">
        <v>90</v>
      </c>
      <c r="U179" t="n">
        <v>90</v>
      </c>
      <c r="V179" t="n">
        <v>14</v>
      </c>
      <c r="W179" t="n">
        <v>21</v>
      </c>
      <c r="X179" t="n">
        <v>14</v>
      </c>
      <c r="Y179" t="n">
        <v>14</v>
      </c>
      <c r="Z179" t="n">
        <v>14</v>
      </c>
      <c r="AB179" t="b">
        <v>0</v>
      </c>
    </row>
    <row r="180">
      <c r="A180" t="inlineStr">
        <is>
          <t>Eggplant Parmesan</t>
        </is>
      </c>
      <c r="B180" t="inlineStr">
        <is>
          <t>machine</t>
        </is>
      </c>
      <c r="C180" t="inlineStr">
        <is>
          <t>Pie Oven</t>
        </is>
      </c>
      <c r="D180" t="n">
        <v>99</v>
      </c>
      <c r="E180" t="n">
        <v>442</v>
      </c>
      <c r="F180" t="inlineStr">
        <is>
          <t>hayday.info</t>
        </is>
      </c>
      <c r="G180" t="n">
        <v>1</v>
      </c>
      <c r="H180" t="n">
        <v>45</v>
      </c>
      <c r="I180" t="n">
        <v>38</v>
      </c>
      <c r="J180" t="n">
        <v>408</v>
      </c>
      <c r="K180" t="n">
        <v>165</v>
      </c>
      <c r="L180" t="n">
        <v>955</v>
      </c>
      <c r="M180" t="n">
        <v>180</v>
      </c>
      <c r="N180" t="n">
        <v>600</v>
      </c>
      <c r="P180" t="n">
        <v>1900</v>
      </c>
      <c r="Q180" t="n">
        <v>1875</v>
      </c>
      <c r="R180" t="n">
        <v>13.96</v>
      </c>
      <c r="S180" t="n">
        <v>139</v>
      </c>
      <c r="T180" t="n">
        <v>1874</v>
      </c>
      <c r="U180" t="n">
        <v>1863</v>
      </c>
      <c r="V180" t="n">
        <v>14.15</v>
      </c>
      <c r="W180" t="n">
        <v>34</v>
      </c>
      <c r="X180" t="n">
        <v>45.33</v>
      </c>
      <c r="Y180" t="n">
        <v>53.68</v>
      </c>
      <c r="Z180" t="n">
        <v>75.29000000000001</v>
      </c>
      <c r="AA180" t="inlineStr">
        <is>
          <t>Eggplant x4; Cheese x1; Tomato Sauce x1</t>
        </is>
      </c>
      <c r="AB180" t="b">
        <v>0</v>
      </c>
      <c r="AC180" t="inlineStr">
        <is>
          <t>differs - check recipe / ingredient prices</t>
        </is>
      </c>
    </row>
    <row r="181">
      <c r="A181" t="inlineStr">
        <is>
          <t>Kimchi</t>
        </is>
      </c>
      <c r="B181" t="inlineStr">
        <is>
          <t>machine</t>
        </is>
      </c>
      <c r="C181" t="inlineStr">
        <is>
          <t>Preservation Station</t>
        </is>
      </c>
      <c r="D181" t="n">
        <v>98</v>
      </c>
      <c r="E181" t="n">
        <v>219</v>
      </c>
      <c r="F181" t="inlineStr">
        <is>
          <t>hayday.info</t>
        </is>
      </c>
      <c r="G181" t="n">
        <v>1</v>
      </c>
      <c r="H181" t="n">
        <v>300</v>
      </c>
      <c r="I181" t="n">
        <v>255</v>
      </c>
      <c r="J181" t="n">
        <v>168</v>
      </c>
      <c r="K181" t="n">
        <v>300</v>
      </c>
      <c r="L181" t="n">
        <v>645</v>
      </c>
      <c r="M181" t="n">
        <v>0</v>
      </c>
      <c r="N181" t="n">
        <v>0</v>
      </c>
      <c r="P181" t="n">
        <v>945</v>
      </c>
      <c r="Q181" t="n">
        <v>540</v>
      </c>
      <c r="R181" t="n">
        <v>13.9</v>
      </c>
      <c r="S181" t="n">
        <v>255</v>
      </c>
      <c r="T181" t="n">
        <v>900</v>
      </c>
      <c r="U181" t="n">
        <v>495</v>
      </c>
      <c r="V181" t="n">
        <v>14.6</v>
      </c>
      <c r="W181" t="n">
        <v>51</v>
      </c>
      <c r="X181" t="n">
        <v>10.2</v>
      </c>
      <c r="Y181" t="n">
        <v>12</v>
      </c>
      <c r="Z181" t="n">
        <v>12</v>
      </c>
      <c r="AA181" t="inlineStr">
        <is>
          <t>Cabbage x5; Ginger x1; Chili Pepper x1; Garlic x1</t>
        </is>
      </c>
      <c r="AB181" t="b">
        <v>0</v>
      </c>
      <c r="AC181" t="inlineStr">
        <is>
          <t>match (mastered)</t>
        </is>
      </c>
    </row>
    <row r="182">
      <c r="A182" t="inlineStr">
        <is>
          <t>Stuffed Peppers</t>
        </is>
      </c>
      <c r="B182" t="inlineStr">
        <is>
          <t>machine</t>
        </is>
      </c>
      <c r="C182" t="inlineStr">
        <is>
          <t>BBQ Grill</t>
        </is>
      </c>
      <c r="D182" t="n">
        <v>80</v>
      </c>
      <c r="E182" t="n">
        <v>352</v>
      </c>
      <c r="F182" t="inlineStr">
        <is>
          <t>hayday.info</t>
        </is>
      </c>
      <c r="G182" t="n">
        <v>1</v>
      </c>
      <c r="H182" t="n">
        <v>20</v>
      </c>
      <c r="I182" t="n">
        <v>17</v>
      </c>
      <c r="J182" t="n">
        <v>334</v>
      </c>
      <c r="K182" t="n">
        <v>96.67</v>
      </c>
      <c r="L182" t="n">
        <v>1003.33</v>
      </c>
      <c r="M182" t="n">
        <v>420</v>
      </c>
      <c r="N182" t="n">
        <v>0</v>
      </c>
      <c r="P182" t="n">
        <v>1520</v>
      </c>
      <c r="Q182" t="n">
        <v>300</v>
      </c>
      <c r="R182" t="n">
        <v>13.89</v>
      </c>
      <c r="S182" t="n">
        <v>81.67</v>
      </c>
      <c r="T182" t="n">
        <v>1505</v>
      </c>
      <c r="U182" t="n">
        <v>294</v>
      </c>
      <c r="V182" t="n">
        <v>14.03</v>
      </c>
      <c r="W182" t="n">
        <v>18</v>
      </c>
      <c r="X182" t="n">
        <v>54</v>
      </c>
      <c r="Y182" t="n">
        <v>63.53</v>
      </c>
      <c r="Z182" t="n">
        <v>63.53</v>
      </c>
      <c r="AA182" t="inlineStr">
        <is>
          <t>Bell Pepper x3; Bacon x1; Rice x3; Cheese x1</t>
        </is>
      </c>
      <c r="AB182" t="b">
        <v>0</v>
      </c>
      <c r="AC182" t="inlineStr">
        <is>
          <t>match (mastered)</t>
        </is>
      </c>
    </row>
    <row r="183">
      <c r="A183" t="inlineStr">
        <is>
          <t>Pumpkin Pie</t>
        </is>
      </c>
      <c r="B183" t="inlineStr">
        <is>
          <t>machine</t>
        </is>
      </c>
      <c r="C183" t="inlineStr">
        <is>
          <t>Pie Oven</t>
        </is>
      </c>
      <c r="D183" t="n">
        <v>15</v>
      </c>
      <c r="E183" t="n">
        <v>158</v>
      </c>
      <c r="F183" t="inlineStr">
        <is>
          <t>hayday.info</t>
        </is>
      </c>
      <c r="G183" t="n">
        <v>1</v>
      </c>
      <c r="H183" t="n">
        <v>120</v>
      </c>
      <c r="I183" t="n">
        <v>102</v>
      </c>
      <c r="J183" t="n">
        <v>120</v>
      </c>
      <c r="K183" t="n">
        <v>121.67</v>
      </c>
      <c r="L183" t="n">
        <v>547</v>
      </c>
      <c r="M183" t="n">
        <v>20</v>
      </c>
      <c r="N183" t="n">
        <v>0</v>
      </c>
      <c r="P183" t="n">
        <v>688.67</v>
      </c>
      <c r="Q183" t="n">
        <v>300</v>
      </c>
      <c r="R183" t="n">
        <v>13.77</v>
      </c>
      <c r="S183" t="n">
        <v>103.33</v>
      </c>
      <c r="T183" t="n">
        <v>670.33</v>
      </c>
      <c r="U183" t="n">
        <v>282</v>
      </c>
      <c r="V183" t="n">
        <v>14.14</v>
      </c>
      <c r="W183" t="n">
        <v>38</v>
      </c>
      <c r="X183" t="n">
        <v>19</v>
      </c>
      <c r="Y183" t="n">
        <v>22.35</v>
      </c>
      <c r="Z183" t="n">
        <v>22.35</v>
      </c>
      <c r="AA183" t="inlineStr">
        <is>
          <t>Pumpkin x3; Wheat x2; Egg x1</t>
        </is>
      </c>
      <c r="AB183" t="b">
        <v>1</v>
      </c>
      <c r="AC183" t="inlineStr">
        <is>
          <t>match (mastered)</t>
        </is>
      </c>
    </row>
    <row r="184">
      <c r="A184" t="inlineStr">
        <is>
          <t>Mayonnaise</t>
        </is>
      </c>
      <c r="B184" t="inlineStr">
        <is>
          <t>machine</t>
        </is>
      </c>
      <c r="C184" t="inlineStr">
        <is>
          <t>Sauce Maker</t>
        </is>
      </c>
      <c r="D184" t="n">
        <v>62</v>
      </c>
      <c r="E184" t="n">
        <v>367</v>
      </c>
      <c r="F184" t="inlineStr">
        <is>
          <t>hayday.info</t>
        </is>
      </c>
      <c r="G184" t="n">
        <v>1</v>
      </c>
      <c r="H184" t="n">
        <v>15</v>
      </c>
      <c r="I184" t="n">
        <v>12</v>
      </c>
      <c r="J184" t="n">
        <v>349</v>
      </c>
      <c r="K184" t="n">
        <v>66.67</v>
      </c>
      <c r="L184" t="n">
        <v>12</v>
      </c>
      <c r="M184" t="n">
        <v>80</v>
      </c>
      <c r="N184" t="n">
        <v>1440</v>
      </c>
      <c r="P184" t="n">
        <v>1598.67</v>
      </c>
      <c r="Q184" t="n">
        <v>1500</v>
      </c>
      <c r="R184" t="n">
        <v>13.77</v>
      </c>
      <c r="S184" t="n">
        <v>55.33</v>
      </c>
      <c r="T184" t="n">
        <v>1587.33</v>
      </c>
      <c r="U184" t="n">
        <v>1490</v>
      </c>
      <c r="V184" t="n">
        <v>13.87</v>
      </c>
      <c r="W184" t="n">
        <v>18</v>
      </c>
      <c r="X184" t="n">
        <v>72</v>
      </c>
      <c r="Y184" t="n">
        <v>90</v>
      </c>
      <c r="Z184" t="n">
        <v>84.70999999999999</v>
      </c>
      <c r="AA184" t="inlineStr">
        <is>
          <t>Egg x4; Olive Oil x1</t>
        </is>
      </c>
      <c r="AB184" t="b">
        <v>0</v>
      </c>
      <c r="AC184" t="inlineStr">
        <is>
          <t>match (normal x0.85)</t>
        </is>
      </c>
    </row>
    <row r="185">
      <c r="A185" t="inlineStr">
        <is>
          <t>Filled Donut</t>
        </is>
      </c>
      <c r="B185" t="inlineStr">
        <is>
          <t>machine</t>
        </is>
      </c>
      <c r="C185" t="inlineStr">
        <is>
          <t>Donut Maker</t>
        </is>
      </c>
      <c r="D185" t="n">
        <v>93</v>
      </c>
      <c r="E185" t="n">
        <v>403</v>
      </c>
      <c r="F185" t="inlineStr">
        <is>
          <t>hayday.info</t>
        </is>
      </c>
      <c r="G185" t="n">
        <v>1</v>
      </c>
      <c r="H185" t="n">
        <v>35</v>
      </c>
      <c r="I185" t="n">
        <v>29</v>
      </c>
      <c r="J185" t="n">
        <v>381</v>
      </c>
      <c r="K185" t="n">
        <v>515</v>
      </c>
      <c r="L185" t="n">
        <v>84</v>
      </c>
      <c r="M185" t="n">
        <v>80</v>
      </c>
      <c r="N185" t="n">
        <v>1080</v>
      </c>
      <c r="P185" t="n">
        <v>1759</v>
      </c>
      <c r="Q185" t="n">
        <v>1535</v>
      </c>
      <c r="R185" t="n">
        <v>13.75</v>
      </c>
      <c r="S185" t="n">
        <v>436</v>
      </c>
      <c r="T185" t="n">
        <v>1680</v>
      </c>
      <c r="U185" t="n">
        <v>1466</v>
      </c>
      <c r="V185" t="n">
        <v>14.39</v>
      </c>
      <c r="W185" t="n">
        <v>22</v>
      </c>
      <c r="X185" t="n">
        <v>37.71</v>
      </c>
      <c r="Y185" t="n">
        <v>45.52</v>
      </c>
      <c r="Z185" t="n">
        <v>44.37</v>
      </c>
      <c r="AA185" t="inlineStr">
        <is>
          <t>Plain Donut x1; Raspberry Jam x1</t>
        </is>
      </c>
      <c r="AB185" t="b">
        <v>0</v>
      </c>
      <c r="AC185" t="inlineStr">
        <is>
          <t>match (normal x0.85)</t>
        </is>
      </c>
    </row>
    <row r="186">
      <c r="A186" t="inlineStr">
        <is>
          <t>Mint Fudge</t>
        </is>
      </c>
      <c r="B186" t="inlineStr">
        <is>
          <t>machine</t>
        </is>
      </c>
      <c r="C186" t="inlineStr">
        <is>
          <t>Fudge Shop</t>
        </is>
      </c>
      <c r="D186" t="n">
        <v>102</v>
      </c>
      <c r="E186" t="n">
        <v>522</v>
      </c>
      <c r="F186" t="inlineStr">
        <is>
          <t>hayday.info</t>
        </is>
      </c>
      <c r="G186" t="n">
        <v>1</v>
      </c>
      <c r="H186" t="n">
        <v>150</v>
      </c>
      <c r="I186" t="n">
        <v>127</v>
      </c>
      <c r="J186" t="n">
        <v>354</v>
      </c>
      <c r="K186" t="n">
        <v>190</v>
      </c>
      <c r="L186" t="n">
        <v>690</v>
      </c>
      <c r="M186" t="n">
        <v>0</v>
      </c>
      <c r="N186" t="n">
        <v>1400</v>
      </c>
      <c r="P186" t="n">
        <v>2280</v>
      </c>
      <c r="Q186" t="n">
        <v>2250</v>
      </c>
      <c r="R186" t="n">
        <v>13.74</v>
      </c>
      <c r="S186" t="n">
        <v>161</v>
      </c>
      <c r="T186" t="n">
        <v>2251</v>
      </c>
      <c r="U186" t="n">
        <v>2227</v>
      </c>
      <c r="V186" t="n">
        <v>13.91</v>
      </c>
      <c r="W186" t="n">
        <v>168</v>
      </c>
      <c r="X186" t="n">
        <v>67.2</v>
      </c>
      <c r="Y186" t="n">
        <v>79.37</v>
      </c>
      <c r="Z186" t="n">
        <v>18.82</v>
      </c>
      <c r="AA186" t="inlineStr">
        <is>
          <t>Cabbage x2; Cacao x2; White Sugar x1; Mint x3</t>
        </is>
      </c>
      <c r="AB186" t="b">
        <v>0</v>
      </c>
      <c r="AC186" t="inlineStr">
        <is>
          <t>differs - check recipe / ingredient prices</t>
        </is>
      </c>
    </row>
    <row r="187">
      <c r="A187" t="inlineStr">
        <is>
          <t>Diamond Ring</t>
        </is>
      </c>
      <c r="B187" t="inlineStr">
        <is>
          <t>machine</t>
        </is>
      </c>
      <c r="C187" t="inlineStr">
        <is>
          <t>Jeweler</t>
        </is>
      </c>
      <c r="D187" t="n">
        <v>40</v>
      </c>
      <c r="E187" t="n">
        <v>824</v>
      </c>
      <c r="F187" t="inlineStr">
        <is>
          <t>hayday.info</t>
        </is>
      </c>
      <c r="G187" t="n">
        <v>1</v>
      </c>
      <c r="H187" t="n">
        <v>240</v>
      </c>
      <c r="I187" t="n">
        <v>204</v>
      </c>
      <c r="J187" t="n">
        <v>770</v>
      </c>
      <c r="K187" t="n">
        <v>3600</v>
      </c>
      <c r="L187" t="n">
        <v>0</v>
      </c>
      <c r="M187" t="n">
        <v>0</v>
      </c>
      <c r="N187" t="n">
        <v>0</v>
      </c>
      <c r="O187" t="inlineStr">
        <is>
          <t>Gold Ore x6; Platinum Ore x6</t>
        </is>
      </c>
      <c r="P187" t="n">
        <v>3600</v>
      </c>
      <c r="Q187" t="n">
        <v>2160</v>
      </c>
      <c r="R187" t="n">
        <v>13.73</v>
      </c>
      <c r="S187" t="n">
        <v>3060</v>
      </c>
      <c r="T187" t="n">
        <v>3060</v>
      </c>
      <c r="U187" t="n">
        <v>1836</v>
      </c>
      <c r="V187" t="n">
        <v>16.16</v>
      </c>
      <c r="W187" t="n">
        <v>54</v>
      </c>
      <c r="X187" t="n">
        <v>13.5</v>
      </c>
      <c r="Y187" t="n">
        <v>15.88</v>
      </c>
      <c r="Z187" t="n">
        <v>15.88</v>
      </c>
      <c r="AA187" t="inlineStr">
        <is>
          <t>Gold Bar x2; Platinum Bar x2; Diamond x1</t>
        </is>
      </c>
      <c r="AB187" t="b">
        <v>0</v>
      </c>
      <c r="AC187" t="inlineStr">
        <is>
          <t>match (mastered)</t>
        </is>
      </c>
    </row>
    <row r="188">
      <c r="A188" t="inlineStr">
        <is>
          <t>Yogurt Smoothie</t>
        </is>
      </c>
      <c r="B188" t="inlineStr">
        <is>
          <t>machine</t>
        </is>
      </c>
      <c r="C188" t="inlineStr">
        <is>
          <t>Smoothie Mixer</t>
        </is>
      </c>
      <c r="D188" t="n">
        <v>70</v>
      </c>
      <c r="E188" t="n">
        <v>349</v>
      </c>
      <c r="F188" t="inlineStr">
        <is>
          <t>hayday.info</t>
        </is>
      </c>
      <c r="G188" t="n">
        <v>1</v>
      </c>
      <c r="H188" t="n">
        <v>60</v>
      </c>
      <c r="I188" t="n">
        <v>51</v>
      </c>
      <c r="J188" t="n">
        <v>260</v>
      </c>
      <c r="K188" t="n">
        <v>123.33</v>
      </c>
      <c r="L188" t="n">
        <v>75</v>
      </c>
      <c r="M188" t="n">
        <v>60</v>
      </c>
      <c r="N188" t="n">
        <v>1280</v>
      </c>
      <c r="P188" t="n">
        <v>1538.33</v>
      </c>
      <c r="Q188" t="n">
        <v>1740</v>
      </c>
      <c r="R188" t="n">
        <v>13.61</v>
      </c>
      <c r="S188" t="n">
        <v>104.67</v>
      </c>
      <c r="T188" t="n">
        <v>1519.67</v>
      </c>
      <c r="U188" t="n">
        <v>1731</v>
      </c>
      <c r="V188" t="n">
        <v>13.78</v>
      </c>
      <c r="W188" t="n">
        <v>89</v>
      </c>
      <c r="X188" t="n">
        <v>89</v>
      </c>
      <c r="Y188" t="n">
        <v>104.71</v>
      </c>
      <c r="Z188" t="n">
        <v>104.71</v>
      </c>
      <c r="AA188" t="inlineStr">
        <is>
          <t>Cream x1; Raspberry x2; Cherry x1; White Sugar x1</t>
        </is>
      </c>
      <c r="AB188" t="b">
        <v>0</v>
      </c>
      <c r="AC188" t="inlineStr">
        <is>
          <t>match (mastered)</t>
        </is>
      </c>
    </row>
    <row r="189">
      <c r="A189" t="inlineStr">
        <is>
          <t>Bacon Toast</t>
        </is>
      </c>
      <c r="B189" t="inlineStr">
        <is>
          <t>machine</t>
        </is>
      </c>
      <c r="C189" t="inlineStr">
        <is>
          <t>Sandwich Bar</t>
        </is>
      </c>
      <c r="D189" t="n">
        <v>65</v>
      </c>
      <c r="E189" t="n">
        <v>648</v>
      </c>
      <c r="F189" t="inlineStr">
        <is>
          <t>hayday.info</t>
        </is>
      </c>
      <c r="G189" t="n">
        <v>1</v>
      </c>
      <c r="H189" t="n">
        <v>100</v>
      </c>
      <c r="I189" t="n">
        <v>85</v>
      </c>
      <c r="J189" t="n">
        <v>605</v>
      </c>
      <c r="K189" t="n">
        <v>190</v>
      </c>
      <c r="L189" t="n">
        <v>680.67</v>
      </c>
      <c r="M189" t="n">
        <v>560</v>
      </c>
      <c r="N189" t="n">
        <v>1440</v>
      </c>
      <c r="P189" t="n">
        <v>2870.67</v>
      </c>
      <c r="Q189" t="n">
        <v>1600</v>
      </c>
      <c r="R189" t="n">
        <v>13.54</v>
      </c>
      <c r="S189" t="n">
        <v>159.67</v>
      </c>
      <c r="T189" t="n">
        <v>2840.33</v>
      </c>
      <c r="U189" t="n">
        <v>1575</v>
      </c>
      <c r="V189" t="n">
        <v>13.69</v>
      </c>
      <c r="W189" t="n">
        <v>43</v>
      </c>
      <c r="X189" t="n">
        <v>25.8</v>
      </c>
      <c r="Y189" t="n">
        <v>30.35</v>
      </c>
      <c r="Z189" t="n">
        <v>30.35</v>
      </c>
      <c r="AA189" t="inlineStr">
        <is>
          <t>Bacon x2; Bread x2; Lettuce x3; Mayonnaise x1</t>
        </is>
      </c>
      <c r="AB189" t="b">
        <v>0</v>
      </c>
      <c r="AC189" t="inlineStr">
        <is>
          <t>match (mastered)</t>
        </is>
      </c>
    </row>
    <row r="190">
      <c r="A190" t="inlineStr">
        <is>
          <t>Cotton Fabric</t>
        </is>
      </c>
      <c r="B190" t="inlineStr">
        <is>
          <t>machine</t>
        </is>
      </c>
      <c r="C190" t="inlineStr">
        <is>
          <t>Loom</t>
        </is>
      </c>
      <c r="D190" t="n">
        <v>18</v>
      </c>
      <c r="E190" t="n">
        <v>108</v>
      </c>
      <c r="F190" t="inlineStr">
        <is>
          <t>hayday.info</t>
        </is>
      </c>
      <c r="G190" t="n">
        <v>1</v>
      </c>
      <c r="H190" t="n">
        <v>30</v>
      </c>
      <c r="I190" t="n">
        <v>25</v>
      </c>
      <c r="J190" t="n">
        <v>84</v>
      </c>
      <c r="K190" t="n">
        <v>30</v>
      </c>
      <c r="L190" t="n">
        <v>450</v>
      </c>
      <c r="M190" t="n">
        <v>0</v>
      </c>
      <c r="N190" t="n">
        <v>0</v>
      </c>
      <c r="P190" t="n">
        <v>480</v>
      </c>
      <c r="Q190" t="n">
        <v>180</v>
      </c>
      <c r="R190" t="n">
        <v>13.5</v>
      </c>
      <c r="S190" t="n">
        <v>25</v>
      </c>
      <c r="T190" t="n">
        <v>475</v>
      </c>
      <c r="U190" t="n">
        <v>175</v>
      </c>
      <c r="V190" t="n">
        <v>13.64</v>
      </c>
      <c r="W190" t="n">
        <v>24</v>
      </c>
      <c r="X190" t="n">
        <v>48</v>
      </c>
      <c r="Y190" t="n">
        <v>57.6</v>
      </c>
      <c r="Z190" t="n">
        <v>56.47</v>
      </c>
      <c r="AA190" t="inlineStr">
        <is>
          <t>Cotton x3</t>
        </is>
      </c>
      <c r="AB190" t="b">
        <v>1</v>
      </c>
      <c r="AC190" t="inlineStr">
        <is>
          <t>match (normal x0.85)</t>
        </is>
      </c>
    </row>
    <row r="191">
      <c r="A191" t="inlineStr">
        <is>
          <t>Grilled Onion</t>
        </is>
      </c>
      <c r="B191" t="inlineStr">
        <is>
          <t>machine</t>
        </is>
      </c>
      <c r="C191" t="inlineStr">
        <is>
          <t>BBQ Grill</t>
        </is>
      </c>
      <c r="D191" t="n">
        <v>68</v>
      </c>
      <c r="E191" t="n">
        <v>190</v>
      </c>
      <c r="F191" t="inlineStr">
        <is>
          <t>hayday.info</t>
        </is>
      </c>
      <c r="G191" t="n">
        <v>1</v>
      </c>
      <c r="H191" t="n">
        <v>60</v>
      </c>
      <c r="I191" t="n">
        <v>51</v>
      </c>
      <c r="J191" t="n">
        <v>160</v>
      </c>
      <c r="K191" t="n">
        <v>96.67</v>
      </c>
      <c r="L191" t="n">
        <v>630</v>
      </c>
      <c r="M191" t="n">
        <v>120</v>
      </c>
      <c r="N191" t="n">
        <v>0</v>
      </c>
      <c r="P191" t="n">
        <v>846.67</v>
      </c>
      <c r="Q191" t="n">
        <v>360</v>
      </c>
      <c r="R191" t="n">
        <v>13.46</v>
      </c>
      <c r="S191" t="n">
        <v>81.33</v>
      </c>
      <c r="T191" t="n">
        <v>831.33</v>
      </c>
      <c r="U191" t="n">
        <v>351</v>
      </c>
      <c r="V191" t="n">
        <v>13.71</v>
      </c>
      <c r="W191" t="n">
        <v>30</v>
      </c>
      <c r="X191" t="n">
        <v>30</v>
      </c>
      <c r="Y191" t="n">
        <v>35.29</v>
      </c>
      <c r="Z191" t="n">
        <v>35.29</v>
      </c>
      <c r="AA191" t="inlineStr">
        <is>
          <t>Butter x1; Onion x2</t>
        </is>
      </c>
      <c r="AB191" t="b">
        <v>0</v>
      </c>
      <c r="AC191" t="inlineStr">
        <is>
          <t>match (mastered)</t>
        </is>
      </c>
    </row>
    <row r="192">
      <c r="A192" t="inlineStr">
        <is>
          <t>Cabbage Soup</t>
        </is>
      </c>
      <c r="B192" t="inlineStr">
        <is>
          <t>machine</t>
        </is>
      </c>
      <c r="C192" t="inlineStr">
        <is>
          <t>Soup Kitchen</t>
        </is>
      </c>
      <c r="D192" t="n">
        <v>65</v>
      </c>
      <c r="E192" t="n">
        <v>270</v>
      </c>
      <c r="F192" t="inlineStr">
        <is>
          <t>hayday.info</t>
        </is>
      </c>
      <c r="G192" t="n">
        <v>1</v>
      </c>
      <c r="H192" t="n">
        <v>90</v>
      </c>
      <c r="I192" t="n">
        <v>76</v>
      </c>
      <c r="J192" t="n">
        <v>240</v>
      </c>
      <c r="K192" t="n">
        <v>103.33</v>
      </c>
      <c r="L192" t="n">
        <v>621.67</v>
      </c>
      <c r="M192" t="n">
        <v>480</v>
      </c>
      <c r="N192" t="n">
        <v>0</v>
      </c>
      <c r="P192" t="n">
        <v>1205</v>
      </c>
      <c r="Q192" t="n">
        <v>370</v>
      </c>
      <c r="R192" t="n">
        <v>13.44</v>
      </c>
      <c r="S192" t="n">
        <v>87.33</v>
      </c>
      <c r="T192" t="n">
        <v>1189</v>
      </c>
      <c r="U192" t="n">
        <v>353</v>
      </c>
      <c r="V192" t="n">
        <v>13.62</v>
      </c>
      <c r="W192" t="n">
        <v>30</v>
      </c>
      <c r="X192" t="n">
        <v>20</v>
      </c>
      <c r="Y192" t="n">
        <v>23.68</v>
      </c>
      <c r="Z192" t="n">
        <v>23.53</v>
      </c>
      <c r="AA192" t="inlineStr">
        <is>
          <t>Cabbage x3; Bacon x2; Potato x2; Carrot x2</t>
        </is>
      </c>
      <c r="AB192" t="b">
        <v>0</v>
      </c>
      <c r="AC192" t="inlineStr">
        <is>
          <t>match (mastered)</t>
        </is>
      </c>
    </row>
    <row r="193">
      <c r="A193" t="inlineStr">
        <is>
          <t>Spicy Fish</t>
        </is>
      </c>
      <c r="B193" t="inlineStr">
        <is>
          <t>machine</t>
        </is>
      </c>
      <c r="C193" t="inlineStr">
        <is>
          <t>Wok Kitchen</t>
        </is>
      </c>
      <c r="D193" t="n">
        <v>79</v>
      </c>
      <c r="E193" t="n">
        <v>543</v>
      </c>
      <c r="F193" t="inlineStr">
        <is>
          <t>hayday.info</t>
        </is>
      </c>
      <c r="G193" t="n">
        <v>1</v>
      </c>
      <c r="H193" t="n">
        <v>90</v>
      </c>
      <c r="I193" t="n">
        <v>76</v>
      </c>
      <c r="J193" t="n">
        <v>509</v>
      </c>
      <c r="K193" t="n">
        <v>135</v>
      </c>
      <c r="L193" t="n">
        <v>870</v>
      </c>
      <c r="M193" t="n">
        <v>0</v>
      </c>
      <c r="N193" t="n">
        <v>1440</v>
      </c>
      <c r="O193" t="inlineStr">
        <is>
          <t>Fish Fillet x1</t>
        </is>
      </c>
      <c r="P193" t="n">
        <v>2445</v>
      </c>
      <c r="Q193" t="n">
        <v>1575</v>
      </c>
      <c r="R193" t="n">
        <v>13.33</v>
      </c>
      <c r="S193" t="n">
        <v>114</v>
      </c>
      <c r="T193" t="n">
        <v>2424</v>
      </c>
      <c r="U193" t="n">
        <v>1554</v>
      </c>
      <c r="V193" t="n">
        <v>13.44</v>
      </c>
      <c r="W193" t="n">
        <v>34</v>
      </c>
      <c r="X193" t="n">
        <v>22.67</v>
      </c>
      <c r="Y193" t="n">
        <v>26.84</v>
      </c>
      <c r="Z193" t="n">
        <v>26.67</v>
      </c>
      <c r="AA193" t="inlineStr">
        <is>
          <t>Fish Fillet x1; Chili Pepper x3; Garlic x5; Olive Oil x1</t>
        </is>
      </c>
      <c r="AB193" t="b">
        <v>0</v>
      </c>
      <c r="AC193" t="inlineStr">
        <is>
          <t>match (mastered)</t>
        </is>
      </c>
    </row>
    <row r="194">
      <c r="A194" t="inlineStr">
        <is>
          <t>Olive Dip</t>
        </is>
      </c>
      <c r="B194" t="inlineStr">
        <is>
          <t>machine</t>
        </is>
      </c>
      <c r="C194" t="inlineStr">
        <is>
          <t>Sauce Maker</t>
        </is>
      </c>
      <c r="D194" t="n">
        <v>66</v>
      </c>
      <c r="E194" t="n">
        <v>468</v>
      </c>
      <c r="F194" t="inlineStr">
        <is>
          <t>hayday.info</t>
        </is>
      </c>
      <c r="G194" t="n">
        <v>1</v>
      </c>
      <c r="H194" t="n">
        <v>45</v>
      </c>
      <c r="I194" t="n">
        <v>38</v>
      </c>
      <c r="J194" t="n">
        <v>435</v>
      </c>
      <c r="K194" t="n">
        <v>55</v>
      </c>
      <c r="L194" t="n">
        <v>12</v>
      </c>
      <c r="M194" t="n">
        <v>0</v>
      </c>
      <c r="N194" t="n">
        <v>2040</v>
      </c>
      <c r="O194" t="inlineStr">
        <is>
          <t>Fish Fillet x1</t>
        </is>
      </c>
      <c r="P194" t="n">
        <v>2107</v>
      </c>
      <c r="Q194" t="n">
        <v>1845</v>
      </c>
      <c r="R194" t="n">
        <v>13.33</v>
      </c>
      <c r="S194" t="n">
        <v>46</v>
      </c>
      <c r="T194" t="n">
        <v>2098</v>
      </c>
      <c r="U194" t="n">
        <v>1838</v>
      </c>
      <c r="V194" t="n">
        <v>13.38</v>
      </c>
      <c r="W194" t="n">
        <v>33</v>
      </c>
      <c r="X194" t="n">
        <v>44</v>
      </c>
      <c r="Y194" t="n">
        <v>52.11</v>
      </c>
      <c r="Z194" t="n">
        <v>51.76</v>
      </c>
      <c r="AA194" t="inlineStr">
        <is>
          <t>Olive x3; Bread x2; Fish Fillet x1; Lemon x1</t>
        </is>
      </c>
      <c r="AB194" t="b">
        <v>0</v>
      </c>
      <c r="AC194" t="inlineStr">
        <is>
          <t>match (mastered)</t>
        </is>
      </c>
    </row>
    <row r="195">
      <c r="A195" t="inlineStr">
        <is>
          <t>Bacon Pie</t>
        </is>
      </c>
      <c r="B195" t="inlineStr">
        <is>
          <t>machine</t>
        </is>
      </c>
      <c r="C195" t="inlineStr">
        <is>
          <t>Pie Oven</t>
        </is>
      </c>
      <c r="D195" t="n">
        <v>18</v>
      </c>
      <c r="E195" t="n">
        <v>219</v>
      </c>
      <c r="F195" t="inlineStr">
        <is>
          <t>hayday.info</t>
        </is>
      </c>
      <c r="G195" t="n">
        <v>1</v>
      </c>
      <c r="H195" t="n">
        <v>180</v>
      </c>
      <c r="I195" t="n">
        <v>153</v>
      </c>
      <c r="J195" t="n">
        <v>174</v>
      </c>
      <c r="K195" t="n">
        <v>201.67</v>
      </c>
      <c r="L195" t="n">
        <v>47</v>
      </c>
      <c r="M195" t="n">
        <v>740</v>
      </c>
      <c r="N195" t="n">
        <v>0</v>
      </c>
      <c r="P195" t="n">
        <v>988.67</v>
      </c>
      <c r="Q195" t="n">
        <v>460</v>
      </c>
      <c r="R195" t="n">
        <v>13.29</v>
      </c>
      <c r="S195" t="n">
        <v>171.33</v>
      </c>
      <c r="T195" t="n">
        <v>958.33</v>
      </c>
      <c r="U195" t="n">
        <v>430</v>
      </c>
      <c r="V195" t="n">
        <v>13.71</v>
      </c>
      <c r="W195" t="n">
        <v>45</v>
      </c>
      <c r="X195" t="n">
        <v>15</v>
      </c>
      <c r="Y195" t="n">
        <v>17.65</v>
      </c>
      <c r="Z195" t="n">
        <v>17.65</v>
      </c>
      <c r="AA195" t="inlineStr">
        <is>
          <t>Wheat x2; Bacon x3; Egg x1</t>
        </is>
      </c>
      <c r="AB195" t="b">
        <v>1</v>
      </c>
      <c r="AC195" t="inlineStr">
        <is>
          <t>match (mastered)</t>
        </is>
      </c>
    </row>
    <row r="196">
      <c r="A196" t="inlineStr">
        <is>
          <t>Chili Poppers</t>
        </is>
      </c>
      <c r="B196" t="inlineStr">
        <is>
          <t>machine</t>
        </is>
      </c>
      <c r="C196" t="inlineStr">
        <is>
          <t>Deep Fryer</t>
        </is>
      </c>
      <c r="D196" t="n">
        <v>98</v>
      </c>
      <c r="E196" t="n">
        <v>406</v>
      </c>
      <c r="F196" t="inlineStr">
        <is>
          <t>hayday.info</t>
        </is>
      </c>
      <c r="G196" t="n">
        <v>1</v>
      </c>
      <c r="H196" t="n">
        <v>40</v>
      </c>
      <c r="I196" t="n">
        <v>34</v>
      </c>
      <c r="J196" t="n">
        <v>383</v>
      </c>
      <c r="K196" t="n">
        <v>130</v>
      </c>
      <c r="L196" t="n">
        <v>807</v>
      </c>
      <c r="M196" t="n">
        <v>900</v>
      </c>
      <c r="N196" t="n">
        <v>0</v>
      </c>
      <c r="P196" t="n">
        <v>1837</v>
      </c>
      <c r="Q196" t="n">
        <v>320</v>
      </c>
      <c r="R196" t="n">
        <v>13.26</v>
      </c>
      <c r="S196" t="n">
        <v>110</v>
      </c>
      <c r="T196" t="n">
        <v>1817</v>
      </c>
      <c r="U196" t="n">
        <v>311</v>
      </c>
      <c r="V196" t="n">
        <v>13.41</v>
      </c>
      <c r="W196" t="n">
        <v>23</v>
      </c>
      <c r="X196" t="n">
        <v>34.5</v>
      </c>
      <c r="Y196" t="n">
        <v>40.59</v>
      </c>
      <c r="Z196" t="n">
        <v>40.59</v>
      </c>
      <c r="AA196" t="inlineStr">
        <is>
          <t>Chili Pepper x3; Wheat x1; Bacon x3; Cheese x1</t>
        </is>
      </c>
      <c r="AB196" t="b">
        <v>0</v>
      </c>
      <c r="AC196" t="inlineStr">
        <is>
          <t>match (mastered)</t>
        </is>
      </c>
    </row>
    <row r="197">
      <c r="A197" t="inlineStr">
        <is>
          <t>Hummus Wrap</t>
        </is>
      </c>
      <c r="B197" t="inlineStr">
        <is>
          <t>machine</t>
        </is>
      </c>
      <c r="C197" t="inlineStr">
        <is>
          <t>Sandwich Bar</t>
        </is>
      </c>
      <c r="D197" t="n">
        <v>109</v>
      </c>
      <c r="E197" t="n">
        <v>374</v>
      </c>
      <c r="F197" t="inlineStr">
        <is>
          <t>hayday.info</t>
        </is>
      </c>
      <c r="G197" t="n">
        <v>1</v>
      </c>
      <c r="H197" t="n">
        <v>30</v>
      </c>
      <c r="I197" t="n">
        <v>25</v>
      </c>
      <c r="J197" t="n">
        <v>351</v>
      </c>
      <c r="K197" t="n">
        <v>70</v>
      </c>
      <c r="L197" t="n">
        <v>432</v>
      </c>
      <c r="M197" t="n">
        <v>0</v>
      </c>
      <c r="N197" t="n">
        <v>1200</v>
      </c>
      <c r="P197" t="n">
        <v>1702</v>
      </c>
      <c r="Q197" t="n">
        <v>1860</v>
      </c>
      <c r="R197" t="n">
        <v>13.18</v>
      </c>
      <c r="S197" t="n">
        <v>58</v>
      </c>
      <c r="T197" t="n">
        <v>1690</v>
      </c>
      <c r="U197" t="n">
        <v>1850</v>
      </c>
      <c r="V197" t="n">
        <v>13.28</v>
      </c>
      <c r="W197" t="n">
        <v>23</v>
      </c>
      <c r="X197" t="n">
        <v>46</v>
      </c>
      <c r="Y197" t="n">
        <v>55.2</v>
      </c>
      <c r="Z197" t="n">
        <v>54.12</v>
      </c>
      <c r="AA197" t="inlineStr">
        <is>
          <t>Hummus x1; Bread x2; Lettuce x1</t>
        </is>
      </c>
      <c r="AB197" t="b">
        <v>0</v>
      </c>
      <c r="AC197" t="inlineStr">
        <is>
          <t>match (normal x0.85)</t>
        </is>
      </c>
    </row>
    <row r="198">
      <c r="A198" t="inlineStr">
        <is>
          <t>Flower Pendant</t>
        </is>
      </c>
      <c r="B198" t="inlineStr">
        <is>
          <t>machine</t>
        </is>
      </c>
      <c r="C198" t="inlineStr">
        <is>
          <t>Jeweler</t>
        </is>
      </c>
      <c r="D198" t="n">
        <v>98</v>
      </c>
      <c r="E198" t="n">
        <v>698</v>
      </c>
      <c r="F198" t="inlineStr">
        <is>
          <t>hayday.info</t>
        </is>
      </c>
      <c r="G198" t="n">
        <v>1</v>
      </c>
      <c r="H198" t="n">
        <v>60</v>
      </c>
      <c r="I198" t="n">
        <v>51</v>
      </c>
      <c r="J198" t="n">
        <v>673</v>
      </c>
      <c r="K198" t="n">
        <v>2460</v>
      </c>
      <c r="L198" t="n">
        <v>720</v>
      </c>
      <c r="M198" t="n">
        <v>0</v>
      </c>
      <c r="N198" t="n">
        <v>0</v>
      </c>
      <c r="O198" t="inlineStr">
        <is>
          <t>Platinum Ore x3; Gold Ore x6</t>
        </is>
      </c>
      <c r="P198" t="n">
        <v>3180</v>
      </c>
      <c r="Q198" t="n">
        <v>1500</v>
      </c>
      <c r="R198" t="n">
        <v>13.17</v>
      </c>
      <c r="S198" t="n">
        <v>2091</v>
      </c>
      <c r="T198" t="n">
        <v>2811</v>
      </c>
      <c r="U198" t="n">
        <v>1275</v>
      </c>
      <c r="V198" t="n">
        <v>14.9</v>
      </c>
      <c r="W198" t="n">
        <v>25</v>
      </c>
      <c r="X198" t="n">
        <v>25</v>
      </c>
      <c r="Y198" t="n">
        <v>29.41</v>
      </c>
      <c r="Z198" t="n">
        <v>29.41</v>
      </c>
      <c r="AA198" t="inlineStr">
        <is>
          <t>Peony x3; Platinum Bar x1; Gold Bar x2</t>
        </is>
      </c>
      <c r="AB198" t="b">
        <v>0</v>
      </c>
      <c r="AC198" t="inlineStr">
        <is>
          <t>match (mastered)</t>
        </is>
      </c>
    </row>
    <row r="199">
      <c r="A199" t="inlineStr">
        <is>
          <t>Fruit Sorbet</t>
        </is>
      </c>
      <c r="B199" t="inlineStr">
        <is>
          <t>machine</t>
        </is>
      </c>
      <c r="C199" t="inlineStr">
        <is>
          <t>Ice Cream Maker</t>
        </is>
      </c>
      <c r="D199" t="n">
        <v>106</v>
      </c>
      <c r="E199" t="n">
        <v>518</v>
      </c>
      <c r="F199" t="inlineStr">
        <is>
          <t>hayday.info</t>
        </is>
      </c>
      <c r="G199" t="n">
        <v>1</v>
      </c>
      <c r="H199" t="n">
        <v>60</v>
      </c>
      <c r="I199" t="n">
        <v>51</v>
      </c>
      <c r="J199" t="n">
        <v>479</v>
      </c>
      <c r="K199" t="n">
        <v>180</v>
      </c>
      <c r="L199" t="n">
        <v>240</v>
      </c>
      <c r="M199" t="n">
        <v>0</v>
      </c>
      <c r="N199" t="n">
        <v>1960</v>
      </c>
      <c r="P199" t="n">
        <v>2380</v>
      </c>
      <c r="Q199" t="n">
        <v>2100</v>
      </c>
      <c r="R199" t="n">
        <v>13.06</v>
      </c>
      <c r="S199" t="n">
        <v>153</v>
      </c>
      <c r="T199" t="n">
        <v>2353</v>
      </c>
      <c r="U199" t="n">
        <v>2091</v>
      </c>
      <c r="V199" t="n">
        <v>13.21</v>
      </c>
      <c r="W199" t="n">
        <v>39</v>
      </c>
      <c r="X199" t="n">
        <v>39</v>
      </c>
      <c r="Y199" t="n">
        <v>45.88</v>
      </c>
      <c r="Z199" t="n">
        <v>139</v>
      </c>
      <c r="AA199" t="inlineStr">
        <is>
          <t>Guava x1; Passion Fruit x1; Mango x2; White Sugar x3</t>
        </is>
      </c>
      <c r="AB199" t="b">
        <v>0</v>
      </c>
      <c r="AC199" t="inlineStr">
        <is>
          <t>differs - check recipe / ingredient prices</t>
        </is>
      </c>
    </row>
    <row r="200">
      <c r="A200" t="inlineStr">
        <is>
          <t>Rich Fudge</t>
        </is>
      </c>
      <c r="B200" t="inlineStr">
        <is>
          <t>machine</t>
        </is>
      </c>
      <c r="C200" t="inlineStr">
        <is>
          <t>Fudge Shop</t>
        </is>
      </c>
      <c r="D200" t="n">
        <v>99</v>
      </c>
      <c r="E200" t="n">
        <v>644</v>
      </c>
      <c r="F200" t="inlineStr">
        <is>
          <t>hayday.info</t>
        </is>
      </c>
      <c r="G200" t="n">
        <v>1</v>
      </c>
      <c r="H200" t="n">
        <v>120</v>
      </c>
      <c r="I200" t="n">
        <v>102</v>
      </c>
      <c r="J200" t="n">
        <v>604</v>
      </c>
      <c r="K200" t="n">
        <v>310</v>
      </c>
      <c r="L200" t="n">
        <v>210</v>
      </c>
      <c r="M200" t="n">
        <v>360</v>
      </c>
      <c r="N200" t="n">
        <v>2100</v>
      </c>
      <c r="P200" t="n">
        <v>2980</v>
      </c>
      <c r="Q200" t="n">
        <v>2220</v>
      </c>
      <c r="R200" t="n">
        <v>12.97</v>
      </c>
      <c r="S200" t="n">
        <v>261</v>
      </c>
      <c r="T200" t="n">
        <v>2931</v>
      </c>
      <c r="U200" t="n">
        <v>2202</v>
      </c>
      <c r="V200" t="n">
        <v>13.18</v>
      </c>
      <c r="W200" t="n">
        <v>40</v>
      </c>
      <c r="X200" t="n">
        <v>20</v>
      </c>
      <c r="Y200" t="n">
        <v>23.53</v>
      </c>
      <c r="Z200" t="n">
        <v>23.53</v>
      </c>
      <c r="AA200" t="inlineStr">
        <is>
          <t>Butter x3; Cacao x3; White Sugar x2</t>
        </is>
      </c>
      <c r="AB200" t="b">
        <v>0</v>
      </c>
      <c r="AC200" t="inlineStr">
        <is>
          <t>match (mastered)</t>
        </is>
      </c>
    </row>
    <row r="201">
      <c r="A201" t="inlineStr">
        <is>
          <t>Affogato</t>
        </is>
      </c>
      <c r="B201" t="inlineStr">
        <is>
          <t>machine</t>
        </is>
      </c>
      <c r="C201" t="inlineStr">
        <is>
          <t>Ice Cream Maker</t>
        </is>
      </c>
      <c r="D201" t="n">
        <v>78</v>
      </c>
      <c r="E201" t="n">
        <v>435</v>
      </c>
      <c r="F201" t="inlineStr">
        <is>
          <t>hayday.info</t>
        </is>
      </c>
      <c r="G201" t="n">
        <v>1</v>
      </c>
      <c r="H201" t="n">
        <v>20</v>
      </c>
      <c r="I201" t="n">
        <v>17</v>
      </c>
      <c r="J201" t="n">
        <v>420</v>
      </c>
      <c r="K201" t="n">
        <v>251.67</v>
      </c>
      <c r="L201" t="n">
        <v>150</v>
      </c>
      <c r="M201" t="n">
        <v>120</v>
      </c>
      <c r="N201" t="n">
        <v>1500</v>
      </c>
      <c r="P201" t="n">
        <v>2021.67</v>
      </c>
      <c r="Q201" t="n">
        <v>1525</v>
      </c>
      <c r="R201" t="n">
        <v>12.91</v>
      </c>
      <c r="S201" t="n">
        <v>213.33</v>
      </c>
      <c r="T201" t="n">
        <v>1983.33</v>
      </c>
      <c r="U201" t="n">
        <v>1521</v>
      </c>
      <c r="V201" t="n">
        <v>13.16</v>
      </c>
      <c r="W201" t="n">
        <v>15</v>
      </c>
      <c r="X201" t="n">
        <v>45</v>
      </c>
      <c r="Y201" t="n">
        <v>52.94</v>
      </c>
      <c r="Z201" t="n">
        <v>52.94</v>
      </c>
      <c r="AA201" t="inlineStr">
        <is>
          <t>Vanilla Ice Cream x1; Espresso x1</t>
        </is>
      </c>
      <c r="AB201" t="b">
        <v>0</v>
      </c>
      <c r="AC201" t="inlineStr">
        <is>
          <t>match (mastered)</t>
        </is>
      </c>
    </row>
    <row r="202">
      <c r="A202" t="inlineStr">
        <is>
          <t>Mushroom Soup</t>
        </is>
      </c>
      <c r="B202" t="inlineStr">
        <is>
          <t>machine</t>
        </is>
      </c>
      <c r="C202" t="inlineStr">
        <is>
          <t>Soup Kitchen</t>
        </is>
      </c>
      <c r="D202" t="n">
        <v>104</v>
      </c>
      <c r="E202" t="n">
        <v>176</v>
      </c>
      <c r="F202" t="inlineStr">
        <is>
          <t>hayday.info</t>
        </is>
      </c>
      <c r="G202" t="n">
        <v>1</v>
      </c>
      <c r="H202" t="n">
        <v>80</v>
      </c>
      <c r="I202" t="n">
        <v>68</v>
      </c>
      <c r="J202" t="n">
        <v>140</v>
      </c>
      <c r="K202" t="n">
        <v>83.33</v>
      </c>
      <c r="L202" t="n">
        <v>675</v>
      </c>
      <c r="M202" t="n">
        <v>60</v>
      </c>
      <c r="N202" t="n">
        <v>0</v>
      </c>
      <c r="P202" t="n">
        <v>818.33</v>
      </c>
      <c r="Q202" t="n">
        <v>380</v>
      </c>
      <c r="R202" t="n">
        <v>12.9</v>
      </c>
      <c r="S202" t="n">
        <v>70.67</v>
      </c>
      <c r="T202" t="n">
        <v>805.67</v>
      </c>
      <c r="U202" t="n">
        <v>368</v>
      </c>
      <c r="V202" t="n">
        <v>13.11</v>
      </c>
      <c r="W202" t="n">
        <v>36</v>
      </c>
      <c r="X202" t="n">
        <v>27</v>
      </c>
      <c r="Y202" t="n">
        <v>31.76</v>
      </c>
      <c r="Z202" t="n">
        <v>31.76</v>
      </c>
      <c r="AA202" t="inlineStr">
        <is>
          <t>Mushroom x3; Milk x1; Onion x2</t>
        </is>
      </c>
      <c r="AB202" t="b">
        <v>0</v>
      </c>
      <c r="AC202" t="inlineStr">
        <is>
          <t>match (mastered)</t>
        </is>
      </c>
    </row>
    <row r="203">
      <c r="A203" t="inlineStr">
        <is>
          <t>Winter Veggies</t>
        </is>
      </c>
      <c r="B203" t="inlineStr">
        <is>
          <t>machine</t>
        </is>
      </c>
      <c r="C203" t="inlineStr">
        <is>
          <t>BBQ Grill</t>
        </is>
      </c>
      <c r="D203" t="n">
        <v>72</v>
      </c>
      <c r="E203" t="n">
        <v>198</v>
      </c>
      <c r="F203" t="inlineStr">
        <is>
          <t>hayday.info</t>
        </is>
      </c>
      <c r="G203" t="n">
        <v>1</v>
      </c>
      <c r="H203" t="n">
        <v>25</v>
      </c>
      <c r="I203" t="n">
        <v>21</v>
      </c>
      <c r="J203" t="n">
        <v>178</v>
      </c>
      <c r="K203" t="n">
        <v>25</v>
      </c>
      <c r="L203" t="n">
        <v>900</v>
      </c>
      <c r="M203" t="n">
        <v>0</v>
      </c>
      <c r="N203" t="n">
        <v>0</v>
      </c>
      <c r="P203" t="n">
        <v>925</v>
      </c>
      <c r="Q203" t="n">
        <v>245</v>
      </c>
      <c r="R203" t="n">
        <v>12.84</v>
      </c>
      <c r="S203" t="n">
        <v>21</v>
      </c>
      <c r="T203" t="n">
        <v>921</v>
      </c>
      <c r="U203" t="n">
        <v>241</v>
      </c>
      <c r="V203" t="n">
        <v>12.9</v>
      </c>
      <c r="W203" t="n">
        <v>20</v>
      </c>
      <c r="X203" t="n">
        <v>48</v>
      </c>
      <c r="Y203" t="n">
        <v>57.14</v>
      </c>
      <c r="Z203" t="n">
        <v>36.71</v>
      </c>
      <c r="AA203" t="inlineStr">
        <is>
          <t>Beetroot x2; Carrot x2; Potato x2; Pumpkin x2</t>
        </is>
      </c>
      <c r="AB203" t="b">
        <v>0</v>
      </c>
      <c r="AC203" t="inlineStr">
        <is>
          <t>differs - check recipe / ingredient prices</t>
        </is>
      </c>
    </row>
    <row r="204">
      <c r="A204" t="inlineStr">
        <is>
          <t>Blueberry Cheesecake</t>
        </is>
      </c>
      <c r="B204" t="inlineStr">
        <is>
          <t>machine</t>
        </is>
      </c>
      <c r="C204" t="inlineStr">
        <is>
          <t>Cake Oven</t>
        </is>
      </c>
      <c r="D204" t="n">
        <v>31</v>
      </c>
      <c r="E204" t="n">
        <v>500</v>
      </c>
      <c r="F204" t="inlineStr">
        <is>
          <t>Fandom</t>
        </is>
      </c>
      <c r="G204" t="n">
        <v>1</v>
      </c>
      <c r="H204" t="n">
        <v>240</v>
      </c>
      <c r="I204" t="n">
        <v>204</v>
      </c>
      <c r="J204" t="n">
        <v>448</v>
      </c>
      <c r="K204" t="n">
        <v>633.33</v>
      </c>
      <c r="L204" t="n">
        <v>85</v>
      </c>
      <c r="M204" t="n">
        <v>220</v>
      </c>
      <c r="N204" t="n">
        <v>1400</v>
      </c>
      <c r="P204" t="n">
        <v>2338.33</v>
      </c>
      <c r="Q204" t="n">
        <v>2340</v>
      </c>
      <c r="R204" t="n">
        <v>12.83</v>
      </c>
      <c r="S204" t="n">
        <v>537.67</v>
      </c>
      <c r="T204" t="n">
        <v>2242.67</v>
      </c>
      <c r="U204" t="n">
        <v>2304</v>
      </c>
      <c r="V204" t="n">
        <v>13.38</v>
      </c>
      <c r="W204" t="n">
        <v>52</v>
      </c>
      <c r="X204" t="n">
        <v>13</v>
      </c>
      <c r="Y204" t="n">
        <v>15.29</v>
      </c>
      <c r="AA204" t="inlineStr">
        <is>
          <t>Cheesecake x1; Blueberries x2</t>
        </is>
      </c>
      <c r="AB204" t="b">
        <v>1</v>
      </c>
    </row>
    <row r="205">
      <c r="A205" t="inlineStr">
        <is>
          <t>Plum Jam</t>
        </is>
      </c>
      <c r="B205" t="inlineStr">
        <is>
          <t>machine</t>
        </is>
      </c>
      <c r="C205" t="inlineStr">
        <is>
          <t>Jam Maker</t>
        </is>
      </c>
      <c r="D205" t="n">
        <v>94</v>
      </c>
      <c r="E205" t="n">
        <v>385</v>
      </c>
      <c r="F205" t="inlineStr">
        <is>
          <t>hayday.info</t>
        </is>
      </c>
      <c r="G205" t="n">
        <v>1</v>
      </c>
      <c r="H205" t="n">
        <v>300</v>
      </c>
      <c r="I205" t="n">
        <v>255</v>
      </c>
      <c r="J205" t="n">
        <v>246</v>
      </c>
      <c r="K205" t="n">
        <v>300</v>
      </c>
      <c r="L205" t="n">
        <v>0</v>
      </c>
      <c r="M205" t="n">
        <v>0</v>
      </c>
      <c r="N205" t="n">
        <v>1500</v>
      </c>
      <c r="P205" t="n">
        <v>1800</v>
      </c>
      <c r="Q205" t="n">
        <v>1800</v>
      </c>
      <c r="R205" t="n">
        <v>12.83</v>
      </c>
      <c r="S205" t="n">
        <v>255</v>
      </c>
      <c r="T205" t="n">
        <v>1755</v>
      </c>
      <c r="U205" t="n">
        <v>1755</v>
      </c>
      <c r="V205" t="n">
        <v>13.16</v>
      </c>
      <c r="W205" t="n">
        <v>139</v>
      </c>
      <c r="X205" t="n">
        <v>27.8</v>
      </c>
      <c r="Y205" t="n">
        <v>32.71</v>
      </c>
      <c r="Z205" t="n">
        <v>32.71</v>
      </c>
      <c r="AA205" t="inlineStr">
        <is>
          <t>Plum x3</t>
        </is>
      </c>
      <c r="AB205" t="b">
        <v>0</v>
      </c>
      <c r="AC205" t="inlineStr">
        <is>
          <t>match (mastered)</t>
        </is>
      </c>
    </row>
    <row r="206">
      <c r="A206" t="inlineStr">
        <is>
          <t>Platinum Bar</t>
        </is>
      </c>
      <c r="B206" t="inlineStr">
        <is>
          <t>machine</t>
        </is>
      </c>
      <c r="C206" t="inlineStr">
        <is>
          <t>Smelter</t>
        </is>
      </c>
      <c r="D206" t="n">
        <v>25</v>
      </c>
      <c r="E206" t="n">
        <v>205</v>
      </c>
      <c r="F206" t="inlineStr">
        <is>
          <t>hayday.info</t>
        </is>
      </c>
      <c r="G206" t="n">
        <v>1</v>
      </c>
      <c r="H206" t="n">
        <v>960</v>
      </c>
      <c r="I206" t="n">
        <v>816</v>
      </c>
      <c r="J206" t="n">
        <v>96</v>
      </c>
      <c r="K206" t="n">
        <v>960</v>
      </c>
      <c r="L206" t="n">
        <v>0</v>
      </c>
      <c r="M206" t="n">
        <v>0</v>
      </c>
      <c r="N206" t="n">
        <v>0</v>
      </c>
      <c r="O206" t="inlineStr">
        <is>
          <t>Platinum Ore x3</t>
        </is>
      </c>
      <c r="P206" t="n">
        <v>960</v>
      </c>
      <c r="Q206" t="n">
        <v>960</v>
      </c>
      <c r="R206" t="n">
        <v>12.81</v>
      </c>
      <c r="S206" t="n">
        <v>816</v>
      </c>
      <c r="T206" t="n">
        <v>816</v>
      </c>
      <c r="U206" t="n">
        <v>816</v>
      </c>
      <c r="V206" t="n">
        <v>15.07</v>
      </c>
      <c r="W206" t="n">
        <v>109</v>
      </c>
      <c r="X206" t="n">
        <v>6.81</v>
      </c>
      <c r="Y206" t="n">
        <v>8.01</v>
      </c>
      <c r="Z206" t="n">
        <v>8.01</v>
      </c>
      <c r="AA206" t="inlineStr">
        <is>
          <t>Platinum Ore x3</t>
        </is>
      </c>
      <c r="AB206" t="b">
        <v>1</v>
      </c>
      <c r="AC206" t="inlineStr">
        <is>
          <t>match (mastered)</t>
        </is>
      </c>
    </row>
    <row r="207">
      <c r="A207" t="inlineStr">
        <is>
          <t>Strawberry Yogurt</t>
        </is>
      </c>
      <c r="B207" t="inlineStr">
        <is>
          <t>machine</t>
        </is>
      </c>
      <c r="C207" t="inlineStr">
        <is>
          <t>Yogurt Maker</t>
        </is>
      </c>
      <c r="D207" t="n">
        <v>105</v>
      </c>
      <c r="E207" t="n">
        <v>529</v>
      </c>
      <c r="F207" t="inlineStr">
        <is>
          <t>hayday.info</t>
        </is>
      </c>
      <c r="G207" t="n">
        <v>1</v>
      </c>
      <c r="H207" t="n">
        <v>40</v>
      </c>
      <c r="I207" t="n">
        <v>34</v>
      </c>
      <c r="J207" t="n">
        <v>504</v>
      </c>
      <c r="K207" t="n">
        <v>666.67</v>
      </c>
      <c r="L207" t="n">
        <v>1515</v>
      </c>
      <c r="M207" t="n">
        <v>300</v>
      </c>
      <c r="N207" t="n">
        <v>0</v>
      </c>
      <c r="P207" t="n">
        <v>2481.67</v>
      </c>
      <c r="Q207" t="n">
        <v>970</v>
      </c>
      <c r="R207" t="n">
        <v>12.79</v>
      </c>
      <c r="S207" t="n">
        <v>565.33</v>
      </c>
      <c r="T207" t="n">
        <v>2380.33</v>
      </c>
      <c r="U207" t="n">
        <v>896</v>
      </c>
      <c r="V207" t="n">
        <v>13.33</v>
      </c>
      <c r="W207" t="n">
        <v>25</v>
      </c>
      <c r="X207" t="n">
        <v>37.5</v>
      </c>
      <c r="Y207" t="n">
        <v>44.12</v>
      </c>
      <c r="Z207" t="n">
        <v>44.12</v>
      </c>
      <c r="AA207" t="inlineStr">
        <is>
          <t>Plain Yogurt x1; Strawberry Jam x1</t>
        </is>
      </c>
      <c r="AB207" t="b">
        <v>0</v>
      </c>
      <c r="AC207" t="inlineStr">
        <is>
          <t>match (mastered)</t>
        </is>
      </c>
    </row>
    <row r="208">
      <c r="A208" t="inlineStr">
        <is>
          <t>Cherry Popsicle</t>
        </is>
      </c>
      <c r="B208" t="inlineStr">
        <is>
          <t>machine</t>
        </is>
      </c>
      <c r="C208" t="inlineStr">
        <is>
          <t>Ice Cream Maker</t>
        </is>
      </c>
      <c r="D208" t="n">
        <v>33</v>
      </c>
      <c r="E208" t="n">
        <v>352</v>
      </c>
      <c r="F208" t="inlineStr">
        <is>
          <t>hayday.info</t>
        </is>
      </c>
      <c r="G208" t="n">
        <v>1</v>
      </c>
      <c r="H208" t="n">
        <v>180</v>
      </c>
      <c r="I208" t="n">
        <v>153</v>
      </c>
      <c r="J208" t="n">
        <v>306</v>
      </c>
      <c r="K208" t="n">
        <v>420</v>
      </c>
      <c r="L208" t="n">
        <v>120</v>
      </c>
      <c r="M208" t="n">
        <v>0</v>
      </c>
      <c r="N208" t="n">
        <v>1120</v>
      </c>
      <c r="P208" t="n">
        <v>1660</v>
      </c>
      <c r="Q208" t="n">
        <v>2010</v>
      </c>
      <c r="R208" t="n">
        <v>12.72</v>
      </c>
      <c r="S208" t="n">
        <v>356</v>
      </c>
      <c r="T208" t="n">
        <v>1596</v>
      </c>
      <c r="U208" t="n">
        <v>1960</v>
      </c>
      <c r="V208" t="n">
        <v>13.23</v>
      </c>
      <c r="W208" t="n">
        <v>46</v>
      </c>
      <c r="X208" t="n">
        <v>15.33</v>
      </c>
      <c r="Y208" t="n">
        <v>18.04</v>
      </c>
      <c r="Z208" t="n">
        <v>18.04</v>
      </c>
      <c r="AA208" t="inlineStr">
        <is>
          <t>Syrup x1; Cherry Juice x1</t>
        </is>
      </c>
      <c r="AB208" t="b">
        <v>1</v>
      </c>
      <c r="AC208" t="inlineStr">
        <is>
          <t>match (mastered)</t>
        </is>
      </c>
    </row>
    <row r="209">
      <c r="A209" t="inlineStr">
        <is>
          <t>Hand Pies</t>
        </is>
      </c>
      <c r="B209" t="inlineStr">
        <is>
          <t>machine</t>
        </is>
      </c>
      <c r="C209" t="inlineStr">
        <is>
          <t>Deep Fryer</t>
        </is>
      </c>
      <c r="D209" t="n">
        <v>91</v>
      </c>
      <c r="E209" t="n">
        <v>295</v>
      </c>
      <c r="F209" t="inlineStr">
        <is>
          <t>hayday.info</t>
        </is>
      </c>
      <c r="G209" t="n">
        <v>1</v>
      </c>
      <c r="H209" t="n">
        <v>20</v>
      </c>
      <c r="I209" t="n">
        <v>17</v>
      </c>
      <c r="J209" t="n">
        <v>270</v>
      </c>
      <c r="K209" t="n">
        <v>383.33</v>
      </c>
      <c r="L209" t="n">
        <v>16</v>
      </c>
      <c r="M209" t="n">
        <v>40</v>
      </c>
      <c r="N209" t="n">
        <v>960</v>
      </c>
      <c r="P209" t="n">
        <v>1399.33</v>
      </c>
      <c r="Q209" t="n">
        <v>1340</v>
      </c>
      <c r="R209" t="n">
        <v>12.65</v>
      </c>
      <c r="S209" t="n">
        <v>325.67</v>
      </c>
      <c r="T209" t="n">
        <v>1341.67</v>
      </c>
      <c r="U209" t="n">
        <v>1283</v>
      </c>
      <c r="V209" t="n">
        <v>13.19</v>
      </c>
      <c r="W209" t="n">
        <v>25</v>
      </c>
      <c r="X209" t="n">
        <v>75</v>
      </c>
      <c r="Y209" t="n">
        <v>88.23999999999999</v>
      </c>
      <c r="Z209" t="n">
        <v>88.23999999999999</v>
      </c>
      <c r="AA209" t="inlineStr">
        <is>
          <t>Apple Jam x1; Egg x2; Wheat x5</t>
        </is>
      </c>
      <c r="AB209" t="b">
        <v>0</v>
      </c>
      <c r="AC209" t="inlineStr">
        <is>
          <t>match (mastered)</t>
        </is>
      </c>
    </row>
    <row r="210">
      <c r="A210" t="inlineStr">
        <is>
          <t>Tofu Stir Fry</t>
        </is>
      </c>
      <c r="B210" t="inlineStr">
        <is>
          <t>machine</t>
        </is>
      </c>
      <c r="C210" t="inlineStr">
        <is>
          <t>Wok Kitchen</t>
        </is>
      </c>
      <c r="D210" t="n">
        <v>89</v>
      </c>
      <c r="E210" t="n">
        <v>306</v>
      </c>
      <c r="F210" t="inlineStr">
        <is>
          <t>hayday.info</t>
        </is>
      </c>
      <c r="G210" t="n">
        <v>1</v>
      </c>
      <c r="H210" t="n">
        <v>75</v>
      </c>
      <c r="I210" t="n">
        <v>63</v>
      </c>
      <c r="J210" t="n">
        <v>264</v>
      </c>
      <c r="K210" t="n">
        <v>75</v>
      </c>
      <c r="L210" t="n">
        <v>1380</v>
      </c>
      <c r="M210" t="n">
        <v>0</v>
      </c>
      <c r="N210" t="n">
        <v>0</v>
      </c>
      <c r="P210" t="n">
        <v>1455</v>
      </c>
      <c r="Q210" t="n">
        <v>375</v>
      </c>
      <c r="R210" t="n">
        <v>12.62</v>
      </c>
      <c r="S210" t="n">
        <v>63</v>
      </c>
      <c r="T210" t="n">
        <v>1443</v>
      </c>
      <c r="U210" t="n">
        <v>363</v>
      </c>
      <c r="V210" t="n">
        <v>12.72</v>
      </c>
      <c r="W210" t="n">
        <v>42</v>
      </c>
      <c r="X210" t="n">
        <v>33.6</v>
      </c>
      <c r="Y210" t="n">
        <v>40</v>
      </c>
      <c r="Z210" t="n">
        <v>39.53</v>
      </c>
      <c r="AA210" t="inlineStr">
        <is>
          <t>Soybean x3; Onion x3; Broccoli x3; Sesame x3</t>
        </is>
      </c>
      <c r="AB210" t="b">
        <v>0</v>
      </c>
      <c r="AC210" t="inlineStr">
        <is>
          <t>match (mastered)</t>
        </is>
      </c>
    </row>
    <row r="211">
      <c r="A211" t="inlineStr">
        <is>
          <t>Clay Mug</t>
        </is>
      </c>
      <c r="B211" t="inlineStr">
        <is>
          <t>machine</t>
        </is>
      </c>
      <c r="C211" t="inlineStr">
        <is>
          <t>Pottery Studio</t>
        </is>
      </c>
      <c r="D211" t="n">
        <v>99</v>
      </c>
      <c r="E211" t="n">
        <v>212</v>
      </c>
      <c r="F211" t="inlineStr">
        <is>
          <t>hayday.info</t>
        </is>
      </c>
      <c r="G211" t="n">
        <v>1</v>
      </c>
      <c r="H211" t="n">
        <v>200</v>
      </c>
      <c r="I211" t="n">
        <v>170</v>
      </c>
      <c r="J211" t="n">
        <v>140</v>
      </c>
      <c r="K211" t="n">
        <v>200</v>
      </c>
      <c r="L211" t="n">
        <v>810</v>
      </c>
      <c r="M211" t="n">
        <v>0</v>
      </c>
      <c r="N211" t="n">
        <v>0</v>
      </c>
      <c r="P211" t="n">
        <v>1010</v>
      </c>
      <c r="Q211" t="n">
        <v>440</v>
      </c>
      <c r="R211" t="n">
        <v>12.59</v>
      </c>
      <c r="S211" t="n">
        <v>170</v>
      </c>
      <c r="T211" t="n">
        <v>980</v>
      </c>
      <c r="U211" t="n">
        <v>410</v>
      </c>
      <c r="V211" t="n">
        <v>12.98</v>
      </c>
      <c r="W211" t="n">
        <v>72</v>
      </c>
      <c r="X211" t="n">
        <v>21.6</v>
      </c>
      <c r="Y211" t="n">
        <v>25.41</v>
      </c>
      <c r="Z211" t="n">
        <v>25.41</v>
      </c>
      <c r="AA211" t="inlineStr">
        <is>
          <t>Clay x3; Indigo x2; Peony x1</t>
        </is>
      </c>
      <c r="AB211" t="b">
        <v>0</v>
      </c>
      <c r="AC211" t="inlineStr">
        <is>
          <t>match (mastered)</t>
        </is>
      </c>
    </row>
    <row r="212">
      <c r="A212" t="inlineStr">
        <is>
          <t>Mushroom Salad</t>
        </is>
      </c>
      <c r="B212" t="inlineStr">
        <is>
          <t>machine</t>
        </is>
      </c>
      <c r="C212" t="inlineStr">
        <is>
          <t>Salad Bar</t>
        </is>
      </c>
      <c r="D212" t="n">
        <v>89</v>
      </c>
      <c r="E212" t="n">
        <v>216</v>
      </c>
      <c r="F212" t="inlineStr">
        <is>
          <t>hayday.info</t>
        </is>
      </c>
      <c r="G212" t="n">
        <v>1</v>
      </c>
      <c r="H212" t="n">
        <v>60</v>
      </c>
      <c r="I212" t="n">
        <v>51</v>
      </c>
      <c r="J212" t="n">
        <v>184</v>
      </c>
      <c r="K212" t="n">
        <v>66.67</v>
      </c>
      <c r="L212" t="n">
        <v>723.33</v>
      </c>
      <c r="M212" t="n">
        <v>240</v>
      </c>
      <c r="N212" t="n">
        <v>0</v>
      </c>
      <c r="P212" t="n">
        <v>1030</v>
      </c>
      <c r="Q212" t="n">
        <v>340</v>
      </c>
      <c r="R212" t="n">
        <v>12.58</v>
      </c>
      <c r="S212" t="n">
        <v>56.67</v>
      </c>
      <c r="T212" t="n">
        <v>1020</v>
      </c>
      <c r="U212" t="n">
        <v>328</v>
      </c>
      <c r="V212" t="n">
        <v>12.71</v>
      </c>
      <c r="W212" t="n">
        <v>32</v>
      </c>
      <c r="X212" t="n">
        <v>32</v>
      </c>
      <c r="Y212" t="n">
        <v>37.65</v>
      </c>
      <c r="Z212" t="n">
        <v>37.65</v>
      </c>
      <c r="AA212" t="inlineStr">
        <is>
          <t>Mushroom x3; Lettuce x1; Potato x2; Bacon x1</t>
        </is>
      </c>
      <c r="AB212" t="b">
        <v>0</v>
      </c>
      <c r="AC212" t="inlineStr">
        <is>
          <t>match (mastered)</t>
        </is>
      </c>
    </row>
    <row r="213">
      <c r="A213" t="inlineStr">
        <is>
          <t>Tea Pot</t>
        </is>
      </c>
      <c r="B213" t="inlineStr">
        <is>
          <t>machine</t>
        </is>
      </c>
      <c r="C213" t="inlineStr">
        <is>
          <t>Pottery Studio</t>
        </is>
      </c>
      <c r="D213" t="n">
        <v>94</v>
      </c>
      <c r="E213" t="n">
        <v>219</v>
      </c>
      <c r="F213" t="inlineStr">
        <is>
          <t>hayday.info</t>
        </is>
      </c>
      <c r="G213" t="n">
        <v>1</v>
      </c>
      <c r="H213" t="n">
        <v>220</v>
      </c>
      <c r="I213" t="n">
        <v>187</v>
      </c>
      <c r="J213" t="n">
        <v>139</v>
      </c>
      <c r="K213" t="n">
        <v>220</v>
      </c>
      <c r="L213" t="n">
        <v>330</v>
      </c>
      <c r="M213" t="n">
        <v>0</v>
      </c>
      <c r="N213" t="n">
        <v>500</v>
      </c>
      <c r="O213" t="inlineStr">
        <is>
          <t>Gold Ore x1</t>
        </is>
      </c>
      <c r="P213" t="n">
        <v>1050</v>
      </c>
      <c r="Q213" t="n">
        <v>1720</v>
      </c>
      <c r="R213" t="n">
        <v>12.51</v>
      </c>
      <c r="S213" t="n">
        <v>187</v>
      </c>
      <c r="T213" t="n">
        <v>1017</v>
      </c>
      <c r="U213" t="n">
        <v>1687</v>
      </c>
      <c r="V213" t="n">
        <v>12.92</v>
      </c>
      <c r="W213" t="n">
        <v>80</v>
      </c>
      <c r="X213" t="n">
        <v>21.82</v>
      </c>
      <c r="Y213" t="n">
        <v>25.67</v>
      </c>
      <c r="Z213" t="n">
        <v>25.67</v>
      </c>
      <c r="AA213" t="inlineStr">
        <is>
          <t>Clay x3; Coffee Bean x1; Gold Ore x1</t>
        </is>
      </c>
      <c r="AB213" t="b">
        <v>0</v>
      </c>
      <c r="AC213" t="inlineStr">
        <is>
          <t>match (mastered)</t>
        </is>
      </c>
    </row>
    <row r="214">
      <c r="A214" t="inlineStr">
        <is>
          <t>Wheat Bundle</t>
        </is>
      </c>
      <c r="B214" t="inlineStr">
        <is>
          <t>machine</t>
        </is>
      </c>
      <c r="C214" t="inlineStr">
        <is>
          <t>Feed Mill</t>
        </is>
      </c>
      <c r="E214" t="n">
        <v>50</v>
      </c>
      <c r="F214" t="inlineStr">
        <is>
          <t>hayday.info</t>
        </is>
      </c>
      <c r="G214" t="n">
        <v>1</v>
      </c>
      <c r="H214" t="n">
        <v>90</v>
      </c>
      <c r="I214" t="n">
        <v>76</v>
      </c>
      <c r="J214" t="n">
        <v>225</v>
      </c>
      <c r="K214" t="n">
        <v>90</v>
      </c>
      <c r="L214" t="n">
        <v>150</v>
      </c>
      <c r="M214" t="n">
        <v>0</v>
      </c>
      <c r="N214" t="n">
        <v>0</v>
      </c>
      <c r="P214" t="n">
        <v>240</v>
      </c>
      <c r="Q214" t="n">
        <v>92</v>
      </c>
      <c r="R214" t="n">
        <v>12.5</v>
      </c>
      <c r="S214" t="n">
        <v>76</v>
      </c>
      <c r="T214" t="n">
        <v>226</v>
      </c>
      <c r="U214" t="n">
        <v>78</v>
      </c>
      <c r="V214" t="n">
        <v>13.27</v>
      </c>
      <c r="W214" t="n">
        <v>-175</v>
      </c>
      <c r="X214" t="n">
        <v>-116.67</v>
      </c>
      <c r="Y214" t="n">
        <v>-138.16</v>
      </c>
      <c r="Z214" t="n">
        <v>-58.82</v>
      </c>
      <c r="AA214" t="inlineStr">
        <is>
          <t>Wheat x75</t>
        </is>
      </c>
      <c r="AB214" t="b">
        <v>0</v>
      </c>
      <c r="AC214" t="inlineStr">
        <is>
          <t>differs - check recipe / ingredient prices</t>
        </is>
      </c>
    </row>
    <row r="215">
      <c r="A215" t="inlineStr">
        <is>
          <t>Indigo</t>
        </is>
      </c>
      <c r="B215" t="inlineStr">
        <is>
          <t>field</t>
        </is>
      </c>
      <c r="C215" t="inlineStr">
        <is>
          <t>Farm</t>
        </is>
      </c>
      <c r="D215" t="n">
        <v>13</v>
      </c>
      <c r="E215" t="n">
        <v>25</v>
      </c>
      <c r="F215" t="inlineStr">
        <is>
          <t>hayday.info</t>
        </is>
      </c>
      <c r="G215" t="n">
        <v>1</v>
      </c>
      <c r="H215" t="n">
        <v>120</v>
      </c>
      <c r="J215" t="n">
        <v>0</v>
      </c>
      <c r="K215" t="n">
        <v>0</v>
      </c>
      <c r="L215" t="n">
        <v>120</v>
      </c>
      <c r="M215" t="n">
        <v>0</v>
      </c>
      <c r="N215" t="n">
        <v>0</v>
      </c>
      <c r="P215" t="n">
        <v>120</v>
      </c>
      <c r="Q215" t="n">
        <v>120</v>
      </c>
      <c r="R215" t="n">
        <v>12.5</v>
      </c>
      <c r="S215" t="n">
        <v>0</v>
      </c>
      <c r="T215" t="n">
        <v>120</v>
      </c>
      <c r="U215" t="n">
        <v>120</v>
      </c>
      <c r="V215" t="n">
        <v>12.5</v>
      </c>
      <c r="W215" t="n">
        <v>25</v>
      </c>
      <c r="X215" t="n">
        <v>12.5</v>
      </c>
      <c r="Y215" t="n">
        <v>12.5</v>
      </c>
      <c r="Z215" t="n">
        <v>12.5</v>
      </c>
      <c r="AB215" t="b">
        <v>1</v>
      </c>
    </row>
    <row r="216">
      <c r="A216" t="inlineStr">
        <is>
          <t>Violet Dress</t>
        </is>
      </c>
      <c r="B216" t="inlineStr">
        <is>
          <t>machine</t>
        </is>
      </c>
      <c r="C216" t="inlineStr">
        <is>
          <t>Sewing Machine</t>
        </is>
      </c>
      <c r="D216" t="n">
        <v>25</v>
      </c>
      <c r="E216" t="n">
        <v>327</v>
      </c>
      <c r="F216" t="inlineStr">
        <is>
          <t>hayday.info</t>
        </is>
      </c>
      <c r="G216" t="n">
        <v>1</v>
      </c>
      <c r="H216" t="n">
        <v>135</v>
      </c>
      <c r="I216" t="n">
        <v>114</v>
      </c>
      <c r="J216" t="n">
        <v>287</v>
      </c>
      <c r="K216" t="n">
        <v>195</v>
      </c>
      <c r="L216" t="n">
        <v>1020</v>
      </c>
      <c r="M216" t="n">
        <v>0</v>
      </c>
      <c r="N216" t="n">
        <v>360</v>
      </c>
      <c r="P216" t="n">
        <v>1575</v>
      </c>
      <c r="Q216" t="n">
        <v>1215</v>
      </c>
      <c r="R216" t="n">
        <v>12.46</v>
      </c>
      <c r="S216" t="n">
        <v>164</v>
      </c>
      <c r="T216" t="n">
        <v>1544</v>
      </c>
      <c r="U216" t="n">
        <v>1194</v>
      </c>
      <c r="V216" t="n">
        <v>12.71</v>
      </c>
      <c r="W216" t="n">
        <v>40</v>
      </c>
      <c r="X216" t="n">
        <v>17.78</v>
      </c>
      <c r="Y216" t="n">
        <v>21.05</v>
      </c>
      <c r="Z216" t="n">
        <v>20.92</v>
      </c>
      <c r="AA216" t="inlineStr">
        <is>
          <t>Cotton Fabric x2; Raspberry x1; Indigo x1</t>
        </is>
      </c>
      <c r="AB216" t="b">
        <v>1</v>
      </c>
      <c r="AC216" t="inlineStr">
        <is>
          <t>match (mastered)</t>
        </is>
      </c>
    </row>
    <row r="217">
      <c r="A217" t="inlineStr">
        <is>
          <t>Peach Tart</t>
        </is>
      </c>
      <c r="B217" t="inlineStr">
        <is>
          <t>machine</t>
        </is>
      </c>
      <c r="C217" t="inlineStr">
        <is>
          <t>Pie Oven</t>
        </is>
      </c>
      <c r="D217" t="n">
        <v>76</v>
      </c>
      <c r="E217" t="n">
        <v>435</v>
      </c>
      <c r="F217" t="inlineStr">
        <is>
          <t>hayday.info</t>
        </is>
      </c>
      <c r="G217" t="n">
        <v>1</v>
      </c>
      <c r="H217" t="n">
        <v>150</v>
      </c>
      <c r="I217" t="n">
        <v>127</v>
      </c>
      <c r="J217" t="n">
        <v>392</v>
      </c>
      <c r="K217" t="n">
        <v>176.67</v>
      </c>
      <c r="L217" t="n">
        <v>25</v>
      </c>
      <c r="M217" t="n">
        <v>100</v>
      </c>
      <c r="N217" t="n">
        <v>1800</v>
      </c>
      <c r="P217" t="n">
        <v>2101.67</v>
      </c>
      <c r="Q217" t="n">
        <v>1950</v>
      </c>
      <c r="R217" t="n">
        <v>12.42</v>
      </c>
      <c r="S217" t="n">
        <v>149.33</v>
      </c>
      <c r="T217" t="n">
        <v>2074.33</v>
      </c>
      <c r="U217" t="n">
        <v>1927</v>
      </c>
      <c r="V217" t="n">
        <v>12.58</v>
      </c>
      <c r="W217" t="n">
        <v>43</v>
      </c>
      <c r="X217" t="n">
        <v>17.2</v>
      </c>
      <c r="Y217" t="n">
        <v>20.31</v>
      </c>
      <c r="Z217" t="n">
        <v>20.24</v>
      </c>
      <c r="AA217" t="inlineStr">
        <is>
          <t>Cream x1; Egg x2; Peach x3; Wheat x2</t>
        </is>
      </c>
      <c r="AB217" t="b">
        <v>0</v>
      </c>
      <c r="AC217" t="inlineStr">
        <is>
          <t>match (mastered)</t>
        </is>
      </c>
    </row>
    <row r="218">
      <c r="A218" t="inlineStr">
        <is>
          <t>Mint Ice Cream</t>
        </is>
      </c>
      <c r="B218" t="inlineStr">
        <is>
          <t>machine</t>
        </is>
      </c>
      <c r="C218" t="inlineStr">
        <is>
          <t>Ice Cream Maker</t>
        </is>
      </c>
      <c r="D218" t="n">
        <v>85</v>
      </c>
      <c r="E218" t="n">
        <v>288</v>
      </c>
      <c r="F218" t="inlineStr">
        <is>
          <t>hayday.info</t>
        </is>
      </c>
      <c r="G218" t="n">
        <v>1</v>
      </c>
      <c r="H218" t="n">
        <v>135</v>
      </c>
      <c r="I218" t="n">
        <v>114</v>
      </c>
      <c r="J218" t="n">
        <v>250</v>
      </c>
      <c r="K218" t="n">
        <v>198.33</v>
      </c>
      <c r="L218" t="n">
        <v>435</v>
      </c>
      <c r="M218" t="n">
        <v>60</v>
      </c>
      <c r="N218" t="n">
        <v>700</v>
      </c>
      <c r="P218" t="n">
        <v>1393.33</v>
      </c>
      <c r="Q218" t="n">
        <v>2235</v>
      </c>
      <c r="R218" t="n">
        <v>12.4</v>
      </c>
      <c r="S218" t="n">
        <v>167.67</v>
      </c>
      <c r="T218" t="n">
        <v>1362.67</v>
      </c>
      <c r="U218" t="n">
        <v>2214</v>
      </c>
      <c r="V218" t="n">
        <v>12.68</v>
      </c>
      <c r="W218" t="n">
        <v>38</v>
      </c>
      <c r="X218" t="n">
        <v>16.89</v>
      </c>
      <c r="Y218" t="n">
        <v>20</v>
      </c>
      <c r="Z218" t="n">
        <v>19.87</v>
      </c>
      <c r="AA218" t="inlineStr">
        <is>
          <t>Cream x1; White Sugar x1; Mint x2; Cacao x1</t>
        </is>
      </c>
      <c r="AB218" t="b">
        <v>0</v>
      </c>
      <c r="AC218" t="inlineStr">
        <is>
          <t>match (mastered)</t>
        </is>
      </c>
    </row>
    <row r="219">
      <c r="A219" t="inlineStr">
        <is>
          <t>Pomegranate</t>
        </is>
      </c>
      <c r="B219" t="inlineStr">
        <is>
          <t>tree</t>
        </is>
      </c>
      <c r="C219" t="inlineStr">
        <is>
          <t>Pomegranate Tree</t>
        </is>
      </c>
      <c r="D219" t="n">
        <v>107</v>
      </c>
      <c r="E219" t="n">
        <v>111</v>
      </c>
      <c r="F219" t="inlineStr">
        <is>
          <t>Fandom</t>
        </is>
      </c>
      <c r="G219" t="n">
        <v>1</v>
      </c>
      <c r="H219" t="n">
        <v>1620</v>
      </c>
      <c r="J219" t="n">
        <v>0</v>
      </c>
      <c r="K219" t="n">
        <v>0</v>
      </c>
      <c r="L219" t="n">
        <v>0</v>
      </c>
      <c r="M219" t="n">
        <v>0</v>
      </c>
      <c r="N219" t="n">
        <v>540</v>
      </c>
      <c r="P219" t="n">
        <v>540</v>
      </c>
      <c r="Q219" t="n">
        <v>1620</v>
      </c>
      <c r="R219" t="n">
        <v>12.33</v>
      </c>
      <c r="S219" t="n">
        <v>0</v>
      </c>
      <c r="T219" t="n">
        <v>540</v>
      </c>
      <c r="U219" t="n">
        <v>1620</v>
      </c>
      <c r="V219" t="n">
        <v>12.33</v>
      </c>
      <c r="W219" t="n">
        <v>111</v>
      </c>
      <c r="X219" t="n">
        <v>4.11</v>
      </c>
      <c r="Y219" t="n">
        <v>4.11</v>
      </c>
      <c r="AB219" t="b">
        <v>0</v>
      </c>
    </row>
    <row r="220">
      <c r="A220" t="inlineStr">
        <is>
          <t>Grape Juice</t>
        </is>
      </c>
      <c r="B220" t="inlineStr">
        <is>
          <t>machine</t>
        </is>
      </c>
      <c r="C220" t="inlineStr">
        <is>
          <t>Juice Press</t>
        </is>
      </c>
      <c r="D220" t="n">
        <v>84</v>
      </c>
      <c r="E220" t="n">
        <v>104</v>
      </c>
      <c r="F220" t="inlineStr">
        <is>
          <t>hayday.info</t>
        </is>
      </c>
      <c r="G220" t="n">
        <v>1</v>
      </c>
      <c r="H220" t="n">
        <v>150</v>
      </c>
      <c r="I220" t="n">
        <v>127</v>
      </c>
      <c r="J220" t="n">
        <v>64</v>
      </c>
      <c r="K220" t="n">
        <v>150</v>
      </c>
      <c r="L220" t="n">
        <v>360</v>
      </c>
      <c r="M220" t="n">
        <v>0</v>
      </c>
      <c r="N220" t="n">
        <v>0</v>
      </c>
      <c r="P220" t="n">
        <v>510</v>
      </c>
      <c r="Q220" t="n">
        <v>330</v>
      </c>
      <c r="R220" t="n">
        <v>12.24</v>
      </c>
      <c r="S220" t="n">
        <v>127</v>
      </c>
      <c r="T220" t="n">
        <v>487</v>
      </c>
      <c r="U220" t="n">
        <v>307</v>
      </c>
      <c r="V220" t="n">
        <v>12.81</v>
      </c>
      <c r="W220" t="n">
        <v>40</v>
      </c>
      <c r="X220" t="n">
        <v>16</v>
      </c>
      <c r="Y220" t="n">
        <v>18.9</v>
      </c>
      <c r="Z220" t="n">
        <v>18.82</v>
      </c>
      <c r="AA220" t="inlineStr">
        <is>
          <t>Grapes x2</t>
        </is>
      </c>
      <c r="AB220" t="b">
        <v>0</v>
      </c>
      <c r="AC220" t="inlineStr">
        <is>
          <t>match (mastered)</t>
        </is>
      </c>
    </row>
    <row r="221">
      <c r="A221" t="inlineStr">
        <is>
          <t>Peach Jam</t>
        </is>
      </c>
      <c r="B221" t="inlineStr">
        <is>
          <t>machine</t>
        </is>
      </c>
      <c r="C221" t="inlineStr">
        <is>
          <t>Jam Maker</t>
        </is>
      </c>
      <c r="D221" t="n">
        <v>79</v>
      </c>
      <c r="E221" t="n">
        <v>464</v>
      </c>
      <c r="F221" t="inlineStr">
        <is>
          <t>hayday.info</t>
        </is>
      </c>
      <c r="G221" t="n">
        <v>1</v>
      </c>
      <c r="H221" t="n">
        <v>480</v>
      </c>
      <c r="I221" t="n">
        <v>408</v>
      </c>
      <c r="J221" t="n">
        <v>300</v>
      </c>
      <c r="K221" t="n">
        <v>480</v>
      </c>
      <c r="L221" t="n">
        <v>0</v>
      </c>
      <c r="M221" t="n">
        <v>0</v>
      </c>
      <c r="N221" t="n">
        <v>1800</v>
      </c>
      <c r="P221" t="n">
        <v>2280</v>
      </c>
      <c r="Q221" t="n">
        <v>2280</v>
      </c>
      <c r="R221" t="n">
        <v>12.21</v>
      </c>
      <c r="S221" t="n">
        <v>408</v>
      </c>
      <c r="T221" t="n">
        <v>2208</v>
      </c>
      <c r="U221" t="n">
        <v>2208</v>
      </c>
      <c r="V221" t="n">
        <v>12.61</v>
      </c>
      <c r="W221" t="n">
        <v>164</v>
      </c>
      <c r="X221" t="n">
        <v>20.5</v>
      </c>
      <c r="Y221" t="n">
        <v>24.12</v>
      </c>
      <c r="Z221" t="n">
        <v>24.12</v>
      </c>
      <c r="AA221" t="inlineStr">
        <is>
          <t>Peach x3</t>
        </is>
      </c>
      <c r="AB221" t="b">
        <v>0</v>
      </c>
      <c r="AC221" t="inlineStr">
        <is>
          <t>match (mastered)</t>
        </is>
      </c>
    </row>
    <row r="222">
      <c r="A222" t="inlineStr">
        <is>
          <t>Pasta Salad</t>
        </is>
      </c>
      <c r="B222" t="inlineStr">
        <is>
          <t>machine</t>
        </is>
      </c>
      <c r="C222" t="inlineStr">
        <is>
          <t>Salad Bar</t>
        </is>
      </c>
      <c r="D222" t="n">
        <v>67</v>
      </c>
      <c r="E222" t="n">
        <v>759</v>
      </c>
      <c r="F222" t="inlineStr">
        <is>
          <t>hayday.info</t>
        </is>
      </c>
      <c r="G222" t="n">
        <v>1</v>
      </c>
      <c r="H222" t="n">
        <v>150</v>
      </c>
      <c r="I222" t="n">
        <v>127</v>
      </c>
      <c r="J222" t="n">
        <v>721</v>
      </c>
      <c r="K222" t="n">
        <v>261.67</v>
      </c>
      <c r="L222" t="n">
        <v>748</v>
      </c>
      <c r="M222" t="n">
        <v>80</v>
      </c>
      <c r="N222" t="n">
        <v>2640</v>
      </c>
      <c r="P222" t="n">
        <v>3729.67</v>
      </c>
      <c r="Q222" t="n">
        <v>1950</v>
      </c>
      <c r="R222" t="n">
        <v>12.21</v>
      </c>
      <c r="S222" t="n">
        <v>218.33</v>
      </c>
      <c r="T222" t="n">
        <v>3686.33</v>
      </c>
      <c r="U222" t="n">
        <v>1927</v>
      </c>
      <c r="V222" t="n">
        <v>12.35</v>
      </c>
      <c r="W222" t="n">
        <v>38</v>
      </c>
      <c r="X222" t="n">
        <v>15.2</v>
      </c>
      <c r="Y222" t="n">
        <v>17.95</v>
      </c>
      <c r="Z222" t="n">
        <v>17.88</v>
      </c>
      <c r="AA222" t="inlineStr">
        <is>
          <t>Fresh Pasta x4; Lemon x2; Olive Oil x1; Tomato x2</t>
        </is>
      </c>
      <c r="AB222" t="b">
        <v>0</v>
      </c>
      <c r="AC222" t="inlineStr">
        <is>
          <t>match (mastered)</t>
        </is>
      </c>
    </row>
    <row r="223">
      <c r="A223" t="inlineStr">
        <is>
          <t>Corn Dog</t>
        </is>
      </c>
      <c r="B223" t="inlineStr">
        <is>
          <t>machine</t>
        </is>
      </c>
      <c r="C223" t="inlineStr">
        <is>
          <t>Hot Dog Stand</t>
        </is>
      </c>
      <c r="D223" t="n">
        <v>78</v>
      </c>
      <c r="E223" t="n">
        <v>529</v>
      </c>
      <c r="F223" t="inlineStr">
        <is>
          <t>hayday.info</t>
        </is>
      </c>
      <c r="G223" t="n">
        <v>1</v>
      </c>
      <c r="H223" t="n">
        <v>60</v>
      </c>
      <c r="I223" t="n">
        <v>51</v>
      </c>
      <c r="J223" t="n">
        <v>505</v>
      </c>
      <c r="K223" t="n">
        <v>131.67</v>
      </c>
      <c r="L223" t="n">
        <v>73.33</v>
      </c>
      <c r="M223" t="n">
        <v>960</v>
      </c>
      <c r="N223" t="n">
        <v>1440</v>
      </c>
      <c r="P223" t="n">
        <v>2605</v>
      </c>
      <c r="Q223" t="n">
        <v>1545</v>
      </c>
      <c r="R223" t="n">
        <v>12.18</v>
      </c>
      <c r="S223" t="n">
        <v>111.67</v>
      </c>
      <c r="T223" t="n">
        <v>2585</v>
      </c>
      <c r="U223" t="n">
        <v>1529</v>
      </c>
      <c r="V223" t="n">
        <v>12.28</v>
      </c>
      <c r="W223" t="n">
        <v>24</v>
      </c>
      <c r="X223" t="n">
        <v>24</v>
      </c>
      <c r="Y223" t="n">
        <v>28.24</v>
      </c>
      <c r="Z223" t="n">
        <v>28.24</v>
      </c>
      <c r="AA223" t="inlineStr">
        <is>
          <t>Bacon x4; Corn x4; Olive Oil x1</t>
        </is>
      </c>
      <c r="AB223" t="b">
        <v>0</v>
      </c>
      <c r="AC223" t="inlineStr">
        <is>
          <t>match (mastered)</t>
        </is>
      </c>
    </row>
    <row r="224">
      <c r="A224" t="inlineStr">
        <is>
          <t>Orange Salad</t>
        </is>
      </c>
      <c r="B224" t="inlineStr">
        <is>
          <t>machine</t>
        </is>
      </c>
      <c r="C224" t="inlineStr">
        <is>
          <t>Salad Bar</t>
        </is>
      </c>
      <c r="D224" t="n">
        <v>117</v>
      </c>
      <c r="E224" t="n">
        <v>558</v>
      </c>
      <c r="F224" t="inlineStr">
        <is>
          <t>Fandom</t>
        </is>
      </c>
      <c r="G224" t="n">
        <v>1</v>
      </c>
      <c r="H224" t="n">
        <v>45</v>
      </c>
      <c r="I224" t="n">
        <v>38</v>
      </c>
      <c r="J224" t="n">
        <v>523</v>
      </c>
      <c r="K224" t="n">
        <v>115</v>
      </c>
      <c r="L224" t="n">
        <v>675</v>
      </c>
      <c r="M224" t="n">
        <v>180</v>
      </c>
      <c r="N224" t="n">
        <v>1780</v>
      </c>
      <c r="P224" t="n">
        <v>2750</v>
      </c>
      <c r="Q224" t="n">
        <v>1905</v>
      </c>
      <c r="R224" t="n">
        <v>12.17</v>
      </c>
      <c r="S224" t="n">
        <v>97</v>
      </c>
      <c r="T224" t="n">
        <v>2732</v>
      </c>
      <c r="U224" t="n">
        <v>1898</v>
      </c>
      <c r="V224" t="n">
        <v>12.25</v>
      </c>
      <c r="W224" t="n">
        <v>35</v>
      </c>
      <c r="X224" t="n">
        <v>46.67</v>
      </c>
      <c r="Y224" t="n">
        <v>55.26</v>
      </c>
      <c r="AA224" t="inlineStr">
        <is>
          <t>Cheese x1; Lettuce x3; Pomegranate x1; Orange x2</t>
        </is>
      </c>
      <c r="AB224" t="b">
        <v>0</v>
      </c>
    </row>
    <row r="225">
      <c r="A225" t="inlineStr">
        <is>
          <t>Samosa</t>
        </is>
      </c>
      <c r="B225" t="inlineStr">
        <is>
          <t>machine</t>
        </is>
      </c>
      <c r="C225" t="inlineStr">
        <is>
          <t>Deep Fryer</t>
        </is>
      </c>
      <c r="D225" t="n">
        <v>103</v>
      </c>
      <c r="E225" t="n">
        <v>223</v>
      </c>
      <c r="F225" t="inlineStr">
        <is>
          <t>hayday.info</t>
        </is>
      </c>
      <c r="G225" t="n">
        <v>1</v>
      </c>
      <c r="H225" t="n">
        <v>75</v>
      </c>
      <c r="I225" t="n">
        <v>63</v>
      </c>
      <c r="J225" t="n">
        <v>192</v>
      </c>
      <c r="K225" t="n">
        <v>75</v>
      </c>
      <c r="L225" t="n">
        <v>1028</v>
      </c>
      <c r="M225" t="n">
        <v>0</v>
      </c>
      <c r="N225" t="n">
        <v>0</v>
      </c>
      <c r="P225" t="n">
        <v>1103</v>
      </c>
      <c r="Q225" t="n">
        <v>315</v>
      </c>
      <c r="R225" t="n">
        <v>12.13</v>
      </c>
      <c r="S225" t="n">
        <v>63</v>
      </c>
      <c r="T225" t="n">
        <v>1091</v>
      </c>
      <c r="U225" t="n">
        <v>303</v>
      </c>
      <c r="V225" t="n">
        <v>12.26</v>
      </c>
      <c r="W225" t="n">
        <v>31</v>
      </c>
      <c r="X225" t="n">
        <v>24.8</v>
      </c>
      <c r="Y225" t="n">
        <v>29.52</v>
      </c>
      <c r="Z225" t="n">
        <v>29.18</v>
      </c>
      <c r="AA225" t="inlineStr">
        <is>
          <t>Chickpea x2; Wheat x4; Potato x3; Chili Pepper x1</t>
        </is>
      </c>
      <c r="AB225" t="b">
        <v>0</v>
      </c>
      <c r="AC225" t="inlineStr">
        <is>
          <t>match (mastered)</t>
        </is>
      </c>
    </row>
    <row r="226">
      <c r="A226" t="inlineStr">
        <is>
          <t>Banana Bread</t>
        </is>
      </c>
      <c r="B226" t="inlineStr">
        <is>
          <t>machine</t>
        </is>
      </c>
      <c r="C226" t="inlineStr">
        <is>
          <t>Bakery</t>
        </is>
      </c>
      <c r="D226" t="n">
        <v>91</v>
      </c>
      <c r="E226" t="n">
        <v>424</v>
      </c>
      <c r="F226" t="inlineStr">
        <is>
          <t>hayday.info</t>
        </is>
      </c>
      <c r="G226" t="n">
        <v>1</v>
      </c>
      <c r="H226" t="n">
        <v>30</v>
      </c>
      <c r="I226" t="n">
        <v>25</v>
      </c>
      <c r="J226" t="n">
        <v>403</v>
      </c>
      <c r="K226" t="n">
        <v>31.67</v>
      </c>
      <c r="L226" t="n">
        <v>369</v>
      </c>
      <c r="M226" t="n">
        <v>20</v>
      </c>
      <c r="N226" t="n">
        <v>1680</v>
      </c>
      <c r="P226" t="n">
        <v>2100.67</v>
      </c>
      <c r="Q226" t="n">
        <v>1710</v>
      </c>
      <c r="R226" t="n">
        <v>12.11</v>
      </c>
      <c r="S226" t="n">
        <v>26.33</v>
      </c>
      <c r="T226" t="n">
        <v>2095.33</v>
      </c>
      <c r="U226" t="n">
        <v>1705</v>
      </c>
      <c r="V226" t="n">
        <v>12.14</v>
      </c>
      <c r="W226" t="n">
        <v>21</v>
      </c>
      <c r="X226" t="n">
        <v>42</v>
      </c>
      <c r="Y226" t="n">
        <v>50.4</v>
      </c>
      <c r="Z226" t="n">
        <v>49.41</v>
      </c>
      <c r="AA226" t="inlineStr">
        <is>
          <t>Banana x3; Grapes x2; Wheat x3; Egg x1</t>
        </is>
      </c>
      <c r="AB226" t="b">
        <v>0</v>
      </c>
      <c r="AC226" t="inlineStr">
        <is>
          <t>match (normal x0.85)</t>
        </is>
      </c>
    </row>
    <row r="227">
      <c r="A227" t="inlineStr">
        <is>
          <t>Potato Feta Cake</t>
        </is>
      </c>
      <c r="B227" t="inlineStr">
        <is>
          <t>machine</t>
        </is>
      </c>
      <c r="C227" t="inlineStr">
        <is>
          <t>Cake Oven</t>
        </is>
      </c>
      <c r="D227" t="n">
        <v>38</v>
      </c>
      <c r="E227" t="n">
        <v>309</v>
      </c>
      <c r="F227" t="inlineStr">
        <is>
          <t>hayday.info</t>
        </is>
      </c>
      <c r="G227" t="n">
        <v>1</v>
      </c>
      <c r="H227" t="n">
        <v>120</v>
      </c>
      <c r="I227" t="n">
        <v>102</v>
      </c>
      <c r="J227" t="n">
        <v>270</v>
      </c>
      <c r="K227" t="n">
        <v>243.33</v>
      </c>
      <c r="L227" t="n">
        <v>250</v>
      </c>
      <c r="M227" t="n">
        <v>1040</v>
      </c>
      <c r="N227" t="n">
        <v>0</v>
      </c>
      <c r="P227" t="n">
        <v>1533.33</v>
      </c>
      <c r="Q227" t="n">
        <v>740</v>
      </c>
      <c r="R227" t="n">
        <v>12.09</v>
      </c>
      <c r="S227" t="n">
        <v>206</v>
      </c>
      <c r="T227" t="n">
        <v>1496</v>
      </c>
      <c r="U227" t="n">
        <v>702</v>
      </c>
      <c r="V227" t="n">
        <v>12.39</v>
      </c>
      <c r="W227" t="n">
        <v>39</v>
      </c>
      <c r="X227" t="n">
        <v>19.5</v>
      </c>
      <c r="Y227" t="n">
        <v>22.94</v>
      </c>
      <c r="Z227" t="n">
        <v>22.94</v>
      </c>
      <c r="AA227" t="inlineStr">
        <is>
          <t>Potato x1; Egg x4; Goat Cheese x1</t>
        </is>
      </c>
      <c r="AB227" t="b">
        <v>1</v>
      </c>
      <c r="AC227" t="inlineStr">
        <is>
          <t>match (mastered)</t>
        </is>
      </c>
    </row>
    <row r="228">
      <c r="A228" t="inlineStr">
        <is>
          <t>Apple Pie</t>
        </is>
      </c>
      <c r="B228" t="inlineStr">
        <is>
          <t>machine</t>
        </is>
      </c>
      <c r="C228" t="inlineStr">
        <is>
          <t>Pie Oven</t>
        </is>
      </c>
      <c r="D228" t="n">
        <v>28</v>
      </c>
      <c r="E228" t="n">
        <v>270</v>
      </c>
      <c r="F228" t="inlineStr">
        <is>
          <t>hayday.info</t>
        </is>
      </c>
      <c r="G228" t="n">
        <v>1</v>
      </c>
      <c r="H228" t="n">
        <v>150</v>
      </c>
      <c r="I228" t="n">
        <v>127</v>
      </c>
      <c r="J228" t="n">
        <v>231</v>
      </c>
      <c r="K228" t="n">
        <v>241.67</v>
      </c>
      <c r="L228" t="n">
        <v>127</v>
      </c>
      <c r="M228" t="n">
        <v>20</v>
      </c>
      <c r="N228" t="n">
        <v>960</v>
      </c>
      <c r="P228" t="n">
        <v>1348.67</v>
      </c>
      <c r="Q228" t="n">
        <v>1110</v>
      </c>
      <c r="R228" t="n">
        <v>12.01</v>
      </c>
      <c r="S228" t="n">
        <v>204.33</v>
      </c>
      <c r="T228" t="n">
        <v>1311.33</v>
      </c>
      <c r="U228" t="n">
        <v>1087</v>
      </c>
      <c r="V228" t="n">
        <v>12.35</v>
      </c>
      <c r="W228" t="n">
        <v>39</v>
      </c>
      <c r="X228" t="n">
        <v>15.6</v>
      </c>
      <c r="Y228" t="n">
        <v>18.43</v>
      </c>
      <c r="Z228" t="n">
        <v>18.35</v>
      </c>
      <c r="AA228" t="inlineStr">
        <is>
          <t>Apple x3; Wheat x2; Egg x1; Syrup x1</t>
        </is>
      </c>
      <c r="AB228" t="b">
        <v>1</v>
      </c>
      <c r="AC228" t="inlineStr">
        <is>
          <t>match (mastered)</t>
        </is>
      </c>
    </row>
    <row r="229">
      <c r="A229" t="inlineStr">
        <is>
          <t>Chili Popcorn</t>
        </is>
      </c>
      <c r="B229" t="inlineStr">
        <is>
          <t>machine</t>
        </is>
      </c>
      <c r="C229" t="inlineStr">
        <is>
          <t>Popcorn Pot</t>
        </is>
      </c>
      <c r="D229" t="n">
        <v>25</v>
      </c>
      <c r="E229" t="n">
        <v>122</v>
      </c>
      <c r="F229" t="inlineStr">
        <is>
          <t>hayday.info</t>
        </is>
      </c>
      <c r="G229" t="n">
        <v>1</v>
      </c>
      <c r="H229" t="n">
        <v>120</v>
      </c>
      <c r="I229" t="n">
        <v>102</v>
      </c>
      <c r="J229" t="n">
        <v>86</v>
      </c>
      <c r="K229" t="n">
        <v>120</v>
      </c>
      <c r="L229" t="n">
        <v>490</v>
      </c>
      <c r="M229" t="n">
        <v>0</v>
      </c>
      <c r="N229" t="n">
        <v>0</v>
      </c>
      <c r="P229" t="n">
        <v>610</v>
      </c>
      <c r="Q229" t="n">
        <v>360</v>
      </c>
      <c r="R229" t="n">
        <v>12</v>
      </c>
      <c r="S229" t="n">
        <v>102</v>
      </c>
      <c r="T229" t="n">
        <v>592</v>
      </c>
      <c r="U229" t="n">
        <v>342</v>
      </c>
      <c r="V229" t="n">
        <v>12.36</v>
      </c>
      <c r="W229" t="n">
        <v>36</v>
      </c>
      <c r="X229" t="n">
        <v>18</v>
      </c>
      <c r="Y229" t="n">
        <v>21.18</v>
      </c>
      <c r="Z229" t="n">
        <v>21.18</v>
      </c>
      <c r="AA229" t="inlineStr">
        <is>
          <t>Corn x2; Chili Pepper x2</t>
        </is>
      </c>
      <c r="AB229" t="b">
        <v>1</v>
      </c>
      <c r="AC229" t="inlineStr">
        <is>
          <t>match (mastered)</t>
        </is>
      </c>
    </row>
    <row r="230">
      <c r="A230" t="inlineStr">
        <is>
          <t>Falafel</t>
        </is>
      </c>
      <c r="B230" t="inlineStr">
        <is>
          <t>machine</t>
        </is>
      </c>
      <c r="C230" t="inlineStr">
        <is>
          <t>Deep Fryer</t>
        </is>
      </c>
      <c r="D230" t="n">
        <v>98</v>
      </c>
      <c r="E230" t="n">
        <v>226</v>
      </c>
      <c r="F230" t="inlineStr">
        <is>
          <t>hayday.info</t>
        </is>
      </c>
      <c r="G230" t="n">
        <v>1</v>
      </c>
      <c r="H230" t="n">
        <v>55</v>
      </c>
      <c r="I230" t="n">
        <v>46</v>
      </c>
      <c r="J230" t="n">
        <v>196</v>
      </c>
      <c r="K230" t="n">
        <v>55</v>
      </c>
      <c r="L230" t="n">
        <v>1080</v>
      </c>
      <c r="M230" t="n">
        <v>0</v>
      </c>
      <c r="N230" t="n">
        <v>0</v>
      </c>
      <c r="P230" t="n">
        <v>1135</v>
      </c>
      <c r="Q230" t="n">
        <v>355</v>
      </c>
      <c r="R230" t="n">
        <v>11.95</v>
      </c>
      <c r="S230" t="n">
        <v>46</v>
      </c>
      <c r="T230" t="n">
        <v>1126</v>
      </c>
      <c r="U230" t="n">
        <v>346</v>
      </c>
      <c r="V230" t="n">
        <v>12.04</v>
      </c>
      <c r="W230" t="n">
        <v>30</v>
      </c>
      <c r="X230" t="n">
        <v>32.73</v>
      </c>
      <c r="Y230" t="n">
        <v>39.13</v>
      </c>
      <c r="Z230" t="n">
        <v>38.5</v>
      </c>
      <c r="AA230" t="inlineStr">
        <is>
          <t>Chickpea x3; Onion x2; Garlic x2; Chili Pepper x1</t>
        </is>
      </c>
      <c r="AB230" t="b">
        <v>0</v>
      </c>
      <c r="AC230" t="inlineStr">
        <is>
          <t>match (normal x0.85)</t>
        </is>
      </c>
    </row>
    <row r="231">
      <c r="A231" t="inlineStr">
        <is>
          <t>Blue Woolly Hat</t>
        </is>
      </c>
      <c r="B231" t="inlineStr">
        <is>
          <t>machine</t>
        </is>
      </c>
      <c r="C231" t="inlineStr">
        <is>
          <t>Loom</t>
        </is>
      </c>
      <c r="D231" t="n">
        <v>19</v>
      </c>
      <c r="E231" t="n">
        <v>111</v>
      </c>
      <c r="F231" t="inlineStr">
        <is>
          <t>hayday.info</t>
        </is>
      </c>
      <c r="G231" t="n">
        <v>1</v>
      </c>
      <c r="H231" t="n">
        <v>60</v>
      </c>
      <c r="I231" t="n">
        <v>51</v>
      </c>
      <c r="J231" t="n">
        <v>79</v>
      </c>
      <c r="K231" t="n">
        <v>70</v>
      </c>
      <c r="L231" t="n">
        <v>128.67</v>
      </c>
      <c r="M231" t="n">
        <v>360</v>
      </c>
      <c r="N231" t="n">
        <v>0</v>
      </c>
      <c r="P231" t="n">
        <v>558.67</v>
      </c>
      <c r="Q231" t="n">
        <v>470</v>
      </c>
      <c r="R231" t="n">
        <v>11.92</v>
      </c>
      <c r="S231" t="n">
        <v>59.33</v>
      </c>
      <c r="T231" t="n">
        <v>548</v>
      </c>
      <c r="U231" t="n">
        <v>456</v>
      </c>
      <c r="V231" t="n">
        <v>12.15</v>
      </c>
      <c r="W231" t="n">
        <v>32</v>
      </c>
      <c r="X231" t="n">
        <v>32</v>
      </c>
      <c r="Y231" t="n">
        <v>37.65</v>
      </c>
      <c r="Z231" t="n">
        <v>37.65</v>
      </c>
      <c r="AA231" t="inlineStr">
        <is>
          <t>Wool x1; Indigo x1</t>
        </is>
      </c>
      <c r="AB231" t="b">
        <v>1</v>
      </c>
      <c r="AC231" t="inlineStr">
        <is>
          <t>match (mastered)</t>
        </is>
      </c>
    </row>
    <row r="232">
      <c r="A232" t="inlineStr">
        <is>
          <t>Rich Soap</t>
        </is>
      </c>
      <c r="B232" t="inlineStr">
        <is>
          <t>machine</t>
        </is>
      </c>
      <c r="C232" t="inlineStr">
        <is>
          <t>Bath Kiosk</t>
        </is>
      </c>
      <c r="D232" t="n">
        <v>121</v>
      </c>
      <c r="E232" t="n">
        <v>266</v>
      </c>
      <c r="F232" t="inlineStr">
        <is>
          <t>Fandom</t>
        </is>
      </c>
      <c r="G232" t="n">
        <v>1</v>
      </c>
      <c r="H232" t="n">
        <v>70</v>
      </c>
      <c r="I232" t="n">
        <v>59</v>
      </c>
      <c r="J232" t="n">
        <v>233</v>
      </c>
      <c r="K232" t="n">
        <v>70</v>
      </c>
      <c r="L232" t="n">
        <v>14</v>
      </c>
      <c r="M232" t="n">
        <v>0</v>
      </c>
      <c r="N232" t="n">
        <v>1260</v>
      </c>
      <c r="P232" t="n">
        <v>1344</v>
      </c>
      <c r="Q232" t="n">
        <v>2230</v>
      </c>
      <c r="R232" t="n">
        <v>11.88</v>
      </c>
      <c r="S232" t="n">
        <v>59</v>
      </c>
      <c r="T232" t="n">
        <v>1333</v>
      </c>
      <c r="U232" t="n">
        <v>2219</v>
      </c>
      <c r="V232" t="n">
        <v>11.97</v>
      </c>
      <c r="W232" t="n">
        <v>33</v>
      </c>
      <c r="X232" t="n">
        <v>28.29</v>
      </c>
      <c r="Y232" t="n">
        <v>33.56</v>
      </c>
      <c r="AA232" t="inlineStr">
        <is>
          <t>Oats x2; Pomegranate x1; Coconut x1</t>
        </is>
      </c>
      <c r="AB232" t="b">
        <v>0</v>
      </c>
    </row>
    <row r="233">
      <c r="A233" t="inlineStr">
        <is>
          <t>BLT Salad</t>
        </is>
      </c>
      <c r="B233" t="inlineStr">
        <is>
          <t>machine</t>
        </is>
      </c>
      <c r="C233" t="inlineStr">
        <is>
          <t>Salad Bar</t>
        </is>
      </c>
      <c r="D233" t="n">
        <v>62</v>
      </c>
      <c r="E233" t="n">
        <v>723</v>
      </c>
      <c r="F233" t="inlineStr">
        <is>
          <t>hayday.info</t>
        </is>
      </c>
      <c r="G233" t="n">
        <v>1</v>
      </c>
      <c r="H233" t="n">
        <v>105</v>
      </c>
      <c r="I233" t="n">
        <v>89</v>
      </c>
      <c r="J233" t="n">
        <v>681</v>
      </c>
      <c r="K233" t="n">
        <v>275</v>
      </c>
      <c r="L233" t="n">
        <v>1388.67</v>
      </c>
      <c r="M233" t="n">
        <v>560</v>
      </c>
      <c r="N233" t="n">
        <v>1440</v>
      </c>
      <c r="P233" t="n">
        <v>3663.67</v>
      </c>
      <c r="Q233" t="n">
        <v>1605</v>
      </c>
      <c r="R233" t="n">
        <v>11.84</v>
      </c>
      <c r="S233" t="n">
        <v>231.67</v>
      </c>
      <c r="T233" t="n">
        <v>3620.33</v>
      </c>
      <c r="U233" t="n">
        <v>1579</v>
      </c>
      <c r="V233" t="n">
        <v>11.98</v>
      </c>
      <c r="W233" t="n">
        <v>42</v>
      </c>
      <c r="X233" t="n">
        <v>24</v>
      </c>
      <c r="Y233" t="n">
        <v>28.31</v>
      </c>
      <c r="Z233" t="n">
        <v>28.24</v>
      </c>
      <c r="AA233" t="inlineStr">
        <is>
          <t>Lettuce x3; Roasted Tomatoes x1; Bacon x2; Mayonnaise x1</t>
        </is>
      </c>
      <c r="AB233" t="b">
        <v>0</v>
      </c>
      <c r="AC233" t="inlineStr">
        <is>
          <t>match (mastered)</t>
        </is>
      </c>
    </row>
    <row r="234">
      <c r="A234" t="inlineStr">
        <is>
          <t>Gnocchi</t>
        </is>
      </c>
      <c r="B234" t="inlineStr">
        <is>
          <t>machine</t>
        </is>
      </c>
      <c r="C234" t="inlineStr">
        <is>
          <t>Pasta Kitchen</t>
        </is>
      </c>
      <c r="D234" t="n">
        <v>72</v>
      </c>
      <c r="E234" t="n">
        <v>475</v>
      </c>
      <c r="F234" t="inlineStr">
        <is>
          <t>hayday.info</t>
        </is>
      </c>
      <c r="G234" t="n">
        <v>1</v>
      </c>
      <c r="H234" t="n">
        <v>80</v>
      </c>
      <c r="I234" t="n">
        <v>68</v>
      </c>
      <c r="J234" t="n">
        <v>443</v>
      </c>
      <c r="K234" t="n">
        <v>153.33</v>
      </c>
      <c r="L234" t="n">
        <v>2024</v>
      </c>
      <c r="M234" t="n">
        <v>240</v>
      </c>
      <c r="N234" t="n">
        <v>0</v>
      </c>
      <c r="P234" t="n">
        <v>2417.33</v>
      </c>
      <c r="Q234" t="n">
        <v>440</v>
      </c>
      <c r="R234" t="n">
        <v>11.79</v>
      </c>
      <c r="S234" t="n">
        <v>128.67</v>
      </c>
      <c r="T234" t="n">
        <v>2392.67</v>
      </c>
      <c r="U234" t="n">
        <v>428</v>
      </c>
      <c r="V234" t="n">
        <v>11.91</v>
      </c>
      <c r="W234" t="n">
        <v>32</v>
      </c>
      <c r="X234" t="n">
        <v>24</v>
      </c>
      <c r="Y234" t="n">
        <v>28.24</v>
      </c>
      <c r="Z234" t="n">
        <v>28.24</v>
      </c>
      <c r="AA234" t="inlineStr">
        <is>
          <t>Potato x4; Tomato x3; Wheat x2; Butter x2</t>
        </is>
      </c>
      <c r="AB234" t="b">
        <v>0</v>
      </c>
      <c r="AC234" t="inlineStr">
        <is>
          <t>match (mastered)</t>
        </is>
      </c>
    </row>
    <row r="235">
      <c r="A235" t="inlineStr">
        <is>
          <t>Spicy Pasta</t>
        </is>
      </c>
      <c r="B235" t="inlineStr">
        <is>
          <t>machine</t>
        </is>
      </c>
      <c r="C235" t="inlineStr">
        <is>
          <t>Pasta Kitchen</t>
        </is>
      </c>
      <c r="D235" t="n">
        <v>87</v>
      </c>
      <c r="E235" t="n">
        <v>576</v>
      </c>
      <c r="F235" t="inlineStr">
        <is>
          <t>hayday.info</t>
        </is>
      </c>
      <c r="G235" t="n">
        <v>1</v>
      </c>
      <c r="H235" t="n">
        <v>90</v>
      </c>
      <c r="I235" t="n">
        <v>76</v>
      </c>
      <c r="J235" t="n">
        <v>545</v>
      </c>
      <c r="K235" t="n">
        <v>190</v>
      </c>
      <c r="L235" t="n">
        <v>2091</v>
      </c>
      <c r="M235" t="n">
        <v>60</v>
      </c>
      <c r="N235" t="n">
        <v>600</v>
      </c>
      <c r="P235" t="n">
        <v>2941</v>
      </c>
      <c r="Q235" t="n">
        <v>1920</v>
      </c>
      <c r="R235" t="n">
        <v>11.75</v>
      </c>
      <c r="S235" t="n">
        <v>158</v>
      </c>
      <c r="T235" t="n">
        <v>2909</v>
      </c>
      <c r="U235" t="n">
        <v>1901</v>
      </c>
      <c r="V235" t="n">
        <v>11.88</v>
      </c>
      <c r="W235" t="n">
        <v>31</v>
      </c>
      <c r="X235" t="n">
        <v>20.67</v>
      </c>
      <c r="Y235" t="n">
        <v>24.47</v>
      </c>
      <c r="Z235" t="n">
        <v>24.31</v>
      </c>
      <c r="AA235" t="inlineStr">
        <is>
          <t>Fresh Pasta x3; Tomato Sauce x1; Chili Pepper x3; Onion x2</t>
        </is>
      </c>
      <c r="AB235" t="b">
        <v>0</v>
      </c>
      <c r="AC235" t="inlineStr">
        <is>
          <t>match (mastered)</t>
        </is>
      </c>
    </row>
    <row r="236">
      <c r="A236" t="inlineStr">
        <is>
          <t>Nachos</t>
        </is>
      </c>
      <c r="B236" t="inlineStr">
        <is>
          <t>machine</t>
        </is>
      </c>
      <c r="C236" t="inlineStr">
        <is>
          <t>Taco Kitchen</t>
        </is>
      </c>
      <c r="D236" t="n">
        <v>87</v>
      </c>
      <c r="E236" t="n">
        <v>432</v>
      </c>
      <c r="F236" t="inlineStr">
        <is>
          <t>hayday.info</t>
        </is>
      </c>
      <c r="G236" t="n">
        <v>1</v>
      </c>
      <c r="H236" t="n">
        <v>75</v>
      </c>
      <c r="I236" t="n">
        <v>63</v>
      </c>
      <c r="J236" t="n">
        <v>402</v>
      </c>
      <c r="K236" t="n">
        <v>165</v>
      </c>
      <c r="L236" t="n">
        <v>1865</v>
      </c>
      <c r="M236" t="n">
        <v>180</v>
      </c>
      <c r="N236" t="n">
        <v>0</v>
      </c>
      <c r="P236" t="n">
        <v>2210</v>
      </c>
      <c r="Q236" t="n">
        <v>455</v>
      </c>
      <c r="R236" t="n">
        <v>11.73</v>
      </c>
      <c r="S236" t="n">
        <v>139</v>
      </c>
      <c r="T236" t="n">
        <v>2184</v>
      </c>
      <c r="U236" t="n">
        <v>440</v>
      </c>
      <c r="V236" t="n">
        <v>11.87</v>
      </c>
      <c r="W236" t="n">
        <v>30</v>
      </c>
      <c r="X236" t="n">
        <v>24</v>
      </c>
      <c r="Y236" t="n">
        <v>28.57</v>
      </c>
      <c r="Z236" t="n">
        <v>28.24</v>
      </c>
      <c r="AA236" t="inlineStr">
        <is>
          <t>Cheese x1; Corn x4; Salsa x1</t>
        </is>
      </c>
      <c r="AB236" t="b">
        <v>0</v>
      </c>
      <c r="AC236" t="inlineStr">
        <is>
          <t>match (mastered)</t>
        </is>
      </c>
    </row>
    <row r="237">
      <c r="A237" t="inlineStr">
        <is>
          <t>Chili Fudge</t>
        </is>
      </c>
      <c r="B237" t="inlineStr">
        <is>
          <t>machine</t>
        </is>
      </c>
      <c r="C237" t="inlineStr">
        <is>
          <t>Fudge Shop</t>
        </is>
      </c>
      <c r="D237" t="n">
        <v>104</v>
      </c>
      <c r="E237" t="n">
        <v>540</v>
      </c>
      <c r="F237" t="inlineStr">
        <is>
          <t>hayday.info</t>
        </is>
      </c>
      <c r="G237" t="n">
        <v>1</v>
      </c>
      <c r="H237" t="n">
        <v>170</v>
      </c>
      <c r="I237" t="n">
        <v>144</v>
      </c>
      <c r="J237" t="n">
        <v>494</v>
      </c>
      <c r="K237" t="n">
        <v>283.33</v>
      </c>
      <c r="L237" t="n">
        <v>840</v>
      </c>
      <c r="M237" t="n">
        <v>240</v>
      </c>
      <c r="N237" t="n">
        <v>1400</v>
      </c>
      <c r="P237" t="n">
        <v>2763.33</v>
      </c>
      <c r="Q237" t="n">
        <v>2270</v>
      </c>
      <c r="R237" t="n">
        <v>11.72</v>
      </c>
      <c r="S237" t="n">
        <v>238.67</v>
      </c>
      <c r="T237" t="n">
        <v>2718.67</v>
      </c>
      <c r="U237" t="n">
        <v>2244</v>
      </c>
      <c r="V237" t="n">
        <v>11.92</v>
      </c>
      <c r="W237" t="n">
        <v>46</v>
      </c>
      <c r="X237" t="n">
        <v>16.24</v>
      </c>
      <c r="Y237" t="n">
        <v>19.17</v>
      </c>
      <c r="Z237" t="n">
        <v>19.1</v>
      </c>
      <c r="AA237" t="inlineStr">
        <is>
          <t>Butter x2; Cacao x2; White Sugar x1; Chili Pepper x3</t>
        </is>
      </c>
      <c r="AB237" t="b">
        <v>0</v>
      </c>
      <c r="AC237" t="inlineStr">
        <is>
          <t>match (mastered)</t>
        </is>
      </c>
    </row>
    <row r="238">
      <c r="A238" t="inlineStr">
        <is>
          <t>Shepherd's Pie</t>
        </is>
      </c>
      <c r="B238" t="inlineStr">
        <is>
          <t>machine</t>
        </is>
      </c>
      <c r="C238" t="inlineStr">
        <is>
          <t>Pie Oven</t>
        </is>
      </c>
      <c r="D238" t="n">
        <v>39</v>
      </c>
      <c r="E238" t="n">
        <v>280</v>
      </c>
      <c r="F238" t="inlineStr">
        <is>
          <t>hayday.info</t>
        </is>
      </c>
      <c r="G238" t="n">
        <v>1</v>
      </c>
      <c r="H238" t="n">
        <v>100</v>
      </c>
      <c r="I238" t="n">
        <v>85</v>
      </c>
      <c r="J238" t="n">
        <v>250</v>
      </c>
      <c r="K238" t="n">
        <v>113.33</v>
      </c>
      <c r="L238" t="n">
        <v>846.67</v>
      </c>
      <c r="M238" t="n">
        <v>480</v>
      </c>
      <c r="N238" t="n">
        <v>0</v>
      </c>
      <c r="P238" t="n">
        <v>1440</v>
      </c>
      <c r="Q238" t="n">
        <v>380</v>
      </c>
      <c r="R238" t="n">
        <v>11.67</v>
      </c>
      <c r="S238" t="n">
        <v>96.33</v>
      </c>
      <c r="T238" t="n">
        <v>1423</v>
      </c>
      <c r="U238" t="n">
        <v>362</v>
      </c>
      <c r="V238" t="n">
        <v>11.81</v>
      </c>
      <c r="W238" t="n">
        <v>30</v>
      </c>
      <c r="X238" t="n">
        <v>18</v>
      </c>
      <c r="Y238" t="n">
        <v>21.18</v>
      </c>
      <c r="Z238" t="n">
        <v>21.18</v>
      </c>
      <c r="AA238" t="inlineStr">
        <is>
          <t>Potato x2; Bacon x2; Carrot x2; Pumpkin x2</t>
        </is>
      </c>
      <c r="AB238" t="b">
        <v>1</v>
      </c>
      <c r="AC238" t="inlineStr">
        <is>
          <t>match (mastered)</t>
        </is>
      </c>
    </row>
    <row r="239">
      <c r="A239" t="inlineStr">
        <is>
          <t>Bean Salad</t>
        </is>
      </c>
      <c r="B239" t="inlineStr">
        <is>
          <t>machine</t>
        </is>
      </c>
      <c r="C239" t="inlineStr">
        <is>
          <t>Salad Bar</t>
        </is>
      </c>
      <c r="D239" t="n">
        <v>58</v>
      </c>
      <c r="E239" t="n">
        <v>169</v>
      </c>
      <c r="F239" t="inlineStr">
        <is>
          <t>Fandom</t>
        </is>
      </c>
      <c r="G239" t="n">
        <v>1</v>
      </c>
      <c r="H239" t="n">
        <v>60</v>
      </c>
      <c r="I239" t="n">
        <v>51</v>
      </c>
      <c r="J239" t="n">
        <v>135</v>
      </c>
      <c r="K239" t="n">
        <v>60</v>
      </c>
      <c r="L239" t="n">
        <v>815</v>
      </c>
      <c r="M239" t="n">
        <v>0</v>
      </c>
      <c r="N239" t="n">
        <v>0</v>
      </c>
      <c r="P239" t="n">
        <v>875</v>
      </c>
      <c r="Q239" t="n">
        <v>420</v>
      </c>
      <c r="R239" t="n">
        <v>11.59</v>
      </c>
      <c r="S239" t="n">
        <v>51</v>
      </c>
      <c r="T239" t="n">
        <v>866</v>
      </c>
      <c r="U239" t="n">
        <v>411</v>
      </c>
      <c r="V239" t="n">
        <v>11.71</v>
      </c>
      <c r="W239" t="n">
        <v>34</v>
      </c>
      <c r="X239" t="n">
        <v>34</v>
      </c>
      <c r="Y239" t="n">
        <v>40</v>
      </c>
      <c r="AA239" t="inlineStr">
        <is>
          <t>Black Bean x3; Tomato x1; Lettuce x2; Corn x1</t>
        </is>
      </c>
      <c r="AB239" t="b">
        <v>0</v>
      </c>
    </row>
    <row r="240">
      <c r="A240" t="inlineStr">
        <is>
          <t>Pineapple Cake</t>
        </is>
      </c>
      <c r="B240" t="inlineStr">
        <is>
          <t>machine</t>
        </is>
      </c>
      <c r="C240" t="inlineStr">
        <is>
          <t>Cake Oven</t>
        </is>
      </c>
      <c r="D240" t="n">
        <v>65</v>
      </c>
      <c r="E240" t="n">
        <v>259</v>
      </c>
      <c r="F240" t="inlineStr">
        <is>
          <t>hayday.info</t>
        </is>
      </c>
      <c r="G240" t="n">
        <v>1</v>
      </c>
      <c r="H240" t="n">
        <v>75</v>
      </c>
      <c r="I240" t="n">
        <v>63</v>
      </c>
      <c r="J240" t="n">
        <v>226</v>
      </c>
      <c r="K240" t="n">
        <v>78.33</v>
      </c>
      <c r="L240" t="n">
        <v>104</v>
      </c>
      <c r="M240" t="n">
        <v>40</v>
      </c>
      <c r="N240" t="n">
        <v>1120</v>
      </c>
      <c r="P240" t="n">
        <v>1342.33</v>
      </c>
      <c r="Q240" t="n">
        <v>1755</v>
      </c>
      <c r="R240" t="n">
        <v>11.58</v>
      </c>
      <c r="S240" t="n">
        <v>65.67</v>
      </c>
      <c r="T240" t="n">
        <v>1329.67</v>
      </c>
      <c r="U240" t="n">
        <v>1743</v>
      </c>
      <c r="V240" t="n">
        <v>11.69</v>
      </c>
      <c r="W240" t="n">
        <v>33</v>
      </c>
      <c r="X240" t="n">
        <v>26.4</v>
      </c>
      <c r="Y240" t="n">
        <v>31.43</v>
      </c>
      <c r="Z240" t="n">
        <v>31.06</v>
      </c>
      <c r="AA240" t="inlineStr">
        <is>
          <t>Pineapple x3; Egg x2; Cherry x2; Wheat x4</t>
        </is>
      </c>
      <c r="AB240" t="b">
        <v>0</v>
      </c>
      <c r="AC240" t="inlineStr">
        <is>
          <t>match (mastered)</t>
        </is>
      </c>
    </row>
    <row r="241">
      <c r="A241" t="inlineStr">
        <is>
          <t>Marmalade</t>
        </is>
      </c>
      <c r="B241" t="inlineStr">
        <is>
          <t>machine</t>
        </is>
      </c>
      <c r="C241" t="inlineStr">
        <is>
          <t>Jam Maker</t>
        </is>
      </c>
      <c r="D241" t="n">
        <v>74</v>
      </c>
      <c r="E241" t="n">
        <v>457</v>
      </c>
      <c r="F241" t="inlineStr">
        <is>
          <t>hayday.info</t>
        </is>
      </c>
      <c r="G241" t="n">
        <v>1</v>
      </c>
      <c r="H241" t="n">
        <v>510</v>
      </c>
      <c r="I241" t="n">
        <v>433</v>
      </c>
      <c r="J241" t="n">
        <v>291</v>
      </c>
      <c r="K241" t="n">
        <v>510</v>
      </c>
      <c r="L241" t="n">
        <v>0</v>
      </c>
      <c r="M241" t="n">
        <v>0</v>
      </c>
      <c r="N241" t="n">
        <v>1860</v>
      </c>
      <c r="P241" t="n">
        <v>2370</v>
      </c>
      <c r="Q241" t="n">
        <v>2370</v>
      </c>
      <c r="R241" t="n">
        <v>11.57</v>
      </c>
      <c r="S241" t="n">
        <v>433</v>
      </c>
      <c r="T241" t="n">
        <v>2293</v>
      </c>
      <c r="U241" t="n">
        <v>2293</v>
      </c>
      <c r="V241" t="n">
        <v>11.96</v>
      </c>
      <c r="W241" t="n">
        <v>166</v>
      </c>
      <c r="X241" t="n">
        <v>19.53</v>
      </c>
      <c r="Y241" t="n">
        <v>23</v>
      </c>
      <c r="Z241" t="n">
        <v>22.98</v>
      </c>
      <c r="AA241" t="inlineStr">
        <is>
          <t>Orange x3</t>
        </is>
      </c>
      <c r="AB241" t="b">
        <v>0</v>
      </c>
      <c r="AC241" t="inlineStr">
        <is>
          <t>match (mastered)</t>
        </is>
      </c>
    </row>
    <row r="242">
      <c r="A242" t="inlineStr">
        <is>
          <t>Spicy Bean Taco</t>
        </is>
      </c>
      <c r="B242" t="inlineStr">
        <is>
          <t>machine</t>
        </is>
      </c>
      <c r="C242" t="inlineStr">
        <is>
          <t>Taco Kitchen</t>
        </is>
      </c>
      <c r="D242" t="n">
        <v>77</v>
      </c>
      <c r="E242" t="n">
        <v>453</v>
      </c>
      <c r="F242" t="inlineStr">
        <is>
          <t>Fandom</t>
        </is>
      </c>
      <c r="G242" t="n">
        <v>1</v>
      </c>
      <c r="H242" t="n">
        <v>120</v>
      </c>
      <c r="I242" t="n">
        <v>102</v>
      </c>
      <c r="J242" t="n">
        <v>410</v>
      </c>
      <c r="K242" t="n">
        <v>225</v>
      </c>
      <c r="L242" t="n">
        <v>1849.33</v>
      </c>
      <c r="M242" t="n">
        <v>280</v>
      </c>
      <c r="N242" t="n">
        <v>0</v>
      </c>
      <c r="P242" t="n">
        <v>2354.33</v>
      </c>
      <c r="Q242" t="n">
        <v>545</v>
      </c>
      <c r="R242" t="n">
        <v>11.54</v>
      </c>
      <c r="S242" t="n">
        <v>190.33</v>
      </c>
      <c r="T242" t="n">
        <v>2319.67</v>
      </c>
      <c r="U242" t="n">
        <v>517</v>
      </c>
      <c r="V242" t="n">
        <v>11.72</v>
      </c>
      <c r="W242" t="n">
        <v>43</v>
      </c>
      <c r="X242" t="n">
        <v>21.5</v>
      </c>
      <c r="Y242" t="n">
        <v>25.29</v>
      </c>
      <c r="AA242" t="inlineStr">
        <is>
          <t>Taco x1; Black Bean x2</t>
        </is>
      </c>
      <c r="AB242" t="b">
        <v>0</v>
      </c>
    </row>
    <row r="243">
      <c r="A243" t="inlineStr">
        <is>
          <t>Bacon</t>
        </is>
      </c>
      <c r="B243" t="inlineStr">
        <is>
          <t>animal</t>
        </is>
      </c>
      <c r="C243" t="inlineStr">
        <is>
          <t>Pig</t>
        </is>
      </c>
      <c r="D243" t="n">
        <v>10</v>
      </c>
      <c r="E243" t="n">
        <v>50</v>
      </c>
      <c r="F243" t="inlineStr">
        <is>
          <t>hayday.info</t>
        </is>
      </c>
      <c r="G243" t="n">
        <v>1</v>
      </c>
      <c r="H243" t="n">
        <v>240</v>
      </c>
      <c r="J243" t="n">
        <v>14</v>
      </c>
      <c r="K243" t="n">
        <v>6.67</v>
      </c>
      <c r="L243" t="n">
        <v>13.33</v>
      </c>
      <c r="M243" t="n">
        <v>240</v>
      </c>
      <c r="N243" t="n">
        <v>0</v>
      </c>
      <c r="P243" t="n">
        <v>260</v>
      </c>
      <c r="Q243" t="n">
        <v>280</v>
      </c>
      <c r="R243" t="n">
        <v>11.54</v>
      </c>
      <c r="S243" t="n">
        <v>5.67</v>
      </c>
      <c r="T243" t="n">
        <v>259</v>
      </c>
      <c r="U243" t="n">
        <v>277</v>
      </c>
      <c r="V243" t="n">
        <v>11.58</v>
      </c>
      <c r="W243" t="n">
        <v>36</v>
      </c>
      <c r="X243" t="n">
        <v>9</v>
      </c>
      <c r="Y243" t="n">
        <v>9</v>
      </c>
      <c r="Z243" t="n">
        <v>-2.5</v>
      </c>
      <c r="AA243" t="inlineStr">
        <is>
          <t>Pig Feed x1</t>
        </is>
      </c>
      <c r="AB243" t="b">
        <v>1</v>
      </c>
    </row>
    <row r="244">
      <c r="A244" t="inlineStr">
        <is>
          <t>Hummus</t>
        </is>
      </c>
      <c r="B244" t="inlineStr">
        <is>
          <t>machine</t>
        </is>
      </c>
      <c r="C244" t="inlineStr">
        <is>
          <t>Sauce Maker</t>
        </is>
      </c>
      <c r="D244" t="n">
        <v>95</v>
      </c>
      <c r="E244" t="n">
        <v>277</v>
      </c>
      <c r="F244" t="inlineStr">
        <is>
          <t>hayday.info</t>
        </is>
      </c>
      <c r="G244" t="n">
        <v>1</v>
      </c>
      <c r="H244" t="n">
        <v>30</v>
      </c>
      <c r="I244" t="n">
        <v>25</v>
      </c>
      <c r="J244" t="n">
        <v>254</v>
      </c>
      <c r="K244" t="n">
        <v>30</v>
      </c>
      <c r="L244" t="n">
        <v>210</v>
      </c>
      <c r="M244" t="n">
        <v>0</v>
      </c>
      <c r="N244" t="n">
        <v>1200</v>
      </c>
      <c r="P244" t="n">
        <v>1440</v>
      </c>
      <c r="Q244" t="n">
        <v>1830</v>
      </c>
      <c r="R244" t="n">
        <v>11.54</v>
      </c>
      <c r="S244" t="n">
        <v>25</v>
      </c>
      <c r="T244" t="n">
        <v>1435</v>
      </c>
      <c r="U244" t="n">
        <v>1825</v>
      </c>
      <c r="V244" t="n">
        <v>11.58</v>
      </c>
      <c r="W244" t="n">
        <v>23</v>
      </c>
      <c r="X244" t="n">
        <v>46</v>
      </c>
      <c r="Y244" t="n">
        <v>55.2</v>
      </c>
      <c r="Z244" t="n">
        <v>54.12</v>
      </c>
      <c r="AA244" t="inlineStr">
        <is>
          <t>Chickpea x3; Lemon x2; Garlic x1</t>
        </is>
      </c>
      <c r="AB244" t="b">
        <v>0</v>
      </c>
      <c r="AC244" t="inlineStr">
        <is>
          <t>match (normal x0.85)</t>
        </is>
      </c>
    </row>
    <row r="245">
      <c r="A245" t="inlineStr">
        <is>
          <t>Coconut Ice Cream</t>
        </is>
      </c>
      <c r="B245" t="inlineStr">
        <is>
          <t>machine</t>
        </is>
      </c>
      <c r="C245" t="inlineStr">
        <is>
          <t>Ice Cream Maker</t>
        </is>
      </c>
      <c r="D245" t="n">
        <v>102</v>
      </c>
      <c r="E245" t="n">
        <v>320</v>
      </c>
      <c r="F245" t="inlineStr">
        <is>
          <t>hayday.info</t>
        </is>
      </c>
      <c r="G245" t="n">
        <v>1</v>
      </c>
      <c r="H245" t="n">
        <v>15</v>
      </c>
      <c r="I245" t="n">
        <v>12</v>
      </c>
      <c r="J245" t="n">
        <v>306</v>
      </c>
      <c r="K245" t="n">
        <v>105</v>
      </c>
      <c r="L245" t="n">
        <v>120</v>
      </c>
      <c r="M245" t="n">
        <v>0</v>
      </c>
      <c r="N245" t="n">
        <v>1440</v>
      </c>
      <c r="P245" t="n">
        <v>1665</v>
      </c>
      <c r="Q245" t="n">
        <v>2175</v>
      </c>
      <c r="R245" t="n">
        <v>11.53</v>
      </c>
      <c r="S245" t="n">
        <v>88</v>
      </c>
      <c r="T245" t="n">
        <v>1648</v>
      </c>
      <c r="U245" t="n">
        <v>2172</v>
      </c>
      <c r="V245" t="n">
        <v>11.65</v>
      </c>
      <c r="W245" t="n">
        <v>14</v>
      </c>
      <c r="X245" t="n">
        <v>56</v>
      </c>
      <c r="Y245" t="n">
        <v>70</v>
      </c>
      <c r="Z245" t="n">
        <v>56</v>
      </c>
      <c r="AA245" t="inlineStr">
        <is>
          <t>Coconut x2; Syrup x1</t>
        </is>
      </c>
      <c r="AB245" t="b">
        <v>0</v>
      </c>
      <c r="AC245" t="inlineStr">
        <is>
          <t>match (site uses normal time)</t>
        </is>
      </c>
    </row>
    <row r="246">
      <c r="A246" t="inlineStr">
        <is>
          <t>Bacon Fondue</t>
        </is>
      </c>
      <c r="B246" t="inlineStr">
        <is>
          <t>machine</t>
        </is>
      </c>
      <c r="C246" t="inlineStr">
        <is>
          <t>Fondue Pot</t>
        </is>
      </c>
      <c r="D246" t="n">
        <v>86</v>
      </c>
      <c r="E246" t="n">
        <v>507</v>
      </c>
      <c r="F246" t="inlineStr">
        <is>
          <t>hayday.info</t>
        </is>
      </c>
      <c r="G246" t="n">
        <v>1</v>
      </c>
      <c r="H246" t="n">
        <v>30</v>
      </c>
      <c r="I246" t="n">
        <v>25</v>
      </c>
      <c r="J246" t="n">
        <v>484</v>
      </c>
      <c r="K246" t="n">
        <v>95</v>
      </c>
      <c r="L246" t="n">
        <v>390</v>
      </c>
      <c r="M246" t="n">
        <v>720</v>
      </c>
      <c r="N246" t="n">
        <v>1440</v>
      </c>
      <c r="P246" t="n">
        <v>2645</v>
      </c>
      <c r="Q246" t="n">
        <v>1515</v>
      </c>
      <c r="R246" t="n">
        <v>11.5</v>
      </c>
      <c r="S246" t="n">
        <v>80</v>
      </c>
      <c r="T246" t="n">
        <v>2630</v>
      </c>
      <c r="U246" t="n">
        <v>1503</v>
      </c>
      <c r="V246" t="n">
        <v>11.57</v>
      </c>
      <c r="W246" t="n">
        <v>23</v>
      </c>
      <c r="X246" t="n">
        <v>46</v>
      </c>
      <c r="Y246" t="n">
        <v>55.2</v>
      </c>
      <c r="Z246" t="n">
        <v>54.12</v>
      </c>
      <c r="AA246" t="inlineStr">
        <is>
          <t>Bacon x3; Broccoli x1; Bell Pepper x1; Olive Oil x1</t>
        </is>
      </c>
      <c r="AB246" t="b">
        <v>0</v>
      </c>
      <c r="AC246" t="inlineStr">
        <is>
          <t>match (normal x0.85)</t>
        </is>
      </c>
    </row>
    <row r="247">
      <c r="A247" t="inlineStr">
        <is>
          <t>Asparagus Soup</t>
        </is>
      </c>
      <c r="B247" t="inlineStr">
        <is>
          <t>machine</t>
        </is>
      </c>
      <c r="C247" t="inlineStr">
        <is>
          <t>Soup Kitchen</t>
        </is>
      </c>
      <c r="D247" t="n">
        <v>51</v>
      </c>
      <c r="E247" t="n">
        <v>255</v>
      </c>
      <c r="F247" t="inlineStr">
        <is>
          <t>Fandom</t>
        </is>
      </c>
      <c r="G247" t="n">
        <v>1</v>
      </c>
      <c r="H247" t="n">
        <v>60</v>
      </c>
      <c r="I247" t="n">
        <v>51</v>
      </c>
      <c r="J247" t="n">
        <v>229</v>
      </c>
      <c r="K247" t="n">
        <v>106.67</v>
      </c>
      <c r="L247" t="n">
        <v>1110</v>
      </c>
      <c r="M247" t="n">
        <v>120</v>
      </c>
      <c r="N247" t="n">
        <v>0</v>
      </c>
      <c r="P247" t="n">
        <v>1336.67</v>
      </c>
      <c r="Q247" t="n">
        <v>420</v>
      </c>
      <c r="R247" t="n">
        <v>11.45</v>
      </c>
      <c r="S247" t="n">
        <v>90.33</v>
      </c>
      <c r="T247" t="n">
        <v>1320.33</v>
      </c>
      <c r="U247" t="n">
        <v>411</v>
      </c>
      <c r="V247" t="n">
        <v>11.59</v>
      </c>
      <c r="W247" t="n">
        <v>26</v>
      </c>
      <c r="X247" t="n">
        <v>26</v>
      </c>
      <c r="Y247" t="n">
        <v>30.59</v>
      </c>
      <c r="AA247" t="inlineStr">
        <is>
          <t>Asparagus x3; Cream x2</t>
        </is>
      </c>
      <c r="AB247" t="b">
        <v>0</v>
      </c>
    </row>
    <row r="248">
      <c r="A248" t="inlineStr">
        <is>
          <t>Sprinkled Donut</t>
        </is>
      </c>
      <c r="B248" t="inlineStr">
        <is>
          <t>machine</t>
        </is>
      </c>
      <c r="C248" t="inlineStr">
        <is>
          <t>Donut Maker</t>
        </is>
      </c>
      <c r="D248" t="n">
        <v>79</v>
      </c>
      <c r="E248" t="n">
        <v>313</v>
      </c>
      <c r="F248" t="inlineStr">
        <is>
          <t>hayday.info</t>
        </is>
      </c>
      <c r="G248" t="n">
        <v>1</v>
      </c>
      <c r="H248" t="n">
        <v>20</v>
      </c>
      <c r="I248" t="n">
        <v>17</v>
      </c>
      <c r="J248" t="n">
        <v>301</v>
      </c>
      <c r="K248" t="n">
        <v>80</v>
      </c>
      <c r="L248" t="n">
        <v>84</v>
      </c>
      <c r="M248" t="n">
        <v>80</v>
      </c>
      <c r="N248" t="n">
        <v>1400</v>
      </c>
      <c r="P248" t="n">
        <v>1644</v>
      </c>
      <c r="Q248" t="n">
        <v>2120</v>
      </c>
      <c r="R248" t="n">
        <v>11.42</v>
      </c>
      <c r="S248" t="n">
        <v>67</v>
      </c>
      <c r="T248" t="n">
        <v>1631</v>
      </c>
      <c r="U248" t="n">
        <v>2117</v>
      </c>
      <c r="V248" t="n">
        <v>11.51</v>
      </c>
      <c r="W248" t="n">
        <v>12</v>
      </c>
      <c r="X248" t="n">
        <v>36</v>
      </c>
      <c r="Y248" t="n">
        <v>42.35</v>
      </c>
      <c r="Z248" t="n">
        <v>42.35</v>
      </c>
      <c r="AA248" t="inlineStr">
        <is>
          <t>Plain Donut x1; Cacao x2</t>
        </is>
      </c>
      <c r="AB248" t="b">
        <v>0</v>
      </c>
      <c r="AC248" t="inlineStr">
        <is>
          <t>match (mastered)</t>
        </is>
      </c>
    </row>
    <row r="249">
      <c r="A249" t="inlineStr">
        <is>
          <t>Hot Dog</t>
        </is>
      </c>
      <c r="B249" t="inlineStr">
        <is>
          <t>machine</t>
        </is>
      </c>
      <c r="C249" t="inlineStr">
        <is>
          <t>Hot Dog Stand</t>
        </is>
      </c>
      <c r="D249" t="n">
        <v>75</v>
      </c>
      <c r="E249" t="n">
        <v>370</v>
      </c>
      <c r="F249" t="inlineStr">
        <is>
          <t>hayday.info</t>
        </is>
      </c>
      <c r="G249" t="n">
        <v>1</v>
      </c>
      <c r="H249" t="n">
        <v>30</v>
      </c>
      <c r="I249" t="n">
        <v>25</v>
      </c>
      <c r="J249" t="n">
        <v>351</v>
      </c>
      <c r="K249" t="n">
        <v>98.33</v>
      </c>
      <c r="L249" t="n">
        <v>782.67</v>
      </c>
      <c r="M249" t="n">
        <v>480</v>
      </c>
      <c r="N249" t="n">
        <v>600</v>
      </c>
      <c r="P249" t="n">
        <v>1961</v>
      </c>
      <c r="Q249" t="n">
        <v>1860</v>
      </c>
      <c r="R249" t="n">
        <v>11.32</v>
      </c>
      <c r="S249" t="n">
        <v>82.33</v>
      </c>
      <c r="T249" t="n">
        <v>1945</v>
      </c>
      <c r="U249" t="n">
        <v>1850</v>
      </c>
      <c r="V249" t="n">
        <v>11.41</v>
      </c>
      <c r="W249" t="n">
        <v>19</v>
      </c>
      <c r="X249" t="n">
        <v>38</v>
      </c>
      <c r="Y249" t="n">
        <v>45.6</v>
      </c>
      <c r="Z249" t="n">
        <v>44.71</v>
      </c>
      <c r="AA249" t="inlineStr">
        <is>
          <t>Bacon x2; Bread x1; Tomato Sauce x1</t>
        </is>
      </c>
      <c r="AB249" t="b">
        <v>0</v>
      </c>
      <c r="AC249" t="inlineStr">
        <is>
          <t>match (normal x0.85)</t>
        </is>
      </c>
    </row>
    <row r="250">
      <c r="A250" t="inlineStr">
        <is>
          <t>Bean Dip</t>
        </is>
      </c>
      <c r="B250" t="inlineStr">
        <is>
          <t>machine</t>
        </is>
      </c>
      <c r="C250" t="inlineStr">
        <is>
          <t>Sauce Maker</t>
        </is>
      </c>
      <c r="D250" t="n">
        <v>54</v>
      </c>
      <c r="E250" t="n">
        <v>126</v>
      </c>
      <c r="F250" t="inlineStr">
        <is>
          <t>Fandom</t>
        </is>
      </c>
      <c r="G250" t="n">
        <v>1</v>
      </c>
      <c r="H250" t="n">
        <v>40</v>
      </c>
      <c r="I250" t="n">
        <v>34</v>
      </c>
      <c r="J250" t="n">
        <v>100</v>
      </c>
      <c r="K250" t="n">
        <v>40</v>
      </c>
      <c r="L250" t="n">
        <v>630</v>
      </c>
      <c r="M250" t="n">
        <v>0</v>
      </c>
      <c r="N250" t="n">
        <v>0</v>
      </c>
      <c r="P250" t="n">
        <v>670</v>
      </c>
      <c r="Q250" t="n">
        <v>400</v>
      </c>
      <c r="R250" t="n">
        <v>11.28</v>
      </c>
      <c r="S250" t="n">
        <v>34</v>
      </c>
      <c r="T250" t="n">
        <v>664</v>
      </c>
      <c r="U250" t="n">
        <v>394</v>
      </c>
      <c r="V250" t="n">
        <v>11.39</v>
      </c>
      <c r="W250" t="n">
        <v>26</v>
      </c>
      <c r="X250" t="n">
        <v>39</v>
      </c>
      <c r="Y250" t="n">
        <v>45.88</v>
      </c>
      <c r="AA250" t="inlineStr">
        <is>
          <t>Black Bean x3; Tomato x1; Chili Pepper x1</t>
        </is>
      </c>
      <c r="AB250" t="b">
        <v>0</v>
      </c>
    </row>
    <row r="251">
      <c r="A251" t="inlineStr">
        <is>
          <t>Bell Pepper Soup</t>
        </is>
      </c>
      <c r="B251" t="inlineStr">
        <is>
          <t>machine</t>
        </is>
      </c>
      <c r="C251" t="inlineStr">
        <is>
          <t>Soup Kitchen</t>
        </is>
      </c>
      <c r="D251" t="n">
        <v>81</v>
      </c>
      <c r="E251" t="n">
        <v>439</v>
      </c>
      <c r="F251" t="inlineStr">
        <is>
          <t>hayday.info</t>
        </is>
      </c>
      <c r="G251" t="n">
        <v>1</v>
      </c>
      <c r="H251" t="n">
        <v>60</v>
      </c>
      <c r="I251" t="n">
        <v>51</v>
      </c>
      <c r="J251" t="n">
        <v>406</v>
      </c>
      <c r="K251" t="n">
        <v>110</v>
      </c>
      <c r="L251" t="n">
        <v>786</v>
      </c>
      <c r="M251" t="n">
        <v>0</v>
      </c>
      <c r="N251" t="n">
        <v>1440</v>
      </c>
      <c r="P251" t="n">
        <v>2336</v>
      </c>
      <c r="Q251" t="n">
        <v>1545</v>
      </c>
      <c r="R251" t="n">
        <v>11.28</v>
      </c>
      <c r="S251" t="n">
        <v>93</v>
      </c>
      <c r="T251" t="n">
        <v>2319</v>
      </c>
      <c r="U251" t="n">
        <v>1529</v>
      </c>
      <c r="V251" t="n">
        <v>11.36</v>
      </c>
      <c r="W251" t="n">
        <v>33</v>
      </c>
      <c r="X251" t="n">
        <v>33</v>
      </c>
      <c r="Y251" t="n">
        <v>38.82</v>
      </c>
      <c r="Z251" t="n">
        <v>38.82</v>
      </c>
      <c r="AA251" t="inlineStr">
        <is>
          <t>Bread x1; Olive Oil x1; Chili Pepper x1; Bell Pepper x2</t>
        </is>
      </c>
      <c r="AB251" t="b">
        <v>0</v>
      </c>
      <c r="AC251" t="inlineStr">
        <is>
          <t>match (mastered)</t>
        </is>
      </c>
    </row>
    <row r="252">
      <c r="A252" t="inlineStr">
        <is>
          <t>Veggie Bouquet</t>
        </is>
      </c>
      <c r="B252" t="inlineStr">
        <is>
          <t>machine</t>
        </is>
      </c>
      <c r="C252" t="inlineStr">
        <is>
          <t>Flower Shop</t>
        </is>
      </c>
      <c r="D252" t="n">
        <v>106</v>
      </c>
      <c r="E252" t="n">
        <v>352</v>
      </c>
      <c r="F252" t="inlineStr">
        <is>
          <t>hayday.info</t>
        </is>
      </c>
      <c r="G252" t="n">
        <v>1</v>
      </c>
      <c r="H252" t="n">
        <v>15</v>
      </c>
      <c r="I252" t="n">
        <v>12</v>
      </c>
      <c r="J252" t="n">
        <v>330</v>
      </c>
      <c r="K252" t="n">
        <v>45</v>
      </c>
      <c r="L252" t="n">
        <v>1830</v>
      </c>
      <c r="M252" t="n">
        <v>0</v>
      </c>
      <c r="N252" t="n">
        <v>0</v>
      </c>
      <c r="P252" t="n">
        <v>1875</v>
      </c>
      <c r="Q252" t="n">
        <v>375</v>
      </c>
      <c r="R252" t="n">
        <v>11.26</v>
      </c>
      <c r="S252" t="n">
        <v>37</v>
      </c>
      <c r="T252" t="n">
        <v>1867</v>
      </c>
      <c r="U252" t="n">
        <v>372</v>
      </c>
      <c r="V252" t="n">
        <v>11.31</v>
      </c>
      <c r="W252" t="n">
        <v>22</v>
      </c>
      <c r="X252" t="n">
        <v>88</v>
      </c>
      <c r="Y252" t="n">
        <v>110</v>
      </c>
      <c r="Z252" t="n">
        <v>103.53</v>
      </c>
      <c r="AA252" t="inlineStr">
        <is>
          <t>Broccoli x3; Tomato x3; Mushroom x3; Cotton Fabric x1</t>
        </is>
      </c>
      <c r="AB252" t="b">
        <v>0</v>
      </c>
      <c r="AC252" t="inlineStr">
        <is>
          <t>match (normal x0.85)</t>
        </is>
      </c>
    </row>
    <row r="253">
      <c r="A253" t="inlineStr">
        <is>
          <t>Chocolate Ice Cream</t>
        </is>
      </c>
      <c r="B253" t="inlineStr">
        <is>
          <t>machine</t>
        </is>
      </c>
      <c r="C253" t="inlineStr">
        <is>
          <t>Ice Cream Maker</t>
        </is>
      </c>
      <c r="D253" t="n">
        <v>39</v>
      </c>
      <c r="E253" t="n">
        <v>342</v>
      </c>
      <c r="F253" t="inlineStr">
        <is>
          <t>hayday.info</t>
        </is>
      </c>
      <c r="G253" t="n">
        <v>1</v>
      </c>
      <c r="H253" t="n">
        <v>150</v>
      </c>
      <c r="I253" t="n">
        <v>127</v>
      </c>
      <c r="J253" t="n">
        <v>304</v>
      </c>
      <c r="K253" t="n">
        <v>216.67</v>
      </c>
      <c r="L253" t="n">
        <v>90</v>
      </c>
      <c r="M253" t="n">
        <v>120</v>
      </c>
      <c r="N253" t="n">
        <v>1400</v>
      </c>
      <c r="P253" t="n">
        <v>1826.67</v>
      </c>
      <c r="Q253" t="n">
        <v>2250</v>
      </c>
      <c r="R253" t="n">
        <v>11.23</v>
      </c>
      <c r="S253" t="n">
        <v>183.33</v>
      </c>
      <c r="T253" t="n">
        <v>1793.33</v>
      </c>
      <c r="U253" t="n">
        <v>2227</v>
      </c>
      <c r="V253" t="n">
        <v>11.44</v>
      </c>
      <c r="W253" t="n">
        <v>38</v>
      </c>
      <c r="X253" t="n">
        <v>15.2</v>
      </c>
      <c r="Y253" t="n">
        <v>17.95</v>
      </c>
      <c r="Z253" t="n">
        <v>17.88</v>
      </c>
      <c r="AA253" t="inlineStr">
        <is>
          <t>Cream x1; White Sugar x1; Cacao x2; Milk x1</t>
        </is>
      </c>
      <c r="AB253" t="b">
        <v>1</v>
      </c>
      <c r="AC253" t="inlineStr">
        <is>
          <t>match (mastered)</t>
        </is>
      </c>
    </row>
    <row r="254">
      <c r="A254" t="inlineStr">
        <is>
          <t>Ginger</t>
        </is>
      </c>
      <c r="B254" t="inlineStr">
        <is>
          <t>field</t>
        </is>
      </c>
      <c r="C254" t="inlineStr">
        <is>
          <t>Farm</t>
        </is>
      </c>
      <c r="D254" t="n">
        <v>78</v>
      </c>
      <c r="E254" t="n">
        <v>28</v>
      </c>
      <c r="F254" t="inlineStr">
        <is>
          <t>hayday.info</t>
        </is>
      </c>
      <c r="G254" t="n">
        <v>1</v>
      </c>
      <c r="H254" t="n">
        <v>150</v>
      </c>
      <c r="J254" t="n">
        <v>0</v>
      </c>
      <c r="K254" t="n">
        <v>0</v>
      </c>
      <c r="L254" t="n">
        <v>150</v>
      </c>
      <c r="M254" t="n">
        <v>0</v>
      </c>
      <c r="N254" t="n">
        <v>0</v>
      </c>
      <c r="P254" t="n">
        <v>150</v>
      </c>
      <c r="Q254" t="n">
        <v>150</v>
      </c>
      <c r="R254" t="n">
        <v>11.2</v>
      </c>
      <c r="S254" t="n">
        <v>0</v>
      </c>
      <c r="T254" t="n">
        <v>150</v>
      </c>
      <c r="U254" t="n">
        <v>150</v>
      </c>
      <c r="V254" t="n">
        <v>11.2</v>
      </c>
      <c r="W254" t="n">
        <v>28</v>
      </c>
      <c r="X254" t="n">
        <v>11.2</v>
      </c>
      <c r="Y254" t="n">
        <v>11.2</v>
      </c>
      <c r="Z254" t="n">
        <v>11.2</v>
      </c>
      <c r="AB254" t="b">
        <v>0</v>
      </c>
    </row>
    <row r="255">
      <c r="A255" t="inlineStr">
        <is>
          <t>Cotton</t>
        </is>
      </c>
      <c r="B255" t="inlineStr">
        <is>
          <t>field</t>
        </is>
      </c>
      <c r="C255" t="inlineStr">
        <is>
          <t>Farm</t>
        </is>
      </c>
      <c r="D255" t="n">
        <v>18</v>
      </c>
      <c r="E255" t="n">
        <v>28</v>
      </c>
      <c r="F255" t="inlineStr">
        <is>
          <t>hayday.info</t>
        </is>
      </c>
      <c r="G255" t="n">
        <v>1</v>
      </c>
      <c r="H255" t="n">
        <v>150</v>
      </c>
      <c r="J255" t="n">
        <v>0</v>
      </c>
      <c r="K255" t="n">
        <v>0</v>
      </c>
      <c r="L255" t="n">
        <v>150</v>
      </c>
      <c r="M255" t="n">
        <v>0</v>
      </c>
      <c r="N255" t="n">
        <v>0</v>
      </c>
      <c r="P255" t="n">
        <v>150</v>
      </c>
      <c r="Q255" t="n">
        <v>150</v>
      </c>
      <c r="R255" t="n">
        <v>11.2</v>
      </c>
      <c r="S255" t="n">
        <v>0</v>
      </c>
      <c r="T255" t="n">
        <v>150</v>
      </c>
      <c r="U255" t="n">
        <v>150</v>
      </c>
      <c r="V255" t="n">
        <v>11.2</v>
      </c>
      <c r="W255" t="n">
        <v>28</v>
      </c>
      <c r="X255" t="n">
        <v>11.2</v>
      </c>
      <c r="Y255" t="n">
        <v>11.2</v>
      </c>
      <c r="Z255" t="n">
        <v>11.2</v>
      </c>
      <c r="AB255" t="b">
        <v>1</v>
      </c>
    </row>
    <row r="256">
      <c r="A256" t="inlineStr">
        <is>
          <t>Lemon Lotion</t>
        </is>
      </c>
      <c r="B256" t="inlineStr">
        <is>
          <t>machine</t>
        </is>
      </c>
      <c r="C256" t="inlineStr">
        <is>
          <t>Bath Kiosk</t>
        </is>
      </c>
      <c r="D256" t="n">
        <v>84</v>
      </c>
      <c r="E256" t="n">
        <v>403</v>
      </c>
      <c r="F256" t="inlineStr">
        <is>
          <t>hayday.info</t>
        </is>
      </c>
      <c r="G256" t="n">
        <v>1</v>
      </c>
      <c r="H256" t="n">
        <v>75</v>
      </c>
      <c r="I256" t="n">
        <v>63</v>
      </c>
      <c r="J256" t="n">
        <v>370</v>
      </c>
      <c r="K256" t="n">
        <v>120</v>
      </c>
      <c r="L256" t="n">
        <v>0</v>
      </c>
      <c r="M256" t="n">
        <v>0</v>
      </c>
      <c r="N256" t="n">
        <v>2040</v>
      </c>
      <c r="P256" t="n">
        <v>2160</v>
      </c>
      <c r="Q256" t="n">
        <v>1875</v>
      </c>
      <c r="R256" t="n">
        <v>11.19</v>
      </c>
      <c r="S256" t="n">
        <v>101</v>
      </c>
      <c r="T256" t="n">
        <v>2141</v>
      </c>
      <c r="U256" t="n">
        <v>1863</v>
      </c>
      <c r="V256" t="n">
        <v>11.29</v>
      </c>
      <c r="W256" t="n">
        <v>33</v>
      </c>
      <c r="X256" t="n">
        <v>26.4</v>
      </c>
      <c r="Y256" t="n">
        <v>31.43</v>
      </c>
      <c r="Z256" t="n">
        <v>31.06</v>
      </c>
      <c r="AA256" t="inlineStr">
        <is>
          <t>Olive Oil x1; Lemon x1</t>
        </is>
      </c>
      <c r="AB256" t="b">
        <v>0</v>
      </c>
      <c r="AC256" t="inlineStr">
        <is>
          <t>match (mastered)</t>
        </is>
      </c>
    </row>
    <row r="257">
      <c r="A257" t="inlineStr">
        <is>
          <t>Olive Oil</t>
        </is>
      </c>
      <c r="B257" t="inlineStr">
        <is>
          <t>machine</t>
        </is>
      </c>
      <c r="C257" t="inlineStr">
        <is>
          <t>Sauce Maker</t>
        </is>
      </c>
      <c r="D257" t="n">
        <v>60</v>
      </c>
      <c r="E257" t="n">
        <v>277</v>
      </c>
      <c r="F257" t="inlineStr">
        <is>
          <t>hayday.info</t>
        </is>
      </c>
      <c r="G257" t="n">
        <v>1</v>
      </c>
      <c r="H257" t="n">
        <v>45</v>
      </c>
      <c r="I257" t="n">
        <v>38</v>
      </c>
      <c r="J257" t="n">
        <v>246</v>
      </c>
      <c r="K257" t="n">
        <v>45</v>
      </c>
      <c r="L257" t="n">
        <v>0</v>
      </c>
      <c r="M257" t="n">
        <v>0</v>
      </c>
      <c r="N257" t="n">
        <v>1440</v>
      </c>
      <c r="P257" t="n">
        <v>1485</v>
      </c>
      <c r="Q257" t="n">
        <v>1485</v>
      </c>
      <c r="R257" t="n">
        <v>11.19</v>
      </c>
      <c r="S257" t="n">
        <v>38</v>
      </c>
      <c r="T257" t="n">
        <v>1478</v>
      </c>
      <c r="U257" t="n">
        <v>1478</v>
      </c>
      <c r="V257" t="n">
        <v>11.24</v>
      </c>
      <c r="W257" t="n">
        <v>31</v>
      </c>
      <c r="X257" t="n">
        <v>41.33</v>
      </c>
      <c r="Y257" t="n">
        <v>48.95</v>
      </c>
      <c r="Z257" t="n">
        <v>48.63</v>
      </c>
      <c r="AA257" t="inlineStr">
        <is>
          <t>Olive x3</t>
        </is>
      </c>
      <c r="AB257" t="b">
        <v>0</v>
      </c>
      <c r="AC257" t="inlineStr">
        <is>
          <t>match (mastered)</t>
        </is>
      </c>
    </row>
    <row r="258">
      <c r="A258" t="inlineStr">
        <is>
          <t>Beetroot Salad</t>
        </is>
      </c>
      <c r="B258" t="inlineStr">
        <is>
          <t>machine</t>
        </is>
      </c>
      <c r="C258" t="inlineStr">
        <is>
          <t>Salad Bar</t>
        </is>
      </c>
      <c r="D258" t="n">
        <v>76</v>
      </c>
      <c r="E258" t="n">
        <v>234</v>
      </c>
      <c r="F258" t="inlineStr">
        <is>
          <t>hayday.info</t>
        </is>
      </c>
      <c r="G258" t="n">
        <v>1</v>
      </c>
      <c r="H258" t="n">
        <v>45</v>
      </c>
      <c r="I258" t="n">
        <v>38</v>
      </c>
      <c r="J258" t="n">
        <v>204</v>
      </c>
      <c r="K258" t="n">
        <v>161.67</v>
      </c>
      <c r="L258" t="n">
        <v>138</v>
      </c>
      <c r="M258" t="n">
        <v>960</v>
      </c>
      <c r="N258" t="n">
        <v>0</v>
      </c>
      <c r="P258" t="n">
        <v>1259.67</v>
      </c>
      <c r="Q258" t="n">
        <v>665</v>
      </c>
      <c r="R258" t="n">
        <v>11.15</v>
      </c>
      <c r="S258" t="n">
        <v>136.67</v>
      </c>
      <c r="T258" t="n">
        <v>1234.67</v>
      </c>
      <c r="U258" t="n">
        <v>638</v>
      </c>
      <c r="V258" t="n">
        <v>11.37</v>
      </c>
      <c r="W258" t="n">
        <v>30</v>
      </c>
      <c r="X258" t="n">
        <v>40</v>
      </c>
      <c r="Y258" t="n">
        <v>47.37</v>
      </c>
      <c r="Z258" t="n">
        <v>47.06</v>
      </c>
      <c r="AA258" t="inlineStr">
        <is>
          <t>Beetroot x3; Goat Cheese x1</t>
        </is>
      </c>
      <c r="AB258" t="b">
        <v>0</v>
      </c>
      <c r="AC258" t="inlineStr">
        <is>
          <t>match (mastered)</t>
        </is>
      </c>
    </row>
    <row r="259">
      <c r="A259" t="inlineStr">
        <is>
          <t>Hot Chocolate</t>
        </is>
      </c>
      <c r="B259" t="inlineStr">
        <is>
          <t>machine</t>
        </is>
      </c>
      <c r="C259" t="inlineStr">
        <is>
          <t>Coffee Kiosk</t>
        </is>
      </c>
      <c r="D259" t="n">
        <v>47</v>
      </c>
      <c r="E259" t="n">
        <v>316</v>
      </c>
      <c r="F259" t="inlineStr">
        <is>
          <t>hayday.info</t>
        </is>
      </c>
      <c r="G259" t="n">
        <v>1</v>
      </c>
      <c r="H259" t="n">
        <v>25</v>
      </c>
      <c r="I259" t="n">
        <v>21</v>
      </c>
      <c r="J259" t="n">
        <v>304</v>
      </c>
      <c r="K259" t="n">
        <v>91.67</v>
      </c>
      <c r="L259" t="n">
        <v>90</v>
      </c>
      <c r="M259" t="n">
        <v>120</v>
      </c>
      <c r="N259" t="n">
        <v>1400</v>
      </c>
      <c r="P259" t="n">
        <v>1701.67</v>
      </c>
      <c r="Q259" t="n">
        <v>2125</v>
      </c>
      <c r="R259" t="n">
        <v>11.14</v>
      </c>
      <c r="S259" t="n">
        <v>77.33</v>
      </c>
      <c r="T259" t="n">
        <v>1687.33</v>
      </c>
      <c r="U259" t="n">
        <v>2121</v>
      </c>
      <c r="V259" t="n">
        <v>11.24</v>
      </c>
      <c r="W259" t="n">
        <v>12</v>
      </c>
      <c r="X259" t="n">
        <v>28.8</v>
      </c>
      <c r="Y259" t="n">
        <v>34.29</v>
      </c>
      <c r="Z259" t="n">
        <v>33.88</v>
      </c>
      <c r="AA259" t="inlineStr">
        <is>
          <t>Cacao x2; Cream x1; Milk x1; White Sugar x1</t>
        </is>
      </c>
      <c r="AB259" t="b">
        <v>0</v>
      </c>
      <c r="AC259" t="inlineStr">
        <is>
          <t>match (mastered)</t>
        </is>
      </c>
    </row>
    <row r="260">
      <c r="A260" t="inlineStr">
        <is>
          <t>Banana</t>
        </is>
      </c>
      <c r="B260" t="inlineStr">
        <is>
          <t>tree</t>
        </is>
      </c>
      <c r="C260" t="inlineStr">
        <is>
          <t>Banana Tree</t>
        </is>
      </c>
      <c r="D260" t="n">
        <v>88</v>
      </c>
      <c r="E260" t="n">
        <v>104</v>
      </c>
      <c r="F260" t="inlineStr">
        <is>
          <t>hayday.info</t>
        </is>
      </c>
      <c r="G260" t="n">
        <v>1</v>
      </c>
      <c r="H260" t="n">
        <v>1680</v>
      </c>
      <c r="J260" t="n">
        <v>0</v>
      </c>
      <c r="K260" t="n">
        <v>0</v>
      </c>
      <c r="L260" t="n">
        <v>0</v>
      </c>
      <c r="M260" t="n">
        <v>0</v>
      </c>
      <c r="N260" t="n">
        <v>560</v>
      </c>
      <c r="P260" t="n">
        <v>560</v>
      </c>
      <c r="Q260" t="n">
        <v>1680</v>
      </c>
      <c r="R260" t="n">
        <v>11.14</v>
      </c>
      <c r="S260" t="n">
        <v>0</v>
      </c>
      <c r="T260" t="n">
        <v>560</v>
      </c>
      <c r="U260" t="n">
        <v>1680</v>
      </c>
      <c r="V260" t="n">
        <v>11.14</v>
      </c>
      <c r="W260" t="n">
        <v>104</v>
      </c>
      <c r="X260" t="n">
        <v>3.71</v>
      </c>
      <c r="Y260" t="n">
        <v>3.71</v>
      </c>
      <c r="Z260" t="n">
        <v>20.64</v>
      </c>
      <c r="AB260" t="b">
        <v>0</v>
      </c>
    </row>
    <row r="261">
      <c r="A261" t="inlineStr">
        <is>
          <t>Caffè Latte</t>
        </is>
      </c>
      <c r="B261" t="inlineStr">
        <is>
          <t>machine</t>
        </is>
      </c>
      <c r="C261" t="inlineStr">
        <is>
          <t>Coffee Kiosk</t>
        </is>
      </c>
      <c r="D261" t="n">
        <v>43</v>
      </c>
      <c r="E261" t="n">
        <v>219</v>
      </c>
      <c r="F261" t="inlineStr">
        <is>
          <t>hayday.info</t>
        </is>
      </c>
      <c r="G261" t="n">
        <v>1</v>
      </c>
      <c r="H261" t="n">
        <v>10</v>
      </c>
      <c r="I261" t="n">
        <v>8</v>
      </c>
      <c r="J261" t="n">
        <v>210</v>
      </c>
      <c r="K261" t="n">
        <v>53.33</v>
      </c>
      <c r="L261" t="n">
        <v>75</v>
      </c>
      <c r="M261" t="n">
        <v>60</v>
      </c>
      <c r="N261" t="n">
        <v>1000</v>
      </c>
      <c r="P261" t="n">
        <v>1188.33</v>
      </c>
      <c r="Q261" t="n">
        <v>1510</v>
      </c>
      <c r="R261" t="n">
        <v>11.06</v>
      </c>
      <c r="S261" t="n">
        <v>44.67</v>
      </c>
      <c r="T261" t="n">
        <v>1179.67</v>
      </c>
      <c r="U261" t="n">
        <v>1508</v>
      </c>
      <c r="V261" t="n">
        <v>11.14</v>
      </c>
      <c r="W261" t="n">
        <v>9</v>
      </c>
      <c r="X261" t="n">
        <v>54</v>
      </c>
      <c r="Y261" t="n">
        <v>67.5</v>
      </c>
      <c r="Z261" t="n">
        <v>63.53</v>
      </c>
      <c r="AA261" t="inlineStr">
        <is>
          <t>Coffee Bean x2; White Sugar x1; Milk x1</t>
        </is>
      </c>
      <c r="AB261" t="b">
        <v>0</v>
      </c>
      <c r="AC261" t="inlineStr">
        <is>
          <t>match (normal x0.85)</t>
        </is>
      </c>
    </row>
    <row r="262">
      <c r="A262" t="inlineStr">
        <is>
          <t>Soft Bouquet</t>
        </is>
      </c>
      <c r="B262" t="inlineStr">
        <is>
          <t>machine</t>
        </is>
      </c>
      <c r="C262" t="inlineStr">
        <is>
          <t>Flower Shop</t>
        </is>
      </c>
      <c r="D262" t="n">
        <v>93</v>
      </c>
      <c r="E262" t="n">
        <v>298</v>
      </c>
      <c r="F262" t="inlineStr">
        <is>
          <t>hayday.info</t>
        </is>
      </c>
      <c r="G262" t="n">
        <v>1</v>
      </c>
      <c r="H262" t="n">
        <v>30</v>
      </c>
      <c r="I262" t="n">
        <v>25</v>
      </c>
      <c r="J262" t="n">
        <v>280</v>
      </c>
      <c r="K262" t="n">
        <v>60</v>
      </c>
      <c r="L262" t="n">
        <v>1560</v>
      </c>
      <c r="M262" t="n">
        <v>0</v>
      </c>
      <c r="N262" t="n">
        <v>0</v>
      </c>
      <c r="P262" t="n">
        <v>1620</v>
      </c>
      <c r="Q262" t="n">
        <v>270</v>
      </c>
      <c r="R262" t="n">
        <v>11.04</v>
      </c>
      <c r="S262" t="n">
        <v>50</v>
      </c>
      <c r="T262" t="n">
        <v>1610</v>
      </c>
      <c r="U262" t="n">
        <v>265</v>
      </c>
      <c r="V262" t="n">
        <v>11.11</v>
      </c>
      <c r="W262" t="n">
        <v>18</v>
      </c>
      <c r="X262" t="n">
        <v>36</v>
      </c>
      <c r="Y262" t="n">
        <v>43.2</v>
      </c>
      <c r="Z262" t="n">
        <v>42.35</v>
      </c>
      <c r="AA262" t="inlineStr">
        <is>
          <t>Peony x4; Cotton x1; Cotton Fabric x1</t>
        </is>
      </c>
      <c r="AB262" t="b">
        <v>0</v>
      </c>
      <c r="AC262" t="inlineStr">
        <is>
          <t>match (normal x0.85)</t>
        </is>
      </c>
    </row>
    <row r="263">
      <c r="A263" t="inlineStr">
        <is>
          <t>Feta Pie</t>
        </is>
      </c>
      <c r="B263" t="inlineStr">
        <is>
          <t>machine</t>
        </is>
      </c>
      <c r="C263" t="inlineStr">
        <is>
          <t>Pie Oven</t>
        </is>
      </c>
      <c r="D263" t="n">
        <v>34</v>
      </c>
      <c r="E263" t="n">
        <v>223</v>
      </c>
      <c r="F263" t="inlineStr">
        <is>
          <t>hayday.info</t>
        </is>
      </c>
      <c r="G263" t="n">
        <v>1</v>
      </c>
      <c r="H263" t="n">
        <v>90</v>
      </c>
      <c r="I263" t="n">
        <v>76</v>
      </c>
      <c r="J263" t="n">
        <v>186</v>
      </c>
      <c r="K263" t="n">
        <v>208.33</v>
      </c>
      <c r="L263" t="n">
        <v>25</v>
      </c>
      <c r="M263" t="n">
        <v>980</v>
      </c>
      <c r="N263" t="n">
        <v>0</v>
      </c>
      <c r="P263" t="n">
        <v>1213.33</v>
      </c>
      <c r="Q263" t="n">
        <v>710</v>
      </c>
      <c r="R263" t="n">
        <v>11.03</v>
      </c>
      <c r="S263" t="n">
        <v>176</v>
      </c>
      <c r="T263" t="n">
        <v>1181</v>
      </c>
      <c r="U263" t="n">
        <v>676</v>
      </c>
      <c r="V263" t="n">
        <v>11.33</v>
      </c>
      <c r="W263" t="n">
        <v>37</v>
      </c>
      <c r="X263" t="n">
        <v>24.67</v>
      </c>
      <c r="Y263" t="n">
        <v>29.21</v>
      </c>
      <c r="Z263" t="n">
        <v>29.02</v>
      </c>
      <c r="AA263" t="inlineStr">
        <is>
          <t>Goat Cheese x1; Wheat x2; Egg x1</t>
        </is>
      </c>
      <c r="AB263" t="b">
        <v>1</v>
      </c>
      <c r="AC263" t="inlineStr">
        <is>
          <t>match (mastered)</t>
        </is>
      </c>
    </row>
    <row r="264">
      <c r="A264" t="inlineStr">
        <is>
          <t>Veggie Bagel</t>
        </is>
      </c>
      <c r="B264" t="inlineStr">
        <is>
          <t>machine</t>
        </is>
      </c>
      <c r="C264" t="inlineStr">
        <is>
          <t>Sandwich Bar</t>
        </is>
      </c>
      <c r="D264" t="n">
        <v>61</v>
      </c>
      <c r="E264" t="n">
        <v>532</v>
      </c>
      <c r="F264" t="inlineStr">
        <is>
          <t>hayday.info</t>
        </is>
      </c>
      <c r="G264" t="n">
        <v>1</v>
      </c>
      <c r="H264" t="n">
        <v>40</v>
      </c>
      <c r="I264" t="n">
        <v>34</v>
      </c>
      <c r="J264" t="n">
        <v>501</v>
      </c>
      <c r="K264" t="n">
        <v>95</v>
      </c>
      <c r="L264" t="n">
        <v>1362</v>
      </c>
      <c r="M264" t="n">
        <v>0</v>
      </c>
      <c r="N264" t="n">
        <v>1440</v>
      </c>
      <c r="P264" t="n">
        <v>2897</v>
      </c>
      <c r="Q264" t="n">
        <v>1525</v>
      </c>
      <c r="R264" t="n">
        <v>11.02</v>
      </c>
      <c r="S264" t="n">
        <v>80</v>
      </c>
      <c r="T264" t="n">
        <v>2882</v>
      </c>
      <c r="U264" t="n">
        <v>1512</v>
      </c>
      <c r="V264" t="n">
        <v>11.08</v>
      </c>
      <c r="W264" t="n">
        <v>31</v>
      </c>
      <c r="X264" t="n">
        <v>46.5</v>
      </c>
      <c r="Y264" t="n">
        <v>54.71</v>
      </c>
      <c r="Z264" t="n">
        <v>54.71</v>
      </c>
      <c r="AA264" t="inlineStr">
        <is>
          <t>Bread x2; Tomato x2; Lettuce x3; Olive Oil x1</t>
        </is>
      </c>
      <c r="AB264" t="b">
        <v>0</v>
      </c>
      <c r="AC264" t="inlineStr">
        <is>
          <t>match (mastered)</t>
        </is>
      </c>
    </row>
    <row r="265">
      <c r="A265" t="inlineStr">
        <is>
          <t>Broccoli Soup</t>
        </is>
      </c>
      <c r="B265" t="inlineStr">
        <is>
          <t>machine</t>
        </is>
      </c>
      <c r="C265" t="inlineStr">
        <is>
          <t>Soup Kitchen</t>
        </is>
      </c>
      <c r="D265" t="n">
        <v>87</v>
      </c>
      <c r="E265" t="n">
        <v>237</v>
      </c>
      <c r="F265" t="inlineStr">
        <is>
          <t>hayday.info</t>
        </is>
      </c>
      <c r="G265" t="n">
        <v>1</v>
      </c>
      <c r="H265" t="n">
        <v>90</v>
      </c>
      <c r="I265" t="n">
        <v>76</v>
      </c>
      <c r="J265" t="n">
        <v>210</v>
      </c>
      <c r="K265" t="n">
        <v>90</v>
      </c>
      <c r="L265" t="n">
        <v>1200</v>
      </c>
      <c r="M265" t="n">
        <v>0</v>
      </c>
      <c r="N265" t="n">
        <v>0</v>
      </c>
      <c r="P265" t="n">
        <v>1290</v>
      </c>
      <c r="Q265" t="n">
        <v>390</v>
      </c>
      <c r="R265" t="n">
        <v>11.02</v>
      </c>
      <c r="S265" t="n">
        <v>76</v>
      </c>
      <c r="T265" t="n">
        <v>1276</v>
      </c>
      <c r="U265" t="n">
        <v>376</v>
      </c>
      <c r="V265" t="n">
        <v>11.14</v>
      </c>
      <c r="W265" t="n">
        <v>27</v>
      </c>
      <c r="X265" t="n">
        <v>18</v>
      </c>
      <c r="Y265" t="n">
        <v>21.32</v>
      </c>
      <c r="Z265" t="n">
        <v>25.41</v>
      </c>
      <c r="AA265" t="inlineStr">
        <is>
          <t>Broccoli x3; Onion x1; Potato x3</t>
        </is>
      </c>
      <c r="AB265" t="b">
        <v>0</v>
      </c>
      <c r="AC265" t="inlineStr">
        <is>
          <t>differs - check recipe / ingredient prices</t>
        </is>
      </c>
    </row>
    <row r="266">
      <c r="A266" t="inlineStr">
        <is>
          <t>Chocolate Cake</t>
        </is>
      </c>
      <c r="B266" t="inlineStr">
        <is>
          <t>machine</t>
        </is>
      </c>
      <c r="C266" t="inlineStr">
        <is>
          <t>Cake Oven</t>
        </is>
      </c>
      <c r="D266" t="n">
        <v>36</v>
      </c>
      <c r="E266" t="n">
        <v>320</v>
      </c>
      <c r="F266" t="inlineStr">
        <is>
          <t>hayday.info</t>
        </is>
      </c>
      <c r="G266" t="n">
        <v>1</v>
      </c>
      <c r="H266" t="n">
        <v>120</v>
      </c>
      <c r="I266" t="n">
        <v>102</v>
      </c>
      <c r="J266" t="n">
        <v>286</v>
      </c>
      <c r="K266" t="n">
        <v>176.67</v>
      </c>
      <c r="L266" t="n">
        <v>60</v>
      </c>
      <c r="M266" t="n">
        <v>120</v>
      </c>
      <c r="N266" t="n">
        <v>1400</v>
      </c>
      <c r="P266" t="n">
        <v>1756.67</v>
      </c>
      <c r="Q266" t="n">
        <v>2220</v>
      </c>
      <c r="R266" t="n">
        <v>10.93</v>
      </c>
      <c r="S266" t="n">
        <v>149.33</v>
      </c>
      <c r="T266" t="n">
        <v>1729.33</v>
      </c>
      <c r="U266" t="n">
        <v>2202</v>
      </c>
      <c r="V266" t="n">
        <v>11.1</v>
      </c>
      <c r="W266" t="n">
        <v>34</v>
      </c>
      <c r="X266" t="n">
        <v>17</v>
      </c>
      <c r="Y266" t="n">
        <v>20</v>
      </c>
      <c r="Z266" t="n">
        <v>20</v>
      </c>
      <c r="AA266" t="inlineStr">
        <is>
          <t>Cacao x2; Brown Sugar x1; Butter x1</t>
        </is>
      </c>
      <c r="AB266" t="b">
        <v>1</v>
      </c>
      <c r="AC266" t="inlineStr">
        <is>
          <t>match (mastered)</t>
        </is>
      </c>
    </row>
    <row r="267">
      <c r="A267" t="inlineStr">
        <is>
          <t>Guava Compote</t>
        </is>
      </c>
      <c r="B267" t="inlineStr">
        <is>
          <t>machine</t>
        </is>
      </c>
      <c r="C267" t="inlineStr">
        <is>
          <t>Preservation Station</t>
        </is>
      </c>
      <c r="D267" t="n">
        <v>104</v>
      </c>
      <c r="E267" t="n">
        <v>421</v>
      </c>
      <c r="F267" t="inlineStr">
        <is>
          <t>hayday.info</t>
        </is>
      </c>
      <c r="G267" t="n">
        <v>1</v>
      </c>
      <c r="H267" t="n">
        <v>260</v>
      </c>
      <c r="I267" t="n">
        <v>221</v>
      </c>
      <c r="J267" t="n">
        <v>365</v>
      </c>
      <c r="K267" t="n">
        <v>300</v>
      </c>
      <c r="L267" t="n">
        <v>60</v>
      </c>
      <c r="M267" t="n">
        <v>0</v>
      </c>
      <c r="N267" t="n">
        <v>1960</v>
      </c>
      <c r="P267" t="n">
        <v>2320</v>
      </c>
      <c r="Q267" t="n">
        <v>2300</v>
      </c>
      <c r="R267" t="n">
        <v>10.89</v>
      </c>
      <c r="S267" t="n">
        <v>255</v>
      </c>
      <c r="T267" t="n">
        <v>2275</v>
      </c>
      <c r="U267" t="n">
        <v>2261</v>
      </c>
      <c r="V267" t="n">
        <v>11.1</v>
      </c>
      <c r="W267" t="n">
        <v>56</v>
      </c>
      <c r="X267" t="n">
        <v>12.92</v>
      </c>
      <c r="Y267" t="n">
        <v>15.2</v>
      </c>
      <c r="Z267" t="n">
        <v>12.92</v>
      </c>
      <c r="AA267" t="inlineStr">
        <is>
          <t>Guava x2; Lemon x1; White Sugar x1</t>
        </is>
      </c>
      <c r="AB267" t="b">
        <v>0</v>
      </c>
      <c r="AC267" t="inlineStr">
        <is>
          <t>match (site uses normal time)</t>
        </is>
      </c>
    </row>
    <row r="268">
      <c r="A268" t="inlineStr">
        <is>
          <t>Wooly Chaps</t>
        </is>
      </c>
      <c r="B268" t="inlineStr">
        <is>
          <t>machine</t>
        </is>
      </c>
      <c r="C268" t="inlineStr">
        <is>
          <t>Sewing Machine</t>
        </is>
      </c>
      <c r="D268" t="n">
        <v>21</v>
      </c>
      <c r="E268" t="n">
        <v>309</v>
      </c>
      <c r="F268" t="inlineStr">
        <is>
          <t>hayday.info</t>
        </is>
      </c>
      <c r="G268" t="n">
        <v>1</v>
      </c>
      <c r="H268" t="n">
        <v>90</v>
      </c>
      <c r="I268" t="n">
        <v>76</v>
      </c>
      <c r="J268" t="n">
        <v>270</v>
      </c>
      <c r="K268" t="n">
        <v>150</v>
      </c>
      <c r="L268" t="n">
        <v>476</v>
      </c>
      <c r="M268" t="n">
        <v>1080</v>
      </c>
      <c r="N268" t="n">
        <v>0</v>
      </c>
      <c r="P268" t="n">
        <v>1706</v>
      </c>
      <c r="Q268" t="n">
        <v>500</v>
      </c>
      <c r="R268" t="n">
        <v>10.87</v>
      </c>
      <c r="S268" t="n">
        <v>126</v>
      </c>
      <c r="T268" t="n">
        <v>1682</v>
      </c>
      <c r="U268" t="n">
        <v>481</v>
      </c>
      <c r="V268" t="n">
        <v>11.02</v>
      </c>
      <c r="W268" t="n">
        <v>39</v>
      </c>
      <c r="X268" t="n">
        <v>26</v>
      </c>
      <c r="Y268" t="n">
        <v>30.79</v>
      </c>
      <c r="Z268" t="n">
        <v>30.59</v>
      </c>
      <c r="AA268" t="inlineStr">
        <is>
          <t>Cotton Fabric x1; Wool x3</t>
        </is>
      </c>
      <c r="AB268" t="b">
        <v>1</v>
      </c>
      <c r="AC268" t="inlineStr">
        <is>
          <t>match (mastered)</t>
        </is>
      </c>
    </row>
    <row r="269">
      <c r="A269" t="inlineStr">
        <is>
          <t>Chili Stew</t>
        </is>
      </c>
      <c r="B269" t="inlineStr">
        <is>
          <t>machine</t>
        </is>
      </c>
      <c r="C269" t="inlineStr">
        <is>
          <t>Stew Pot</t>
        </is>
      </c>
      <c r="D269" t="n">
        <v>109</v>
      </c>
      <c r="E269" t="n">
        <v>370</v>
      </c>
      <c r="F269" t="inlineStr">
        <is>
          <t>hayday.info</t>
        </is>
      </c>
      <c r="G269" t="n">
        <v>1</v>
      </c>
      <c r="H269" t="n">
        <v>120</v>
      </c>
      <c r="I269" t="n">
        <v>102</v>
      </c>
      <c r="J269" t="n">
        <v>336</v>
      </c>
      <c r="K269" t="n">
        <v>156.67</v>
      </c>
      <c r="L269" t="n">
        <v>1361.67</v>
      </c>
      <c r="M269" t="n">
        <v>540</v>
      </c>
      <c r="N269" t="n">
        <v>0</v>
      </c>
      <c r="P269" t="n">
        <v>2058.33</v>
      </c>
      <c r="Q269" t="n">
        <v>420</v>
      </c>
      <c r="R269" t="n">
        <v>10.79</v>
      </c>
      <c r="S269" t="n">
        <v>133</v>
      </c>
      <c r="T269" t="n">
        <v>2034.67</v>
      </c>
      <c r="U269" t="n">
        <v>402</v>
      </c>
      <c r="V269" t="n">
        <v>10.91</v>
      </c>
      <c r="W269" t="n">
        <v>34</v>
      </c>
      <c r="X269" t="n">
        <v>17</v>
      </c>
      <c r="Y269" t="n">
        <v>20</v>
      </c>
      <c r="Z269" t="n">
        <v>17</v>
      </c>
      <c r="AA269" t="inlineStr">
        <is>
          <t>Chili Pepper x3; Bacon x2; Onion x2; Cream x1</t>
        </is>
      </c>
      <c r="AB269" t="b">
        <v>0</v>
      </c>
      <c r="AC269" t="inlineStr">
        <is>
          <t>match (site uses normal time)</t>
        </is>
      </c>
    </row>
    <row r="270">
      <c r="A270" t="inlineStr">
        <is>
          <t>Taco</t>
        </is>
      </c>
      <c r="B270" t="inlineStr">
        <is>
          <t>machine</t>
        </is>
      </c>
      <c r="C270" t="inlineStr">
        <is>
          <t>Taco Kitchen</t>
        </is>
      </c>
      <c r="D270" t="n">
        <v>77</v>
      </c>
      <c r="E270" t="n">
        <v>396</v>
      </c>
      <c r="F270" t="inlineStr">
        <is>
          <t>hayday.info</t>
        </is>
      </c>
      <c r="G270" t="n">
        <v>1</v>
      </c>
      <c r="H270" t="n">
        <v>45</v>
      </c>
      <c r="I270" t="n">
        <v>38</v>
      </c>
      <c r="J270" t="n">
        <v>374</v>
      </c>
      <c r="K270" t="n">
        <v>105</v>
      </c>
      <c r="L270" t="n">
        <v>1829.33</v>
      </c>
      <c r="M270" t="n">
        <v>280</v>
      </c>
      <c r="N270" t="n">
        <v>0</v>
      </c>
      <c r="P270" t="n">
        <v>2214.33</v>
      </c>
      <c r="Q270" t="n">
        <v>425</v>
      </c>
      <c r="R270" t="n">
        <v>10.73</v>
      </c>
      <c r="S270" t="n">
        <v>88.33</v>
      </c>
      <c r="T270" t="n">
        <v>2197.67</v>
      </c>
      <c r="U270" t="n">
        <v>415</v>
      </c>
      <c r="V270" t="n">
        <v>10.81</v>
      </c>
      <c r="W270" t="n">
        <v>22</v>
      </c>
      <c r="X270" t="n">
        <v>29.33</v>
      </c>
      <c r="Y270" t="n">
        <v>34.74</v>
      </c>
      <c r="Z270" t="n">
        <v>34.51</v>
      </c>
      <c r="AA270" t="inlineStr">
        <is>
          <t>Corn Bread x1; Bacon x1; Salsa x1</t>
        </is>
      </c>
      <c r="AB270" t="b">
        <v>0</v>
      </c>
      <c r="AC270" t="inlineStr">
        <is>
          <t>match (mastered)</t>
        </is>
      </c>
    </row>
    <row r="271">
      <c r="A271" t="inlineStr">
        <is>
          <t>Goat Cheese Toast</t>
        </is>
      </c>
      <c r="B271" t="inlineStr">
        <is>
          <t>machine</t>
        </is>
      </c>
      <c r="C271" t="inlineStr">
        <is>
          <t>Sandwich Bar</t>
        </is>
      </c>
      <c r="D271" t="n">
        <v>92</v>
      </c>
      <c r="E271" t="n">
        <v>302</v>
      </c>
      <c r="F271" t="inlineStr">
        <is>
          <t>hayday.info</t>
        </is>
      </c>
      <c r="G271" t="n">
        <v>1</v>
      </c>
      <c r="H271" t="n">
        <v>50</v>
      </c>
      <c r="I271" t="n">
        <v>42</v>
      </c>
      <c r="J271" t="n">
        <v>279</v>
      </c>
      <c r="K271" t="n">
        <v>171.67</v>
      </c>
      <c r="L271" t="n">
        <v>564</v>
      </c>
      <c r="M271" t="n">
        <v>960</v>
      </c>
      <c r="N271" t="n">
        <v>0</v>
      </c>
      <c r="P271" t="n">
        <v>1695.67</v>
      </c>
      <c r="Q271" t="n">
        <v>670</v>
      </c>
      <c r="R271" t="n">
        <v>10.69</v>
      </c>
      <c r="S271" t="n">
        <v>144.67</v>
      </c>
      <c r="T271" t="n">
        <v>1668.67</v>
      </c>
      <c r="U271" t="n">
        <v>642</v>
      </c>
      <c r="V271" t="n">
        <v>10.86</v>
      </c>
      <c r="W271" t="n">
        <v>23</v>
      </c>
      <c r="X271" t="n">
        <v>27.6</v>
      </c>
      <c r="Y271" t="n">
        <v>32.86</v>
      </c>
      <c r="Z271" t="n">
        <v>32.47</v>
      </c>
      <c r="AA271" t="inlineStr">
        <is>
          <t>Grapes x3; Goat Cheese x1; Bread x1</t>
        </is>
      </c>
      <c r="AB271" t="b">
        <v>0</v>
      </c>
      <c r="AC271" t="inlineStr">
        <is>
          <t>match (mastered)</t>
        </is>
      </c>
    </row>
    <row r="272">
      <c r="A272" t="inlineStr">
        <is>
          <t>Bacon Fries</t>
        </is>
      </c>
      <c r="B272" t="inlineStr">
        <is>
          <t>machine</t>
        </is>
      </c>
      <c r="C272" t="inlineStr">
        <is>
          <t>Deep Fryer</t>
        </is>
      </c>
      <c r="D272" t="n">
        <v>87</v>
      </c>
      <c r="E272" t="n">
        <v>302</v>
      </c>
      <c r="F272" t="inlineStr">
        <is>
          <t>hayday.info</t>
        </is>
      </c>
      <c r="G272" t="n">
        <v>1</v>
      </c>
      <c r="H272" t="n">
        <v>25</v>
      </c>
      <c r="I272" t="n">
        <v>21</v>
      </c>
      <c r="J272" t="n">
        <v>294</v>
      </c>
      <c r="K272" t="n">
        <v>38.33</v>
      </c>
      <c r="L272" t="n">
        <v>1176.67</v>
      </c>
      <c r="M272" t="n">
        <v>480</v>
      </c>
      <c r="N272" t="n">
        <v>0</v>
      </c>
      <c r="P272" t="n">
        <v>1695</v>
      </c>
      <c r="Q272" t="n">
        <v>305</v>
      </c>
      <c r="R272" t="n">
        <v>10.69</v>
      </c>
      <c r="S272" t="n">
        <v>32.33</v>
      </c>
      <c r="T272" t="n">
        <v>1689</v>
      </c>
      <c r="U272" t="n">
        <v>298</v>
      </c>
      <c r="V272" t="n">
        <v>10.73</v>
      </c>
      <c r="W272" t="n">
        <v>8</v>
      </c>
      <c r="X272" t="n">
        <v>19.2</v>
      </c>
      <c r="Y272" t="n">
        <v>22.86</v>
      </c>
      <c r="Z272" t="n">
        <v>22.59</v>
      </c>
      <c r="AA272" t="inlineStr">
        <is>
          <t>Chili Pepper x1; Bacon x2; Potato x4; Garlic x1</t>
        </is>
      </c>
      <c r="AB272" t="b">
        <v>0</v>
      </c>
      <c r="AC272" t="inlineStr">
        <is>
          <t>match (mastered)</t>
        </is>
      </c>
    </row>
    <row r="273">
      <c r="A273" t="inlineStr">
        <is>
          <t>Guava Juice</t>
        </is>
      </c>
      <c r="B273" t="inlineStr">
        <is>
          <t>machine</t>
        </is>
      </c>
      <c r="C273" t="inlineStr">
        <is>
          <t>Juice Press</t>
        </is>
      </c>
      <c r="D273" t="n">
        <v>104</v>
      </c>
      <c r="E273" t="n">
        <v>252</v>
      </c>
      <c r="F273" t="inlineStr">
        <is>
          <t>hayday.info</t>
        </is>
      </c>
      <c r="G273" t="n">
        <v>1</v>
      </c>
      <c r="H273" t="n">
        <v>55</v>
      </c>
      <c r="I273" t="n">
        <v>46</v>
      </c>
      <c r="J273" t="n">
        <v>222</v>
      </c>
      <c r="K273" t="n">
        <v>55</v>
      </c>
      <c r="L273" t="n">
        <v>0</v>
      </c>
      <c r="M273" t="n">
        <v>0</v>
      </c>
      <c r="N273" t="n">
        <v>1360</v>
      </c>
      <c r="P273" t="n">
        <v>1415</v>
      </c>
      <c r="Q273" t="n">
        <v>2095</v>
      </c>
      <c r="R273" t="n">
        <v>10.69</v>
      </c>
      <c r="S273" t="n">
        <v>46</v>
      </c>
      <c r="T273" t="n">
        <v>1406</v>
      </c>
      <c r="U273" t="n">
        <v>2086</v>
      </c>
      <c r="V273" t="n">
        <v>10.75</v>
      </c>
      <c r="W273" t="n">
        <v>30</v>
      </c>
      <c r="X273" t="n">
        <v>32.73</v>
      </c>
      <c r="Y273" t="n">
        <v>39.13</v>
      </c>
      <c r="Z273" t="n">
        <v>31.42</v>
      </c>
      <c r="AA273" t="inlineStr">
        <is>
          <t>Guava x2</t>
        </is>
      </c>
      <c r="AB273" t="b">
        <v>0</v>
      </c>
      <c r="AC273" t="inlineStr">
        <is>
          <t>differs - check recipe / ingredient prices</t>
        </is>
      </c>
    </row>
    <row r="274">
      <c r="A274" t="inlineStr">
        <is>
          <t>Grapes</t>
        </is>
      </c>
      <c r="B274" t="inlineStr">
        <is>
          <t>field</t>
        </is>
      </c>
      <c r="C274" t="inlineStr">
        <is>
          <t>Farm</t>
        </is>
      </c>
      <c r="D274" t="n">
        <v>84</v>
      </c>
      <c r="E274" t="n">
        <v>32</v>
      </c>
      <c r="F274" t="inlineStr">
        <is>
          <t>hayday.info</t>
        </is>
      </c>
      <c r="G274" t="n">
        <v>1</v>
      </c>
      <c r="H274" t="n">
        <v>180</v>
      </c>
      <c r="J274" t="n">
        <v>0</v>
      </c>
      <c r="K274" t="n">
        <v>0</v>
      </c>
      <c r="L274" t="n">
        <v>180</v>
      </c>
      <c r="M274" t="n">
        <v>0</v>
      </c>
      <c r="N274" t="n">
        <v>0</v>
      </c>
      <c r="P274" t="n">
        <v>180</v>
      </c>
      <c r="Q274" t="n">
        <v>180</v>
      </c>
      <c r="R274" t="n">
        <v>10.67</v>
      </c>
      <c r="S274" t="n">
        <v>0</v>
      </c>
      <c r="T274" t="n">
        <v>180</v>
      </c>
      <c r="U274" t="n">
        <v>180</v>
      </c>
      <c r="V274" t="n">
        <v>10.67</v>
      </c>
      <c r="W274" t="n">
        <v>32</v>
      </c>
      <c r="X274" t="n">
        <v>10.67</v>
      </c>
      <c r="Y274" t="n">
        <v>10.67</v>
      </c>
      <c r="Z274" t="n">
        <v>10.67</v>
      </c>
      <c r="AB274" t="b">
        <v>0</v>
      </c>
    </row>
    <row r="275">
      <c r="A275" t="inlineStr">
        <is>
          <t>Pumpkin</t>
        </is>
      </c>
      <c r="B275" t="inlineStr">
        <is>
          <t>field</t>
        </is>
      </c>
      <c r="C275" t="inlineStr">
        <is>
          <t>Farm</t>
        </is>
      </c>
      <c r="D275" t="n">
        <v>15</v>
      </c>
      <c r="E275" t="n">
        <v>32</v>
      </c>
      <c r="F275" t="inlineStr">
        <is>
          <t>hayday.info</t>
        </is>
      </c>
      <c r="G275" t="n">
        <v>1</v>
      </c>
      <c r="H275" t="n">
        <v>180</v>
      </c>
      <c r="J275" t="n">
        <v>0</v>
      </c>
      <c r="K275" t="n">
        <v>0</v>
      </c>
      <c r="L275" t="n">
        <v>180</v>
      </c>
      <c r="M275" t="n">
        <v>0</v>
      </c>
      <c r="N275" t="n">
        <v>0</v>
      </c>
      <c r="P275" t="n">
        <v>180</v>
      </c>
      <c r="Q275" t="n">
        <v>180</v>
      </c>
      <c r="R275" t="n">
        <v>10.67</v>
      </c>
      <c r="S275" t="n">
        <v>0</v>
      </c>
      <c r="T275" t="n">
        <v>180</v>
      </c>
      <c r="U275" t="n">
        <v>180</v>
      </c>
      <c r="V275" t="n">
        <v>10.67</v>
      </c>
      <c r="W275" t="n">
        <v>32</v>
      </c>
      <c r="X275" t="n">
        <v>10.67</v>
      </c>
      <c r="Y275" t="n">
        <v>10.67</v>
      </c>
      <c r="Z275" t="n">
        <v>10.67</v>
      </c>
      <c r="AB275" t="b">
        <v>1</v>
      </c>
    </row>
    <row r="276">
      <c r="A276" t="inlineStr">
        <is>
          <t>Mint</t>
        </is>
      </c>
      <c r="B276" t="inlineStr">
        <is>
          <t>field</t>
        </is>
      </c>
      <c r="C276" t="inlineStr">
        <is>
          <t>Farm</t>
        </is>
      </c>
      <c r="D276" t="n">
        <v>85</v>
      </c>
      <c r="E276" t="n">
        <v>32</v>
      </c>
      <c r="F276" t="inlineStr">
        <is>
          <t>hayday.info</t>
        </is>
      </c>
      <c r="G276" t="n">
        <v>1</v>
      </c>
      <c r="H276" t="n">
        <v>180</v>
      </c>
      <c r="J276" t="n">
        <v>0</v>
      </c>
      <c r="K276" t="n">
        <v>0</v>
      </c>
      <c r="L276" t="n">
        <v>180</v>
      </c>
      <c r="M276" t="n">
        <v>0</v>
      </c>
      <c r="N276" t="n">
        <v>0</v>
      </c>
      <c r="P276" t="n">
        <v>180</v>
      </c>
      <c r="Q276" t="n">
        <v>180</v>
      </c>
      <c r="R276" t="n">
        <v>10.67</v>
      </c>
      <c r="S276" t="n">
        <v>0</v>
      </c>
      <c r="T276" t="n">
        <v>180</v>
      </c>
      <c r="U276" t="n">
        <v>180</v>
      </c>
      <c r="V276" t="n">
        <v>10.67</v>
      </c>
      <c r="W276" t="n">
        <v>32</v>
      </c>
      <c r="X276" t="n">
        <v>10.67</v>
      </c>
      <c r="Y276" t="n">
        <v>10.67</v>
      </c>
      <c r="Z276" t="n">
        <v>10.67</v>
      </c>
      <c r="AB276" t="b">
        <v>0</v>
      </c>
    </row>
    <row r="277">
      <c r="A277" t="inlineStr">
        <is>
          <t>Macaroon</t>
        </is>
      </c>
      <c r="B277" t="inlineStr">
        <is>
          <t>machine</t>
        </is>
      </c>
      <c r="C277" t="inlineStr">
        <is>
          <t>Bakery</t>
        </is>
      </c>
      <c r="D277" t="n">
        <v>101</v>
      </c>
      <c r="E277" t="n">
        <v>421</v>
      </c>
      <c r="F277" t="inlineStr">
        <is>
          <t>hayday.info</t>
        </is>
      </c>
      <c r="G277" t="n">
        <v>1</v>
      </c>
      <c r="H277" t="n">
        <v>30</v>
      </c>
      <c r="I277" t="n">
        <v>25</v>
      </c>
      <c r="J277" t="n">
        <v>402</v>
      </c>
      <c r="K277" t="n">
        <v>110</v>
      </c>
      <c r="L277" t="n">
        <v>120</v>
      </c>
      <c r="M277" t="n">
        <v>0</v>
      </c>
      <c r="N277" t="n">
        <v>2140</v>
      </c>
      <c r="P277" t="n">
        <v>2370</v>
      </c>
      <c r="Q277" t="n">
        <v>2190</v>
      </c>
      <c r="R277" t="n">
        <v>10.66</v>
      </c>
      <c r="S277" t="n">
        <v>93</v>
      </c>
      <c r="T277" t="n">
        <v>2353</v>
      </c>
      <c r="U277" t="n">
        <v>2185</v>
      </c>
      <c r="V277" t="n">
        <v>10.74</v>
      </c>
      <c r="W277" t="n">
        <v>19</v>
      </c>
      <c r="X277" t="n">
        <v>38</v>
      </c>
      <c r="Y277" t="n">
        <v>45.6</v>
      </c>
      <c r="Z277" t="n">
        <v>38</v>
      </c>
      <c r="AA277" t="inlineStr">
        <is>
          <t>Cacao x1; Coconut x2; White Sugar x2</t>
        </is>
      </c>
      <c r="AB277" t="b">
        <v>0</v>
      </c>
      <c r="AC277" t="inlineStr">
        <is>
          <t>match (site uses normal time)</t>
        </is>
      </c>
    </row>
    <row r="278">
      <c r="A278" t="inlineStr">
        <is>
          <t>Veggie Platter</t>
        </is>
      </c>
      <c r="B278" t="inlineStr">
        <is>
          <t>machine</t>
        </is>
      </c>
      <c r="C278" t="inlineStr">
        <is>
          <t>Salad Bar</t>
        </is>
      </c>
      <c r="D278" t="n">
        <v>74</v>
      </c>
      <c r="E278" t="n">
        <v>266</v>
      </c>
      <c r="F278" t="inlineStr">
        <is>
          <t>hayday.info</t>
        </is>
      </c>
      <c r="G278" t="n">
        <v>1</v>
      </c>
      <c r="H278" t="n">
        <v>120</v>
      </c>
      <c r="I278" t="n">
        <v>102</v>
      </c>
      <c r="J278" t="n">
        <v>222</v>
      </c>
      <c r="K278" t="n">
        <v>143.33</v>
      </c>
      <c r="L278" t="n">
        <v>1295</v>
      </c>
      <c r="M278" t="n">
        <v>60</v>
      </c>
      <c r="N278" t="n">
        <v>0</v>
      </c>
      <c r="P278" t="n">
        <v>1498.33</v>
      </c>
      <c r="Q278" t="n">
        <v>480</v>
      </c>
      <c r="R278" t="n">
        <v>10.65</v>
      </c>
      <c r="S278" t="n">
        <v>121.67</v>
      </c>
      <c r="T278" t="n">
        <v>1476.67</v>
      </c>
      <c r="U278" t="n">
        <v>462</v>
      </c>
      <c r="V278" t="n">
        <v>10.81</v>
      </c>
      <c r="W278" t="n">
        <v>44</v>
      </c>
      <c r="X278" t="n">
        <v>22</v>
      </c>
      <c r="Y278" t="n">
        <v>25.88</v>
      </c>
      <c r="Z278" t="n">
        <v>25.88</v>
      </c>
      <c r="AA278" t="inlineStr">
        <is>
          <t>Bell Pepper x2; Carrot x2; Tomato x2; Cream x1</t>
        </is>
      </c>
      <c r="AB278" t="b">
        <v>0</v>
      </c>
      <c r="AC278" t="inlineStr">
        <is>
          <t>match (mastered)</t>
        </is>
      </c>
    </row>
    <row r="279">
      <c r="A279" t="inlineStr">
        <is>
          <t>Blue Sweater</t>
        </is>
      </c>
      <c r="B279" t="inlineStr">
        <is>
          <t>machine</t>
        </is>
      </c>
      <c r="C279" t="inlineStr">
        <is>
          <t>Loom</t>
        </is>
      </c>
      <c r="D279" t="n">
        <v>20</v>
      </c>
      <c r="E279" t="n">
        <v>208</v>
      </c>
      <c r="F279" t="inlineStr">
        <is>
          <t>hayday.info</t>
        </is>
      </c>
      <c r="G279" t="n">
        <v>1</v>
      </c>
      <c r="H279" t="n">
        <v>180</v>
      </c>
      <c r="I279" t="n">
        <v>153</v>
      </c>
      <c r="J279" t="n">
        <v>158</v>
      </c>
      <c r="K279" t="n">
        <v>200</v>
      </c>
      <c r="L279" t="n">
        <v>257.33</v>
      </c>
      <c r="M279" t="n">
        <v>720</v>
      </c>
      <c r="N279" t="n">
        <v>0</v>
      </c>
      <c r="P279" t="n">
        <v>1177.33</v>
      </c>
      <c r="Q279" t="n">
        <v>590</v>
      </c>
      <c r="R279" t="n">
        <v>10.6</v>
      </c>
      <c r="S279" t="n">
        <v>169.67</v>
      </c>
      <c r="T279" t="n">
        <v>1147</v>
      </c>
      <c r="U279" t="n">
        <v>558</v>
      </c>
      <c r="V279" t="n">
        <v>10.88</v>
      </c>
      <c r="W279" t="n">
        <v>50</v>
      </c>
      <c r="X279" t="n">
        <v>16.67</v>
      </c>
      <c r="Y279" t="n">
        <v>19.61</v>
      </c>
      <c r="Z279" t="n">
        <v>19.61</v>
      </c>
      <c r="AA279" t="inlineStr">
        <is>
          <t>Wool x2; Indigo x2</t>
        </is>
      </c>
      <c r="AB279" t="b">
        <v>1</v>
      </c>
      <c r="AC279" t="inlineStr">
        <is>
          <t>match (mastered)</t>
        </is>
      </c>
    </row>
    <row r="280">
      <c r="A280" t="inlineStr">
        <is>
          <t>Raspberry Muffin</t>
        </is>
      </c>
      <c r="B280" t="inlineStr">
        <is>
          <t>machine</t>
        </is>
      </c>
      <c r="C280" t="inlineStr">
        <is>
          <t>Bakery</t>
        </is>
      </c>
      <c r="D280" t="n">
        <v>19</v>
      </c>
      <c r="E280" t="n">
        <v>140</v>
      </c>
      <c r="F280" t="inlineStr">
        <is>
          <t>hayday.info</t>
        </is>
      </c>
      <c r="G280" t="n">
        <v>1</v>
      </c>
      <c r="H280" t="n">
        <v>45</v>
      </c>
      <c r="I280" t="n">
        <v>38</v>
      </c>
      <c r="J280" t="n">
        <v>116</v>
      </c>
      <c r="K280" t="n">
        <v>46.67</v>
      </c>
      <c r="L280" t="n">
        <v>7</v>
      </c>
      <c r="M280" t="n">
        <v>20</v>
      </c>
      <c r="N280" t="n">
        <v>720</v>
      </c>
      <c r="P280" t="n">
        <v>793.67</v>
      </c>
      <c r="Q280" t="n">
        <v>1125</v>
      </c>
      <c r="R280" t="n">
        <v>10.58</v>
      </c>
      <c r="S280" t="n">
        <v>39.33</v>
      </c>
      <c r="T280" t="n">
        <v>786.33</v>
      </c>
      <c r="U280" t="n">
        <v>1118</v>
      </c>
      <c r="V280" t="n">
        <v>10.68</v>
      </c>
      <c r="W280" t="n">
        <v>24</v>
      </c>
      <c r="X280" t="n">
        <v>32</v>
      </c>
      <c r="Y280" t="n">
        <v>37.89</v>
      </c>
      <c r="Z280" t="n">
        <v>37.65</v>
      </c>
      <c r="AA280" t="inlineStr">
        <is>
          <t>Wheat x2; Egg x1; Raspberry x2</t>
        </is>
      </c>
      <c r="AB280" t="b">
        <v>1</v>
      </c>
      <c r="AC280" t="inlineStr">
        <is>
          <t>match (mastered)</t>
        </is>
      </c>
    </row>
    <row r="281">
      <c r="A281" t="inlineStr">
        <is>
          <t>Blueberry Chutney</t>
        </is>
      </c>
      <c r="B281" t="inlineStr">
        <is>
          <t>machine</t>
        </is>
      </c>
      <c r="C281" t="inlineStr">
        <is>
          <t>Jam Maker</t>
        </is>
      </c>
      <c r="D281" t="n">
        <v>70</v>
      </c>
      <c r="E281" t="n">
        <v>579</v>
      </c>
      <c r="F281" t="inlineStr">
        <is>
          <t>Fandom</t>
        </is>
      </c>
      <c r="G281" t="n">
        <v>1</v>
      </c>
      <c r="H281" t="n">
        <v>240</v>
      </c>
      <c r="I281" t="n">
        <v>204</v>
      </c>
      <c r="J281" t="n">
        <v>410</v>
      </c>
      <c r="K281" t="n">
        <v>260</v>
      </c>
      <c r="L281" t="n">
        <v>330</v>
      </c>
      <c r="M281" t="n">
        <v>0</v>
      </c>
      <c r="N281" t="n">
        <v>2700</v>
      </c>
      <c r="P281" t="n">
        <v>3290</v>
      </c>
      <c r="Q281" t="n">
        <v>2340</v>
      </c>
      <c r="R281" t="n">
        <v>10.56</v>
      </c>
      <c r="S281" t="n">
        <v>221</v>
      </c>
      <c r="T281" t="n">
        <v>3251</v>
      </c>
      <c r="U281" t="n">
        <v>2304</v>
      </c>
      <c r="V281" t="n">
        <v>10.69</v>
      </c>
      <c r="W281" t="n">
        <v>169</v>
      </c>
      <c r="X281" t="n">
        <v>42.25</v>
      </c>
      <c r="Y281" t="n">
        <v>49.71</v>
      </c>
      <c r="AA281" t="inlineStr">
        <is>
          <t>Brown Sugar x1; Lemon x1; Onion x1; Blueberries x3</t>
        </is>
      </c>
      <c r="AB281" t="b">
        <v>0</v>
      </c>
    </row>
    <row r="282">
      <c r="A282" t="inlineStr">
        <is>
          <t>Banana Pancakes</t>
        </is>
      </c>
      <c r="B282" t="inlineStr">
        <is>
          <t>machine</t>
        </is>
      </c>
      <c r="C282" t="inlineStr">
        <is>
          <t>BBQ Grill</t>
        </is>
      </c>
      <c r="D282" t="n">
        <v>94</v>
      </c>
      <c r="E282" t="n">
        <v>352</v>
      </c>
      <c r="F282" t="inlineStr">
        <is>
          <t>hayday.info</t>
        </is>
      </c>
      <c r="G282" t="n">
        <v>1</v>
      </c>
      <c r="H282" t="n">
        <v>60</v>
      </c>
      <c r="I282" t="n">
        <v>51</v>
      </c>
      <c r="J282" t="n">
        <v>327</v>
      </c>
      <c r="K282" t="n">
        <v>83.33</v>
      </c>
      <c r="L282" t="n">
        <v>21</v>
      </c>
      <c r="M282" t="n">
        <v>60</v>
      </c>
      <c r="N282" t="n">
        <v>1840</v>
      </c>
      <c r="P282" t="n">
        <v>2004.33</v>
      </c>
      <c r="Q282" t="n">
        <v>1980</v>
      </c>
      <c r="R282" t="n">
        <v>10.54</v>
      </c>
      <c r="S282" t="n">
        <v>70.67</v>
      </c>
      <c r="T282" t="n">
        <v>1991.67</v>
      </c>
      <c r="U282" t="n">
        <v>1971</v>
      </c>
      <c r="V282" t="n">
        <v>10.6</v>
      </c>
      <c r="W282" t="n">
        <v>25</v>
      </c>
      <c r="X282" t="n">
        <v>25</v>
      </c>
      <c r="Y282" t="n">
        <v>29.41</v>
      </c>
      <c r="Z282" t="n">
        <v>29.41</v>
      </c>
      <c r="AA282" t="inlineStr">
        <is>
          <t>Banana x1; Blackberry x2; Wheat x3; Cream x1</t>
        </is>
      </c>
      <c r="AB282" t="b">
        <v>0</v>
      </c>
      <c r="AC282" t="inlineStr">
        <is>
          <t>match (mastered)</t>
        </is>
      </c>
    </row>
    <row r="283">
      <c r="A283" t="inlineStr">
        <is>
          <t>Onion Dog</t>
        </is>
      </c>
      <c r="B283" t="inlineStr">
        <is>
          <t>machine</t>
        </is>
      </c>
      <c r="C283" t="inlineStr">
        <is>
          <t>Hot Dog Stand</t>
        </is>
      </c>
      <c r="D283" t="n">
        <v>80</v>
      </c>
      <c r="E283" t="n">
        <v>306</v>
      </c>
      <c r="F283" t="inlineStr">
        <is>
          <t>hayday.info</t>
        </is>
      </c>
      <c r="G283" t="n">
        <v>1</v>
      </c>
      <c r="H283" t="n">
        <v>75</v>
      </c>
      <c r="I283" t="n">
        <v>63</v>
      </c>
      <c r="J283" t="n">
        <v>274</v>
      </c>
      <c r="K283" t="n">
        <v>93.33</v>
      </c>
      <c r="L283" t="n">
        <v>1172.67</v>
      </c>
      <c r="M283" t="n">
        <v>480</v>
      </c>
      <c r="N283" t="n">
        <v>0</v>
      </c>
      <c r="P283" t="n">
        <v>1746</v>
      </c>
      <c r="Q283" t="n">
        <v>375</v>
      </c>
      <c r="R283" t="n">
        <v>10.52</v>
      </c>
      <c r="S283" t="n">
        <v>78.33</v>
      </c>
      <c r="T283" t="n">
        <v>1731</v>
      </c>
      <c r="U283" t="n">
        <v>363</v>
      </c>
      <c r="V283" t="n">
        <v>10.61</v>
      </c>
      <c r="W283" t="n">
        <v>32</v>
      </c>
      <c r="X283" t="n">
        <v>25.6</v>
      </c>
      <c r="Y283" t="n">
        <v>30.48</v>
      </c>
      <c r="Z283" t="n">
        <v>30.12</v>
      </c>
      <c r="AA283" t="inlineStr">
        <is>
          <t>Bacon x2; Bread x1; Chili Pepper x1; Onion x3</t>
        </is>
      </c>
      <c r="AB283" t="b">
        <v>0</v>
      </c>
      <c r="AC283" t="inlineStr">
        <is>
          <t>match (mastered)</t>
        </is>
      </c>
    </row>
    <row r="284">
      <c r="A284" t="inlineStr">
        <is>
          <t>Pickles</t>
        </is>
      </c>
      <c r="B284" t="inlineStr">
        <is>
          <t>machine</t>
        </is>
      </c>
      <c r="C284" t="inlineStr">
        <is>
          <t>Preservation Station</t>
        </is>
      </c>
      <c r="D284" t="n">
        <v>91</v>
      </c>
      <c r="E284" t="n">
        <v>270</v>
      </c>
      <c r="F284" t="inlineStr">
        <is>
          <t>hayday.info</t>
        </is>
      </c>
      <c r="G284" t="n">
        <v>1</v>
      </c>
      <c r="H284" t="n">
        <v>240</v>
      </c>
      <c r="I284" t="n">
        <v>204</v>
      </c>
      <c r="J284" t="n">
        <v>213</v>
      </c>
      <c r="K284" t="n">
        <v>240</v>
      </c>
      <c r="L284" t="n">
        <v>705</v>
      </c>
      <c r="M284" t="n">
        <v>0</v>
      </c>
      <c r="N284" t="n">
        <v>600</v>
      </c>
      <c r="P284" t="n">
        <v>1545</v>
      </c>
      <c r="Q284" t="n">
        <v>2040</v>
      </c>
      <c r="R284" t="n">
        <v>10.49</v>
      </c>
      <c r="S284" t="n">
        <v>204</v>
      </c>
      <c r="T284" t="n">
        <v>1509</v>
      </c>
      <c r="U284" t="n">
        <v>2004</v>
      </c>
      <c r="V284" t="n">
        <v>10.74</v>
      </c>
      <c r="W284" t="n">
        <v>57</v>
      </c>
      <c r="X284" t="n">
        <v>14.25</v>
      </c>
      <c r="Y284" t="n">
        <v>16.76</v>
      </c>
      <c r="Z284" t="n">
        <v>16.76</v>
      </c>
      <c r="AA284" t="inlineStr">
        <is>
          <t>Cucumber x3; Onion x2; Lemon x1</t>
        </is>
      </c>
      <c r="AB284" t="b">
        <v>0</v>
      </c>
      <c r="AC284" t="inlineStr">
        <is>
          <t>match (mastered)</t>
        </is>
      </c>
    </row>
    <row r="285">
      <c r="A285" t="inlineStr">
        <is>
          <t>Black Sesame Smoothie</t>
        </is>
      </c>
      <c r="B285" t="inlineStr">
        <is>
          <t>machine</t>
        </is>
      </c>
      <c r="C285" t="inlineStr">
        <is>
          <t>Smoothie Mixer</t>
        </is>
      </c>
      <c r="D285" t="n">
        <v>93</v>
      </c>
      <c r="E285" t="n">
        <v>313</v>
      </c>
      <c r="F285" t="inlineStr">
        <is>
          <t>hayday.info</t>
        </is>
      </c>
      <c r="G285" t="n">
        <v>1</v>
      </c>
      <c r="H285" t="n">
        <v>45</v>
      </c>
      <c r="I285" t="n">
        <v>38</v>
      </c>
      <c r="J285" t="n">
        <v>286</v>
      </c>
      <c r="K285" t="n">
        <v>71.67</v>
      </c>
      <c r="L285" t="n">
        <v>198</v>
      </c>
      <c r="M285" t="n">
        <v>960</v>
      </c>
      <c r="N285" t="n">
        <v>560</v>
      </c>
      <c r="P285" t="n">
        <v>1789.67</v>
      </c>
      <c r="Q285" t="n">
        <v>1725</v>
      </c>
      <c r="R285" t="n">
        <v>10.49</v>
      </c>
      <c r="S285" t="n">
        <v>60.67</v>
      </c>
      <c r="T285" t="n">
        <v>1778.67</v>
      </c>
      <c r="U285" t="n">
        <v>1718</v>
      </c>
      <c r="V285" t="n">
        <v>10.56</v>
      </c>
      <c r="W285" t="n">
        <v>27</v>
      </c>
      <c r="X285" t="n">
        <v>36</v>
      </c>
      <c r="Y285" t="n">
        <v>42.63</v>
      </c>
      <c r="Z285" t="n">
        <v>42.35</v>
      </c>
      <c r="AA285" t="inlineStr">
        <is>
          <t>Sesame x3; Banana x1; Goat Milk x2</t>
        </is>
      </c>
      <c r="AB285" t="b">
        <v>0</v>
      </c>
      <c r="AC285" t="inlineStr">
        <is>
          <t>match (mastered)</t>
        </is>
      </c>
    </row>
    <row r="286">
      <c r="A286" t="inlineStr">
        <is>
          <t>Tropical Smoothie</t>
        </is>
      </c>
      <c r="B286" t="inlineStr">
        <is>
          <t>machine</t>
        </is>
      </c>
      <c r="C286" t="inlineStr">
        <is>
          <t>Smoothie Mixer</t>
        </is>
      </c>
      <c r="D286" t="n">
        <v>104</v>
      </c>
      <c r="E286" t="n">
        <v>475</v>
      </c>
      <c r="F286" t="inlineStr">
        <is>
          <t>hayday.info</t>
        </is>
      </c>
      <c r="G286" t="n">
        <v>1</v>
      </c>
      <c r="H286" t="n">
        <v>40</v>
      </c>
      <c r="I286" t="n">
        <v>34</v>
      </c>
      <c r="J286" t="n">
        <v>448</v>
      </c>
      <c r="K286" t="n">
        <v>40</v>
      </c>
      <c r="L286" t="n">
        <v>120</v>
      </c>
      <c r="M286" t="n">
        <v>0</v>
      </c>
      <c r="N286" t="n">
        <v>2560</v>
      </c>
      <c r="P286" t="n">
        <v>2720</v>
      </c>
      <c r="Q286" t="n">
        <v>2200</v>
      </c>
      <c r="R286" t="n">
        <v>10.48</v>
      </c>
      <c r="S286" t="n">
        <v>34</v>
      </c>
      <c r="T286" t="n">
        <v>2714</v>
      </c>
      <c r="U286" t="n">
        <v>2194</v>
      </c>
      <c r="V286" t="n">
        <v>10.5</v>
      </c>
      <c r="W286" t="n">
        <v>27</v>
      </c>
      <c r="X286" t="n">
        <v>40.5</v>
      </c>
      <c r="Y286" t="n">
        <v>47.65</v>
      </c>
      <c r="Z286" t="n">
        <v>40.5</v>
      </c>
      <c r="AA286" t="inlineStr">
        <is>
          <t>Coconut x1; Banana x1; Passion Fruit x2; Mango x2</t>
        </is>
      </c>
      <c r="AB286" t="b">
        <v>0</v>
      </c>
      <c r="AC286" t="inlineStr">
        <is>
          <t>match (site uses normal time)</t>
        </is>
      </c>
    </row>
    <row r="287">
      <c r="A287" t="inlineStr">
        <is>
          <t>Grape Jam</t>
        </is>
      </c>
      <c r="B287" t="inlineStr">
        <is>
          <t>machine</t>
        </is>
      </c>
      <c r="C287" t="inlineStr">
        <is>
          <t>Jam Maker</t>
        </is>
      </c>
      <c r="D287" t="n">
        <v>85</v>
      </c>
      <c r="E287" t="n">
        <v>162</v>
      </c>
      <c r="F287" t="inlineStr">
        <is>
          <t>hayday.info</t>
        </is>
      </c>
      <c r="G287" t="n">
        <v>1</v>
      </c>
      <c r="H287" t="n">
        <v>390</v>
      </c>
      <c r="I287" t="n">
        <v>331</v>
      </c>
      <c r="J287" t="n">
        <v>96</v>
      </c>
      <c r="K287" t="n">
        <v>390</v>
      </c>
      <c r="L287" t="n">
        <v>540</v>
      </c>
      <c r="M287" t="n">
        <v>0</v>
      </c>
      <c r="N287" t="n">
        <v>0</v>
      </c>
      <c r="P287" t="n">
        <v>930</v>
      </c>
      <c r="Q287" t="n">
        <v>570</v>
      </c>
      <c r="R287" t="n">
        <v>10.45</v>
      </c>
      <c r="S287" t="n">
        <v>331</v>
      </c>
      <c r="T287" t="n">
        <v>871</v>
      </c>
      <c r="U287" t="n">
        <v>511</v>
      </c>
      <c r="V287" t="n">
        <v>11.16</v>
      </c>
      <c r="W287" t="n">
        <v>66</v>
      </c>
      <c r="X287" t="n">
        <v>10.15</v>
      </c>
      <c r="Y287" t="n">
        <v>11.96</v>
      </c>
      <c r="Z287" t="n">
        <v>11.95</v>
      </c>
      <c r="AA287" t="inlineStr">
        <is>
          <t>Grapes x3</t>
        </is>
      </c>
      <c r="AB287" t="b">
        <v>0</v>
      </c>
      <c r="AC287" t="inlineStr">
        <is>
          <t>match (mastered)</t>
        </is>
      </c>
    </row>
    <row r="288">
      <c r="A288" t="inlineStr">
        <is>
          <t>Berry Juice</t>
        </is>
      </c>
      <c r="B288" t="inlineStr">
        <is>
          <t>machine</t>
        </is>
      </c>
      <c r="C288" t="inlineStr">
        <is>
          <t>Juice Press</t>
        </is>
      </c>
      <c r="D288" t="n">
        <v>31</v>
      </c>
      <c r="E288" t="n">
        <v>205</v>
      </c>
      <c r="F288" t="inlineStr">
        <is>
          <t>hayday.info</t>
        </is>
      </c>
      <c r="G288" t="n">
        <v>1</v>
      </c>
      <c r="H288" t="n">
        <v>180</v>
      </c>
      <c r="I288" t="n">
        <v>153</v>
      </c>
      <c r="J288" t="n">
        <v>128</v>
      </c>
      <c r="K288" t="n">
        <v>180</v>
      </c>
      <c r="L288" t="n">
        <v>0</v>
      </c>
      <c r="M288" t="n">
        <v>0</v>
      </c>
      <c r="N288" t="n">
        <v>1000</v>
      </c>
      <c r="P288" t="n">
        <v>1180</v>
      </c>
      <c r="Q288" t="n">
        <v>2100</v>
      </c>
      <c r="R288" t="n">
        <v>10.42</v>
      </c>
      <c r="S288" t="n">
        <v>153</v>
      </c>
      <c r="T288" t="n">
        <v>1153</v>
      </c>
      <c r="U288" t="n">
        <v>2073</v>
      </c>
      <c r="V288" t="n">
        <v>10.67</v>
      </c>
      <c r="W288" t="n">
        <v>77</v>
      </c>
      <c r="X288" t="n">
        <v>25.67</v>
      </c>
      <c r="Y288" t="n">
        <v>30.2</v>
      </c>
      <c r="Z288" t="n">
        <v>30.2</v>
      </c>
      <c r="AA288" t="inlineStr">
        <is>
          <t>Blackberry x1; Raspberry x1</t>
        </is>
      </c>
      <c r="AB288" t="b">
        <v>1</v>
      </c>
      <c r="AC288" t="inlineStr">
        <is>
          <t>match (mastered)</t>
        </is>
      </c>
    </row>
    <row r="289">
      <c r="A289" t="inlineStr">
        <is>
          <t>Winter Stew</t>
        </is>
      </c>
      <c r="B289" t="inlineStr">
        <is>
          <t>machine</t>
        </is>
      </c>
      <c r="C289" t="inlineStr">
        <is>
          <t>Stew Pot</t>
        </is>
      </c>
      <c r="D289" t="n">
        <v>112</v>
      </c>
      <c r="E289" t="n">
        <v>295</v>
      </c>
      <c r="F289" t="inlineStr">
        <is>
          <t>hayday.info</t>
        </is>
      </c>
      <c r="G289" t="n">
        <v>1</v>
      </c>
      <c r="H289" t="n">
        <v>140</v>
      </c>
      <c r="I289" t="n">
        <v>119</v>
      </c>
      <c r="J289" t="n">
        <v>256</v>
      </c>
      <c r="K289" t="n">
        <v>146.67</v>
      </c>
      <c r="L289" t="n">
        <v>1313.33</v>
      </c>
      <c r="M289" t="n">
        <v>240</v>
      </c>
      <c r="N289" t="n">
        <v>0</v>
      </c>
      <c r="P289" t="n">
        <v>1700</v>
      </c>
      <c r="Q289" t="n">
        <v>440</v>
      </c>
      <c r="R289" t="n">
        <v>10.41</v>
      </c>
      <c r="S289" t="n">
        <v>124.67</v>
      </c>
      <c r="T289" t="n">
        <v>1678</v>
      </c>
      <c r="U289" t="n">
        <v>419</v>
      </c>
      <c r="V289" t="n">
        <v>10.55</v>
      </c>
      <c r="W289" t="n">
        <v>39</v>
      </c>
      <c r="X289" t="n">
        <v>16.71</v>
      </c>
      <c r="Y289" t="n">
        <v>19.66</v>
      </c>
      <c r="Z289" t="n">
        <v>9.75</v>
      </c>
      <c r="AA289" t="inlineStr">
        <is>
          <t>Bacon x1; Potato x3; Onion x2; Mushroom x2</t>
        </is>
      </c>
      <c r="AB289" t="b">
        <v>0</v>
      </c>
      <c r="AC289" t="inlineStr">
        <is>
          <t>differs - check recipe / ingredient prices</t>
        </is>
      </c>
    </row>
    <row r="290">
      <c r="A290" t="inlineStr">
        <is>
          <t>Mango Juice</t>
        </is>
      </c>
      <c r="B290" t="inlineStr">
        <is>
          <t>machine</t>
        </is>
      </c>
      <c r="C290" t="inlineStr">
        <is>
          <t>Juice Press</t>
        </is>
      </c>
      <c r="D290" t="n">
        <v>97</v>
      </c>
      <c r="E290" t="n">
        <v>230</v>
      </c>
      <c r="F290" t="inlineStr">
        <is>
          <t>hayday.info</t>
        </is>
      </c>
      <c r="G290" t="n">
        <v>1</v>
      </c>
      <c r="H290" t="n">
        <v>50</v>
      </c>
      <c r="I290" t="n">
        <v>42</v>
      </c>
      <c r="J290" t="n">
        <v>200</v>
      </c>
      <c r="K290" t="n">
        <v>50</v>
      </c>
      <c r="L290" t="n">
        <v>0</v>
      </c>
      <c r="M290" t="n">
        <v>0</v>
      </c>
      <c r="N290" t="n">
        <v>1280</v>
      </c>
      <c r="P290" t="n">
        <v>1330</v>
      </c>
      <c r="Q290" t="n">
        <v>1970</v>
      </c>
      <c r="R290" t="n">
        <v>10.38</v>
      </c>
      <c r="S290" t="n">
        <v>42</v>
      </c>
      <c r="T290" t="n">
        <v>1322</v>
      </c>
      <c r="U290" t="n">
        <v>1962</v>
      </c>
      <c r="V290" t="n">
        <v>10.44</v>
      </c>
      <c r="W290" t="n">
        <v>30</v>
      </c>
      <c r="X290" t="n">
        <v>36</v>
      </c>
      <c r="Y290" t="n">
        <v>42.86</v>
      </c>
      <c r="Z290" t="n">
        <v>42.35</v>
      </c>
      <c r="AA290" t="inlineStr">
        <is>
          <t>Mango x2</t>
        </is>
      </c>
      <c r="AB290" t="b">
        <v>0</v>
      </c>
      <c r="AC290" t="inlineStr">
        <is>
          <t>match (mastered)</t>
        </is>
      </c>
    </row>
    <row r="291">
      <c r="A291" t="inlineStr">
        <is>
          <t>Flower Crown</t>
        </is>
      </c>
      <c r="B291" t="inlineStr">
        <is>
          <t>machine</t>
        </is>
      </c>
      <c r="C291" t="inlineStr">
        <is>
          <t>Hat Maker</t>
        </is>
      </c>
      <c r="D291" t="n">
        <v>86</v>
      </c>
      <c r="E291" t="n">
        <v>331</v>
      </c>
      <c r="F291" t="inlineStr">
        <is>
          <t>hayday.info</t>
        </is>
      </c>
      <c r="G291" t="n">
        <v>1</v>
      </c>
      <c r="H291" t="n">
        <v>120</v>
      </c>
      <c r="I291" t="n">
        <v>102</v>
      </c>
      <c r="J291" t="n">
        <v>292</v>
      </c>
      <c r="K291" t="n">
        <v>120</v>
      </c>
      <c r="L291" t="n">
        <v>1800</v>
      </c>
      <c r="M291" t="n">
        <v>0</v>
      </c>
      <c r="N291" t="n">
        <v>0</v>
      </c>
      <c r="P291" t="n">
        <v>1920</v>
      </c>
      <c r="Q291" t="n">
        <v>360</v>
      </c>
      <c r="R291" t="n">
        <v>10.34</v>
      </c>
      <c r="S291" t="n">
        <v>102</v>
      </c>
      <c r="T291" t="n">
        <v>1902</v>
      </c>
      <c r="U291" t="n">
        <v>342</v>
      </c>
      <c r="V291" t="n">
        <v>10.44</v>
      </c>
      <c r="W291" t="n">
        <v>39</v>
      </c>
      <c r="X291" t="n">
        <v>19.5</v>
      </c>
      <c r="Y291" t="n">
        <v>22.94</v>
      </c>
      <c r="Z291" t="n">
        <v>22.94</v>
      </c>
      <c r="AA291" t="inlineStr">
        <is>
          <t>Peony x5; Cotton x4</t>
        </is>
      </c>
      <c r="AB291" t="b">
        <v>0</v>
      </c>
      <c r="AC291" t="inlineStr">
        <is>
          <t>match (mastered)</t>
        </is>
      </c>
    </row>
    <row r="292">
      <c r="A292" t="inlineStr">
        <is>
          <t>Sweater</t>
        </is>
      </c>
      <c r="B292" t="inlineStr">
        <is>
          <t>machine</t>
        </is>
      </c>
      <c r="C292" t="inlineStr">
        <is>
          <t>Loom</t>
        </is>
      </c>
      <c r="D292" t="n">
        <v>17</v>
      </c>
      <c r="E292" t="n">
        <v>151</v>
      </c>
      <c r="F292" t="inlineStr">
        <is>
          <t>hayday.info</t>
        </is>
      </c>
      <c r="G292" t="n">
        <v>1</v>
      </c>
      <c r="H292" t="n">
        <v>120</v>
      </c>
      <c r="I292" t="n">
        <v>102</v>
      </c>
      <c r="J292" t="n">
        <v>108</v>
      </c>
      <c r="K292" t="n">
        <v>140</v>
      </c>
      <c r="L292" t="n">
        <v>17.33</v>
      </c>
      <c r="M292" t="n">
        <v>720</v>
      </c>
      <c r="N292" t="n">
        <v>0</v>
      </c>
      <c r="P292" t="n">
        <v>877.33</v>
      </c>
      <c r="Q292" t="n">
        <v>530</v>
      </c>
      <c r="R292" t="n">
        <v>10.33</v>
      </c>
      <c r="S292" t="n">
        <v>118.67</v>
      </c>
      <c r="T292" t="n">
        <v>856</v>
      </c>
      <c r="U292" t="n">
        <v>507</v>
      </c>
      <c r="V292" t="n">
        <v>10.58</v>
      </c>
      <c r="W292" t="n">
        <v>43</v>
      </c>
      <c r="X292" t="n">
        <v>21.5</v>
      </c>
      <c r="Y292" t="n">
        <v>25.29</v>
      </c>
      <c r="Z292" t="n">
        <v>25.29</v>
      </c>
      <c r="AA292" t="inlineStr">
        <is>
          <t>Wool x2</t>
        </is>
      </c>
      <c r="AB292" t="b">
        <v>1</v>
      </c>
      <c r="AC292" t="inlineStr">
        <is>
          <t>match (mastered)</t>
        </is>
      </c>
    </row>
    <row r="293">
      <c r="A293" t="inlineStr">
        <is>
          <t>Orange Juice</t>
        </is>
      </c>
      <c r="B293" t="inlineStr">
        <is>
          <t>machine</t>
        </is>
      </c>
      <c r="C293" t="inlineStr">
        <is>
          <t>Juice Press</t>
        </is>
      </c>
      <c r="D293" t="n">
        <v>71</v>
      </c>
      <c r="E293" t="n">
        <v>234</v>
      </c>
      <c r="F293" t="inlineStr">
        <is>
          <t>hayday.info</t>
        </is>
      </c>
      <c r="G293" t="n">
        <v>1</v>
      </c>
      <c r="H293" t="n">
        <v>120</v>
      </c>
      <c r="I293" t="n">
        <v>102</v>
      </c>
      <c r="J293" t="n">
        <v>194</v>
      </c>
      <c r="K293" t="n">
        <v>120</v>
      </c>
      <c r="L293" t="n">
        <v>0</v>
      </c>
      <c r="M293" t="n">
        <v>0</v>
      </c>
      <c r="N293" t="n">
        <v>1240</v>
      </c>
      <c r="P293" t="n">
        <v>1360</v>
      </c>
      <c r="Q293" t="n">
        <v>1980</v>
      </c>
      <c r="R293" t="n">
        <v>10.32</v>
      </c>
      <c r="S293" t="n">
        <v>102</v>
      </c>
      <c r="T293" t="n">
        <v>1342</v>
      </c>
      <c r="U293" t="n">
        <v>1962</v>
      </c>
      <c r="V293" t="n">
        <v>10.46</v>
      </c>
      <c r="W293" t="n">
        <v>40</v>
      </c>
      <c r="X293" t="n">
        <v>20</v>
      </c>
      <c r="Y293" t="n">
        <v>23.53</v>
      </c>
      <c r="Z293" t="n">
        <v>23.53</v>
      </c>
      <c r="AA293" t="inlineStr">
        <is>
          <t>Orange x2</t>
        </is>
      </c>
      <c r="AB293" t="b">
        <v>0</v>
      </c>
      <c r="AC293" t="inlineStr">
        <is>
          <t>match (mastered)</t>
        </is>
      </c>
    </row>
    <row r="294">
      <c r="A294" t="inlineStr">
        <is>
          <t>Potato Soup</t>
        </is>
      </c>
      <c r="B294" t="inlineStr">
        <is>
          <t>machine</t>
        </is>
      </c>
      <c r="C294" t="inlineStr">
        <is>
          <t>Soup Kitchen</t>
        </is>
      </c>
      <c r="D294" t="n">
        <v>78</v>
      </c>
      <c r="E294" t="n">
        <v>255</v>
      </c>
      <c r="F294" t="inlineStr">
        <is>
          <t>hayday.info</t>
        </is>
      </c>
      <c r="G294" t="n">
        <v>1</v>
      </c>
      <c r="H294" t="n">
        <v>150</v>
      </c>
      <c r="I294" t="n">
        <v>127</v>
      </c>
      <c r="J294" t="n">
        <v>218</v>
      </c>
      <c r="K294" t="n">
        <v>153.33</v>
      </c>
      <c r="L294" t="n">
        <v>1275</v>
      </c>
      <c r="M294" t="n">
        <v>60</v>
      </c>
      <c r="N294" t="n">
        <v>0</v>
      </c>
      <c r="P294" t="n">
        <v>1488.33</v>
      </c>
      <c r="Q294" t="n">
        <v>450</v>
      </c>
      <c r="R294" t="n">
        <v>10.28</v>
      </c>
      <c r="S294" t="n">
        <v>129.67</v>
      </c>
      <c r="T294" t="n">
        <v>1464.67</v>
      </c>
      <c r="U294" t="n">
        <v>427</v>
      </c>
      <c r="V294" t="n">
        <v>10.45</v>
      </c>
      <c r="W294" t="n">
        <v>37</v>
      </c>
      <c r="X294" t="n">
        <v>14.8</v>
      </c>
      <c r="Y294" t="n">
        <v>17.48</v>
      </c>
      <c r="Z294" t="n">
        <v>17.41</v>
      </c>
      <c r="AA294" t="inlineStr">
        <is>
          <t>Potato x3; Onion x2; Milk x1</t>
        </is>
      </c>
      <c r="AB294" t="b">
        <v>0</v>
      </c>
      <c r="AC294" t="inlineStr">
        <is>
          <t>match (mastered)</t>
        </is>
      </c>
    </row>
    <row r="295">
      <c r="A295" t="inlineStr">
        <is>
          <t>Olive</t>
        </is>
      </c>
      <c r="B295" t="inlineStr">
        <is>
          <t>tree</t>
        </is>
      </c>
      <c r="C295" t="inlineStr">
        <is>
          <t>Olive Tree</t>
        </is>
      </c>
      <c r="D295" t="n">
        <v>57</v>
      </c>
      <c r="E295" t="n">
        <v>82</v>
      </c>
      <c r="F295" t="inlineStr">
        <is>
          <t>hayday.info</t>
        </is>
      </c>
      <c r="G295" t="n">
        <v>1</v>
      </c>
      <c r="H295" t="n">
        <v>1440</v>
      </c>
      <c r="J295" t="n">
        <v>0</v>
      </c>
      <c r="K295" t="n">
        <v>0</v>
      </c>
      <c r="L295" t="n">
        <v>0</v>
      </c>
      <c r="M295" t="n">
        <v>0</v>
      </c>
      <c r="N295" t="n">
        <v>480</v>
      </c>
      <c r="P295" t="n">
        <v>480</v>
      </c>
      <c r="Q295" t="n">
        <v>1440</v>
      </c>
      <c r="R295" t="n">
        <v>10.25</v>
      </c>
      <c r="S295" t="n">
        <v>0</v>
      </c>
      <c r="T295" t="n">
        <v>480</v>
      </c>
      <c r="U295" t="n">
        <v>1440</v>
      </c>
      <c r="V295" t="n">
        <v>10.25</v>
      </c>
      <c r="W295" t="n">
        <v>82</v>
      </c>
      <c r="X295" t="n">
        <v>3.42</v>
      </c>
      <c r="Y295" t="n">
        <v>3.42</v>
      </c>
      <c r="Z295" t="n">
        <v>19.02</v>
      </c>
      <c r="AB295" t="b">
        <v>0</v>
      </c>
    </row>
    <row r="296">
      <c r="A296" t="inlineStr">
        <is>
          <t>Cherry Juice</t>
        </is>
      </c>
      <c r="B296" t="inlineStr">
        <is>
          <t>machine</t>
        </is>
      </c>
      <c r="C296" t="inlineStr">
        <is>
          <t>Juice Press</t>
        </is>
      </c>
      <c r="D296" t="n">
        <v>30</v>
      </c>
      <c r="E296" t="n">
        <v>216</v>
      </c>
      <c r="F296" t="inlineStr">
        <is>
          <t>hayday.info</t>
        </is>
      </c>
      <c r="G296" t="n">
        <v>1</v>
      </c>
      <c r="H296" t="n">
        <v>150</v>
      </c>
      <c r="I296" t="n">
        <v>127</v>
      </c>
      <c r="J296" t="n">
        <v>136</v>
      </c>
      <c r="K296" t="n">
        <v>150</v>
      </c>
      <c r="L296" t="n">
        <v>0</v>
      </c>
      <c r="M296" t="n">
        <v>0</v>
      </c>
      <c r="N296" t="n">
        <v>1120</v>
      </c>
      <c r="P296" t="n">
        <v>1270</v>
      </c>
      <c r="Q296" t="n">
        <v>1830</v>
      </c>
      <c r="R296" t="n">
        <v>10.2</v>
      </c>
      <c r="S296" t="n">
        <v>127</v>
      </c>
      <c r="T296" t="n">
        <v>1247</v>
      </c>
      <c r="U296" t="n">
        <v>1807</v>
      </c>
      <c r="V296" t="n">
        <v>10.39</v>
      </c>
      <c r="W296" t="n">
        <v>80</v>
      </c>
      <c r="X296" t="n">
        <v>32</v>
      </c>
      <c r="Y296" t="n">
        <v>37.8</v>
      </c>
      <c r="Z296" t="n">
        <v>37.65</v>
      </c>
      <c r="AA296" t="inlineStr">
        <is>
          <t>Cherry x2</t>
        </is>
      </c>
      <c r="AB296" t="b">
        <v>1</v>
      </c>
      <c r="AC296" t="inlineStr">
        <is>
          <t>match (mastered)</t>
        </is>
      </c>
    </row>
    <row r="297">
      <c r="A297" t="inlineStr">
        <is>
          <t>Apple Juice</t>
        </is>
      </c>
      <c r="B297" t="inlineStr">
        <is>
          <t>machine</t>
        </is>
      </c>
      <c r="C297" t="inlineStr">
        <is>
          <t>Juice Press</t>
        </is>
      </c>
      <c r="D297" t="n">
        <v>28</v>
      </c>
      <c r="E297" t="n">
        <v>129</v>
      </c>
      <c r="F297" t="inlineStr">
        <is>
          <t>in game</t>
        </is>
      </c>
      <c r="G297" t="n">
        <v>1</v>
      </c>
      <c r="H297" t="n">
        <v>120</v>
      </c>
      <c r="I297" t="n">
        <v>102</v>
      </c>
      <c r="J297" t="n">
        <v>78</v>
      </c>
      <c r="K297" t="n">
        <v>120</v>
      </c>
      <c r="L297" t="n">
        <v>0</v>
      </c>
      <c r="M297" t="n">
        <v>0</v>
      </c>
      <c r="N297" t="n">
        <v>640</v>
      </c>
      <c r="P297" t="n">
        <v>760</v>
      </c>
      <c r="Q297" t="n">
        <v>1080</v>
      </c>
      <c r="R297" t="n">
        <v>10.18</v>
      </c>
      <c r="S297" t="n">
        <v>102</v>
      </c>
      <c r="T297" t="n">
        <v>742</v>
      </c>
      <c r="U297" t="n">
        <v>1062</v>
      </c>
      <c r="V297" t="n">
        <v>10.43</v>
      </c>
      <c r="W297" t="n">
        <v>51</v>
      </c>
      <c r="X297" t="n">
        <v>25.5</v>
      </c>
      <c r="Y297" t="n">
        <v>30</v>
      </c>
      <c r="Z297" t="n">
        <v>30</v>
      </c>
      <c r="AA297" t="inlineStr">
        <is>
          <t>Apple x2</t>
        </is>
      </c>
      <c r="AB297" t="b">
        <v>1</v>
      </c>
      <c r="AC297" t="inlineStr">
        <is>
          <t>match (mastered)</t>
        </is>
      </c>
    </row>
    <row r="298">
      <c r="A298" t="inlineStr">
        <is>
          <t>Strawberry Ice Cream</t>
        </is>
      </c>
      <c r="B298" t="inlineStr">
        <is>
          <t>machine</t>
        </is>
      </c>
      <c r="C298" t="inlineStr">
        <is>
          <t>Ice Cream Maker</t>
        </is>
      </c>
      <c r="D298" t="n">
        <v>34</v>
      </c>
      <c r="E298" t="n">
        <v>331</v>
      </c>
      <c r="F298" t="inlineStr">
        <is>
          <t>hayday.info</t>
        </is>
      </c>
      <c r="G298" t="n">
        <v>1</v>
      </c>
      <c r="H298" t="n">
        <v>240</v>
      </c>
      <c r="I298" t="n">
        <v>204</v>
      </c>
      <c r="J298" t="n">
        <v>282</v>
      </c>
      <c r="K298" t="n">
        <v>306.67</v>
      </c>
      <c r="L298" t="n">
        <v>1530</v>
      </c>
      <c r="M298" t="n">
        <v>120</v>
      </c>
      <c r="N298" t="n">
        <v>0</v>
      </c>
      <c r="P298" t="n">
        <v>1956.67</v>
      </c>
      <c r="Q298" t="n">
        <v>720</v>
      </c>
      <c r="R298" t="n">
        <v>10.15</v>
      </c>
      <c r="S298" t="n">
        <v>260.33</v>
      </c>
      <c r="T298" t="n">
        <v>1910.33</v>
      </c>
      <c r="U298" t="n">
        <v>684</v>
      </c>
      <c r="V298" t="n">
        <v>10.4</v>
      </c>
      <c r="W298" t="n">
        <v>49</v>
      </c>
      <c r="X298" t="n">
        <v>12.25</v>
      </c>
      <c r="Y298" t="n">
        <v>14.41</v>
      </c>
      <c r="Z298" t="n">
        <v>14.41</v>
      </c>
      <c r="AA298" t="inlineStr">
        <is>
          <t>Cream x1; White Sugar x1; Strawberry x3; Milk x1</t>
        </is>
      </c>
      <c r="AB298" t="b">
        <v>1</v>
      </c>
      <c r="AC298" t="inlineStr">
        <is>
          <t>match (mastered)</t>
        </is>
      </c>
    </row>
    <row r="299">
      <c r="A299" t="inlineStr">
        <is>
          <t>Fruit Salad</t>
        </is>
      </c>
      <c r="B299" t="inlineStr">
        <is>
          <t>machine</t>
        </is>
      </c>
      <c r="C299" t="inlineStr">
        <is>
          <t>Salad Bar</t>
        </is>
      </c>
      <c r="D299" t="n">
        <v>82</v>
      </c>
      <c r="E299" t="n">
        <v>597</v>
      </c>
      <c r="F299" t="inlineStr">
        <is>
          <t>hayday.info</t>
        </is>
      </c>
      <c r="G299" t="n">
        <v>1</v>
      </c>
      <c r="H299" t="n">
        <v>120</v>
      </c>
      <c r="I299" t="n">
        <v>102</v>
      </c>
      <c r="J299" t="n">
        <v>565</v>
      </c>
      <c r="K299" t="n">
        <v>140</v>
      </c>
      <c r="L299" t="n">
        <v>1440</v>
      </c>
      <c r="M299" t="n">
        <v>70</v>
      </c>
      <c r="N299" t="n">
        <v>1900</v>
      </c>
      <c r="P299" t="n">
        <v>3550</v>
      </c>
      <c r="Q299" t="n">
        <v>2040</v>
      </c>
      <c r="R299" t="n">
        <v>10.09</v>
      </c>
      <c r="S299" t="n">
        <v>119</v>
      </c>
      <c r="T299" t="n">
        <v>3529</v>
      </c>
      <c r="U299" t="n">
        <v>2022</v>
      </c>
      <c r="V299" t="n">
        <v>10.15</v>
      </c>
      <c r="W299" t="n">
        <v>32</v>
      </c>
      <c r="X299" t="n">
        <v>16</v>
      </c>
      <c r="Y299" t="n">
        <v>18.82</v>
      </c>
      <c r="Z299" t="n">
        <v>18.82</v>
      </c>
      <c r="AA299" t="inlineStr">
        <is>
          <t>Blackberry x2; Honey x1; Orange x1; Strawberry x3</t>
        </is>
      </c>
      <c r="AB299" t="b">
        <v>0</v>
      </c>
      <c r="AC299" t="inlineStr">
        <is>
          <t>match (mastered)</t>
        </is>
      </c>
    </row>
    <row r="300">
      <c r="A300" t="inlineStr">
        <is>
          <t>Raspberry Jam</t>
        </is>
      </c>
      <c r="B300" t="inlineStr">
        <is>
          <t>machine</t>
        </is>
      </c>
      <c r="C300" t="inlineStr">
        <is>
          <t>Jam Maker</t>
        </is>
      </c>
      <c r="D300" t="n">
        <v>36</v>
      </c>
      <c r="E300" t="n">
        <v>252</v>
      </c>
      <c r="F300" t="inlineStr">
        <is>
          <t>hayday.info</t>
        </is>
      </c>
      <c r="G300" t="n">
        <v>1</v>
      </c>
      <c r="H300" t="n">
        <v>420</v>
      </c>
      <c r="I300" t="n">
        <v>357</v>
      </c>
      <c r="J300" t="n">
        <v>138</v>
      </c>
      <c r="K300" t="n">
        <v>420</v>
      </c>
      <c r="L300" t="n">
        <v>0</v>
      </c>
      <c r="M300" t="n">
        <v>0</v>
      </c>
      <c r="N300" t="n">
        <v>1080</v>
      </c>
      <c r="P300" t="n">
        <v>1500</v>
      </c>
      <c r="Q300" t="n">
        <v>1500</v>
      </c>
      <c r="R300" t="n">
        <v>10.08</v>
      </c>
      <c r="S300" t="n">
        <v>357</v>
      </c>
      <c r="T300" t="n">
        <v>1437</v>
      </c>
      <c r="U300" t="n">
        <v>1437</v>
      </c>
      <c r="V300" t="n">
        <v>10.52</v>
      </c>
      <c r="W300" t="n">
        <v>114</v>
      </c>
      <c r="X300" t="n">
        <v>16.29</v>
      </c>
      <c r="Y300" t="n">
        <v>19.16</v>
      </c>
      <c r="Z300" t="n">
        <v>19.16</v>
      </c>
      <c r="AA300" t="inlineStr">
        <is>
          <t>Raspberry x3</t>
        </is>
      </c>
      <c r="AB300" t="b">
        <v>1</v>
      </c>
      <c r="AC300" t="inlineStr">
        <is>
          <t>match (mastered)</t>
        </is>
      </c>
    </row>
    <row r="301">
      <c r="A301" t="inlineStr">
        <is>
          <t>Flower Shawl</t>
        </is>
      </c>
      <c r="B301" t="inlineStr">
        <is>
          <t>machine</t>
        </is>
      </c>
      <c r="C301" t="inlineStr">
        <is>
          <t>Loom</t>
        </is>
      </c>
      <c r="D301" t="n">
        <v>71</v>
      </c>
      <c r="E301" t="n">
        <v>295</v>
      </c>
      <c r="F301" t="inlineStr">
        <is>
          <t>hayday.info</t>
        </is>
      </c>
      <c r="G301" t="n">
        <v>1</v>
      </c>
      <c r="H301" t="n">
        <v>90</v>
      </c>
      <c r="I301" t="n">
        <v>76</v>
      </c>
      <c r="J301" t="n">
        <v>253</v>
      </c>
      <c r="K301" t="n">
        <v>110</v>
      </c>
      <c r="L301" t="n">
        <v>287.33</v>
      </c>
      <c r="M301" t="n">
        <v>720</v>
      </c>
      <c r="N301" t="n">
        <v>640</v>
      </c>
      <c r="P301" t="n">
        <v>1757.33</v>
      </c>
      <c r="Q301" t="n">
        <v>2010</v>
      </c>
      <c r="R301" t="n">
        <v>10.07</v>
      </c>
      <c r="S301" t="n">
        <v>92.67</v>
      </c>
      <c r="T301" t="n">
        <v>1740</v>
      </c>
      <c r="U301" t="n">
        <v>1996</v>
      </c>
      <c r="V301" t="n">
        <v>10.17</v>
      </c>
      <c r="W301" t="n">
        <v>42</v>
      </c>
      <c r="X301" t="n">
        <v>28</v>
      </c>
      <c r="Y301" t="n">
        <v>33.16</v>
      </c>
      <c r="Z301" t="n">
        <v>32.94</v>
      </c>
      <c r="AA301" t="inlineStr">
        <is>
          <t>Wool x2; Sunflower x3; Blackberry x1</t>
        </is>
      </c>
      <c r="AB301" t="b">
        <v>0</v>
      </c>
      <c r="AC301" t="inlineStr">
        <is>
          <t>match (mastered)</t>
        </is>
      </c>
    </row>
    <row r="302">
      <c r="A302" t="inlineStr">
        <is>
          <t>Iced Banana Latte</t>
        </is>
      </c>
      <c r="B302" t="inlineStr">
        <is>
          <t>machine</t>
        </is>
      </c>
      <c r="C302" t="inlineStr">
        <is>
          <t>Coffee Kiosk</t>
        </is>
      </c>
      <c r="D302" t="n">
        <v>88</v>
      </c>
      <c r="E302" t="n">
        <v>277</v>
      </c>
      <c r="F302" t="inlineStr">
        <is>
          <t>hayday.info</t>
        </is>
      </c>
      <c r="G302" t="n">
        <v>1</v>
      </c>
      <c r="H302" t="n">
        <v>20</v>
      </c>
      <c r="I302" t="n">
        <v>17</v>
      </c>
      <c r="J302" t="n">
        <v>264</v>
      </c>
      <c r="K302" t="n">
        <v>23.33</v>
      </c>
      <c r="L302" t="n">
        <v>15</v>
      </c>
      <c r="M302" t="n">
        <v>60</v>
      </c>
      <c r="N302" t="n">
        <v>1560</v>
      </c>
      <c r="P302" t="n">
        <v>1658.33</v>
      </c>
      <c r="Q302" t="n">
        <v>1700</v>
      </c>
      <c r="R302" t="n">
        <v>10.02</v>
      </c>
      <c r="S302" t="n">
        <v>19.67</v>
      </c>
      <c r="T302" t="n">
        <v>1654.67</v>
      </c>
      <c r="U302" t="n">
        <v>1697</v>
      </c>
      <c r="V302" t="n">
        <v>10.04</v>
      </c>
      <c r="W302" t="n">
        <v>13</v>
      </c>
      <c r="X302" t="n">
        <v>39</v>
      </c>
      <c r="Y302" t="n">
        <v>45.88</v>
      </c>
      <c r="Z302" t="n">
        <v>45.88</v>
      </c>
      <c r="AA302" t="inlineStr">
        <is>
          <t>Banana x1; Coffee Bean x2; Milk x1</t>
        </is>
      </c>
      <c r="AB302" t="b">
        <v>0</v>
      </c>
      <c r="AC302" t="inlineStr">
        <is>
          <t>match (mastered)</t>
        </is>
      </c>
    </row>
    <row r="303">
      <c r="A303" t="inlineStr">
        <is>
          <t>Peach</t>
        </is>
      </c>
      <c r="B303" t="inlineStr">
        <is>
          <t>tree</t>
        </is>
      </c>
      <c r="C303" t="inlineStr">
        <is>
          <t>Peach Tree</t>
        </is>
      </c>
      <c r="D303" t="n">
        <v>76</v>
      </c>
      <c r="E303" t="n">
        <v>100</v>
      </c>
      <c r="F303" t="inlineStr">
        <is>
          <t>hayday.info</t>
        </is>
      </c>
      <c r="G303" t="n">
        <v>1</v>
      </c>
      <c r="H303" t="n">
        <v>1800</v>
      </c>
      <c r="J303" t="n">
        <v>0</v>
      </c>
      <c r="K303" t="n">
        <v>0</v>
      </c>
      <c r="L303" t="n">
        <v>0</v>
      </c>
      <c r="M303" t="n">
        <v>0</v>
      </c>
      <c r="N303" t="n">
        <v>600</v>
      </c>
      <c r="P303" t="n">
        <v>600</v>
      </c>
      <c r="Q303" t="n">
        <v>1800</v>
      </c>
      <c r="R303" t="n">
        <v>10</v>
      </c>
      <c r="S303" t="n">
        <v>0</v>
      </c>
      <c r="T303" t="n">
        <v>600</v>
      </c>
      <c r="U303" t="n">
        <v>1800</v>
      </c>
      <c r="V303" t="n">
        <v>10</v>
      </c>
      <c r="W303" t="n">
        <v>100</v>
      </c>
      <c r="X303" t="n">
        <v>3.33</v>
      </c>
      <c r="Y303" t="n">
        <v>3.33</v>
      </c>
      <c r="Z303" t="n">
        <v>18.68</v>
      </c>
      <c r="AB303" t="b">
        <v>0</v>
      </c>
    </row>
    <row r="304">
      <c r="A304" t="inlineStr">
        <is>
          <t>Chickpea Stew</t>
        </is>
      </c>
      <c r="B304" t="inlineStr">
        <is>
          <t>machine</t>
        </is>
      </c>
      <c r="C304" t="inlineStr">
        <is>
          <t>Stew Pot</t>
        </is>
      </c>
      <c r="D304" t="n">
        <v>106</v>
      </c>
      <c r="E304" t="n">
        <v>284</v>
      </c>
      <c r="F304" t="inlineStr">
        <is>
          <t>hayday.info</t>
        </is>
      </c>
      <c r="G304" t="n">
        <v>1</v>
      </c>
      <c r="H304" t="n">
        <v>90</v>
      </c>
      <c r="I304" t="n">
        <v>76</v>
      </c>
      <c r="J304" t="n">
        <v>248</v>
      </c>
      <c r="K304" t="n">
        <v>90</v>
      </c>
      <c r="L304" t="n">
        <v>900</v>
      </c>
      <c r="M304" t="n">
        <v>0</v>
      </c>
      <c r="N304" t="n">
        <v>720</v>
      </c>
      <c r="P304" t="n">
        <v>1710</v>
      </c>
      <c r="Q304" t="n">
        <v>2250</v>
      </c>
      <c r="R304" t="n">
        <v>9.960000000000001</v>
      </c>
      <c r="S304" t="n">
        <v>76</v>
      </c>
      <c r="T304" t="n">
        <v>1696</v>
      </c>
      <c r="U304" t="n">
        <v>2236</v>
      </c>
      <c r="V304" t="n">
        <v>10.05</v>
      </c>
      <c r="W304" t="n">
        <v>36</v>
      </c>
      <c r="X304" t="n">
        <v>24</v>
      </c>
      <c r="Y304" t="n">
        <v>28.42</v>
      </c>
      <c r="Z304" t="n">
        <v>24</v>
      </c>
      <c r="AA304" t="inlineStr">
        <is>
          <t>Coconut x1; Tomato x2; Chickpea x3</t>
        </is>
      </c>
      <c r="AB304" t="b">
        <v>0</v>
      </c>
      <c r="AC304" t="inlineStr">
        <is>
          <t>match (site uses normal time)</t>
        </is>
      </c>
    </row>
    <row r="305">
      <c r="A305" t="inlineStr">
        <is>
          <t>Apple Jam</t>
        </is>
      </c>
      <c r="B305" t="inlineStr">
        <is>
          <t>machine</t>
        </is>
      </c>
      <c r="C305" t="inlineStr">
        <is>
          <t>Jam Maker</t>
        </is>
      </c>
      <c r="D305" t="n">
        <v>35</v>
      </c>
      <c r="E305" t="n">
        <v>219</v>
      </c>
      <c r="F305" t="inlineStr">
        <is>
          <t>hayday.info</t>
        </is>
      </c>
      <c r="G305" t="n">
        <v>1</v>
      </c>
      <c r="H305" t="n">
        <v>360</v>
      </c>
      <c r="I305" t="n">
        <v>306</v>
      </c>
      <c r="J305" t="n">
        <v>117</v>
      </c>
      <c r="K305" t="n">
        <v>360</v>
      </c>
      <c r="L305" t="n">
        <v>0</v>
      </c>
      <c r="M305" t="n">
        <v>0</v>
      </c>
      <c r="N305" t="n">
        <v>960</v>
      </c>
      <c r="P305" t="n">
        <v>1320</v>
      </c>
      <c r="Q305" t="n">
        <v>1320</v>
      </c>
      <c r="R305" t="n">
        <v>9.949999999999999</v>
      </c>
      <c r="S305" t="n">
        <v>306</v>
      </c>
      <c r="T305" t="n">
        <v>1266</v>
      </c>
      <c r="U305" t="n">
        <v>1266</v>
      </c>
      <c r="V305" t="n">
        <v>10.38</v>
      </c>
      <c r="W305" t="n">
        <v>102</v>
      </c>
      <c r="X305" t="n">
        <v>17</v>
      </c>
      <c r="Y305" t="n">
        <v>20</v>
      </c>
      <c r="Z305" t="n">
        <v>20</v>
      </c>
      <c r="AA305" t="inlineStr">
        <is>
          <t>Apple x3</t>
        </is>
      </c>
      <c r="AB305" t="b">
        <v>1</v>
      </c>
      <c r="AC305" t="inlineStr">
        <is>
          <t>match (mastered)</t>
        </is>
      </c>
    </row>
    <row r="306">
      <c r="A306" t="inlineStr">
        <is>
          <t>Tomato Sauce</t>
        </is>
      </c>
      <c r="B306" t="inlineStr">
        <is>
          <t>machine</t>
        </is>
      </c>
      <c r="C306" t="inlineStr">
        <is>
          <t>Sauce Maker</t>
        </is>
      </c>
      <c r="D306" t="n">
        <v>69</v>
      </c>
      <c r="E306" t="n">
        <v>230</v>
      </c>
      <c r="F306" t="inlineStr">
        <is>
          <t>hayday.info</t>
        </is>
      </c>
      <c r="G306" t="n">
        <v>1</v>
      </c>
      <c r="H306" t="n">
        <v>30</v>
      </c>
      <c r="I306" t="n">
        <v>25</v>
      </c>
      <c r="J306" t="n">
        <v>211</v>
      </c>
      <c r="K306" t="n">
        <v>50</v>
      </c>
      <c r="L306" t="n">
        <v>750</v>
      </c>
      <c r="M306" t="n">
        <v>0</v>
      </c>
      <c r="N306" t="n">
        <v>600</v>
      </c>
      <c r="P306" t="n">
        <v>1400</v>
      </c>
      <c r="Q306" t="n">
        <v>1830</v>
      </c>
      <c r="R306" t="n">
        <v>9.859999999999999</v>
      </c>
      <c r="S306" t="n">
        <v>42</v>
      </c>
      <c r="T306" t="n">
        <v>1392</v>
      </c>
      <c r="U306" t="n">
        <v>1825</v>
      </c>
      <c r="V306" t="n">
        <v>9.91</v>
      </c>
      <c r="W306" t="n">
        <v>19</v>
      </c>
      <c r="X306" t="n">
        <v>38</v>
      </c>
      <c r="Y306" t="n">
        <v>45.6</v>
      </c>
      <c r="Z306" t="n">
        <v>44.71</v>
      </c>
      <c r="AA306" t="inlineStr">
        <is>
          <t>Brown Sugar x1; Lemon x1; Tomato x2</t>
        </is>
      </c>
      <c r="AB306" t="b">
        <v>0</v>
      </c>
      <c r="AC306" t="inlineStr">
        <is>
          <t>match (normal x0.85)</t>
        </is>
      </c>
    </row>
    <row r="307">
      <c r="A307" t="inlineStr">
        <is>
          <t>Blackberry Muffin</t>
        </is>
      </c>
      <c r="B307" t="inlineStr">
        <is>
          <t>machine</t>
        </is>
      </c>
      <c r="C307" t="inlineStr">
        <is>
          <t>Bakery</t>
        </is>
      </c>
      <c r="D307" t="n">
        <v>26</v>
      </c>
      <c r="E307" t="n">
        <v>226</v>
      </c>
      <c r="F307" t="inlineStr">
        <is>
          <t>hayday.info</t>
        </is>
      </c>
      <c r="G307" t="n">
        <v>1</v>
      </c>
      <c r="H307" t="n">
        <v>45</v>
      </c>
      <c r="I307" t="n">
        <v>38</v>
      </c>
      <c r="J307" t="n">
        <v>203</v>
      </c>
      <c r="K307" t="n">
        <v>48.33</v>
      </c>
      <c r="L307" t="n">
        <v>8</v>
      </c>
      <c r="M307" t="n">
        <v>40</v>
      </c>
      <c r="N307" t="n">
        <v>1280</v>
      </c>
      <c r="P307" t="n">
        <v>1376.33</v>
      </c>
      <c r="Q307" t="n">
        <v>1965</v>
      </c>
      <c r="R307" t="n">
        <v>9.85</v>
      </c>
      <c r="S307" t="n">
        <v>40.67</v>
      </c>
      <c r="T307" t="n">
        <v>1368.67</v>
      </c>
      <c r="U307" t="n">
        <v>1958</v>
      </c>
      <c r="V307" t="n">
        <v>9.91</v>
      </c>
      <c r="W307" t="n">
        <v>23</v>
      </c>
      <c r="X307" t="n">
        <v>30.67</v>
      </c>
      <c r="Y307" t="n">
        <v>36.32</v>
      </c>
      <c r="Z307" t="n">
        <v>36.08</v>
      </c>
      <c r="AA307" t="inlineStr">
        <is>
          <t>Wheat x1; Egg x2; Blackberry x2</t>
        </is>
      </c>
      <c r="AB307" t="b">
        <v>1</v>
      </c>
      <c r="AC307" t="inlineStr">
        <is>
          <t>match (mastered)</t>
        </is>
      </c>
    </row>
    <row r="308">
      <c r="A308" t="inlineStr">
        <is>
          <t>Tofu Dog</t>
        </is>
      </c>
      <c r="B308" t="inlineStr">
        <is>
          <t>machine</t>
        </is>
      </c>
      <c r="C308" t="inlineStr">
        <is>
          <t>Hot Dog Stand</t>
        </is>
      </c>
      <c r="D308" t="n">
        <v>76</v>
      </c>
      <c r="E308" t="n">
        <v>367</v>
      </c>
      <c r="F308" t="inlineStr">
        <is>
          <t>hayday.info</t>
        </is>
      </c>
      <c r="G308" t="n">
        <v>1</v>
      </c>
      <c r="H308" t="n">
        <v>45</v>
      </c>
      <c r="I308" t="n">
        <v>38</v>
      </c>
      <c r="J308" t="n">
        <v>328</v>
      </c>
      <c r="K308" t="n">
        <v>45</v>
      </c>
      <c r="L308" t="n">
        <v>2190</v>
      </c>
      <c r="M308" t="n">
        <v>0</v>
      </c>
      <c r="N308" t="n">
        <v>0</v>
      </c>
      <c r="P308" t="n">
        <v>2235</v>
      </c>
      <c r="Q308" t="n">
        <v>405</v>
      </c>
      <c r="R308" t="n">
        <v>9.85</v>
      </c>
      <c r="S308" t="n">
        <v>38</v>
      </c>
      <c r="T308" t="n">
        <v>2228</v>
      </c>
      <c r="U308" t="n">
        <v>398</v>
      </c>
      <c r="V308" t="n">
        <v>9.880000000000001</v>
      </c>
      <c r="W308" t="n">
        <v>39</v>
      </c>
      <c r="X308" t="n">
        <v>52</v>
      </c>
      <c r="Y308" t="n">
        <v>61.58</v>
      </c>
      <c r="Z308" t="n">
        <v>61.18</v>
      </c>
      <c r="AA308" t="inlineStr">
        <is>
          <t>Lettuce x3; Soybean x6; Tomato x4</t>
        </is>
      </c>
      <c r="AB308" t="b">
        <v>0</v>
      </c>
      <c r="AC308" t="inlineStr">
        <is>
          <t>match (mastered)</t>
        </is>
      </c>
    </row>
    <row r="309">
      <c r="A309" t="inlineStr">
        <is>
          <t>Mixed Smoothie</t>
        </is>
      </c>
      <c r="B309" t="inlineStr">
        <is>
          <t>machine</t>
        </is>
      </c>
      <c r="C309" t="inlineStr">
        <is>
          <t>Smoothie Mixer</t>
        </is>
      </c>
      <c r="D309" t="n">
        <v>88</v>
      </c>
      <c r="E309" t="n">
        <v>504</v>
      </c>
      <c r="F309" t="inlineStr">
        <is>
          <t>hayday.info</t>
        </is>
      </c>
      <c r="G309" t="n">
        <v>1</v>
      </c>
      <c r="H309" t="n">
        <v>30</v>
      </c>
      <c r="I309" t="n">
        <v>25</v>
      </c>
      <c r="J309" t="n">
        <v>487</v>
      </c>
      <c r="K309" t="n">
        <v>30</v>
      </c>
      <c r="L309" t="n">
        <v>0</v>
      </c>
      <c r="M309" t="n">
        <v>0</v>
      </c>
      <c r="N309" t="n">
        <v>3040</v>
      </c>
      <c r="P309" t="n">
        <v>3070</v>
      </c>
      <c r="Q309" t="n">
        <v>1890</v>
      </c>
      <c r="R309" t="n">
        <v>9.85</v>
      </c>
      <c r="S309" t="n">
        <v>25</v>
      </c>
      <c r="T309" t="n">
        <v>3065</v>
      </c>
      <c r="U309" t="n">
        <v>1885</v>
      </c>
      <c r="V309" t="n">
        <v>9.869999999999999</v>
      </c>
      <c r="W309" t="n">
        <v>17</v>
      </c>
      <c r="X309" t="n">
        <v>34</v>
      </c>
      <c r="Y309" t="n">
        <v>40.8</v>
      </c>
      <c r="Z309" t="n">
        <v>40</v>
      </c>
      <c r="AA309" t="inlineStr">
        <is>
          <t>Lemon x1; Orange x2; Peach x2</t>
        </is>
      </c>
      <c r="AB309" t="b">
        <v>0</v>
      </c>
      <c r="AC309" t="inlineStr">
        <is>
          <t>match (normal x0.85)</t>
        </is>
      </c>
    </row>
    <row r="310">
      <c r="A310" t="inlineStr">
        <is>
          <t>Plum</t>
        </is>
      </c>
      <c r="B310" t="inlineStr">
        <is>
          <t>tree</t>
        </is>
      </c>
      <c r="C310" t="inlineStr">
        <is>
          <t>Plum Tree</t>
        </is>
      </c>
      <c r="D310" t="n">
        <v>94</v>
      </c>
      <c r="E310" t="n">
        <v>82</v>
      </c>
      <c r="F310" t="inlineStr">
        <is>
          <t>hayday.info</t>
        </is>
      </c>
      <c r="G310" t="n">
        <v>1</v>
      </c>
      <c r="H310" t="n">
        <v>1500</v>
      </c>
      <c r="J310" t="n">
        <v>0</v>
      </c>
      <c r="K310" t="n">
        <v>0</v>
      </c>
      <c r="L310" t="n">
        <v>0</v>
      </c>
      <c r="M310" t="n">
        <v>0</v>
      </c>
      <c r="N310" t="n">
        <v>500</v>
      </c>
      <c r="P310" t="n">
        <v>500</v>
      </c>
      <c r="Q310" t="n">
        <v>1500</v>
      </c>
      <c r="R310" t="n">
        <v>9.84</v>
      </c>
      <c r="S310" t="n">
        <v>0</v>
      </c>
      <c r="T310" t="n">
        <v>500</v>
      </c>
      <c r="U310" t="n">
        <v>1500</v>
      </c>
      <c r="V310" t="n">
        <v>9.84</v>
      </c>
      <c r="W310" t="n">
        <v>82</v>
      </c>
      <c r="X310" t="n">
        <v>3.28</v>
      </c>
      <c r="Y310" t="n">
        <v>3.28</v>
      </c>
      <c r="Z310" t="n">
        <v>17.64</v>
      </c>
      <c r="AB310" t="b">
        <v>0</v>
      </c>
    </row>
    <row r="311">
      <c r="A311" t="inlineStr">
        <is>
          <t>Potato</t>
        </is>
      </c>
      <c r="B311" t="inlineStr">
        <is>
          <t>field</t>
        </is>
      </c>
      <c r="C311" t="inlineStr">
        <is>
          <t>Farm</t>
        </is>
      </c>
      <c r="D311" t="n">
        <v>35</v>
      </c>
      <c r="E311" t="n">
        <v>36</v>
      </c>
      <c r="F311" t="inlineStr">
        <is>
          <t>hayday.info</t>
        </is>
      </c>
      <c r="G311" t="n">
        <v>1</v>
      </c>
      <c r="H311" t="n">
        <v>220</v>
      </c>
      <c r="J311" t="n">
        <v>0</v>
      </c>
      <c r="K311" t="n">
        <v>0</v>
      </c>
      <c r="L311" t="n">
        <v>220</v>
      </c>
      <c r="M311" t="n">
        <v>0</v>
      </c>
      <c r="N311" t="n">
        <v>0</v>
      </c>
      <c r="P311" t="n">
        <v>220</v>
      </c>
      <c r="Q311" t="n">
        <v>220</v>
      </c>
      <c r="R311" t="n">
        <v>9.82</v>
      </c>
      <c r="S311" t="n">
        <v>0</v>
      </c>
      <c r="T311" t="n">
        <v>220</v>
      </c>
      <c r="U311" t="n">
        <v>220</v>
      </c>
      <c r="V311" t="n">
        <v>9.82</v>
      </c>
      <c r="W311" t="n">
        <v>36</v>
      </c>
      <c r="X311" t="n">
        <v>9.82</v>
      </c>
      <c r="Y311" t="n">
        <v>9.82</v>
      </c>
      <c r="Z311" t="n">
        <v>9.82</v>
      </c>
      <c r="AB311" t="b">
        <v>1</v>
      </c>
    </row>
    <row r="312">
      <c r="A312" t="inlineStr">
        <is>
          <t>Clay</t>
        </is>
      </c>
      <c r="B312" t="inlineStr">
        <is>
          <t>field</t>
        </is>
      </c>
      <c r="C312" t="inlineStr">
        <is>
          <t>Farm</t>
        </is>
      </c>
      <c r="D312" t="n">
        <v>94</v>
      </c>
      <c r="E312" t="n">
        <v>18</v>
      </c>
      <c r="F312" t="inlineStr">
        <is>
          <t>hayday.info</t>
        </is>
      </c>
      <c r="G312" t="n">
        <v>1</v>
      </c>
      <c r="H312" t="n">
        <v>110</v>
      </c>
      <c r="J312" t="n">
        <v>0</v>
      </c>
      <c r="K312" t="n">
        <v>0</v>
      </c>
      <c r="L312" t="n">
        <v>110</v>
      </c>
      <c r="M312" t="n">
        <v>0</v>
      </c>
      <c r="N312" t="n">
        <v>0</v>
      </c>
      <c r="P312" t="n">
        <v>110</v>
      </c>
      <c r="Q312" t="n">
        <v>110</v>
      </c>
      <c r="R312" t="n">
        <v>9.82</v>
      </c>
      <c r="S312" t="n">
        <v>0</v>
      </c>
      <c r="T312" t="n">
        <v>110</v>
      </c>
      <c r="U312" t="n">
        <v>110</v>
      </c>
      <c r="V312" t="n">
        <v>9.82</v>
      </c>
      <c r="W312" t="n">
        <v>18</v>
      </c>
      <c r="X312" t="n">
        <v>9.82</v>
      </c>
      <c r="Y312" t="n">
        <v>9.82</v>
      </c>
      <c r="Z312" t="n">
        <v>9.82</v>
      </c>
      <c r="AB312" t="b">
        <v>0</v>
      </c>
    </row>
    <row r="313">
      <c r="A313" t="inlineStr">
        <is>
          <t>Honey Soap</t>
        </is>
      </c>
      <c r="B313" t="inlineStr">
        <is>
          <t>machine</t>
        </is>
      </c>
      <c r="C313" t="inlineStr">
        <is>
          <t>Bath Kiosk</t>
        </is>
      </c>
      <c r="D313" t="n">
        <v>84</v>
      </c>
      <c r="E313" t="n">
        <v>327</v>
      </c>
      <c r="F313" t="inlineStr">
        <is>
          <t>hayday.info</t>
        </is>
      </c>
      <c r="G313" t="n">
        <v>1</v>
      </c>
      <c r="H313" t="n">
        <v>60</v>
      </c>
      <c r="I313" t="n">
        <v>51</v>
      </c>
      <c r="J313" t="n">
        <v>304</v>
      </c>
      <c r="K313" t="n">
        <v>73.33</v>
      </c>
      <c r="L313" t="n">
        <v>9</v>
      </c>
      <c r="M313" t="n">
        <v>515</v>
      </c>
      <c r="N313" t="n">
        <v>1400</v>
      </c>
      <c r="P313" t="n">
        <v>1997.33</v>
      </c>
      <c r="Q313" t="n">
        <v>2160</v>
      </c>
      <c r="R313" t="n">
        <v>9.82</v>
      </c>
      <c r="S313" t="n">
        <v>62.33</v>
      </c>
      <c r="T313" t="n">
        <v>1986.33</v>
      </c>
      <c r="U313" t="n">
        <v>2151</v>
      </c>
      <c r="V313" t="n">
        <v>9.880000000000001</v>
      </c>
      <c r="W313" t="n">
        <v>23</v>
      </c>
      <c r="X313" t="n">
        <v>23</v>
      </c>
      <c r="Y313" t="n">
        <v>27.06</v>
      </c>
      <c r="Z313" t="n">
        <v>27.06</v>
      </c>
      <c r="AA313" t="inlineStr">
        <is>
          <t>Goat Milk x1; Cacao x2; Honeycomb x1</t>
        </is>
      </c>
      <c r="AB313" t="b">
        <v>0</v>
      </c>
      <c r="AC313" t="inlineStr">
        <is>
          <t>match (mastered)</t>
        </is>
      </c>
    </row>
    <row r="314">
      <c r="A314" t="inlineStr">
        <is>
          <t>Watermelon Juice</t>
        </is>
      </c>
      <c r="B314" t="inlineStr">
        <is>
          <t>machine</t>
        </is>
      </c>
      <c r="C314" t="inlineStr">
        <is>
          <t>Juice Press</t>
        </is>
      </c>
      <c r="D314" t="n">
        <v>92</v>
      </c>
      <c r="E314" t="n">
        <v>108</v>
      </c>
      <c r="F314" t="inlineStr">
        <is>
          <t>hayday.info</t>
        </is>
      </c>
      <c r="G314" t="n">
        <v>1</v>
      </c>
      <c r="H314" t="n">
        <v>60</v>
      </c>
      <c r="I314" t="n">
        <v>51</v>
      </c>
      <c r="J314" t="n">
        <v>78</v>
      </c>
      <c r="K314" t="n">
        <v>60</v>
      </c>
      <c r="L314" t="n">
        <v>600</v>
      </c>
      <c r="M314" t="n">
        <v>0</v>
      </c>
      <c r="N314" t="n">
        <v>0</v>
      </c>
      <c r="P314" t="n">
        <v>660</v>
      </c>
      <c r="Q314" t="n">
        <v>360</v>
      </c>
      <c r="R314" t="n">
        <v>9.82</v>
      </c>
      <c r="S314" t="n">
        <v>51</v>
      </c>
      <c r="T314" t="n">
        <v>651</v>
      </c>
      <c r="U314" t="n">
        <v>351</v>
      </c>
      <c r="V314" t="n">
        <v>9.949999999999999</v>
      </c>
      <c r="W314" t="n">
        <v>30</v>
      </c>
      <c r="X314" t="n">
        <v>30</v>
      </c>
      <c r="Y314" t="n">
        <v>35.29</v>
      </c>
      <c r="Z314" t="n">
        <v>35.29</v>
      </c>
      <c r="AA314" t="inlineStr">
        <is>
          <t>Watermelon x2</t>
        </is>
      </c>
      <c r="AB314" t="b">
        <v>0</v>
      </c>
      <c r="AC314" t="inlineStr">
        <is>
          <t>match (mastered)</t>
        </is>
      </c>
    </row>
    <row r="315">
      <c r="A315" t="inlineStr">
        <is>
          <t>Grilled Eggplant</t>
        </is>
      </c>
      <c r="B315" t="inlineStr">
        <is>
          <t>machine</t>
        </is>
      </c>
      <c r="C315" t="inlineStr">
        <is>
          <t>BBQ Grill</t>
        </is>
      </c>
      <c r="D315" t="n">
        <v>90</v>
      </c>
      <c r="E315" t="n">
        <v>324</v>
      </c>
      <c r="F315" t="inlineStr">
        <is>
          <t>hayday.info</t>
        </is>
      </c>
      <c r="G315" t="n">
        <v>1</v>
      </c>
      <c r="H315" t="n">
        <v>40</v>
      </c>
      <c r="I315" t="n">
        <v>34</v>
      </c>
      <c r="J315" t="n">
        <v>294</v>
      </c>
      <c r="K315" t="n">
        <v>60</v>
      </c>
      <c r="L315" t="n">
        <v>1920</v>
      </c>
      <c r="M315" t="n">
        <v>0</v>
      </c>
      <c r="N315" t="n">
        <v>0</v>
      </c>
      <c r="P315" t="n">
        <v>1980</v>
      </c>
      <c r="Q315" t="n">
        <v>420</v>
      </c>
      <c r="R315" t="n">
        <v>9.82</v>
      </c>
      <c r="S315" t="n">
        <v>51</v>
      </c>
      <c r="T315" t="n">
        <v>1971</v>
      </c>
      <c r="U315" t="n">
        <v>411</v>
      </c>
      <c r="V315" t="n">
        <v>9.859999999999999</v>
      </c>
      <c r="W315" t="n">
        <v>30</v>
      </c>
      <c r="X315" t="n">
        <v>45</v>
      </c>
      <c r="Y315" t="n">
        <v>52.94</v>
      </c>
      <c r="Z315" t="n">
        <v>52.94</v>
      </c>
      <c r="AA315" t="inlineStr">
        <is>
          <t>Eggplant x3; Salsa x1</t>
        </is>
      </c>
      <c r="AB315" t="b">
        <v>0</v>
      </c>
      <c r="AC315" t="inlineStr">
        <is>
          <t>match (mastered)</t>
        </is>
      </c>
    </row>
    <row r="316">
      <c r="A316" t="inlineStr">
        <is>
          <t>Guava</t>
        </is>
      </c>
      <c r="B316" t="inlineStr">
        <is>
          <t>tree</t>
        </is>
      </c>
      <c r="C316" t="inlineStr">
        <is>
          <t>Guava Tree</t>
        </is>
      </c>
      <c r="D316" t="n">
        <v>104</v>
      </c>
      <c r="E316" t="n">
        <v>111</v>
      </c>
      <c r="F316" t="inlineStr">
        <is>
          <t>hayday.info</t>
        </is>
      </c>
      <c r="G316" t="n">
        <v>1</v>
      </c>
      <c r="H316" t="n">
        <v>2040</v>
      </c>
      <c r="J316" t="n">
        <v>0</v>
      </c>
      <c r="K316" t="n">
        <v>0</v>
      </c>
      <c r="L316" t="n">
        <v>0</v>
      </c>
      <c r="M316" t="n">
        <v>0</v>
      </c>
      <c r="N316" t="n">
        <v>680</v>
      </c>
      <c r="P316" t="n">
        <v>680</v>
      </c>
      <c r="Q316" t="n">
        <v>2040</v>
      </c>
      <c r="R316" t="n">
        <v>9.789999999999999</v>
      </c>
      <c r="S316" t="n">
        <v>0</v>
      </c>
      <c r="T316" t="n">
        <v>680</v>
      </c>
      <c r="U316" t="n">
        <v>2040</v>
      </c>
      <c r="V316" t="n">
        <v>9.789999999999999</v>
      </c>
      <c r="W316" t="n">
        <v>111</v>
      </c>
      <c r="X316" t="n">
        <v>3.26</v>
      </c>
      <c r="Y316" t="n">
        <v>3.26</v>
      </c>
      <c r="Z316" t="n">
        <v>17.38</v>
      </c>
      <c r="AB316" t="b">
        <v>0</v>
      </c>
    </row>
    <row r="317">
      <c r="A317" t="inlineStr">
        <is>
          <t>Blackberry Jam</t>
        </is>
      </c>
      <c r="B317" t="inlineStr">
        <is>
          <t>machine</t>
        </is>
      </c>
      <c r="C317" t="inlineStr">
        <is>
          <t>Jam Maker</t>
        </is>
      </c>
      <c r="D317" t="n">
        <v>37</v>
      </c>
      <c r="E317" t="n">
        <v>388</v>
      </c>
      <c r="F317" t="inlineStr">
        <is>
          <t>hayday.info</t>
        </is>
      </c>
      <c r="G317" t="n">
        <v>1</v>
      </c>
      <c r="H317" t="n">
        <v>480</v>
      </c>
      <c r="I317" t="n">
        <v>408</v>
      </c>
      <c r="J317" t="n">
        <v>246</v>
      </c>
      <c r="K317" t="n">
        <v>480</v>
      </c>
      <c r="L317" t="n">
        <v>0</v>
      </c>
      <c r="M317" t="n">
        <v>0</v>
      </c>
      <c r="N317" t="n">
        <v>1920</v>
      </c>
      <c r="P317" t="n">
        <v>2400</v>
      </c>
      <c r="Q317" t="n">
        <v>2400</v>
      </c>
      <c r="R317" t="n">
        <v>9.699999999999999</v>
      </c>
      <c r="S317" t="n">
        <v>408</v>
      </c>
      <c r="T317" t="n">
        <v>2328</v>
      </c>
      <c r="U317" t="n">
        <v>2328</v>
      </c>
      <c r="V317" t="n">
        <v>10</v>
      </c>
      <c r="W317" t="n">
        <v>142</v>
      </c>
      <c r="X317" t="n">
        <v>17.75</v>
      </c>
      <c r="Y317" t="n">
        <v>20.88</v>
      </c>
      <c r="Z317" t="n">
        <v>20.88</v>
      </c>
      <c r="AA317" t="inlineStr">
        <is>
          <t>Blackberry x3</t>
        </is>
      </c>
      <c r="AB317" t="b">
        <v>1</v>
      </c>
      <c r="AC317" t="inlineStr">
        <is>
          <t>match (mastered)</t>
        </is>
      </c>
    </row>
    <row r="318">
      <c r="A318" t="inlineStr">
        <is>
          <t>Feta Salad</t>
        </is>
      </c>
      <c r="B318" t="inlineStr">
        <is>
          <t>machine</t>
        </is>
      </c>
      <c r="C318" t="inlineStr">
        <is>
          <t>Salad Bar</t>
        </is>
      </c>
      <c r="D318" t="n">
        <v>58</v>
      </c>
      <c r="E318" t="n">
        <v>745</v>
      </c>
      <c r="F318" t="inlineStr">
        <is>
          <t>hayday.info</t>
        </is>
      </c>
      <c r="G318" t="n">
        <v>1</v>
      </c>
      <c r="H318" t="n">
        <v>90</v>
      </c>
      <c r="I318" t="n">
        <v>76</v>
      </c>
      <c r="J318" t="n">
        <v>702</v>
      </c>
      <c r="K318" t="n">
        <v>413.33</v>
      </c>
      <c r="L318" t="n">
        <v>1386</v>
      </c>
      <c r="M318" t="n">
        <v>1920</v>
      </c>
      <c r="N318" t="n">
        <v>960</v>
      </c>
      <c r="P318" t="n">
        <v>4679.33</v>
      </c>
      <c r="Q318" t="n">
        <v>1530</v>
      </c>
      <c r="R318" t="n">
        <v>9.550000000000001</v>
      </c>
      <c r="S318" t="n">
        <v>349.33</v>
      </c>
      <c r="T318" t="n">
        <v>4615.33</v>
      </c>
      <c r="U318" t="n">
        <v>1516</v>
      </c>
      <c r="V318" t="n">
        <v>9.69</v>
      </c>
      <c r="W318" t="n">
        <v>43</v>
      </c>
      <c r="X318" t="n">
        <v>28.67</v>
      </c>
      <c r="Y318" t="n">
        <v>33.95</v>
      </c>
      <c r="Z318" t="n">
        <v>33.73</v>
      </c>
      <c r="AA318" t="inlineStr">
        <is>
          <t>Lettuce x3; Roasted Tomatoes x1; Goat Cheese x2; Olive x2</t>
        </is>
      </c>
      <c r="AB318" t="b">
        <v>0</v>
      </c>
      <c r="AC318" t="inlineStr">
        <is>
          <t>match (mastered)</t>
        </is>
      </c>
    </row>
    <row r="319">
      <c r="A319" t="inlineStr">
        <is>
          <t>Cherry Jam</t>
        </is>
      </c>
      <c r="B319" t="inlineStr">
        <is>
          <t>machine</t>
        </is>
      </c>
      <c r="C319" t="inlineStr">
        <is>
          <t>Jam Maker</t>
        </is>
      </c>
      <c r="D319" t="n">
        <v>38</v>
      </c>
      <c r="E319" t="n">
        <v>334</v>
      </c>
      <c r="F319" t="inlineStr">
        <is>
          <t>hayday.info</t>
        </is>
      </c>
      <c r="G319" t="n">
        <v>1</v>
      </c>
      <c r="H319" t="n">
        <v>420</v>
      </c>
      <c r="I319" t="n">
        <v>357</v>
      </c>
      <c r="J319" t="n">
        <v>204</v>
      </c>
      <c r="K319" t="n">
        <v>420</v>
      </c>
      <c r="L319" t="n">
        <v>0</v>
      </c>
      <c r="M319" t="n">
        <v>0</v>
      </c>
      <c r="N319" t="n">
        <v>1680</v>
      </c>
      <c r="P319" t="n">
        <v>2100</v>
      </c>
      <c r="Q319" t="n">
        <v>2100</v>
      </c>
      <c r="R319" t="n">
        <v>9.539999999999999</v>
      </c>
      <c r="S319" t="n">
        <v>357</v>
      </c>
      <c r="T319" t="n">
        <v>2037</v>
      </c>
      <c r="U319" t="n">
        <v>2037</v>
      </c>
      <c r="V319" t="n">
        <v>9.84</v>
      </c>
      <c r="W319" t="n">
        <v>130</v>
      </c>
      <c r="X319" t="n">
        <v>18.57</v>
      </c>
      <c r="Y319" t="n">
        <v>21.85</v>
      </c>
      <c r="Z319" t="n">
        <v>21.85</v>
      </c>
      <c r="AA319" t="inlineStr">
        <is>
          <t>Cherry x3</t>
        </is>
      </c>
      <c r="AB319" t="b">
        <v>1</v>
      </c>
      <c r="AC319" t="inlineStr">
        <is>
          <t>match (mastered)</t>
        </is>
      </c>
    </row>
    <row r="320">
      <c r="A320" t="inlineStr">
        <is>
          <t>Chocolate Popcorn</t>
        </is>
      </c>
      <c r="B320" t="inlineStr">
        <is>
          <t>machine</t>
        </is>
      </c>
      <c r="C320" t="inlineStr">
        <is>
          <t>Popcorn Pot</t>
        </is>
      </c>
      <c r="D320" t="n">
        <v>44</v>
      </c>
      <c r="E320" t="n">
        <v>248</v>
      </c>
      <c r="F320" t="inlineStr">
        <is>
          <t>hayday.info</t>
        </is>
      </c>
      <c r="G320" t="n">
        <v>1</v>
      </c>
      <c r="H320" t="n">
        <v>150</v>
      </c>
      <c r="I320" t="n">
        <v>127</v>
      </c>
      <c r="J320" t="n">
        <v>186</v>
      </c>
      <c r="K320" t="n">
        <v>150</v>
      </c>
      <c r="L320" t="n">
        <v>10</v>
      </c>
      <c r="M320" t="n">
        <v>0</v>
      </c>
      <c r="N320" t="n">
        <v>1400</v>
      </c>
      <c r="P320" t="n">
        <v>1560</v>
      </c>
      <c r="Q320" t="n">
        <v>2250</v>
      </c>
      <c r="R320" t="n">
        <v>9.539999999999999</v>
      </c>
      <c r="S320" t="n">
        <v>127</v>
      </c>
      <c r="T320" t="n">
        <v>1537</v>
      </c>
      <c r="U320" t="n">
        <v>2227</v>
      </c>
      <c r="V320" t="n">
        <v>9.68</v>
      </c>
      <c r="W320" t="n">
        <v>62</v>
      </c>
      <c r="X320" t="n">
        <v>24.8</v>
      </c>
      <c r="Y320" t="n">
        <v>29.29</v>
      </c>
      <c r="Z320" t="n">
        <v>29.18</v>
      </c>
      <c r="AA320" t="inlineStr">
        <is>
          <t>Corn x2; Cacao x2</t>
        </is>
      </c>
      <c r="AB320" t="b">
        <v>0</v>
      </c>
      <c r="AC320" t="inlineStr">
        <is>
          <t>match (mastered)</t>
        </is>
      </c>
    </row>
    <row r="321">
      <c r="A321" t="inlineStr">
        <is>
          <t>Green Smoothie</t>
        </is>
      </c>
      <c r="B321" t="inlineStr">
        <is>
          <t>machine</t>
        </is>
      </c>
      <c r="C321" t="inlineStr">
        <is>
          <t>Smoothie Mixer</t>
        </is>
      </c>
      <c r="D321" t="n">
        <v>66</v>
      </c>
      <c r="E321" t="n">
        <v>320</v>
      </c>
      <c r="F321" t="inlineStr">
        <is>
          <t>hayday.info</t>
        </is>
      </c>
      <c r="G321" t="n">
        <v>1</v>
      </c>
      <c r="H321" t="n">
        <v>45</v>
      </c>
      <c r="I321" t="n">
        <v>38</v>
      </c>
      <c r="J321" t="n">
        <v>292</v>
      </c>
      <c r="K321" t="n">
        <v>45</v>
      </c>
      <c r="L321" t="n">
        <v>1050</v>
      </c>
      <c r="M321" t="n">
        <v>0</v>
      </c>
      <c r="N321" t="n">
        <v>920</v>
      </c>
      <c r="P321" t="n">
        <v>2015</v>
      </c>
      <c r="Q321" t="n">
        <v>1845</v>
      </c>
      <c r="R321" t="n">
        <v>9.529999999999999</v>
      </c>
      <c r="S321" t="n">
        <v>38</v>
      </c>
      <c r="T321" t="n">
        <v>2008</v>
      </c>
      <c r="U321" t="n">
        <v>1838</v>
      </c>
      <c r="V321" t="n">
        <v>9.56</v>
      </c>
      <c r="W321" t="n">
        <v>28</v>
      </c>
      <c r="X321" t="n">
        <v>37.33</v>
      </c>
      <c r="Y321" t="n">
        <v>44.21</v>
      </c>
      <c r="Z321" t="n">
        <v>43.92</v>
      </c>
      <c r="AA321" t="inlineStr">
        <is>
          <t>Lettuce x5; Lemon x1; Apple x1</t>
        </is>
      </c>
      <c r="AB321" t="b">
        <v>0</v>
      </c>
      <c r="AC321" t="inlineStr">
        <is>
          <t>match (mastered)</t>
        </is>
      </c>
    </row>
    <row r="322">
      <c r="A322" t="inlineStr">
        <is>
          <t>Banana Split</t>
        </is>
      </c>
      <c r="B322" t="inlineStr">
        <is>
          <t>machine</t>
        </is>
      </c>
      <c r="C322" t="inlineStr">
        <is>
          <t>Ice Cream Maker</t>
        </is>
      </c>
      <c r="D322" t="n">
        <v>96</v>
      </c>
      <c r="E322" t="n">
        <v>403</v>
      </c>
      <c r="F322" t="inlineStr">
        <is>
          <t>hayday.info</t>
        </is>
      </c>
      <c r="G322" t="n">
        <v>1</v>
      </c>
      <c r="H322" t="n">
        <v>210</v>
      </c>
      <c r="I322" t="n">
        <v>178</v>
      </c>
      <c r="J322" t="n">
        <v>358</v>
      </c>
      <c r="K322" t="n">
        <v>233.33</v>
      </c>
      <c r="L322" t="n">
        <v>15</v>
      </c>
      <c r="M322" t="n">
        <v>60</v>
      </c>
      <c r="N322" t="n">
        <v>2240</v>
      </c>
      <c r="P322" t="n">
        <v>2548.33</v>
      </c>
      <c r="Q322" t="n">
        <v>1890</v>
      </c>
      <c r="R322" t="n">
        <v>9.49</v>
      </c>
      <c r="S322" t="n">
        <v>197.67</v>
      </c>
      <c r="T322" t="n">
        <v>2512.67</v>
      </c>
      <c r="U322" t="n">
        <v>1858</v>
      </c>
      <c r="V322" t="n">
        <v>9.619999999999999</v>
      </c>
      <c r="W322" t="n">
        <v>45</v>
      </c>
      <c r="X322" t="n">
        <v>12.86</v>
      </c>
      <c r="Y322" t="n">
        <v>15.17</v>
      </c>
      <c r="Z322" t="n">
        <v>15.13</v>
      </c>
      <c r="AA322" t="inlineStr">
        <is>
          <t>Banana x1; Cream x1; Cherry x3</t>
        </is>
      </c>
      <c r="AB322" t="b">
        <v>0</v>
      </c>
      <c r="AC322" t="inlineStr">
        <is>
          <t>match (mastered)</t>
        </is>
      </c>
    </row>
    <row r="323">
      <c r="A323" t="inlineStr">
        <is>
          <t>Birthday Bouquet</t>
        </is>
      </c>
      <c r="B323" t="inlineStr">
        <is>
          <t>machine</t>
        </is>
      </c>
      <c r="C323" t="inlineStr">
        <is>
          <t>Flower Shop</t>
        </is>
      </c>
      <c r="D323" t="n">
        <v>92</v>
      </c>
      <c r="E323" t="n">
        <v>349</v>
      </c>
      <c r="F323" t="inlineStr">
        <is>
          <t>hayday.info</t>
        </is>
      </c>
      <c r="G323" t="n">
        <v>1</v>
      </c>
      <c r="H323" t="n">
        <v>20</v>
      </c>
      <c r="I323" t="n">
        <v>17</v>
      </c>
      <c r="J323" t="n">
        <v>370</v>
      </c>
      <c r="K323" t="n">
        <v>170</v>
      </c>
      <c r="L323" t="n">
        <v>930</v>
      </c>
      <c r="M323" t="n">
        <v>0</v>
      </c>
      <c r="N323" t="n">
        <v>1120</v>
      </c>
      <c r="P323" t="n">
        <v>2220</v>
      </c>
      <c r="Q323" t="n">
        <v>1850</v>
      </c>
      <c r="R323" t="n">
        <v>9.43</v>
      </c>
      <c r="S323" t="n">
        <v>144</v>
      </c>
      <c r="T323" t="n">
        <v>2194</v>
      </c>
      <c r="U323" t="n">
        <v>1824</v>
      </c>
      <c r="V323" t="n">
        <v>9.539999999999999</v>
      </c>
      <c r="W323" t="n">
        <v>-21</v>
      </c>
      <c r="X323" t="n">
        <v>-63</v>
      </c>
      <c r="Y323" t="n">
        <v>-74.12</v>
      </c>
      <c r="Z323" t="n">
        <v>-74.12</v>
      </c>
      <c r="AA323" t="inlineStr">
        <is>
          <t>Cherry Juice x1; Peony x3; Lily x1; Indigo x1</t>
        </is>
      </c>
      <c r="AB323" t="b">
        <v>0</v>
      </c>
      <c r="AC323" t="inlineStr">
        <is>
          <t>match (mastered)</t>
        </is>
      </c>
    </row>
    <row r="324">
      <c r="A324" t="inlineStr">
        <is>
          <t>Orange</t>
        </is>
      </c>
      <c r="B324" t="inlineStr">
        <is>
          <t>tree</t>
        </is>
      </c>
      <c r="C324" t="inlineStr">
        <is>
          <t>Orange Tree</t>
        </is>
      </c>
      <c r="D324" t="n">
        <v>71</v>
      </c>
      <c r="E324" t="n">
        <v>97</v>
      </c>
      <c r="F324" t="inlineStr">
        <is>
          <t>hayday.info</t>
        </is>
      </c>
      <c r="G324" t="n">
        <v>1</v>
      </c>
      <c r="H324" t="n">
        <v>1860</v>
      </c>
      <c r="J324" t="n">
        <v>0</v>
      </c>
      <c r="K324" t="n">
        <v>0</v>
      </c>
      <c r="L324" t="n">
        <v>0</v>
      </c>
      <c r="M324" t="n">
        <v>0</v>
      </c>
      <c r="N324" t="n">
        <v>620</v>
      </c>
      <c r="P324" t="n">
        <v>620</v>
      </c>
      <c r="Q324" t="n">
        <v>1860</v>
      </c>
      <c r="R324" t="n">
        <v>9.390000000000001</v>
      </c>
      <c r="S324" t="n">
        <v>0</v>
      </c>
      <c r="T324" t="n">
        <v>620</v>
      </c>
      <c r="U324" t="n">
        <v>1860</v>
      </c>
      <c r="V324" t="n">
        <v>9.390000000000001</v>
      </c>
      <c r="W324" t="n">
        <v>97</v>
      </c>
      <c r="X324" t="n">
        <v>3.13</v>
      </c>
      <c r="Y324" t="n">
        <v>3.13</v>
      </c>
      <c r="Z324" t="n">
        <v>17.54</v>
      </c>
      <c r="AB324" t="b">
        <v>0</v>
      </c>
    </row>
    <row r="325">
      <c r="A325" t="inlineStr">
        <is>
          <t>Mango</t>
        </is>
      </c>
      <c r="B325" t="inlineStr">
        <is>
          <t>tree</t>
        </is>
      </c>
      <c r="C325" t="inlineStr">
        <is>
          <t>Mango Tree</t>
        </is>
      </c>
      <c r="D325" t="n">
        <v>97</v>
      </c>
      <c r="E325" t="n">
        <v>100</v>
      </c>
      <c r="F325" t="inlineStr">
        <is>
          <t>hayday.info</t>
        </is>
      </c>
      <c r="G325" t="n">
        <v>1</v>
      </c>
      <c r="H325" t="n">
        <v>1920</v>
      </c>
      <c r="J325" t="n">
        <v>0</v>
      </c>
      <c r="K325" t="n">
        <v>0</v>
      </c>
      <c r="L325" t="n">
        <v>0</v>
      </c>
      <c r="M325" t="n">
        <v>0</v>
      </c>
      <c r="N325" t="n">
        <v>640</v>
      </c>
      <c r="P325" t="n">
        <v>640</v>
      </c>
      <c r="Q325" t="n">
        <v>1920</v>
      </c>
      <c r="R325" t="n">
        <v>9.380000000000001</v>
      </c>
      <c r="S325" t="n">
        <v>0</v>
      </c>
      <c r="T325" t="n">
        <v>640</v>
      </c>
      <c r="U325" t="n">
        <v>1920</v>
      </c>
      <c r="V325" t="n">
        <v>9.380000000000001</v>
      </c>
      <c r="W325" t="n">
        <v>100</v>
      </c>
      <c r="X325" t="n">
        <v>3.12</v>
      </c>
      <c r="Y325" t="n">
        <v>3.12</v>
      </c>
      <c r="Z325" t="n">
        <v>16.89</v>
      </c>
      <c r="AB325" t="b">
        <v>0</v>
      </c>
    </row>
    <row r="326">
      <c r="A326" t="inlineStr">
        <is>
          <t>Red Berry Cake</t>
        </is>
      </c>
      <c r="B326" t="inlineStr">
        <is>
          <t>machine</t>
        </is>
      </c>
      <c r="C326" t="inlineStr">
        <is>
          <t>Cake Oven</t>
        </is>
      </c>
      <c r="D326" t="n">
        <v>23</v>
      </c>
      <c r="E326" t="n">
        <v>255</v>
      </c>
      <c r="F326" t="inlineStr">
        <is>
          <t>hayday.info</t>
        </is>
      </c>
      <c r="G326" t="n">
        <v>1</v>
      </c>
      <c r="H326" t="n">
        <v>60</v>
      </c>
      <c r="I326" t="n">
        <v>51</v>
      </c>
      <c r="J326" t="n">
        <v>232</v>
      </c>
      <c r="K326" t="n">
        <v>65</v>
      </c>
      <c r="L326" t="n">
        <v>18</v>
      </c>
      <c r="M326" t="n">
        <v>80</v>
      </c>
      <c r="N326" t="n">
        <v>1480</v>
      </c>
      <c r="P326" t="n">
        <v>1643</v>
      </c>
      <c r="Q326" t="n">
        <v>1740</v>
      </c>
      <c r="R326" t="n">
        <v>9.31</v>
      </c>
      <c r="S326" t="n">
        <v>55</v>
      </c>
      <c r="T326" t="n">
        <v>1633</v>
      </c>
      <c r="U326" t="n">
        <v>1731</v>
      </c>
      <c r="V326" t="n">
        <v>9.369999999999999</v>
      </c>
      <c r="W326" t="n">
        <v>23</v>
      </c>
      <c r="X326" t="n">
        <v>23</v>
      </c>
      <c r="Y326" t="n">
        <v>27.06</v>
      </c>
      <c r="Z326" t="n">
        <v>27.06</v>
      </c>
      <c r="AA326" t="inlineStr">
        <is>
          <t>Raspberry x1; Cherry x2; Milk x1; Egg x1</t>
        </is>
      </c>
      <c r="AB326" t="b">
        <v>1</v>
      </c>
      <c r="AC326" t="inlineStr">
        <is>
          <t>match (mastered)</t>
        </is>
      </c>
    </row>
    <row r="327">
      <c r="A327" t="inlineStr">
        <is>
          <t>Lemon</t>
        </is>
      </c>
      <c r="B327" t="inlineStr">
        <is>
          <t>tree</t>
        </is>
      </c>
      <c r="C327" t="inlineStr">
        <is>
          <t>Lemon Tree</t>
        </is>
      </c>
      <c r="D327" t="n">
        <v>66</v>
      </c>
      <c r="E327" t="n">
        <v>93</v>
      </c>
      <c r="F327" t="inlineStr">
        <is>
          <t>hayday.info</t>
        </is>
      </c>
      <c r="G327" t="n">
        <v>1</v>
      </c>
      <c r="H327" t="n">
        <v>1800</v>
      </c>
      <c r="J327" t="n">
        <v>0</v>
      </c>
      <c r="K327" t="n">
        <v>0</v>
      </c>
      <c r="L327" t="n">
        <v>0</v>
      </c>
      <c r="M327" t="n">
        <v>0</v>
      </c>
      <c r="N327" t="n">
        <v>600</v>
      </c>
      <c r="P327" t="n">
        <v>600</v>
      </c>
      <c r="Q327" t="n">
        <v>1800</v>
      </c>
      <c r="R327" t="n">
        <v>9.300000000000001</v>
      </c>
      <c r="S327" t="n">
        <v>0</v>
      </c>
      <c r="T327" t="n">
        <v>600</v>
      </c>
      <c r="U327" t="n">
        <v>1800</v>
      </c>
      <c r="V327" t="n">
        <v>9.300000000000001</v>
      </c>
      <c r="W327" t="n">
        <v>93</v>
      </c>
      <c r="X327" t="n">
        <v>3.1</v>
      </c>
      <c r="Y327" t="n">
        <v>3.1</v>
      </c>
      <c r="Z327" t="n">
        <v>18.86</v>
      </c>
      <c r="AB327" t="b">
        <v>0</v>
      </c>
    </row>
    <row r="328">
      <c r="A328" t="inlineStr">
        <is>
          <t>Fruit Cake</t>
        </is>
      </c>
      <c r="B328" t="inlineStr">
        <is>
          <t>machine</t>
        </is>
      </c>
      <c r="C328" t="inlineStr">
        <is>
          <t>Cake Oven</t>
        </is>
      </c>
      <c r="D328" t="n">
        <v>89</v>
      </c>
      <c r="E328" t="n">
        <v>450</v>
      </c>
      <c r="F328" t="inlineStr">
        <is>
          <t>hayday.info</t>
        </is>
      </c>
      <c r="G328" t="n">
        <v>1</v>
      </c>
      <c r="H328" t="n">
        <v>180</v>
      </c>
      <c r="I328" t="n">
        <v>153</v>
      </c>
      <c r="J328" t="n">
        <v>403</v>
      </c>
      <c r="K328" t="n">
        <v>180</v>
      </c>
      <c r="L328" t="n">
        <v>366</v>
      </c>
      <c r="M328" t="n">
        <v>0</v>
      </c>
      <c r="N328" t="n">
        <v>2360</v>
      </c>
      <c r="P328" t="n">
        <v>2906</v>
      </c>
      <c r="Q328" t="n">
        <v>2040</v>
      </c>
      <c r="R328" t="n">
        <v>9.289999999999999</v>
      </c>
      <c r="S328" t="n">
        <v>153</v>
      </c>
      <c r="T328" t="n">
        <v>2879</v>
      </c>
      <c r="U328" t="n">
        <v>2013</v>
      </c>
      <c r="V328" t="n">
        <v>9.380000000000001</v>
      </c>
      <c r="W328" t="n">
        <v>47</v>
      </c>
      <c r="X328" t="n">
        <v>15.67</v>
      </c>
      <c r="Y328" t="n">
        <v>18.43</v>
      </c>
      <c r="Z328" t="n">
        <v>18.43</v>
      </c>
      <c r="AA328" t="inlineStr">
        <is>
          <t>Grapes x2; Orange x2; Cherry x2; Wheat x3</t>
        </is>
      </c>
      <c r="AB328" t="b">
        <v>0</v>
      </c>
      <c r="AC328" t="inlineStr">
        <is>
          <t>match (mastered)</t>
        </is>
      </c>
    </row>
    <row r="329">
      <c r="A329" t="inlineStr">
        <is>
          <t>Espresso</t>
        </is>
      </c>
      <c r="B329" t="inlineStr">
        <is>
          <t>machine</t>
        </is>
      </c>
      <c r="C329" t="inlineStr">
        <is>
          <t>Coffee Kiosk</t>
        </is>
      </c>
      <c r="D329" t="n">
        <v>42</v>
      </c>
      <c r="E329" t="n">
        <v>248</v>
      </c>
      <c r="F329" t="inlineStr">
        <is>
          <t>hayday.info</t>
        </is>
      </c>
      <c r="G329" t="n">
        <v>1</v>
      </c>
      <c r="H329" t="n">
        <v>5</v>
      </c>
      <c r="I329" t="n">
        <v>4</v>
      </c>
      <c r="J329" t="n">
        <v>242</v>
      </c>
      <c r="K329" t="n">
        <v>45</v>
      </c>
      <c r="L329" t="n">
        <v>60</v>
      </c>
      <c r="M329" t="n">
        <v>0</v>
      </c>
      <c r="N329" t="n">
        <v>1500</v>
      </c>
      <c r="P329" t="n">
        <v>1605</v>
      </c>
      <c r="Q329" t="n">
        <v>1505</v>
      </c>
      <c r="R329" t="n">
        <v>9.27</v>
      </c>
      <c r="S329" t="n">
        <v>38</v>
      </c>
      <c r="T329" t="n">
        <v>1598</v>
      </c>
      <c r="U329" t="n">
        <v>1504</v>
      </c>
      <c r="V329" t="n">
        <v>9.31</v>
      </c>
      <c r="W329" t="n">
        <v>6</v>
      </c>
      <c r="X329" t="n">
        <v>72</v>
      </c>
      <c r="Y329" t="n">
        <v>90</v>
      </c>
      <c r="Z329" t="n">
        <v>84.70999999999999</v>
      </c>
      <c r="AA329" t="inlineStr">
        <is>
          <t>Coffee Bean x3; White Sugar x1</t>
        </is>
      </c>
      <c r="AB329" t="b">
        <v>0</v>
      </c>
      <c r="AC329" t="inlineStr">
        <is>
          <t>match (normal x0.85)</t>
        </is>
      </c>
    </row>
    <row r="330">
      <c r="A330" t="inlineStr">
        <is>
          <t>Red Scarf</t>
        </is>
      </c>
      <c r="B330" t="inlineStr">
        <is>
          <t>machine</t>
        </is>
      </c>
      <c r="C330" t="inlineStr">
        <is>
          <t>Loom</t>
        </is>
      </c>
      <c r="D330" t="n">
        <v>48</v>
      </c>
      <c r="E330" t="n">
        <v>288</v>
      </c>
      <c r="F330" t="inlineStr">
        <is>
          <t>hayday.info</t>
        </is>
      </c>
      <c r="G330" t="n">
        <v>1</v>
      </c>
      <c r="H330" t="n">
        <v>150</v>
      </c>
      <c r="I330" t="n">
        <v>127</v>
      </c>
      <c r="J330" t="n">
        <v>208</v>
      </c>
      <c r="K330" t="n">
        <v>170</v>
      </c>
      <c r="L330" t="n">
        <v>977.33</v>
      </c>
      <c r="M330" t="n">
        <v>720</v>
      </c>
      <c r="N330" t="n">
        <v>0</v>
      </c>
      <c r="P330" t="n">
        <v>1867.33</v>
      </c>
      <c r="Q330" t="n">
        <v>630</v>
      </c>
      <c r="R330" t="n">
        <v>9.25</v>
      </c>
      <c r="S330" t="n">
        <v>143.67</v>
      </c>
      <c r="T330" t="n">
        <v>1841</v>
      </c>
      <c r="U330" t="n">
        <v>607</v>
      </c>
      <c r="V330" t="n">
        <v>9.390000000000001</v>
      </c>
      <c r="W330" t="n">
        <v>80</v>
      </c>
      <c r="X330" t="n">
        <v>32</v>
      </c>
      <c r="Y330" t="n">
        <v>37.8</v>
      </c>
      <c r="Z330" t="n">
        <v>37.65</v>
      </c>
      <c r="AA330" t="inlineStr">
        <is>
          <t>Wool x2; Strawberry x2</t>
        </is>
      </c>
      <c r="AB330" t="b">
        <v>0</v>
      </c>
      <c r="AC330" t="inlineStr">
        <is>
          <t>match (mastered)</t>
        </is>
      </c>
    </row>
    <row r="331">
      <c r="A331" t="inlineStr">
        <is>
          <t>Blueberry Muffin</t>
        </is>
      </c>
      <c r="B331" t="inlineStr">
        <is>
          <t>machine</t>
        </is>
      </c>
      <c r="C331" t="inlineStr">
        <is>
          <t>Bakery</t>
        </is>
      </c>
      <c r="D331" t="n">
        <v>33</v>
      </c>
      <c r="E331" t="n">
        <v>230</v>
      </c>
      <c r="F331" t="inlineStr">
        <is>
          <t>Fandom</t>
        </is>
      </c>
      <c r="G331" t="n">
        <v>1</v>
      </c>
      <c r="H331" t="n">
        <v>45</v>
      </c>
      <c r="I331" t="n">
        <v>38</v>
      </c>
      <c r="J331" t="n">
        <v>203</v>
      </c>
      <c r="K331" t="n">
        <v>48.33</v>
      </c>
      <c r="L331" t="n">
        <v>8</v>
      </c>
      <c r="M331" t="n">
        <v>40</v>
      </c>
      <c r="N331" t="n">
        <v>1400</v>
      </c>
      <c r="P331" t="n">
        <v>1496.33</v>
      </c>
      <c r="Q331" t="n">
        <v>2145</v>
      </c>
      <c r="R331" t="n">
        <v>9.220000000000001</v>
      </c>
      <c r="S331" t="n">
        <v>40.67</v>
      </c>
      <c r="T331" t="n">
        <v>1488.67</v>
      </c>
      <c r="U331" t="n">
        <v>2138</v>
      </c>
      <c r="V331" t="n">
        <v>9.27</v>
      </c>
      <c r="W331" t="n">
        <v>27</v>
      </c>
      <c r="X331" t="n">
        <v>36</v>
      </c>
      <c r="Y331" t="n">
        <v>42.63</v>
      </c>
      <c r="AA331" t="inlineStr">
        <is>
          <t>Wheat x1; Egg x2; Blueberries x2</t>
        </is>
      </c>
      <c r="AB331" t="b">
        <v>1</v>
      </c>
    </row>
    <row r="332">
      <c r="A332" t="inlineStr">
        <is>
          <t>Raspberry Mocha</t>
        </is>
      </c>
      <c r="B332" t="inlineStr">
        <is>
          <t>machine</t>
        </is>
      </c>
      <c r="C332" t="inlineStr">
        <is>
          <t>Coffee Kiosk</t>
        </is>
      </c>
      <c r="D332" t="n">
        <v>46</v>
      </c>
      <c r="E332" t="n">
        <v>259</v>
      </c>
      <c r="F332" t="inlineStr">
        <is>
          <t>hayday.info</t>
        </is>
      </c>
      <c r="G332" t="n">
        <v>1</v>
      </c>
      <c r="H332" t="n">
        <v>30</v>
      </c>
      <c r="I332" t="n">
        <v>25</v>
      </c>
      <c r="J332" t="n">
        <v>246</v>
      </c>
      <c r="K332" t="n">
        <v>53.33</v>
      </c>
      <c r="L332" t="n">
        <v>15</v>
      </c>
      <c r="M332" t="n">
        <v>60</v>
      </c>
      <c r="N332" t="n">
        <v>1560</v>
      </c>
      <c r="P332" t="n">
        <v>1688.33</v>
      </c>
      <c r="Q332" t="n">
        <v>2130</v>
      </c>
      <c r="R332" t="n">
        <v>9.199999999999999</v>
      </c>
      <c r="S332" t="n">
        <v>44.67</v>
      </c>
      <c r="T332" t="n">
        <v>1679.67</v>
      </c>
      <c r="U332" t="n">
        <v>2125</v>
      </c>
      <c r="V332" t="n">
        <v>9.25</v>
      </c>
      <c r="W332" t="n">
        <v>13</v>
      </c>
      <c r="X332" t="n">
        <v>26</v>
      </c>
      <c r="Y332" t="n">
        <v>31.2</v>
      </c>
      <c r="Z332" t="n">
        <v>30.59</v>
      </c>
      <c r="AA332" t="inlineStr">
        <is>
          <t>Coffee Bean x1; Cream x1; Cacao x1; Raspberry x1</t>
        </is>
      </c>
      <c r="AB332" t="b">
        <v>0</v>
      </c>
      <c r="AC332" t="inlineStr">
        <is>
          <t>match (normal x0.85)</t>
        </is>
      </c>
    </row>
    <row r="333">
      <c r="A333" t="inlineStr">
        <is>
          <t>Cocoa Smoothie</t>
        </is>
      </c>
      <c r="B333" t="inlineStr">
        <is>
          <t>machine</t>
        </is>
      </c>
      <c r="C333" t="inlineStr">
        <is>
          <t>Smoothie Mixer</t>
        </is>
      </c>
      <c r="D333" t="n">
        <v>100</v>
      </c>
      <c r="E333" t="n">
        <v>511</v>
      </c>
      <c r="F333" t="inlineStr">
        <is>
          <t>hayday.info</t>
        </is>
      </c>
      <c r="G333" t="n">
        <v>1</v>
      </c>
      <c r="H333" t="n">
        <v>40</v>
      </c>
      <c r="I333" t="n">
        <v>34</v>
      </c>
      <c r="J333" t="n">
        <v>498</v>
      </c>
      <c r="K333" t="n">
        <v>43.33</v>
      </c>
      <c r="L333" t="n">
        <v>15</v>
      </c>
      <c r="M333" t="n">
        <v>60</v>
      </c>
      <c r="N333" t="n">
        <v>3220</v>
      </c>
      <c r="P333" t="n">
        <v>3338.33</v>
      </c>
      <c r="Q333" t="n">
        <v>2140</v>
      </c>
      <c r="R333" t="n">
        <v>9.18</v>
      </c>
      <c r="S333" t="n">
        <v>36.67</v>
      </c>
      <c r="T333" t="n">
        <v>3331.67</v>
      </c>
      <c r="U333" t="n">
        <v>2134</v>
      </c>
      <c r="V333" t="n">
        <v>9.199999999999999</v>
      </c>
      <c r="W333" t="n">
        <v>13</v>
      </c>
      <c r="X333" t="n">
        <v>19.5</v>
      </c>
      <c r="Y333" t="n">
        <v>22.94</v>
      </c>
      <c r="Z333" t="n">
        <v>22.94</v>
      </c>
      <c r="AA333" t="inlineStr">
        <is>
          <t>Banana x2; Cacao x3; Milk x1</t>
        </is>
      </c>
      <c r="AB333" t="b">
        <v>0</v>
      </c>
      <c r="AC333" t="inlineStr">
        <is>
          <t>match (mastered)</t>
        </is>
      </c>
    </row>
    <row r="334">
      <c r="A334" t="inlineStr">
        <is>
          <t>Lettuce</t>
        </is>
      </c>
      <c r="B334" t="inlineStr">
        <is>
          <t>field</t>
        </is>
      </c>
      <c r="C334" t="inlineStr">
        <is>
          <t>Farm</t>
        </is>
      </c>
      <c r="D334" t="n">
        <v>58</v>
      </c>
      <c r="E334" t="n">
        <v>32</v>
      </c>
      <c r="F334" t="inlineStr">
        <is>
          <t>hayday.info</t>
        </is>
      </c>
      <c r="G334" t="n">
        <v>1</v>
      </c>
      <c r="H334" t="n">
        <v>210</v>
      </c>
      <c r="J334" t="n">
        <v>0</v>
      </c>
      <c r="K334" t="n">
        <v>0</v>
      </c>
      <c r="L334" t="n">
        <v>210</v>
      </c>
      <c r="M334" t="n">
        <v>0</v>
      </c>
      <c r="N334" t="n">
        <v>0</v>
      </c>
      <c r="P334" t="n">
        <v>210</v>
      </c>
      <c r="Q334" t="n">
        <v>210</v>
      </c>
      <c r="R334" t="n">
        <v>9.140000000000001</v>
      </c>
      <c r="S334" t="n">
        <v>0</v>
      </c>
      <c r="T334" t="n">
        <v>210</v>
      </c>
      <c r="U334" t="n">
        <v>210</v>
      </c>
      <c r="V334" t="n">
        <v>9.140000000000001</v>
      </c>
      <c r="W334" t="n">
        <v>32</v>
      </c>
      <c r="X334" t="n">
        <v>9.140000000000001</v>
      </c>
      <c r="Y334" t="n">
        <v>9.140000000000001</v>
      </c>
      <c r="Z334" t="n">
        <v>9.140000000000001</v>
      </c>
      <c r="AB334" t="b">
        <v>0</v>
      </c>
    </row>
    <row r="335">
      <c r="A335" t="inlineStr">
        <is>
          <t>Coconut</t>
        </is>
      </c>
      <c r="B335" t="inlineStr">
        <is>
          <t>tree</t>
        </is>
      </c>
      <c r="C335" t="inlineStr">
        <is>
          <t>Coconut Tree</t>
        </is>
      </c>
      <c r="D335" t="n">
        <v>101</v>
      </c>
      <c r="E335" t="n">
        <v>108</v>
      </c>
      <c r="F335" t="inlineStr">
        <is>
          <t>hayday.info</t>
        </is>
      </c>
      <c r="G335" t="n">
        <v>1</v>
      </c>
      <c r="H335" t="n">
        <v>2160</v>
      </c>
      <c r="J335" t="n">
        <v>0</v>
      </c>
      <c r="K335" t="n">
        <v>0</v>
      </c>
      <c r="L335" t="n">
        <v>0</v>
      </c>
      <c r="M335" t="n">
        <v>0</v>
      </c>
      <c r="N335" t="n">
        <v>720</v>
      </c>
      <c r="P335" t="n">
        <v>720</v>
      </c>
      <c r="Q335" t="n">
        <v>2160</v>
      </c>
      <c r="R335" t="n">
        <v>9</v>
      </c>
      <c r="S335" t="n">
        <v>0</v>
      </c>
      <c r="T335" t="n">
        <v>720</v>
      </c>
      <c r="U335" t="n">
        <v>2160</v>
      </c>
      <c r="V335" t="n">
        <v>9</v>
      </c>
      <c r="W335" t="n">
        <v>108</v>
      </c>
      <c r="X335" t="n">
        <v>3</v>
      </c>
      <c r="Y335" t="n">
        <v>3</v>
      </c>
      <c r="Z335" t="n">
        <v>16.5</v>
      </c>
      <c r="AB335" t="b">
        <v>0</v>
      </c>
    </row>
    <row r="336">
      <c r="A336" t="inlineStr">
        <is>
          <t>Peony</t>
        </is>
      </c>
      <c r="B336" t="inlineStr">
        <is>
          <t>field</t>
        </is>
      </c>
      <c r="C336" t="inlineStr">
        <is>
          <t>Farm</t>
        </is>
      </c>
      <c r="D336" t="n">
        <v>82</v>
      </c>
      <c r="E336" t="n">
        <v>36</v>
      </c>
      <c r="F336" t="inlineStr">
        <is>
          <t>hayday.info</t>
        </is>
      </c>
      <c r="G336" t="n">
        <v>1</v>
      </c>
      <c r="H336" t="n">
        <v>240</v>
      </c>
      <c r="J336" t="n">
        <v>0</v>
      </c>
      <c r="K336" t="n">
        <v>0</v>
      </c>
      <c r="L336" t="n">
        <v>240</v>
      </c>
      <c r="M336" t="n">
        <v>0</v>
      </c>
      <c r="N336" t="n">
        <v>0</v>
      </c>
      <c r="P336" t="n">
        <v>240</v>
      </c>
      <c r="Q336" t="n">
        <v>240</v>
      </c>
      <c r="R336" t="n">
        <v>9</v>
      </c>
      <c r="S336" t="n">
        <v>0</v>
      </c>
      <c r="T336" t="n">
        <v>240</v>
      </c>
      <c r="U336" t="n">
        <v>240</v>
      </c>
      <c r="V336" t="n">
        <v>9</v>
      </c>
      <c r="W336" t="n">
        <v>36</v>
      </c>
      <c r="X336" t="n">
        <v>9</v>
      </c>
      <c r="Y336" t="n">
        <v>9</v>
      </c>
      <c r="Z336" t="n">
        <v>9</v>
      </c>
      <c r="AB336" t="b">
        <v>0</v>
      </c>
    </row>
    <row r="337">
      <c r="A337" t="inlineStr">
        <is>
          <t>Chili Pepper</t>
        </is>
      </c>
      <c r="B337" t="inlineStr">
        <is>
          <t>field</t>
        </is>
      </c>
      <c r="C337" t="inlineStr">
        <is>
          <t>Farm</t>
        </is>
      </c>
      <c r="D337" t="n">
        <v>25</v>
      </c>
      <c r="E337" t="n">
        <v>36</v>
      </c>
      <c r="F337" t="inlineStr">
        <is>
          <t>hayday.info</t>
        </is>
      </c>
      <c r="G337" t="n">
        <v>1</v>
      </c>
      <c r="H337" t="n">
        <v>240</v>
      </c>
      <c r="J337" t="n">
        <v>0</v>
      </c>
      <c r="K337" t="n">
        <v>0</v>
      </c>
      <c r="L337" t="n">
        <v>240</v>
      </c>
      <c r="M337" t="n">
        <v>0</v>
      </c>
      <c r="N337" t="n">
        <v>0</v>
      </c>
      <c r="P337" t="n">
        <v>240</v>
      </c>
      <c r="Q337" t="n">
        <v>240</v>
      </c>
      <c r="R337" t="n">
        <v>9</v>
      </c>
      <c r="S337" t="n">
        <v>0</v>
      </c>
      <c r="T337" t="n">
        <v>240</v>
      </c>
      <c r="U337" t="n">
        <v>240</v>
      </c>
      <c r="V337" t="n">
        <v>9</v>
      </c>
      <c r="W337" t="n">
        <v>36</v>
      </c>
      <c r="X337" t="n">
        <v>9</v>
      </c>
      <c r="Y337" t="n">
        <v>9</v>
      </c>
      <c r="Z337" t="n">
        <v>9</v>
      </c>
      <c r="AB337" t="b">
        <v>1</v>
      </c>
    </row>
    <row r="338">
      <c r="A338" t="inlineStr">
        <is>
          <t>Grilled Asparagus</t>
        </is>
      </c>
      <c r="B338" t="inlineStr">
        <is>
          <t>machine</t>
        </is>
      </c>
      <c r="C338" t="inlineStr">
        <is>
          <t>BBQ Grill</t>
        </is>
      </c>
      <c r="D338" t="n">
        <v>67</v>
      </c>
      <c r="E338" t="n">
        <v>486</v>
      </c>
      <c r="F338" t="inlineStr">
        <is>
          <t>Fandom</t>
        </is>
      </c>
      <c r="G338" t="n">
        <v>1</v>
      </c>
      <c r="H338" t="n">
        <v>75</v>
      </c>
      <c r="I338" t="n">
        <v>63</v>
      </c>
      <c r="J338" t="n">
        <v>458</v>
      </c>
      <c r="K338" t="n">
        <v>95</v>
      </c>
      <c r="L338" t="n">
        <v>1840</v>
      </c>
      <c r="M338" t="n">
        <v>720</v>
      </c>
      <c r="N338" t="n">
        <v>600</v>
      </c>
      <c r="P338" t="n">
        <v>3255</v>
      </c>
      <c r="Q338" t="n">
        <v>1875</v>
      </c>
      <c r="R338" t="n">
        <v>8.960000000000001</v>
      </c>
      <c r="S338" t="n">
        <v>80</v>
      </c>
      <c r="T338" t="n">
        <v>3240</v>
      </c>
      <c r="U338" t="n">
        <v>1863</v>
      </c>
      <c r="V338" t="n">
        <v>9</v>
      </c>
      <c r="W338" t="n">
        <v>28</v>
      </c>
      <c r="X338" t="n">
        <v>22.4</v>
      </c>
      <c r="Y338" t="n">
        <v>26.67</v>
      </c>
      <c r="AA338" t="inlineStr">
        <is>
          <t>Asparagus x5; Bacon x3; Lemon x1</t>
        </is>
      </c>
      <c r="AB338" t="b">
        <v>0</v>
      </c>
    </row>
    <row r="339">
      <c r="A339" t="inlineStr">
        <is>
          <t>Goat Cheese</t>
        </is>
      </c>
      <c r="B339" t="inlineStr">
        <is>
          <t>machine</t>
        </is>
      </c>
      <c r="C339" t="inlineStr">
        <is>
          <t>Dairy</t>
        </is>
      </c>
      <c r="D339" t="n">
        <v>33</v>
      </c>
      <c r="E339" t="n">
        <v>162</v>
      </c>
      <c r="F339" t="inlineStr">
        <is>
          <t>hayday.info</t>
        </is>
      </c>
      <c r="G339" t="n">
        <v>1</v>
      </c>
      <c r="H339" t="n">
        <v>90</v>
      </c>
      <c r="I339" t="n">
        <v>76</v>
      </c>
      <c r="J339" t="n">
        <v>128</v>
      </c>
      <c r="K339" t="n">
        <v>116.67</v>
      </c>
      <c r="L339" t="n">
        <v>18</v>
      </c>
      <c r="M339" t="n">
        <v>960</v>
      </c>
      <c r="N339" t="n">
        <v>0</v>
      </c>
      <c r="P339" t="n">
        <v>1094.67</v>
      </c>
      <c r="Q339" t="n">
        <v>620</v>
      </c>
      <c r="R339" t="n">
        <v>8.880000000000001</v>
      </c>
      <c r="S339" t="n">
        <v>98.67</v>
      </c>
      <c r="T339" t="n">
        <v>1076.67</v>
      </c>
      <c r="U339" t="n">
        <v>600</v>
      </c>
      <c r="V339" t="n">
        <v>9.029999999999999</v>
      </c>
      <c r="W339" t="n">
        <v>34</v>
      </c>
      <c r="X339" t="n">
        <v>22.67</v>
      </c>
      <c r="Y339" t="n">
        <v>26.84</v>
      </c>
      <c r="Z339" t="n">
        <v>26.67</v>
      </c>
      <c r="AA339" t="inlineStr">
        <is>
          <t>Goat Milk x2</t>
        </is>
      </c>
      <c r="AB339" t="b">
        <v>1</v>
      </c>
      <c r="AC339" t="inlineStr">
        <is>
          <t>match (mastered)</t>
        </is>
      </c>
    </row>
    <row r="340">
      <c r="A340" t="inlineStr">
        <is>
          <t>Milk Tea</t>
        </is>
      </c>
      <c r="B340" t="inlineStr">
        <is>
          <t>machine</t>
        </is>
      </c>
      <c r="C340" t="inlineStr">
        <is>
          <t>Tea Stand</t>
        </is>
      </c>
      <c r="D340" t="n">
        <v>81</v>
      </c>
      <c r="E340" t="n">
        <v>190</v>
      </c>
      <c r="F340" t="inlineStr">
        <is>
          <t>hayday.info</t>
        </is>
      </c>
      <c r="G340" t="n">
        <v>1</v>
      </c>
      <c r="H340" t="n">
        <v>45</v>
      </c>
      <c r="I340" t="n">
        <v>38</v>
      </c>
      <c r="J340" t="n">
        <v>161</v>
      </c>
      <c r="K340" t="n">
        <v>48.33</v>
      </c>
      <c r="L340" t="n">
        <v>1185</v>
      </c>
      <c r="M340" t="n">
        <v>60</v>
      </c>
      <c r="N340" t="n">
        <v>0</v>
      </c>
      <c r="P340" t="n">
        <v>1293.33</v>
      </c>
      <c r="Q340" t="n">
        <v>435</v>
      </c>
      <c r="R340" t="n">
        <v>8.81</v>
      </c>
      <c r="S340" t="n">
        <v>40.67</v>
      </c>
      <c r="T340" t="n">
        <v>1285.67</v>
      </c>
      <c r="U340" t="n">
        <v>428</v>
      </c>
      <c r="V340" t="n">
        <v>8.869999999999999</v>
      </c>
      <c r="W340" t="n">
        <v>29</v>
      </c>
      <c r="X340" t="n">
        <v>38.67</v>
      </c>
      <c r="Y340" t="n">
        <v>45.79</v>
      </c>
      <c r="Z340" t="n">
        <v>45.49</v>
      </c>
      <c r="AA340" t="inlineStr">
        <is>
          <t>Milk x1; Tea Leaf x3</t>
        </is>
      </c>
      <c r="AB340" t="b">
        <v>0</v>
      </c>
      <c r="AC340" t="inlineStr">
        <is>
          <t>match (mastered)</t>
        </is>
      </c>
    </row>
    <row r="341">
      <c r="A341" t="inlineStr">
        <is>
          <t>Pomegranate Tea</t>
        </is>
      </c>
      <c r="B341" t="inlineStr">
        <is>
          <t>machine</t>
        </is>
      </c>
      <c r="C341" t="inlineStr">
        <is>
          <t>Tea Stand</t>
        </is>
      </c>
      <c r="D341" t="n">
        <v>107</v>
      </c>
      <c r="E341" t="n">
        <v>313</v>
      </c>
      <c r="F341" t="inlineStr">
        <is>
          <t>Fandom</t>
        </is>
      </c>
      <c r="G341" t="n">
        <v>1</v>
      </c>
      <c r="H341" t="n">
        <v>34</v>
      </c>
      <c r="I341" t="n">
        <v>29</v>
      </c>
      <c r="J341" t="n">
        <v>283</v>
      </c>
      <c r="K341" t="n">
        <v>34</v>
      </c>
      <c r="L341" t="n">
        <v>1560</v>
      </c>
      <c r="M341" t="n">
        <v>0</v>
      </c>
      <c r="N341" t="n">
        <v>540</v>
      </c>
      <c r="P341" t="n">
        <v>2134</v>
      </c>
      <c r="Q341" t="n">
        <v>1654</v>
      </c>
      <c r="R341" t="n">
        <v>8.800000000000001</v>
      </c>
      <c r="S341" t="n">
        <v>29</v>
      </c>
      <c r="T341" t="n">
        <v>2129</v>
      </c>
      <c r="U341" t="n">
        <v>1649</v>
      </c>
      <c r="V341" t="n">
        <v>8.82</v>
      </c>
      <c r="W341" t="n">
        <v>30</v>
      </c>
      <c r="X341" t="n">
        <v>52.94</v>
      </c>
      <c r="Y341" t="n">
        <v>62.07</v>
      </c>
      <c r="AA341" t="inlineStr">
        <is>
          <t>Pomegranate x1; Tea Leaf x4</t>
        </is>
      </c>
      <c r="AB341" t="b">
        <v>0</v>
      </c>
    </row>
    <row r="342">
      <c r="A342" t="inlineStr">
        <is>
          <t>Dried Fruit</t>
        </is>
      </c>
      <c r="B342" t="inlineStr">
        <is>
          <t>machine</t>
        </is>
      </c>
      <c r="C342" t="inlineStr">
        <is>
          <t>Preservation Station</t>
        </is>
      </c>
      <c r="D342" t="n">
        <v>102</v>
      </c>
      <c r="E342" t="n">
        <v>266</v>
      </c>
      <c r="F342" t="inlineStr">
        <is>
          <t>hayday.info</t>
        </is>
      </c>
      <c r="G342" t="n">
        <v>1</v>
      </c>
      <c r="H342" t="n">
        <v>180</v>
      </c>
      <c r="I342" t="n">
        <v>153</v>
      </c>
      <c r="J342" t="n">
        <v>225</v>
      </c>
      <c r="K342" t="n">
        <v>180</v>
      </c>
      <c r="L342" t="n">
        <v>660</v>
      </c>
      <c r="M342" t="n">
        <v>0</v>
      </c>
      <c r="N342" t="n">
        <v>980</v>
      </c>
      <c r="P342" t="n">
        <v>1820</v>
      </c>
      <c r="Q342" t="n">
        <v>2040</v>
      </c>
      <c r="R342" t="n">
        <v>8.77</v>
      </c>
      <c r="S342" t="n">
        <v>153</v>
      </c>
      <c r="T342" t="n">
        <v>1793</v>
      </c>
      <c r="U342" t="n">
        <v>2013</v>
      </c>
      <c r="V342" t="n">
        <v>8.9</v>
      </c>
      <c r="W342" t="n">
        <v>41</v>
      </c>
      <c r="X342" t="n">
        <v>13.67</v>
      </c>
      <c r="Y342" t="n">
        <v>16.08</v>
      </c>
      <c r="Z342" t="n">
        <v>16.08</v>
      </c>
      <c r="AA342" t="inlineStr">
        <is>
          <t>Grapes x1; Raspberry x1; Strawberry x1; Orange x1</t>
        </is>
      </c>
      <c r="AB342" t="b">
        <v>0</v>
      </c>
      <c r="AC342" t="inlineStr">
        <is>
          <t>match (mastered)</t>
        </is>
      </c>
    </row>
    <row r="343">
      <c r="A343" t="inlineStr">
        <is>
          <t>Roasted Tomatoes</t>
        </is>
      </c>
      <c r="B343" t="inlineStr">
        <is>
          <t>machine</t>
        </is>
      </c>
      <c r="C343" t="inlineStr">
        <is>
          <t>BBQ Grill</t>
        </is>
      </c>
      <c r="D343" t="n">
        <v>30</v>
      </c>
      <c r="E343" t="n">
        <v>118</v>
      </c>
      <c r="F343" t="inlineStr">
        <is>
          <t>hayday.info</t>
        </is>
      </c>
      <c r="G343" t="n">
        <v>1</v>
      </c>
      <c r="H343" t="n">
        <v>90</v>
      </c>
      <c r="I343" t="n">
        <v>76</v>
      </c>
      <c r="J343" t="n">
        <v>86</v>
      </c>
      <c r="K343" t="n">
        <v>90</v>
      </c>
      <c r="L343" t="n">
        <v>720</v>
      </c>
      <c r="M343" t="n">
        <v>0</v>
      </c>
      <c r="N343" t="n">
        <v>0</v>
      </c>
      <c r="P343" t="n">
        <v>810</v>
      </c>
      <c r="Q343" t="n">
        <v>450</v>
      </c>
      <c r="R343" t="n">
        <v>8.74</v>
      </c>
      <c r="S343" t="n">
        <v>76</v>
      </c>
      <c r="T343" t="n">
        <v>796</v>
      </c>
      <c r="U343" t="n">
        <v>436</v>
      </c>
      <c r="V343" t="n">
        <v>8.890000000000001</v>
      </c>
      <c r="W343" t="n">
        <v>32</v>
      </c>
      <c r="X343" t="n">
        <v>21.33</v>
      </c>
      <c r="Y343" t="n">
        <v>25.26</v>
      </c>
      <c r="Z343" t="n">
        <v>25.1</v>
      </c>
      <c r="AA343" t="inlineStr">
        <is>
          <t>Tomato x2</t>
        </is>
      </c>
      <c r="AB343" t="b">
        <v>1</v>
      </c>
      <c r="AC343" t="inlineStr">
        <is>
          <t>match (mastered)</t>
        </is>
      </c>
    </row>
    <row r="344">
      <c r="A344" t="inlineStr">
        <is>
          <t>Caffè Mocha</t>
        </is>
      </c>
      <c r="B344" t="inlineStr">
        <is>
          <t>machine</t>
        </is>
      </c>
      <c r="C344" t="inlineStr">
        <is>
          <t>Coffee Kiosk</t>
        </is>
      </c>
      <c r="D344" t="n">
        <v>45</v>
      </c>
      <c r="E344" t="n">
        <v>291</v>
      </c>
      <c r="F344" t="inlineStr">
        <is>
          <t>hayday.info</t>
        </is>
      </c>
      <c r="G344" t="n">
        <v>1</v>
      </c>
      <c r="H344" t="n">
        <v>15</v>
      </c>
      <c r="I344" t="n">
        <v>12</v>
      </c>
      <c r="J344" t="n">
        <v>286</v>
      </c>
      <c r="K344" t="n">
        <v>38.33</v>
      </c>
      <c r="L344" t="n">
        <v>15</v>
      </c>
      <c r="M344" t="n">
        <v>60</v>
      </c>
      <c r="N344" t="n">
        <v>1900</v>
      </c>
      <c r="P344" t="n">
        <v>2013.33</v>
      </c>
      <c r="Q344" t="n">
        <v>2115</v>
      </c>
      <c r="R344" t="n">
        <v>8.67</v>
      </c>
      <c r="S344" t="n">
        <v>31.67</v>
      </c>
      <c r="T344" t="n">
        <v>2006.67</v>
      </c>
      <c r="U344" t="n">
        <v>2112</v>
      </c>
      <c r="V344" t="n">
        <v>8.699999999999999</v>
      </c>
      <c r="W344" t="n">
        <v>5</v>
      </c>
      <c r="X344" t="n">
        <v>20</v>
      </c>
      <c r="Y344" t="n">
        <v>25</v>
      </c>
      <c r="Z344" t="n">
        <v>23.53</v>
      </c>
      <c r="AA344" t="inlineStr">
        <is>
          <t>Coffee Bean x1; Cream x1; Cacao x2</t>
        </is>
      </c>
      <c r="AB344" t="b">
        <v>0</v>
      </c>
      <c r="AC344" t="inlineStr">
        <is>
          <t>match (normal x0.85)</t>
        </is>
      </c>
    </row>
    <row r="345">
      <c r="A345" t="inlineStr">
        <is>
          <t>Tomato Soup</t>
        </is>
      </c>
      <c r="B345" t="inlineStr">
        <is>
          <t>machine</t>
        </is>
      </c>
      <c r="C345" t="inlineStr">
        <is>
          <t>Soup Kitchen</t>
        </is>
      </c>
      <c r="D345" t="n">
        <v>47</v>
      </c>
      <c r="E345" t="n">
        <v>478</v>
      </c>
      <c r="F345" t="inlineStr">
        <is>
          <t>hayday.info</t>
        </is>
      </c>
      <c r="G345" t="n">
        <v>1</v>
      </c>
      <c r="H345" t="n">
        <v>90</v>
      </c>
      <c r="I345" t="n">
        <v>76</v>
      </c>
      <c r="J345" t="n">
        <v>446</v>
      </c>
      <c r="K345" t="n">
        <v>296.67</v>
      </c>
      <c r="L345" t="n">
        <v>2058</v>
      </c>
      <c r="M345" t="n">
        <v>960</v>
      </c>
      <c r="N345" t="n">
        <v>0</v>
      </c>
      <c r="P345" t="n">
        <v>3314.67</v>
      </c>
      <c r="Q345" t="n">
        <v>710</v>
      </c>
      <c r="R345" t="n">
        <v>8.65</v>
      </c>
      <c r="S345" t="n">
        <v>250.67</v>
      </c>
      <c r="T345" t="n">
        <v>3268.67</v>
      </c>
      <c r="U345" t="n">
        <v>676</v>
      </c>
      <c r="V345" t="n">
        <v>8.77</v>
      </c>
      <c r="W345" t="n">
        <v>32</v>
      </c>
      <c r="X345" t="n">
        <v>21.33</v>
      </c>
      <c r="Y345" t="n">
        <v>25.26</v>
      </c>
      <c r="Z345" t="n">
        <v>25.1</v>
      </c>
      <c r="AA345" t="inlineStr">
        <is>
          <t>Tomato x2; Tomato Juice x1; Chili Pepper x1; Goat Cheese x1</t>
        </is>
      </c>
      <c r="AB345" t="b">
        <v>0</v>
      </c>
      <c r="AC345" t="inlineStr">
        <is>
          <t>match (mastered)</t>
        </is>
      </c>
    </row>
    <row r="346">
      <c r="A346" t="inlineStr">
        <is>
          <t>Summer Salad</t>
        </is>
      </c>
      <c r="B346" t="inlineStr">
        <is>
          <t>machine</t>
        </is>
      </c>
      <c r="C346" t="inlineStr">
        <is>
          <t>Salad Bar</t>
        </is>
      </c>
      <c r="D346" t="n">
        <v>84</v>
      </c>
      <c r="E346" t="n">
        <v>554</v>
      </c>
      <c r="F346" t="inlineStr">
        <is>
          <t>hayday.info</t>
        </is>
      </c>
      <c r="G346" t="n">
        <v>1</v>
      </c>
      <c r="H346" t="n">
        <v>180</v>
      </c>
      <c r="I346" t="n">
        <v>153</v>
      </c>
      <c r="J346" t="n">
        <v>508</v>
      </c>
      <c r="K346" t="n">
        <v>296.67</v>
      </c>
      <c r="L346" t="n">
        <v>1998</v>
      </c>
      <c r="M346" t="n">
        <v>960</v>
      </c>
      <c r="N346" t="n">
        <v>600</v>
      </c>
      <c r="P346" t="n">
        <v>3854.67</v>
      </c>
      <c r="Q346" t="n">
        <v>1980</v>
      </c>
      <c r="R346" t="n">
        <v>8.619999999999999</v>
      </c>
      <c r="S346" t="n">
        <v>251.67</v>
      </c>
      <c r="T346" t="n">
        <v>3809.67</v>
      </c>
      <c r="U346" t="n">
        <v>1953</v>
      </c>
      <c r="V346" t="n">
        <v>8.73</v>
      </c>
      <c r="W346" t="n">
        <v>46</v>
      </c>
      <c r="X346" t="n">
        <v>15.33</v>
      </c>
      <c r="Y346" t="n">
        <v>18.04</v>
      </c>
      <c r="Z346" t="n">
        <v>18.04</v>
      </c>
      <c r="AA346" t="inlineStr">
        <is>
          <t>Goat Cheese x1; Onion x3; Peach x1; Tomato x3</t>
        </is>
      </c>
      <c r="AB346" t="b">
        <v>0</v>
      </c>
      <c r="AC346" t="inlineStr">
        <is>
          <t>match (mastered)</t>
        </is>
      </c>
    </row>
    <row r="347">
      <c r="A347" t="inlineStr">
        <is>
          <t>Strawberry Jam</t>
        </is>
      </c>
      <c r="B347" t="inlineStr">
        <is>
          <t>machine</t>
        </is>
      </c>
      <c r="C347" t="inlineStr">
        <is>
          <t>Jam Maker</t>
        </is>
      </c>
      <c r="D347" t="n">
        <v>50</v>
      </c>
      <c r="E347" t="n">
        <v>270</v>
      </c>
      <c r="F347" t="inlineStr">
        <is>
          <t>hayday.info</t>
        </is>
      </c>
      <c r="G347" t="n">
        <v>1</v>
      </c>
      <c r="H347" t="n">
        <v>450</v>
      </c>
      <c r="I347" t="n">
        <v>382</v>
      </c>
      <c r="J347" t="n">
        <v>150</v>
      </c>
      <c r="K347" t="n">
        <v>450</v>
      </c>
      <c r="L347" t="n">
        <v>1440</v>
      </c>
      <c r="M347" t="n">
        <v>0</v>
      </c>
      <c r="N347" t="n">
        <v>0</v>
      </c>
      <c r="P347" t="n">
        <v>1890</v>
      </c>
      <c r="Q347" t="n">
        <v>930</v>
      </c>
      <c r="R347" t="n">
        <v>8.57</v>
      </c>
      <c r="S347" t="n">
        <v>382</v>
      </c>
      <c r="T347" t="n">
        <v>1822</v>
      </c>
      <c r="U347" t="n">
        <v>862</v>
      </c>
      <c r="V347" t="n">
        <v>8.890000000000001</v>
      </c>
      <c r="W347" t="n">
        <v>120</v>
      </c>
      <c r="X347" t="n">
        <v>16</v>
      </c>
      <c r="Y347" t="n">
        <v>18.85</v>
      </c>
      <c r="Z347" t="n">
        <v>18.82</v>
      </c>
      <c r="AA347" t="inlineStr">
        <is>
          <t>Strawberry x3</t>
        </is>
      </c>
      <c r="AB347" t="b">
        <v>0</v>
      </c>
      <c r="AC347" t="inlineStr">
        <is>
          <t>match (mastered)</t>
        </is>
      </c>
    </row>
    <row r="348">
      <c r="A348" t="inlineStr">
        <is>
          <t>Wool</t>
        </is>
      </c>
      <c r="B348" t="inlineStr">
        <is>
          <t>animal</t>
        </is>
      </c>
      <c r="C348" t="inlineStr">
        <is>
          <t>Sheep</t>
        </is>
      </c>
      <c r="D348" t="n">
        <v>16</v>
      </c>
      <c r="E348" t="n">
        <v>54</v>
      </c>
      <c r="F348" t="inlineStr">
        <is>
          <t>hayday.info</t>
        </is>
      </c>
      <c r="G348" t="n">
        <v>1</v>
      </c>
      <c r="H348" t="n">
        <v>360</v>
      </c>
      <c r="J348" t="n">
        <v>14</v>
      </c>
      <c r="K348" t="n">
        <v>10</v>
      </c>
      <c r="L348" t="n">
        <v>8.67</v>
      </c>
      <c r="M348" t="n">
        <v>360</v>
      </c>
      <c r="N348" t="n">
        <v>0</v>
      </c>
      <c r="P348" t="n">
        <v>378.67</v>
      </c>
      <c r="Q348" t="n">
        <v>410</v>
      </c>
      <c r="R348" t="n">
        <v>8.56</v>
      </c>
      <c r="S348" t="n">
        <v>8.33</v>
      </c>
      <c r="T348" t="n">
        <v>377</v>
      </c>
      <c r="U348" t="n">
        <v>405</v>
      </c>
      <c r="V348" t="n">
        <v>8.59</v>
      </c>
      <c r="W348" t="n">
        <v>40</v>
      </c>
      <c r="X348" t="n">
        <v>6.67</v>
      </c>
      <c r="Y348" t="n">
        <v>6.67</v>
      </c>
      <c r="Z348" t="n">
        <v>-0.83</v>
      </c>
      <c r="AA348" t="inlineStr">
        <is>
          <t>Sheep Feed x1</t>
        </is>
      </c>
      <c r="AB348" t="b">
        <v>1</v>
      </c>
    </row>
    <row r="349">
      <c r="A349" t="inlineStr">
        <is>
          <t>Chocolate Roll</t>
        </is>
      </c>
      <c r="B349" t="inlineStr">
        <is>
          <t>machine</t>
        </is>
      </c>
      <c r="C349" t="inlineStr">
        <is>
          <t>Cake Oven</t>
        </is>
      </c>
      <c r="D349" t="n">
        <v>95</v>
      </c>
      <c r="E349" t="n">
        <v>604</v>
      </c>
      <c r="F349" t="inlineStr">
        <is>
          <t>hayday.info</t>
        </is>
      </c>
      <c r="G349" t="n">
        <v>1</v>
      </c>
      <c r="H349" t="n">
        <v>90</v>
      </c>
      <c r="I349" t="n">
        <v>76</v>
      </c>
      <c r="J349" t="n">
        <v>585</v>
      </c>
      <c r="K349" t="n">
        <v>113.33</v>
      </c>
      <c r="L349" t="n">
        <v>561</v>
      </c>
      <c r="M349" t="n">
        <v>60</v>
      </c>
      <c r="N349" t="n">
        <v>3500</v>
      </c>
      <c r="P349" t="n">
        <v>4234.33</v>
      </c>
      <c r="Q349" t="n">
        <v>2190</v>
      </c>
      <c r="R349" t="n">
        <v>8.56</v>
      </c>
      <c r="S349" t="n">
        <v>95.67</v>
      </c>
      <c r="T349" t="n">
        <v>4216.67</v>
      </c>
      <c r="U349" t="n">
        <v>2176</v>
      </c>
      <c r="V349" t="n">
        <v>8.59</v>
      </c>
      <c r="W349" t="n">
        <v>19</v>
      </c>
      <c r="X349" t="n">
        <v>12.67</v>
      </c>
      <c r="Y349" t="n">
        <v>15</v>
      </c>
      <c r="Z349" t="n">
        <v>14.9</v>
      </c>
      <c r="AA349" t="inlineStr">
        <is>
          <t>Cacao x5; Cream x1; Wheat x3; Mint x3</t>
        </is>
      </c>
      <c r="AB349" t="b">
        <v>0</v>
      </c>
      <c r="AC349" t="inlineStr">
        <is>
          <t>match (mastered)</t>
        </is>
      </c>
    </row>
    <row r="350">
      <c r="A350" t="inlineStr">
        <is>
          <t>Iced Tea</t>
        </is>
      </c>
      <c r="B350" t="inlineStr">
        <is>
          <t>machine</t>
        </is>
      </c>
      <c r="C350" t="inlineStr">
        <is>
          <t>Tea Stand</t>
        </is>
      </c>
      <c r="D350" t="n">
        <v>92</v>
      </c>
      <c r="E350" t="n">
        <v>252</v>
      </c>
      <c r="F350" t="inlineStr">
        <is>
          <t>hayday.info</t>
        </is>
      </c>
      <c r="G350" t="n">
        <v>1</v>
      </c>
      <c r="H350" t="n">
        <v>30</v>
      </c>
      <c r="I350" t="n">
        <v>25</v>
      </c>
      <c r="J350" t="n">
        <v>229</v>
      </c>
      <c r="K350" t="n">
        <v>30</v>
      </c>
      <c r="L350" t="n">
        <v>1170</v>
      </c>
      <c r="M350" t="n">
        <v>0</v>
      </c>
      <c r="N350" t="n">
        <v>600</v>
      </c>
      <c r="P350" t="n">
        <v>1800</v>
      </c>
      <c r="Q350" t="n">
        <v>1830</v>
      </c>
      <c r="R350" t="n">
        <v>8.4</v>
      </c>
      <c r="S350" t="n">
        <v>25</v>
      </c>
      <c r="T350" t="n">
        <v>1795</v>
      </c>
      <c r="U350" t="n">
        <v>1825</v>
      </c>
      <c r="V350" t="n">
        <v>8.42</v>
      </c>
      <c r="W350" t="n">
        <v>23</v>
      </c>
      <c r="X350" t="n">
        <v>46</v>
      </c>
      <c r="Y350" t="n">
        <v>55.2</v>
      </c>
      <c r="Z350" t="n">
        <v>54.12</v>
      </c>
      <c r="AA350" t="inlineStr">
        <is>
          <t>Peach x1; Tea Leaf x3</t>
        </is>
      </c>
      <c r="AB350" t="b">
        <v>0</v>
      </c>
      <c r="AC350" t="inlineStr">
        <is>
          <t>match (normal x0.85)</t>
        </is>
      </c>
    </row>
    <row r="351">
      <c r="A351" t="inlineStr">
        <is>
          <t>Cloche Hat</t>
        </is>
      </c>
      <c r="B351" t="inlineStr">
        <is>
          <t>machine</t>
        </is>
      </c>
      <c r="C351" t="inlineStr">
        <is>
          <t>Hat Maker</t>
        </is>
      </c>
      <c r="D351" t="n">
        <v>70</v>
      </c>
      <c r="E351" t="n">
        <v>468</v>
      </c>
      <c r="F351" t="inlineStr">
        <is>
          <t>hayday.info</t>
        </is>
      </c>
      <c r="G351" t="n">
        <v>1</v>
      </c>
      <c r="H351" t="n">
        <v>120</v>
      </c>
      <c r="I351" t="n">
        <v>102</v>
      </c>
      <c r="J351" t="n">
        <v>424</v>
      </c>
      <c r="K351" t="n">
        <v>180</v>
      </c>
      <c r="L351" t="n">
        <v>1012</v>
      </c>
      <c r="M351" t="n">
        <v>2160</v>
      </c>
      <c r="N351" t="n">
        <v>0</v>
      </c>
      <c r="P351" t="n">
        <v>3352</v>
      </c>
      <c r="Q351" t="n">
        <v>600</v>
      </c>
      <c r="R351" t="n">
        <v>8.380000000000001</v>
      </c>
      <c r="S351" t="n">
        <v>152</v>
      </c>
      <c r="T351" t="n">
        <v>3324</v>
      </c>
      <c r="U351" t="n">
        <v>582</v>
      </c>
      <c r="V351" t="n">
        <v>8.449999999999999</v>
      </c>
      <c r="W351" t="n">
        <v>44</v>
      </c>
      <c r="X351" t="n">
        <v>22</v>
      </c>
      <c r="Y351" t="n">
        <v>25.88</v>
      </c>
      <c r="Z351" t="n">
        <v>25.88</v>
      </c>
      <c r="AA351" t="inlineStr">
        <is>
          <t>Strawberry x2; Wool x6</t>
        </is>
      </c>
      <c r="AB351" t="b">
        <v>0</v>
      </c>
      <c r="AC351" t="inlineStr">
        <is>
          <t>match (mastered)</t>
        </is>
      </c>
    </row>
    <row r="352">
      <c r="A352" t="inlineStr">
        <is>
          <t>Apple Ginger Tea</t>
        </is>
      </c>
      <c r="B352" t="inlineStr">
        <is>
          <t>machine</t>
        </is>
      </c>
      <c r="C352" t="inlineStr">
        <is>
          <t>Tea Stand</t>
        </is>
      </c>
      <c r="D352" t="n">
        <v>88</v>
      </c>
      <c r="E352" t="n">
        <v>169</v>
      </c>
      <c r="F352" t="inlineStr">
        <is>
          <t>hayday.info</t>
        </is>
      </c>
      <c r="G352" t="n">
        <v>1</v>
      </c>
      <c r="H352" t="n">
        <v>30</v>
      </c>
      <c r="I352" t="n">
        <v>25</v>
      </c>
      <c r="J352" t="n">
        <v>149</v>
      </c>
      <c r="K352" t="n">
        <v>30</v>
      </c>
      <c r="L352" t="n">
        <v>540</v>
      </c>
      <c r="M352" t="n">
        <v>0</v>
      </c>
      <c r="N352" t="n">
        <v>640</v>
      </c>
      <c r="P352" t="n">
        <v>1210</v>
      </c>
      <c r="Q352" t="n">
        <v>990</v>
      </c>
      <c r="R352" t="n">
        <v>8.380000000000001</v>
      </c>
      <c r="S352" t="n">
        <v>25</v>
      </c>
      <c r="T352" t="n">
        <v>1205</v>
      </c>
      <c r="U352" t="n">
        <v>985</v>
      </c>
      <c r="V352" t="n">
        <v>8.41</v>
      </c>
      <c r="W352" t="n">
        <v>20</v>
      </c>
      <c r="X352" t="n">
        <v>40</v>
      </c>
      <c r="Y352" t="n">
        <v>48</v>
      </c>
      <c r="Z352" t="n">
        <v>47.06</v>
      </c>
      <c r="AA352" t="inlineStr">
        <is>
          <t>Ginger x1; Apple x2; Tea Leaf x1</t>
        </is>
      </c>
      <c r="AB352" t="b">
        <v>0</v>
      </c>
      <c r="AC352" t="inlineStr">
        <is>
          <t>match (normal x0.85)</t>
        </is>
      </c>
    </row>
    <row r="353">
      <c r="A353" t="inlineStr">
        <is>
          <t>Lollipop</t>
        </is>
      </c>
      <c r="B353" t="inlineStr">
        <is>
          <t>machine</t>
        </is>
      </c>
      <c r="C353" t="inlineStr">
        <is>
          <t>Candy Machine</t>
        </is>
      </c>
      <c r="D353" t="n">
        <v>57</v>
      </c>
      <c r="E353" t="n">
        <v>342</v>
      </c>
      <c r="F353" t="inlineStr">
        <is>
          <t>hayday.info</t>
        </is>
      </c>
      <c r="G353" t="n">
        <v>1</v>
      </c>
      <c r="H353" t="n">
        <v>720</v>
      </c>
      <c r="I353" t="n">
        <v>612</v>
      </c>
      <c r="J353" t="n">
        <v>258</v>
      </c>
      <c r="K353" t="n">
        <v>810</v>
      </c>
      <c r="L353" t="n">
        <v>1080</v>
      </c>
      <c r="M353" t="n">
        <v>0</v>
      </c>
      <c r="N353" t="n">
        <v>560</v>
      </c>
      <c r="P353" t="n">
        <v>2450</v>
      </c>
      <c r="Q353" t="n">
        <v>2400</v>
      </c>
      <c r="R353" t="n">
        <v>8.380000000000001</v>
      </c>
      <c r="S353" t="n">
        <v>688</v>
      </c>
      <c r="T353" t="n">
        <v>2328</v>
      </c>
      <c r="U353" t="n">
        <v>2292</v>
      </c>
      <c r="V353" t="n">
        <v>8.81</v>
      </c>
      <c r="W353" t="n">
        <v>84</v>
      </c>
      <c r="X353" t="n">
        <v>7</v>
      </c>
      <c r="Y353" t="n">
        <v>8.24</v>
      </c>
      <c r="Z353" t="n">
        <v>8.24</v>
      </c>
      <c r="AA353" t="inlineStr">
        <is>
          <t>Syrup x1; Cherry x1; Strawberry x2</t>
        </is>
      </c>
      <c r="AB353" t="b">
        <v>0</v>
      </c>
      <c r="AC353" t="inlineStr">
        <is>
          <t>match (mastered)</t>
        </is>
      </c>
    </row>
    <row r="354">
      <c r="A354" t="inlineStr">
        <is>
          <t>Orange Tea</t>
        </is>
      </c>
      <c r="B354" t="inlineStr">
        <is>
          <t>machine</t>
        </is>
      </c>
      <c r="C354" t="inlineStr">
        <is>
          <t>Tea Stand</t>
        </is>
      </c>
      <c r="D354" t="n">
        <v>89</v>
      </c>
      <c r="E354" t="n">
        <v>255</v>
      </c>
      <c r="F354" t="inlineStr">
        <is>
          <t>hayday.info</t>
        </is>
      </c>
      <c r="G354" t="n">
        <v>1</v>
      </c>
      <c r="H354" t="n">
        <v>40</v>
      </c>
      <c r="I354" t="n">
        <v>34</v>
      </c>
      <c r="J354" t="n">
        <v>226</v>
      </c>
      <c r="K354" t="n">
        <v>40</v>
      </c>
      <c r="L354" t="n">
        <v>1170</v>
      </c>
      <c r="M354" t="n">
        <v>0</v>
      </c>
      <c r="N354" t="n">
        <v>620</v>
      </c>
      <c r="P354" t="n">
        <v>1830</v>
      </c>
      <c r="Q354" t="n">
        <v>1900</v>
      </c>
      <c r="R354" t="n">
        <v>8.359999999999999</v>
      </c>
      <c r="S354" t="n">
        <v>34</v>
      </c>
      <c r="T354" t="n">
        <v>1824</v>
      </c>
      <c r="U354" t="n">
        <v>1894</v>
      </c>
      <c r="V354" t="n">
        <v>8.390000000000001</v>
      </c>
      <c r="W354" t="n">
        <v>29</v>
      </c>
      <c r="X354" t="n">
        <v>43.5</v>
      </c>
      <c r="Y354" t="n">
        <v>51.18</v>
      </c>
      <c r="Z354" t="n">
        <v>51.18</v>
      </c>
      <c r="AA354" t="inlineStr">
        <is>
          <t>Orange x1; Tea Leaf x3</t>
        </is>
      </c>
      <c r="AB354" t="b">
        <v>0</v>
      </c>
      <c r="AC354" t="inlineStr">
        <is>
          <t>match (mastered)</t>
        </is>
      </c>
    </row>
    <row r="355">
      <c r="A355" t="inlineStr">
        <is>
          <t>Tomato Juice</t>
        </is>
      </c>
      <c r="B355" t="inlineStr">
        <is>
          <t>machine</t>
        </is>
      </c>
      <c r="C355" t="inlineStr">
        <is>
          <t>Juice Press</t>
        </is>
      </c>
      <c r="D355" t="n">
        <v>31</v>
      </c>
      <c r="E355" t="n">
        <v>162</v>
      </c>
      <c r="F355" t="inlineStr">
        <is>
          <t>hayday.info</t>
        </is>
      </c>
      <c r="G355" t="n">
        <v>1</v>
      </c>
      <c r="H355" t="n">
        <v>90</v>
      </c>
      <c r="I355" t="n">
        <v>76</v>
      </c>
      <c r="J355" t="n">
        <v>129</v>
      </c>
      <c r="K355" t="n">
        <v>90</v>
      </c>
      <c r="L355" t="n">
        <v>1080</v>
      </c>
      <c r="M355" t="n">
        <v>0</v>
      </c>
      <c r="N355" t="n">
        <v>0</v>
      </c>
      <c r="P355" t="n">
        <v>1170</v>
      </c>
      <c r="Q355" t="n">
        <v>450</v>
      </c>
      <c r="R355" t="n">
        <v>8.31</v>
      </c>
      <c r="S355" t="n">
        <v>76</v>
      </c>
      <c r="T355" t="n">
        <v>1156</v>
      </c>
      <c r="U355" t="n">
        <v>436</v>
      </c>
      <c r="V355" t="n">
        <v>8.41</v>
      </c>
      <c r="W355" t="n">
        <v>33</v>
      </c>
      <c r="X355" t="n">
        <v>22</v>
      </c>
      <c r="Y355" t="n">
        <v>26.05</v>
      </c>
      <c r="Z355" t="n">
        <v>25.88</v>
      </c>
      <c r="AA355" t="inlineStr">
        <is>
          <t>Tomato x3</t>
        </is>
      </c>
      <c r="AB355" t="b">
        <v>1</v>
      </c>
      <c r="AC355" t="inlineStr">
        <is>
          <t>match (mastered)</t>
        </is>
      </c>
    </row>
    <row r="356">
      <c r="A356" t="inlineStr">
        <is>
          <t>Salsa</t>
        </is>
      </c>
      <c r="B356" t="inlineStr">
        <is>
          <t>machine</t>
        </is>
      </c>
      <c r="C356" t="inlineStr">
        <is>
          <t>Sauce Maker</t>
        </is>
      </c>
      <c r="D356" t="n">
        <v>77</v>
      </c>
      <c r="E356" t="n">
        <v>252</v>
      </c>
      <c r="F356" t="inlineStr">
        <is>
          <t>hayday.info</t>
        </is>
      </c>
      <c r="G356" t="n">
        <v>1</v>
      </c>
      <c r="H356" t="n">
        <v>20</v>
      </c>
      <c r="I356" t="n">
        <v>17</v>
      </c>
      <c r="J356" t="n">
        <v>236</v>
      </c>
      <c r="K356" t="n">
        <v>20</v>
      </c>
      <c r="L356" t="n">
        <v>1800</v>
      </c>
      <c r="M356" t="n">
        <v>0</v>
      </c>
      <c r="N356" t="n">
        <v>0</v>
      </c>
      <c r="P356" t="n">
        <v>1820</v>
      </c>
      <c r="Q356" t="n">
        <v>380</v>
      </c>
      <c r="R356" t="n">
        <v>8.31</v>
      </c>
      <c r="S356" t="n">
        <v>17</v>
      </c>
      <c r="T356" t="n">
        <v>1817</v>
      </c>
      <c r="U356" t="n">
        <v>377</v>
      </c>
      <c r="V356" t="n">
        <v>8.32</v>
      </c>
      <c r="W356" t="n">
        <v>16</v>
      </c>
      <c r="X356" t="n">
        <v>48</v>
      </c>
      <c r="Y356" t="n">
        <v>56.47</v>
      </c>
      <c r="Z356" t="n">
        <v>56.47</v>
      </c>
      <c r="AA356" t="inlineStr">
        <is>
          <t>Chili Pepper x2; Onion x2; Tomato x2</t>
        </is>
      </c>
      <c r="AB356" t="b">
        <v>0</v>
      </c>
      <c r="AC356" t="inlineStr">
        <is>
          <t>match (mastered)</t>
        </is>
      </c>
    </row>
    <row r="357">
      <c r="A357" t="inlineStr">
        <is>
          <t>Mint Tea</t>
        </is>
      </c>
      <c r="B357" t="inlineStr">
        <is>
          <t>machine</t>
        </is>
      </c>
      <c r="C357" t="inlineStr">
        <is>
          <t>Tea Stand</t>
        </is>
      </c>
      <c r="D357" t="n">
        <v>97</v>
      </c>
      <c r="E357" t="n">
        <v>255</v>
      </c>
      <c r="F357" t="inlineStr">
        <is>
          <t>hayday.info</t>
        </is>
      </c>
      <c r="G357" t="n">
        <v>1</v>
      </c>
      <c r="H357" t="n">
        <v>35</v>
      </c>
      <c r="I357" t="n">
        <v>29</v>
      </c>
      <c r="J357" t="n">
        <v>232</v>
      </c>
      <c r="K357" t="n">
        <v>35</v>
      </c>
      <c r="L357" t="n">
        <v>1830</v>
      </c>
      <c r="M357" t="n">
        <v>0</v>
      </c>
      <c r="N357" t="n">
        <v>0</v>
      </c>
      <c r="P357" t="n">
        <v>1865</v>
      </c>
      <c r="Q357" t="n">
        <v>425</v>
      </c>
      <c r="R357" t="n">
        <v>8.199999999999999</v>
      </c>
      <c r="S357" t="n">
        <v>29</v>
      </c>
      <c r="T357" t="n">
        <v>1859</v>
      </c>
      <c r="U357" t="n">
        <v>419</v>
      </c>
      <c r="V357" t="n">
        <v>8.23</v>
      </c>
      <c r="W357" t="n">
        <v>23</v>
      </c>
      <c r="X357" t="n">
        <v>39.43</v>
      </c>
      <c r="Y357" t="n">
        <v>47.59</v>
      </c>
      <c r="Z357" t="n">
        <v>110.92</v>
      </c>
      <c r="AA357" t="inlineStr">
        <is>
          <t>Tea Leaf x3; Watermelon x1; Mint x2</t>
        </is>
      </c>
      <c r="AB357" t="b">
        <v>0</v>
      </c>
      <c r="AC357" t="inlineStr">
        <is>
          <t>differs - check recipe / ingredient prices</t>
        </is>
      </c>
    </row>
    <row r="358">
      <c r="A358" t="inlineStr">
        <is>
          <t>Lemon Tea</t>
        </is>
      </c>
      <c r="B358" t="inlineStr">
        <is>
          <t>machine</t>
        </is>
      </c>
      <c r="C358" t="inlineStr">
        <is>
          <t>Tea Stand</t>
        </is>
      </c>
      <c r="D358" t="n">
        <v>86</v>
      </c>
      <c r="E358" t="n">
        <v>241</v>
      </c>
      <c r="F358" t="inlineStr">
        <is>
          <t>hayday.info</t>
        </is>
      </c>
      <c r="G358" t="n">
        <v>1</v>
      </c>
      <c r="H358" t="n">
        <v>20</v>
      </c>
      <c r="I358" t="n">
        <v>17</v>
      </c>
      <c r="J358" t="n">
        <v>222</v>
      </c>
      <c r="K358" t="n">
        <v>20</v>
      </c>
      <c r="L358" t="n">
        <v>1170</v>
      </c>
      <c r="M358" t="n">
        <v>0</v>
      </c>
      <c r="N358" t="n">
        <v>600</v>
      </c>
      <c r="P358" t="n">
        <v>1790</v>
      </c>
      <c r="Q358" t="n">
        <v>1820</v>
      </c>
      <c r="R358" t="n">
        <v>8.08</v>
      </c>
      <c r="S358" t="n">
        <v>17</v>
      </c>
      <c r="T358" t="n">
        <v>1787</v>
      </c>
      <c r="U358" t="n">
        <v>1817</v>
      </c>
      <c r="V358" t="n">
        <v>8.09</v>
      </c>
      <c r="W358" t="n">
        <v>19</v>
      </c>
      <c r="X358" t="n">
        <v>57</v>
      </c>
      <c r="Y358" t="n">
        <v>67.06</v>
      </c>
      <c r="Z358" t="n">
        <v>67.06</v>
      </c>
      <c r="AA358" t="inlineStr">
        <is>
          <t>Lemon x1; Tea Leaf x3</t>
        </is>
      </c>
      <c r="AB358" t="b">
        <v>0</v>
      </c>
      <c r="AC358" t="inlineStr">
        <is>
          <t>match (mastered)</t>
        </is>
      </c>
    </row>
    <row r="359">
      <c r="A359" t="inlineStr">
        <is>
          <t>Tropical Yogurt</t>
        </is>
      </c>
      <c r="B359" t="inlineStr">
        <is>
          <t>machine</t>
        </is>
      </c>
      <c r="C359" t="inlineStr">
        <is>
          <t>Yogurt Maker</t>
        </is>
      </c>
      <c r="D359" t="n">
        <v>109</v>
      </c>
      <c r="E359" t="n">
        <v>457</v>
      </c>
      <c r="F359" t="inlineStr">
        <is>
          <t>hayday.info</t>
        </is>
      </c>
      <c r="G359" t="n">
        <v>1</v>
      </c>
      <c r="H359" t="n">
        <v>60</v>
      </c>
      <c r="I359" t="n">
        <v>51</v>
      </c>
      <c r="J359" t="n">
        <v>636</v>
      </c>
      <c r="K359" t="n">
        <v>236.67</v>
      </c>
      <c r="L359" t="n">
        <v>135</v>
      </c>
      <c r="M359" t="n">
        <v>300</v>
      </c>
      <c r="N359" t="n">
        <v>2720</v>
      </c>
      <c r="P359" t="n">
        <v>3391.67</v>
      </c>
      <c r="Q359" t="n">
        <v>1980</v>
      </c>
      <c r="R359" t="n">
        <v>8.08</v>
      </c>
      <c r="S359" t="n">
        <v>200.33</v>
      </c>
      <c r="T359" t="n">
        <v>3355.33</v>
      </c>
      <c r="U359" t="n">
        <v>1971</v>
      </c>
      <c r="V359" t="n">
        <v>8.17</v>
      </c>
      <c r="W359" t="n">
        <v>-179</v>
      </c>
      <c r="X359" t="n">
        <v>-179</v>
      </c>
      <c r="Y359" t="n">
        <v>-210.59</v>
      </c>
      <c r="Z359" t="n">
        <v>-210.59</v>
      </c>
      <c r="AA359" t="inlineStr">
        <is>
          <t>Plain Yogurt x1; Raspberry x4; Passion Fruit x1; Mango x2</t>
        </is>
      </c>
      <c r="AB359" t="b">
        <v>0</v>
      </c>
      <c r="AC359" t="inlineStr">
        <is>
          <t>match (mastered)</t>
        </is>
      </c>
    </row>
    <row r="360">
      <c r="A360" t="inlineStr">
        <is>
          <t>Bell Pepper</t>
        </is>
      </c>
      <c r="B360" t="inlineStr">
        <is>
          <t>field</t>
        </is>
      </c>
      <c r="C360" t="inlineStr">
        <is>
          <t>Farm</t>
        </is>
      </c>
      <c r="D360" t="n">
        <v>74</v>
      </c>
      <c r="E360" t="n">
        <v>36</v>
      </c>
      <c r="F360" t="inlineStr">
        <is>
          <t>hayday.info</t>
        </is>
      </c>
      <c r="G360" t="n">
        <v>1</v>
      </c>
      <c r="H360" t="n">
        <v>270</v>
      </c>
      <c r="J360" t="n">
        <v>0</v>
      </c>
      <c r="K360" t="n">
        <v>0</v>
      </c>
      <c r="L360" t="n">
        <v>270</v>
      </c>
      <c r="M360" t="n">
        <v>0</v>
      </c>
      <c r="N360" t="n">
        <v>0</v>
      </c>
      <c r="P360" t="n">
        <v>270</v>
      </c>
      <c r="Q360" t="n">
        <v>270</v>
      </c>
      <c r="R360" t="n">
        <v>8</v>
      </c>
      <c r="S360" t="n">
        <v>0</v>
      </c>
      <c r="T360" t="n">
        <v>270</v>
      </c>
      <c r="U360" t="n">
        <v>270</v>
      </c>
      <c r="V360" t="n">
        <v>8</v>
      </c>
      <c r="W360" t="n">
        <v>36</v>
      </c>
      <c r="X360" t="n">
        <v>8</v>
      </c>
      <c r="Y360" t="n">
        <v>8</v>
      </c>
      <c r="Z360" t="n">
        <v>8</v>
      </c>
      <c r="AB360" t="b">
        <v>0</v>
      </c>
    </row>
    <row r="361">
      <c r="A361" t="inlineStr">
        <is>
          <t>Chocolate</t>
        </is>
      </c>
      <c r="B361" t="inlineStr">
        <is>
          <t>machine</t>
        </is>
      </c>
      <c r="C361" t="inlineStr">
        <is>
          <t>Candy Machine</t>
        </is>
      </c>
      <c r="D361" t="n">
        <v>54</v>
      </c>
      <c r="E361" t="n">
        <v>460</v>
      </c>
      <c r="F361" t="inlineStr">
        <is>
          <t>hayday.info</t>
        </is>
      </c>
      <c r="G361" t="n">
        <v>1</v>
      </c>
      <c r="H361" t="n">
        <v>1200</v>
      </c>
      <c r="I361" t="n">
        <v>1020</v>
      </c>
      <c r="J361" t="n">
        <v>358</v>
      </c>
      <c r="K361" t="n">
        <v>1263.33</v>
      </c>
      <c r="L361" t="n">
        <v>75</v>
      </c>
      <c r="M361" t="n">
        <v>60</v>
      </c>
      <c r="N361" t="n">
        <v>2100</v>
      </c>
      <c r="P361" t="n">
        <v>3498.33</v>
      </c>
      <c r="Q361" t="n">
        <v>3300</v>
      </c>
      <c r="R361" t="n">
        <v>7.89</v>
      </c>
      <c r="S361" t="n">
        <v>1073.67</v>
      </c>
      <c r="T361" t="n">
        <v>3308.67</v>
      </c>
      <c r="U361" t="n">
        <v>3120</v>
      </c>
      <c r="V361" t="n">
        <v>8.34</v>
      </c>
      <c r="W361" t="n">
        <v>102</v>
      </c>
      <c r="X361" t="n">
        <v>5.1</v>
      </c>
      <c r="Y361" t="n">
        <v>6</v>
      </c>
      <c r="Z361" t="n">
        <v>6</v>
      </c>
      <c r="AA361" t="inlineStr">
        <is>
          <t>Cacao x3; Cream x1; White Sugar x1</t>
        </is>
      </c>
      <c r="AB361" t="b">
        <v>0</v>
      </c>
      <c r="AC361" t="inlineStr">
        <is>
          <t>match (mastered)</t>
        </is>
      </c>
    </row>
    <row r="362">
      <c r="A362" t="inlineStr">
        <is>
          <t>Onion</t>
        </is>
      </c>
      <c r="B362" t="inlineStr">
        <is>
          <t>field</t>
        </is>
      </c>
      <c r="C362" t="inlineStr">
        <is>
          <t>Farm</t>
        </is>
      </c>
      <c r="D362" t="n">
        <v>68</v>
      </c>
      <c r="E362" t="n">
        <v>39</v>
      </c>
      <c r="F362" t="inlineStr">
        <is>
          <t>hayday.info</t>
        </is>
      </c>
      <c r="G362" t="n">
        <v>1</v>
      </c>
      <c r="H362" t="n">
        <v>300</v>
      </c>
      <c r="J362" t="n">
        <v>0</v>
      </c>
      <c r="K362" t="n">
        <v>0</v>
      </c>
      <c r="L362" t="n">
        <v>300</v>
      </c>
      <c r="M362" t="n">
        <v>0</v>
      </c>
      <c r="N362" t="n">
        <v>0</v>
      </c>
      <c r="P362" t="n">
        <v>300</v>
      </c>
      <c r="Q362" t="n">
        <v>300</v>
      </c>
      <c r="R362" t="n">
        <v>7.8</v>
      </c>
      <c r="S362" t="n">
        <v>0</v>
      </c>
      <c r="T362" t="n">
        <v>300</v>
      </c>
      <c r="U362" t="n">
        <v>300</v>
      </c>
      <c r="V362" t="n">
        <v>7.8</v>
      </c>
      <c r="W362" t="n">
        <v>39</v>
      </c>
      <c r="X362" t="n">
        <v>7.8</v>
      </c>
      <c r="Y362" t="n">
        <v>7.8</v>
      </c>
      <c r="Z362" t="n">
        <v>7.8</v>
      </c>
      <c r="AB362" t="b">
        <v>0</v>
      </c>
    </row>
    <row r="363">
      <c r="A363" t="inlineStr">
        <is>
          <t>Watermelon</t>
        </is>
      </c>
      <c r="B363" t="inlineStr">
        <is>
          <t>field</t>
        </is>
      </c>
      <c r="C363" t="inlineStr">
        <is>
          <t>Farm</t>
        </is>
      </c>
      <c r="D363" t="n">
        <v>92</v>
      </c>
      <c r="E363" t="n">
        <v>39</v>
      </c>
      <c r="F363" t="inlineStr">
        <is>
          <t>hayday.info</t>
        </is>
      </c>
      <c r="G363" t="n">
        <v>1</v>
      </c>
      <c r="H363" t="n">
        <v>300</v>
      </c>
      <c r="J363" t="n">
        <v>0</v>
      </c>
      <c r="K363" t="n">
        <v>0</v>
      </c>
      <c r="L363" t="n">
        <v>300</v>
      </c>
      <c r="M363" t="n">
        <v>0</v>
      </c>
      <c r="N363" t="n">
        <v>0</v>
      </c>
      <c r="P363" t="n">
        <v>300</v>
      </c>
      <c r="Q363" t="n">
        <v>300</v>
      </c>
      <c r="R363" t="n">
        <v>7.8</v>
      </c>
      <c r="S363" t="n">
        <v>0</v>
      </c>
      <c r="T363" t="n">
        <v>300</v>
      </c>
      <c r="U363" t="n">
        <v>300</v>
      </c>
      <c r="V363" t="n">
        <v>7.8</v>
      </c>
      <c r="W363" t="n">
        <v>39</v>
      </c>
      <c r="X363" t="n">
        <v>7.8</v>
      </c>
      <c r="Y363" t="n">
        <v>7.8</v>
      </c>
      <c r="Z363" t="n">
        <v>7.8</v>
      </c>
      <c r="AB363" t="b">
        <v>0</v>
      </c>
    </row>
    <row r="364">
      <c r="A364" t="inlineStr">
        <is>
          <t>Exfoliating Soap</t>
        </is>
      </c>
      <c r="B364" t="inlineStr">
        <is>
          <t>machine</t>
        </is>
      </c>
      <c r="C364" t="inlineStr">
        <is>
          <t>Bath Kiosk</t>
        </is>
      </c>
      <c r="D364" t="n">
        <v>93</v>
      </c>
      <c r="E364" t="n">
        <v>363</v>
      </c>
      <c r="F364" t="inlineStr">
        <is>
          <t>hayday.info</t>
        </is>
      </c>
      <c r="G364" t="n">
        <v>1</v>
      </c>
      <c r="H364" t="n">
        <v>60</v>
      </c>
      <c r="I364" t="n">
        <v>51</v>
      </c>
      <c r="J364" t="n">
        <v>346</v>
      </c>
      <c r="K364" t="n">
        <v>60</v>
      </c>
      <c r="L364" t="n">
        <v>0</v>
      </c>
      <c r="M364" t="n">
        <v>0</v>
      </c>
      <c r="N364" t="n">
        <v>2760</v>
      </c>
      <c r="P364" t="n">
        <v>2820</v>
      </c>
      <c r="Q364" t="n">
        <v>2160</v>
      </c>
      <c r="R364" t="n">
        <v>7.72</v>
      </c>
      <c r="S364" t="n">
        <v>51</v>
      </c>
      <c r="T364" t="n">
        <v>2811</v>
      </c>
      <c r="U364" t="n">
        <v>2151</v>
      </c>
      <c r="V364" t="n">
        <v>7.75</v>
      </c>
      <c r="W364" t="n">
        <v>17</v>
      </c>
      <c r="X364" t="n">
        <v>17</v>
      </c>
      <c r="Y364" t="n">
        <v>20</v>
      </c>
      <c r="Z364" t="n">
        <v>20</v>
      </c>
      <c r="AA364" t="inlineStr">
        <is>
          <t>Cacao x2; Coffee Bean x2; Raspberry x1</t>
        </is>
      </c>
      <c r="AB364" t="b">
        <v>0</v>
      </c>
      <c r="AC364" t="inlineStr">
        <is>
          <t>match (mastered)</t>
        </is>
      </c>
    </row>
    <row r="365">
      <c r="A365" t="inlineStr">
        <is>
          <t>Blackberry</t>
        </is>
      </c>
      <c r="B365" t="inlineStr">
        <is>
          <t>tree</t>
        </is>
      </c>
      <c r="C365" t="inlineStr">
        <is>
          <t>Blackberry Bush</t>
        </is>
      </c>
      <c r="D365" t="n">
        <v>26</v>
      </c>
      <c r="E365" t="n">
        <v>82</v>
      </c>
      <c r="F365" t="inlineStr">
        <is>
          <t>hayday.info</t>
        </is>
      </c>
      <c r="G365" t="n">
        <v>1</v>
      </c>
      <c r="H365" t="n">
        <v>1920</v>
      </c>
      <c r="J365" t="n">
        <v>0</v>
      </c>
      <c r="K365" t="n">
        <v>0</v>
      </c>
      <c r="L365" t="n">
        <v>0</v>
      </c>
      <c r="M365" t="n">
        <v>0</v>
      </c>
      <c r="N365" t="n">
        <v>640</v>
      </c>
      <c r="P365" t="n">
        <v>640</v>
      </c>
      <c r="Q365" t="n">
        <v>1920</v>
      </c>
      <c r="R365" t="n">
        <v>7.69</v>
      </c>
      <c r="S365" t="n">
        <v>0</v>
      </c>
      <c r="T365" t="n">
        <v>640</v>
      </c>
      <c r="U365" t="n">
        <v>1920</v>
      </c>
      <c r="V365" t="n">
        <v>7.69</v>
      </c>
      <c r="W365" t="n">
        <v>82</v>
      </c>
      <c r="X365" t="n">
        <v>2.56</v>
      </c>
      <c r="Y365" t="n">
        <v>2.56</v>
      </c>
      <c r="Z365" t="n">
        <v>17.07</v>
      </c>
      <c r="AB365" t="b">
        <v>1</v>
      </c>
    </row>
    <row r="366">
      <c r="A366" t="inlineStr">
        <is>
          <t>Coffee Bean</t>
        </is>
      </c>
      <c r="B366" t="inlineStr">
        <is>
          <t>tree</t>
        </is>
      </c>
      <c r="C366" t="inlineStr">
        <is>
          <t>Coffee Bush</t>
        </is>
      </c>
      <c r="D366" t="n">
        <v>42</v>
      </c>
      <c r="E366" t="n">
        <v>64</v>
      </c>
      <c r="F366" t="inlineStr">
        <is>
          <t>hayday.info</t>
        </is>
      </c>
      <c r="G366" t="n">
        <v>1</v>
      </c>
      <c r="H366" t="n">
        <v>1500</v>
      </c>
      <c r="J366" t="n">
        <v>0</v>
      </c>
      <c r="K366" t="n">
        <v>0</v>
      </c>
      <c r="L366" t="n">
        <v>0</v>
      </c>
      <c r="M366" t="n">
        <v>0</v>
      </c>
      <c r="N366" t="n">
        <v>500</v>
      </c>
      <c r="P366" t="n">
        <v>500</v>
      </c>
      <c r="Q366" t="n">
        <v>1500</v>
      </c>
      <c r="R366" t="n">
        <v>7.68</v>
      </c>
      <c r="S366" t="n">
        <v>0</v>
      </c>
      <c r="T366" t="n">
        <v>500</v>
      </c>
      <c r="U366" t="n">
        <v>1500</v>
      </c>
      <c r="V366" t="n">
        <v>7.68</v>
      </c>
      <c r="W366" t="n">
        <v>64</v>
      </c>
      <c r="X366" t="n">
        <v>2.56</v>
      </c>
      <c r="Y366" t="n">
        <v>2.56</v>
      </c>
      <c r="Z366" t="n">
        <v>18.7</v>
      </c>
      <c r="AB366" t="b">
        <v>0</v>
      </c>
    </row>
    <row r="367">
      <c r="A367" t="inlineStr">
        <is>
          <t>Raspberry</t>
        </is>
      </c>
      <c r="B367" t="inlineStr">
        <is>
          <t>tree</t>
        </is>
      </c>
      <c r="C367" t="inlineStr">
        <is>
          <t>Raspberry Bush</t>
        </is>
      </c>
      <c r="D367" t="n">
        <v>19</v>
      </c>
      <c r="E367" t="n">
        <v>46</v>
      </c>
      <c r="F367" t="inlineStr">
        <is>
          <t>hayday.info</t>
        </is>
      </c>
      <c r="G367" t="n">
        <v>1</v>
      </c>
      <c r="H367" t="n">
        <v>1080</v>
      </c>
      <c r="J367" t="n">
        <v>0</v>
      </c>
      <c r="K367" t="n">
        <v>0</v>
      </c>
      <c r="L367" t="n">
        <v>0</v>
      </c>
      <c r="M367" t="n">
        <v>0</v>
      </c>
      <c r="N367" t="n">
        <v>360</v>
      </c>
      <c r="P367" t="n">
        <v>360</v>
      </c>
      <c r="Q367" t="n">
        <v>1080</v>
      </c>
      <c r="R367" t="n">
        <v>7.67</v>
      </c>
      <c r="S367" t="n">
        <v>0</v>
      </c>
      <c r="T367" t="n">
        <v>360</v>
      </c>
      <c r="U367" t="n">
        <v>1080</v>
      </c>
      <c r="V367" t="n">
        <v>7.67</v>
      </c>
      <c r="W367" t="n">
        <v>46</v>
      </c>
      <c r="X367" t="n">
        <v>2.56</v>
      </c>
      <c r="Y367" t="n">
        <v>2.56</v>
      </c>
      <c r="Z367" t="n">
        <v>21.58</v>
      </c>
      <c r="AB367" t="b">
        <v>1</v>
      </c>
    </row>
    <row r="368">
      <c r="A368" t="inlineStr">
        <is>
          <t>Goat Milk</t>
        </is>
      </c>
      <c r="B368" t="inlineStr">
        <is>
          <t>animal</t>
        </is>
      </c>
      <c r="C368" t="inlineStr">
        <is>
          <t>Goat</t>
        </is>
      </c>
      <c r="D368" t="n">
        <v>32</v>
      </c>
      <c r="E368" t="n">
        <v>64</v>
      </c>
      <c r="F368" t="inlineStr">
        <is>
          <t>hayday.info</t>
        </is>
      </c>
      <c r="G368" t="n">
        <v>1</v>
      </c>
      <c r="H368" t="n">
        <v>480</v>
      </c>
      <c r="J368" t="n">
        <v>14</v>
      </c>
      <c r="K368" t="n">
        <v>13.33</v>
      </c>
      <c r="L368" t="n">
        <v>9</v>
      </c>
      <c r="M368" t="n">
        <v>480</v>
      </c>
      <c r="N368" t="n">
        <v>0</v>
      </c>
      <c r="P368" t="n">
        <v>502.33</v>
      </c>
      <c r="Q368" t="n">
        <v>530</v>
      </c>
      <c r="R368" t="n">
        <v>7.64</v>
      </c>
      <c r="S368" t="n">
        <v>11.33</v>
      </c>
      <c r="T368" t="n">
        <v>500.33</v>
      </c>
      <c r="U368" t="n">
        <v>524</v>
      </c>
      <c r="V368" t="n">
        <v>7.67</v>
      </c>
      <c r="W368" t="n">
        <v>50</v>
      </c>
      <c r="X368" t="n">
        <v>6.25</v>
      </c>
      <c r="Y368" t="n">
        <v>6.25</v>
      </c>
      <c r="Z368" t="n">
        <v>-1.25</v>
      </c>
      <c r="AA368" t="inlineStr">
        <is>
          <t>Goat Feed x1</t>
        </is>
      </c>
      <c r="AB368" t="b">
        <v>1</v>
      </c>
    </row>
    <row r="369">
      <c r="A369" t="inlineStr">
        <is>
          <t>Chocolate Fondue</t>
        </is>
      </c>
      <c r="B369" t="inlineStr">
        <is>
          <t>machine</t>
        </is>
      </c>
      <c r="C369" t="inlineStr">
        <is>
          <t>Fondue Pot</t>
        </is>
      </c>
      <c r="D369" t="n">
        <v>81</v>
      </c>
      <c r="E369" t="n">
        <v>626</v>
      </c>
      <c r="F369" t="inlineStr">
        <is>
          <t>hayday.info</t>
        </is>
      </c>
      <c r="G369" t="n">
        <v>1</v>
      </c>
      <c r="H369" t="n">
        <v>25</v>
      </c>
      <c r="I369" t="n">
        <v>21</v>
      </c>
      <c r="J369" t="n">
        <v>610</v>
      </c>
      <c r="K369" t="n">
        <v>1288.33</v>
      </c>
      <c r="L369" t="n">
        <v>1515</v>
      </c>
      <c r="M369" t="n">
        <v>60</v>
      </c>
      <c r="N369" t="n">
        <v>2100</v>
      </c>
      <c r="P369" t="n">
        <v>4963.33</v>
      </c>
      <c r="Q369" t="n">
        <v>3325</v>
      </c>
      <c r="R369" t="n">
        <v>7.57</v>
      </c>
      <c r="S369" t="n">
        <v>1094.67</v>
      </c>
      <c r="T369" t="n">
        <v>4769.67</v>
      </c>
      <c r="U369" t="n">
        <v>3141</v>
      </c>
      <c r="V369" t="n">
        <v>7.87</v>
      </c>
      <c r="W369" t="n">
        <v>16</v>
      </c>
      <c r="X369" t="n">
        <v>38.4</v>
      </c>
      <c r="Y369" t="n">
        <v>45.71</v>
      </c>
      <c r="Z369" t="n">
        <v>45.18</v>
      </c>
      <c r="AA369" t="inlineStr">
        <is>
          <t>Chocolate x1; Strawberry x3</t>
        </is>
      </c>
      <c r="AB369" t="b">
        <v>0</v>
      </c>
      <c r="AC369" t="inlineStr">
        <is>
          <t>match (mastered)</t>
        </is>
      </c>
    </row>
    <row r="370">
      <c r="A370" t="inlineStr">
        <is>
          <t>Jelly Beans</t>
        </is>
      </c>
      <c r="B370" t="inlineStr">
        <is>
          <t>machine</t>
        </is>
      </c>
      <c r="C370" t="inlineStr">
        <is>
          <t>Candy Machine</t>
        </is>
      </c>
      <c r="D370" t="n">
        <v>60</v>
      </c>
      <c r="E370" t="n">
        <v>684</v>
      </c>
      <c r="F370" t="inlineStr">
        <is>
          <t>hayday.info</t>
        </is>
      </c>
      <c r="G370" t="n">
        <v>1</v>
      </c>
      <c r="H370" t="n">
        <v>1440</v>
      </c>
      <c r="I370" t="n">
        <v>1224</v>
      </c>
      <c r="J370" t="n">
        <v>690</v>
      </c>
      <c r="K370" t="n">
        <v>2380</v>
      </c>
      <c r="L370" t="n">
        <v>60</v>
      </c>
      <c r="M370" t="n">
        <v>0</v>
      </c>
      <c r="N370" t="n">
        <v>3000</v>
      </c>
      <c r="P370" t="n">
        <v>5440</v>
      </c>
      <c r="Q370" t="n">
        <v>3840</v>
      </c>
      <c r="R370" t="n">
        <v>7.54</v>
      </c>
      <c r="S370" t="n">
        <v>2023</v>
      </c>
      <c r="T370" t="n">
        <v>5083</v>
      </c>
      <c r="U370" t="n">
        <v>3552</v>
      </c>
      <c r="V370" t="n">
        <v>8.07</v>
      </c>
      <c r="W370" t="n">
        <v>-6</v>
      </c>
      <c r="X370" t="n">
        <v>-0.25</v>
      </c>
      <c r="Y370" t="n">
        <v>-0.29</v>
      </c>
      <c r="Z370" t="n">
        <v>-0.29</v>
      </c>
      <c r="AA370" t="inlineStr">
        <is>
          <t>Blackberry Jam x1; Raspberry Jam x1; White Sugar x1</t>
        </is>
      </c>
      <c r="AB370" t="b">
        <v>0</v>
      </c>
      <c r="AC370" t="inlineStr">
        <is>
          <t>match (mastered)</t>
        </is>
      </c>
    </row>
    <row r="371">
      <c r="A371" t="inlineStr">
        <is>
          <t>Cacao</t>
        </is>
      </c>
      <c r="B371" t="inlineStr">
        <is>
          <t>tree</t>
        </is>
      </c>
      <c r="C371" t="inlineStr">
        <is>
          <t>Cacao Tree</t>
        </is>
      </c>
      <c r="D371" t="n">
        <v>36</v>
      </c>
      <c r="E371" t="n">
        <v>86</v>
      </c>
      <c r="F371" t="inlineStr">
        <is>
          <t>hayday.info</t>
        </is>
      </c>
      <c r="G371" t="n">
        <v>1</v>
      </c>
      <c r="H371" t="n">
        <v>2100</v>
      </c>
      <c r="J371" t="n">
        <v>0</v>
      </c>
      <c r="K371" t="n">
        <v>0</v>
      </c>
      <c r="L371" t="n">
        <v>0</v>
      </c>
      <c r="M371" t="n">
        <v>0</v>
      </c>
      <c r="N371" t="n">
        <v>700</v>
      </c>
      <c r="P371" t="n">
        <v>700</v>
      </c>
      <c r="Q371" t="n">
        <v>2100</v>
      </c>
      <c r="R371" t="n">
        <v>7.37</v>
      </c>
      <c r="S371" t="n">
        <v>0</v>
      </c>
      <c r="T371" t="n">
        <v>700</v>
      </c>
      <c r="U371" t="n">
        <v>2100</v>
      </c>
      <c r="V371" t="n">
        <v>7.37</v>
      </c>
      <c r="W371" t="n">
        <v>86</v>
      </c>
      <c r="X371" t="n">
        <v>2.46</v>
      </c>
      <c r="Y371" t="n">
        <v>2.46</v>
      </c>
      <c r="Z371" t="n">
        <v>16.86</v>
      </c>
      <c r="AB371" t="b">
        <v>1</v>
      </c>
    </row>
    <row r="372">
      <c r="A372" t="inlineStr">
        <is>
          <t>Apple</t>
        </is>
      </c>
      <c r="B372" t="inlineStr">
        <is>
          <t>tree</t>
        </is>
      </c>
      <c r="C372" t="inlineStr">
        <is>
          <t>Apple Tree</t>
        </is>
      </c>
      <c r="D372" t="n">
        <v>15</v>
      </c>
      <c r="E372" t="n">
        <v>39</v>
      </c>
      <c r="F372" t="inlineStr">
        <is>
          <t>hayday.info</t>
        </is>
      </c>
      <c r="G372" t="n">
        <v>1</v>
      </c>
      <c r="H372" t="n">
        <v>960</v>
      </c>
      <c r="J372" t="n">
        <v>0</v>
      </c>
      <c r="K372" t="n">
        <v>0</v>
      </c>
      <c r="L372" t="n">
        <v>0</v>
      </c>
      <c r="M372" t="n">
        <v>0</v>
      </c>
      <c r="N372" t="n">
        <v>320</v>
      </c>
      <c r="P372" t="n">
        <v>320</v>
      </c>
      <c r="Q372" t="n">
        <v>960</v>
      </c>
      <c r="R372" t="n">
        <v>7.31</v>
      </c>
      <c r="S372" t="n">
        <v>0</v>
      </c>
      <c r="T372" t="n">
        <v>320</v>
      </c>
      <c r="U372" t="n">
        <v>960</v>
      </c>
      <c r="V372" t="n">
        <v>7.31</v>
      </c>
      <c r="W372" t="n">
        <v>39</v>
      </c>
      <c r="X372" t="n">
        <v>2.44</v>
      </c>
      <c r="Y372" t="n">
        <v>2.44</v>
      </c>
      <c r="Z372" t="n">
        <v>22.18</v>
      </c>
      <c r="AB372" t="b">
        <v>1</v>
      </c>
    </row>
    <row r="373">
      <c r="A373" t="inlineStr">
        <is>
          <t>Green Tea</t>
        </is>
      </c>
      <c r="B373" t="inlineStr">
        <is>
          <t>machine</t>
        </is>
      </c>
      <c r="C373" t="inlineStr">
        <is>
          <t>Tea Stand</t>
        </is>
      </c>
      <c r="D373" t="n">
        <v>80</v>
      </c>
      <c r="E373" t="n">
        <v>241</v>
      </c>
      <c r="F373" t="inlineStr">
        <is>
          <t>hayday.info</t>
        </is>
      </c>
      <c r="G373" t="n">
        <v>1</v>
      </c>
      <c r="H373" t="n">
        <v>30</v>
      </c>
      <c r="I373" t="n">
        <v>25</v>
      </c>
      <c r="J373" t="n">
        <v>215</v>
      </c>
      <c r="K373" t="n">
        <v>30</v>
      </c>
      <c r="L373" t="n">
        <v>1950</v>
      </c>
      <c r="M373" t="n">
        <v>0</v>
      </c>
      <c r="N373" t="n">
        <v>0</v>
      </c>
      <c r="P373" t="n">
        <v>1980</v>
      </c>
      <c r="Q373" t="n">
        <v>420</v>
      </c>
      <c r="R373" t="n">
        <v>7.3</v>
      </c>
      <c r="S373" t="n">
        <v>25</v>
      </c>
      <c r="T373" t="n">
        <v>1975</v>
      </c>
      <c r="U373" t="n">
        <v>415</v>
      </c>
      <c r="V373" t="n">
        <v>7.32</v>
      </c>
      <c r="W373" t="n">
        <v>26</v>
      </c>
      <c r="X373" t="n">
        <v>52</v>
      </c>
      <c r="Y373" t="n">
        <v>62.4</v>
      </c>
      <c r="Z373" t="n">
        <v>61.18</v>
      </c>
      <c r="AA373" t="inlineStr">
        <is>
          <t>Tea Leaf x5</t>
        </is>
      </c>
      <c r="AB373" t="b">
        <v>0</v>
      </c>
      <c r="AC373" t="inlineStr">
        <is>
          <t>match (normal x0.85)</t>
        </is>
      </c>
    </row>
    <row r="374">
      <c r="A374" t="inlineStr">
        <is>
          <t>Cherry</t>
        </is>
      </c>
      <c r="B374" t="inlineStr">
        <is>
          <t>tree</t>
        </is>
      </c>
      <c r="C374" t="inlineStr">
        <is>
          <t>Cherry Tree</t>
        </is>
      </c>
      <c r="D374" t="n">
        <v>22</v>
      </c>
      <c r="E374" t="n">
        <v>68</v>
      </c>
      <c r="F374" t="inlineStr">
        <is>
          <t>hayday.info</t>
        </is>
      </c>
      <c r="G374" t="n">
        <v>1</v>
      </c>
      <c r="H374" t="n">
        <v>1680</v>
      </c>
      <c r="J374" t="n">
        <v>0</v>
      </c>
      <c r="K374" t="n">
        <v>0</v>
      </c>
      <c r="L374" t="n">
        <v>0</v>
      </c>
      <c r="M374" t="n">
        <v>0</v>
      </c>
      <c r="N374" t="n">
        <v>560</v>
      </c>
      <c r="P374" t="n">
        <v>560</v>
      </c>
      <c r="Q374" t="n">
        <v>1680</v>
      </c>
      <c r="R374" t="n">
        <v>7.29</v>
      </c>
      <c r="S374" t="n">
        <v>0</v>
      </c>
      <c r="T374" t="n">
        <v>560</v>
      </c>
      <c r="U374" t="n">
        <v>1680</v>
      </c>
      <c r="V374" t="n">
        <v>7.29</v>
      </c>
      <c r="W374" t="n">
        <v>68</v>
      </c>
      <c r="X374" t="n">
        <v>2.43</v>
      </c>
      <c r="Y374" t="n">
        <v>2.43</v>
      </c>
      <c r="Z374" t="n">
        <v>17.75</v>
      </c>
      <c r="AB374" t="b">
        <v>1</v>
      </c>
    </row>
    <row r="375">
      <c r="A375" t="inlineStr">
        <is>
          <t>Berry Smoothie</t>
        </is>
      </c>
      <c r="B375" t="inlineStr">
        <is>
          <t>machine</t>
        </is>
      </c>
      <c r="C375" t="inlineStr">
        <is>
          <t>Smoothie Mixer</t>
        </is>
      </c>
      <c r="D375" t="n">
        <v>64</v>
      </c>
      <c r="E375" t="n">
        <v>547</v>
      </c>
      <c r="F375" t="inlineStr">
        <is>
          <t>hayday.info</t>
        </is>
      </c>
      <c r="G375" t="n">
        <v>1</v>
      </c>
      <c r="H375" t="n">
        <v>75</v>
      </c>
      <c r="I375" t="n">
        <v>63</v>
      </c>
      <c r="J375" t="n">
        <v>534</v>
      </c>
      <c r="K375" t="n">
        <v>75</v>
      </c>
      <c r="L375" t="n">
        <v>1440</v>
      </c>
      <c r="M375" t="n">
        <v>0</v>
      </c>
      <c r="N375" t="n">
        <v>3000</v>
      </c>
      <c r="P375" t="n">
        <v>4515</v>
      </c>
      <c r="Q375" t="n">
        <v>1995</v>
      </c>
      <c r="R375" t="n">
        <v>7.27</v>
      </c>
      <c r="S375" t="n">
        <v>63</v>
      </c>
      <c r="T375" t="n">
        <v>4503</v>
      </c>
      <c r="U375" t="n">
        <v>1983</v>
      </c>
      <c r="V375" t="n">
        <v>7.29</v>
      </c>
      <c r="W375" t="n">
        <v>13</v>
      </c>
      <c r="X375" t="n">
        <v>10.4</v>
      </c>
      <c r="Y375" t="n">
        <v>12.38</v>
      </c>
      <c r="Z375" t="n">
        <v>12.24</v>
      </c>
      <c r="AA375" t="inlineStr">
        <is>
          <t>Raspberry x3; Strawberry x3; Blackberry x3</t>
        </is>
      </c>
      <c r="AB375" t="b">
        <v>0</v>
      </c>
      <c r="AC375" t="inlineStr">
        <is>
          <t>match (mastered)</t>
        </is>
      </c>
    </row>
    <row r="376">
      <c r="A376" t="inlineStr">
        <is>
          <t>Asparagus</t>
        </is>
      </c>
      <c r="B376" t="inlineStr">
        <is>
          <t>field</t>
        </is>
      </c>
      <c r="C376" t="inlineStr">
        <is>
          <t>Farm</t>
        </is>
      </c>
      <c r="D376" t="n">
        <v>49</v>
      </c>
      <c r="E376" t="n">
        <v>43</v>
      </c>
      <c r="F376" t="inlineStr">
        <is>
          <t>Fandom</t>
        </is>
      </c>
      <c r="G376" t="n">
        <v>1</v>
      </c>
      <c r="H376" t="n">
        <v>360</v>
      </c>
      <c r="J376" t="n">
        <v>0</v>
      </c>
      <c r="K376" t="n">
        <v>0</v>
      </c>
      <c r="L376" t="n">
        <v>360</v>
      </c>
      <c r="M376" t="n">
        <v>0</v>
      </c>
      <c r="N376" t="n">
        <v>0</v>
      </c>
      <c r="P376" t="n">
        <v>360</v>
      </c>
      <c r="Q376" t="n">
        <v>360</v>
      </c>
      <c r="R376" t="n">
        <v>7.17</v>
      </c>
      <c r="S376" t="n">
        <v>0</v>
      </c>
      <c r="T376" t="n">
        <v>360</v>
      </c>
      <c r="U376" t="n">
        <v>360</v>
      </c>
      <c r="V376" t="n">
        <v>7.17</v>
      </c>
      <c r="W376" t="n">
        <v>43</v>
      </c>
      <c r="X376" t="n">
        <v>7.17</v>
      </c>
      <c r="Y376" t="n">
        <v>7.17</v>
      </c>
      <c r="AB376" t="b">
        <v>0</v>
      </c>
    </row>
    <row r="377">
      <c r="A377" t="inlineStr">
        <is>
          <t>Tomato</t>
        </is>
      </c>
      <c r="B377" t="inlineStr">
        <is>
          <t>field</t>
        </is>
      </c>
      <c r="C377" t="inlineStr">
        <is>
          <t>Farm</t>
        </is>
      </c>
      <c r="D377" t="n">
        <v>30</v>
      </c>
      <c r="E377" t="n">
        <v>43</v>
      </c>
      <c r="F377" t="inlineStr">
        <is>
          <t>hayday.info</t>
        </is>
      </c>
      <c r="G377" t="n">
        <v>1</v>
      </c>
      <c r="H377" t="n">
        <v>360</v>
      </c>
      <c r="J377" t="n">
        <v>0</v>
      </c>
      <c r="K377" t="n">
        <v>0</v>
      </c>
      <c r="L377" t="n">
        <v>360</v>
      </c>
      <c r="M377" t="n">
        <v>0</v>
      </c>
      <c r="N377" t="n">
        <v>0</v>
      </c>
      <c r="P377" t="n">
        <v>360</v>
      </c>
      <c r="Q377" t="n">
        <v>360</v>
      </c>
      <c r="R377" t="n">
        <v>7.17</v>
      </c>
      <c r="S377" t="n">
        <v>0</v>
      </c>
      <c r="T377" t="n">
        <v>360</v>
      </c>
      <c r="U377" t="n">
        <v>360</v>
      </c>
      <c r="V377" t="n">
        <v>7.17</v>
      </c>
      <c r="W377" t="n">
        <v>43</v>
      </c>
      <c r="X377" t="n">
        <v>7.17</v>
      </c>
      <c r="Y377" t="n">
        <v>7.17</v>
      </c>
      <c r="Z377" t="n">
        <v>7.17</v>
      </c>
      <c r="AB377" t="b">
        <v>1</v>
      </c>
    </row>
    <row r="378">
      <c r="A378" t="inlineStr">
        <is>
          <t>Blueberries</t>
        </is>
      </c>
      <c r="B378" t="inlineStr">
        <is>
          <t>tree</t>
        </is>
      </c>
      <c r="C378" t="inlineStr">
        <is>
          <t>Blueberry Bush</t>
        </is>
      </c>
      <c r="D378" t="n">
        <v>30</v>
      </c>
      <c r="E378" t="n">
        <v>82</v>
      </c>
      <c r="F378" t="inlineStr">
        <is>
          <t>Fandom</t>
        </is>
      </c>
      <c r="G378" t="n">
        <v>1</v>
      </c>
      <c r="H378" t="n">
        <v>2100</v>
      </c>
      <c r="J378" t="n">
        <v>0</v>
      </c>
      <c r="K378" t="n">
        <v>0</v>
      </c>
      <c r="L378" t="n">
        <v>0</v>
      </c>
      <c r="M378" t="n">
        <v>0</v>
      </c>
      <c r="N378" t="n">
        <v>700</v>
      </c>
      <c r="P378" t="n">
        <v>700</v>
      </c>
      <c r="Q378" t="n">
        <v>2100</v>
      </c>
      <c r="R378" t="n">
        <v>7.03</v>
      </c>
      <c r="S378" t="n">
        <v>0</v>
      </c>
      <c r="T378" t="n">
        <v>700</v>
      </c>
      <c r="U378" t="n">
        <v>2100</v>
      </c>
      <c r="V378" t="n">
        <v>7.03</v>
      </c>
      <c r="W378" t="n">
        <v>82</v>
      </c>
      <c r="X378" t="n">
        <v>2.34</v>
      </c>
      <c r="Y378" t="n">
        <v>2.34</v>
      </c>
      <c r="AB378" t="b">
        <v>1</v>
      </c>
    </row>
    <row r="379">
      <c r="A379" t="inlineStr">
        <is>
          <t>Tea Leaf</t>
        </is>
      </c>
      <c r="B379" t="inlineStr">
        <is>
          <t>field</t>
        </is>
      </c>
      <c r="C379" t="inlineStr">
        <is>
          <t>Farm</t>
        </is>
      </c>
      <c r="D379" t="n">
        <v>80</v>
      </c>
      <c r="E379" t="n">
        <v>43</v>
      </c>
      <c r="F379" t="inlineStr">
        <is>
          <t>hayday.info</t>
        </is>
      </c>
      <c r="G379" t="n">
        <v>1</v>
      </c>
      <c r="H379" t="n">
        <v>390</v>
      </c>
      <c r="J379" t="n">
        <v>0</v>
      </c>
      <c r="K379" t="n">
        <v>0</v>
      </c>
      <c r="L379" t="n">
        <v>390</v>
      </c>
      <c r="M379" t="n">
        <v>0</v>
      </c>
      <c r="N379" t="n">
        <v>0</v>
      </c>
      <c r="P379" t="n">
        <v>390</v>
      </c>
      <c r="Q379" t="n">
        <v>390</v>
      </c>
      <c r="R379" t="n">
        <v>6.62</v>
      </c>
      <c r="S379" t="n">
        <v>0</v>
      </c>
      <c r="T379" t="n">
        <v>390</v>
      </c>
      <c r="U379" t="n">
        <v>390</v>
      </c>
      <c r="V379" t="n">
        <v>6.62</v>
      </c>
      <c r="W379" t="n">
        <v>43</v>
      </c>
      <c r="X379" t="n">
        <v>6.62</v>
      </c>
      <c r="Y379" t="n">
        <v>6.62</v>
      </c>
      <c r="Z379" t="n">
        <v>6.62</v>
      </c>
      <c r="AB379" t="b">
        <v>0</v>
      </c>
    </row>
    <row r="380">
      <c r="A380" t="inlineStr">
        <is>
          <t>Strawberry</t>
        </is>
      </c>
      <c r="B380" t="inlineStr">
        <is>
          <t>field</t>
        </is>
      </c>
      <c r="C380" t="inlineStr">
        <is>
          <t>Farm</t>
        </is>
      </c>
      <c r="D380" t="n">
        <v>34</v>
      </c>
      <c r="E380" t="n">
        <v>50</v>
      </c>
      <c r="F380" t="inlineStr">
        <is>
          <t>hayday.info</t>
        </is>
      </c>
      <c r="G380" t="n">
        <v>1</v>
      </c>
      <c r="H380" t="n">
        <v>480</v>
      </c>
      <c r="J380" t="n">
        <v>0</v>
      </c>
      <c r="K380" t="n">
        <v>0</v>
      </c>
      <c r="L380" t="n">
        <v>480</v>
      </c>
      <c r="M380" t="n">
        <v>0</v>
      </c>
      <c r="N380" t="n">
        <v>0</v>
      </c>
      <c r="P380" t="n">
        <v>480</v>
      </c>
      <c r="Q380" t="n">
        <v>480</v>
      </c>
      <c r="R380" t="n">
        <v>6.25</v>
      </c>
      <c r="S380" t="n">
        <v>0</v>
      </c>
      <c r="T380" t="n">
        <v>480</v>
      </c>
      <c r="U380" t="n">
        <v>480</v>
      </c>
      <c r="V380" t="n">
        <v>6.25</v>
      </c>
      <c r="W380" t="n">
        <v>50</v>
      </c>
      <c r="X380" t="n">
        <v>6.25</v>
      </c>
      <c r="Y380" t="n">
        <v>6.25</v>
      </c>
      <c r="Z380" t="n">
        <v>6.25</v>
      </c>
      <c r="AB380" t="b">
        <v>1</v>
      </c>
    </row>
    <row r="381">
      <c r="A381" t="inlineStr">
        <is>
          <t>Duck Feather</t>
        </is>
      </c>
      <c r="B381" t="inlineStr">
        <is>
          <t>external</t>
        </is>
      </c>
      <c r="C381" t="inlineStr">
        <is>
          <t>Duck</t>
        </is>
      </c>
      <c r="D381" t="n">
        <v>50</v>
      </c>
      <c r="E381" t="n">
        <v>140</v>
      </c>
      <c r="F381" t="inlineStr">
        <is>
          <t>hayday.info</t>
        </is>
      </c>
      <c r="G381" t="n">
        <v>1</v>
      </c>
      <c r="H381" t="n">
        <v>180</v>
      </c>
      <c r="J381" t="n">
        <v>0</v>
      </c>
      <c r="K381" t="n">
        <v>0</v>
      </c>
      <c r="L381" t="n">
        <v>0</v>
      </c>
      <c r="M381" t="n">
        <v>0</v>
      </c>
      <c r="N381" t="n">
        <v>0</v>
      </c>
      <c r="O381" t="inlineStr">
        <is>
          <t>Duck Feather x1</t>
        </is>
      </c>
      <c r="P381" t="n">
        <v>0</v>
      </c>
      <c r="Q381" t="n">
        <v>0</v>
      </c>
      <c r="S381" t="n">
        <v>0</v>
      </c>
      <c r="T381" t="n">
        <v>0</v>
      </c>
      <c r="U381" t="n">
        <v>0</v>
      </c>
      <c r="W381" t="n">
        <v>140</v>
      </c>
      <c r="X381" t="n">
        <v>46.67</v>
      </c>
      <c r="Y381" t="n">
        <v>46.67</v>
      </c>
      <c r="Z381" t="n">
        <v>46.67</v>
      </c>
      <c r="AB381" t="b">
        <v>0</v>
      </c>
    </row>
    <row r="382">
      <c r="A382" t="inlineStr">
        <is>
          <t>Lobster Tail</t>
        </is>
      </c>
      <c r="B382" t="inlineStr">
        <is>
          <t>external</t>
        </is>
      </c>
      <c r="C382" t="inlineStr">
        <is>
          <t>Lobster</t>
        </is>
      </c>
      <c r="D382" t="n">
        <v>44</v>
      </c>
      <c r="E382" t="n">
        <v>201</v>
      </c>
      <c r="F382" t="inlineStr">
        <is>
          <t>hayday.info</t>
        </is>
      </c>
      <c r="G382" t="n">
        <v>1</v>
      </c>
      <c r="H382" t="n">
        <v>360</v>
      </c>
      <c r="J382" t="n">
        <v>0</v>
      </c>
      <c r="K382" t="n">
        <v>0</v>
      </c>
      <c r="L382" t="n">
        <v>0</v>
      </c>
      <c r="M382" t="n">
        <v>0</v>
      </c>
      <c r="N382" t="n">
        <v>0</v>
      </c>
      <c r="O382" t="inlineStr">
        <is>
          <t>Lobster Tail x1</t>
        </is>
      </c>
      <c r="P382" t="n">
        <v>0</v>
      </c>
      <c r="Q382" t="n">
        <v>0</v>
      </c>
      <c r="S382" t="n">
        <v>0</v>
      </c>
      <c r="T382" t="n">
        <v>0</v>
      </c>
      <c r="U382" t="n">
        <v>0</v>
      </c>
      <c r="W382" t="n">
        <v>201</v>
      </c>
      <c r="X382" t="n">
        <v>33.5</v>
      </c>
      <c r="Y382" t="n">
        <v>33.5</v>
      </c>
      <c r="Z382" t="n">
        <v>33.5</v>
      </c>
      <c r="AB382" t="b">
        <v>0</v>
      </c>
    </row>
    <row r="383">
      <c r="A383" t="inlineStr">
        <is>
          <t>Coal</t>
        </is>
      </c>
      <c r="B383" t="inlineStr">
        <is>
          <t>external</t>
        </is>
      </c>
      <c r="C383" t="inlineStr">
        <is>
          <t>Mine</t>
        </is>
      </c>
      <c r="D383" t="n">
        <v>33</v>
      </c>
      <c r="E383" t="n">
        <v>10</v>
      </c>
      <c r="F383" t="inlineStr">
        <is>
          <t>Fandom</t>
        </is>
      </c>
      <c r="G383" t="n">
        <v>1</v>
      </c>
      <c r="H383" t="n">
        <v>0</v>
      </c>
      <c r="J383" t="n">
        <v>0</v>
      </c>
      <c r="K383" t="n">
        <v>0</v>
      </c>
      <c r="L383" t="n">
        <v>0</v>
      </c>
      <c r="M383" t="n">
        <v>0</v>
      </c>
      <c r="N383" t="n">
        <v>0</v>
      </c>
      <c r="O383" t="inlineStr">
        <is>
          <t>Coal x1</t>
        </is>
      </c>
      <c r="P383" t="n">
        <v>0</v>
      </c>
      <c r="Q383" t="n">
        <v>0</v>
      </c>
      <c r="S383" t="n">
        <v>0</v>
      </c>
      <c r="T383" t="n">
        <v>0</v>
      </c>
      <c r="U383" t="n">
        <v>0</v>
      </c>
      <c r="W383" t="n">
        <v>10</v>
      </c>
      <c r="AB383" t="b">
        <v>1</v>
      </c>
    </row>
    <row r="384">
      <c r="A384" t="inlineStr">
        <is>
          <t>Fish Fillet</t>
        </is>
      </c>
      <c r="B384" t="inlineStr">
        <is>
          <t>external</t>
        </is>
      </c>
      <c r="C384" t="inlineStr">
        <is>
          <t>Fish</t>
        </is>
      </c>
      <c r="D384" t="n">
        <v>27</v>
      </c>
      <c r="E384" t="n">
        <v>54</v>
      </c>
      <c r="F384" t="inlineStr">
        <is>
          <t>Fandom</t>
        </is>
      </c>
      <c r="G384" t="n">
        <v>1</v>
      </c>
      <c r="H384" t="n">
        <v>0</v>
      </c>
      <c r="J384" t="n">
        <v>0</v>
      </c>
      <c r="K384" t="n">
        <v>0</v>
      </c>
      <c r="L384" t="n">
        <v>0</v>
      </c>
      <c r="M384" t="n">
        <v>0</v>
      </c>
      <c r="N384" t="n">
        <v>0</v>
      </c>
      <c r="O384" t="inlineStr">
        <is>
          <t>Fish Fillet x1</t>
        </is>
      </c>
      <c r="P384" t="n">
        <v>0</v>
      </c>
      <c r="Q384" t="n">
        <v>0</v>
      </c>
      <c r="S384" t="n">
        <v>0</v>
      </c>
      <c r="T384" t="n">
        <v>0</v>
      </c>
      <c r="U384" t="n">
        <v>0</v>
      </c>
      <c r="W384" t="n">
        <v>54</v>
      </c>
      <c r="AB384" t="b">
        <v>1</v>
      </c>
    </row>
    <row r="385">
      <c r="A385" t="inlineStr">
        <is>
          <t>Gold Ore</t>
        </is>
      </c>
      <c r="B385" t="inlineStr">
        <is>
          <t>external</t>
        </is>
      </c>
      <c r="C385" t="inlineStr">
        <is>
          <t>Mine</t>
        </is>
      </c>
      <c r="D385" t="n">
        <v>24</v>
      </c>
      <c r="E385" t="n">
        <v>21</v>
      </c>
      <c r="F385" t="inlineStr">
        <is>
          <t>Fandom</t>
        </is>
      </c>
      <c r="G385" t="n">
        <v>1</v>
      </c>
      <c r="H385" t="n">
        <v>0</v>
      </c>
      <c r="J385" t="n">
        <v>0</v>
      </c>
      <c r="K385" t="n">
        <v>0</v>
      </c>
      <c r="L385" t="n">
        <v>0</v>
      </c>
      <c r="M385" t="n">
        <v>0</v>
      </c>
      <c r="N385" t="n">
        <v>0</v>
      </c>
      <c r="O385" t="inlineStr">
        <is>
          <t>Gold Ore x1</t>
        </is>
      </c>
      <c r="P385" t="n">
        <v>0</v>
      </c>
      <c r="Q385" t="n">
        <v>0</v>
      </c>
      <c r="S385" t="n">
        <v>0</v>
      </c>
      <c r="T385" t="n">
        <v>0</v>
      </c>
      <c r="U385" t="n">
        <v>0</v>
      </c>
      <c r="W385" t="n">
        <v>21</v>
      </c>
      <c r="AB385" t="b">
        <v>1</v>
      </c>
    </row>
    <row r="386">
      <c r="A386" t="inlineStr">
        <is>
          <t>Iron Ore</t>
        </is>
      </c>
      <c r="B386" t="inlineStr">
        <is>
          <t>external</t>
        </is>
      </c>
      <c r="C386" t="inlineStr">
        <is>
          <t>Mine</t>
        </is>
      </c>
      <c r="D386" t="n">
        <v>34</v>
      </c>
      <c r="E386" t="n">
        <v>14</v>
      </c>
      <c r="F386" t="inlineStr">
        <is>
          <t>Fandom</t>
        </is>
      </c>
      <c r="G386" t="n">
        <v>1</v>
      </c>
      <c r="H386" t="n">
        <v>0</v>
      </c>
      <c r="J386" t="n">
        <v>0</v>
      </c>
      <c r="K386" t="n">
        <v>0</v>
      </c>
      <c r="L386" t="n">
        <v>0</v>
      </c>
      <c r="M386" t="n">
        <v>0</v>
      </c>
      <c r="N386" t="n">
        <v>0</v>
      </c>
      <c r="O386" t="inlineStr">
        <is>
          <t>Iron Ore x1</t>
        </is>
      </c>
      <c r="P386" t="n">
        <v>0</v>
      </c>
      <c r="Q386" t="n">
        <v>0</v>
      </c>
      <c r="S386" t="n">
        <v>0</v>
      </c>
      <c r="T386" t="n">
        <v>0</v>
      </c>
      <c r="U386" t="n">
        <v>0</v>
      </c>
      <c r="W386" t="n">
        <v>14</v>
      </c>
      <c r="AB386" t="b">
        <v>1</v>
      </c>
    </row>
    <row r="387">
      <c r="A387" t="inlineStr">
        <is>
          <t>Mussel Meat</t>
        </is>
      </c>
      <c r="B387" t="inlineStr">
        <is>
          <t>external</t>
        </is>
      </c>
      <c r="C387" t="inlineStr">
        <is>
          <t>Closed Mussel</t>
        </is>
      </c>
      <c r="D387" t="n">
        <v>27</v>
      </c>
      <c r="E387" t="n">
        <v>28</v>
      </c>
      <c r="F387" t="inlineStr">
        <is>
          <t>Fandom</t>
        </is>
      </c>
      <c r="G387" t="n">
        <v>1</v>
      </c>
      <c r="H387" t="n">
        <v>360</v>
      </c>
      <c r="J387" t="n">
        <v>0</v>
      </c>
      <c r="K387" t="n">
        <v>0</v>
      </c>
      <c r="L387" t="n">
        <v>0</v>
      </c>
      <c r="M387" t="n">
        <v>0</v>
      </c>
      <c r="N387" t="n">
        <v>0</v>
      </c>
      <c r="O387" t="inlineStr">
        <is>
          <t>Mussel Meat x1</t>
        </is>
      </c>
      <c r="P387" t="n">
        <v>0</v>
      </c>
      <c r="Q387" t="n">
        <v>0</v>
      </c>
      <c r="S387" t="n">
        <v>0</v>
      </c>
      <c r="T387" t="n">
        <v>0</v>
      </c>
      <c r="U387" t="n">
        <v>0</v>
      </c>
      <c r="W387" t="n">
        <v>28</v>
      </c>
      <c r="X387" t="n">
        <v>4.67</v>
      </c>
      <c r="Y387" t="n">
        <v>4.67</v>
      </c>
      <c r="AB387" t="b">
        <v>1</v>
      </c>
    </row>
    <row r="388">
      <c r="A388" t="inlineStr">
        <is>
          <t>Peanuts</t>
        </is>
      </c>
      <c r="B388" t="inlineStr">
        <is>
          <t>external</t>
        </is>
      </c>
      <c r="C388" t="inlineStr">
        <is>
          <t>Squirrel</t>
        </is>
      </c>
      <c r="D388" t="n">
        <v>62</v>
      </c>
      <c r="E388" t="n">
        <v>234</v>
      </c>
      <c r="F388" t="inlineStr">
        <is>
          <t>Fandom</t>
        </is>
      </c>
      <c r="G388" t="n">
        <v>1</v>
      </c>
      <c r="H388" t="n">
        <v>300</v>
      </c>
      <c r="J388" t="n">
        <v>0</v>
      </c>
      <c r="K388" t="n">
        <v>0</v>
      </c>
      <c r="L388" t="n">
        <v>0</v>
      </c>
      <c r="M388" t="n">
        <v>0</v>
      </c>
      <c r="N388" t="n">
        <v>0</v>
      </c>
      <c r="O388" t="inlineStr">
        <is>
          <t>Peanuts x1</t>
        </is>
      </c>
      <c r="P388" t="n">
        <v>0</v>
      </c>
      <c r="Q388" t="n">
        <v>0</v>
      </c>
      <c r="S388" t="n">
        <v>0</v>
      </c>
      <c r="T388" t="n">
        <v>0</v>
      </c>
      <c r="U388" t="n">
        <v>0</v>
      </c>
      <c r="W388" t="n">
        <v>234</v>
      </c>
      <c r="X388" t="n">
        <v>46.8</v>
      </c>
      <c r="Y388" t="n">
        <v>46.8</v>
      </c>
      <c r="AB388" t="b">
        <v>0</v>
      </c>
    </row>
    <row r="389">
      <c r="A389" t="inlineStr">
        <is>
          <t>Platinum Ore</t>
        </is>
      </c>
      <c r="B389" t="inlineStr">
        <is>
          <t>external</t>
        </is>
      </c>
      <c r="C389" t="inlineStr">
        <is>
          <t>Mine</t>
        </is>
      </c>
      <c r="D389" t="n">
        <v>24</v>
      </c>
      <c r="E389" t="n">
        <v>32</v>
      </c>
      <c r="F389" t="inlineStr">
        <is>
          <t>Fandom</t>
        </is>
      </c>
      <c r="G389" t="n">
        <v>1</v>
      </c>
      <c r="H389" t="n">
        <v>0</v>
      </c>
      <c r="J389" t="n">
        <v>0</v>
      </c>
      <c r="K389" t="n">
        <v>0</v>
      </c>
      <c r="L389" t="n">
        <v>0</v>
      </c>
      <c r="M389" t="n">
        <v>0</v>
      </c>
      <c r="N389" t="n">
        <v>0</v>
      </c>
      <c r="O389" t="inlineStr">
        <is>
          <t>Platinum Ore x1</t>
        </is>
      </c>
      <c r="P389" t="n">
        <v>0</v>
      </c>
      <c r="Q389" t="n">
        <v>0</v>
      </c>
      <c r="S389" t="n">
        <v>0</v>
      </c>
      <c r="T389" t="n">
        <v>0</v>
      </c>
      <c r="U389" t="n">
        <v>0</v>
      </c>
      <c r="W389" t="n">
        <v>32</v>
      </c>
      <c r="AB389" t="b">
        <v>1</v>
      </c>
    </row>
    <row r="390">
      <c r="A390" t="inlineStr">
        <is>
          <t>Silver Ore</t>
        </is>
      </c>
      <c r="B390" t="inlineStr">
        <is>
          <t>external</t>
        </is>
      </c>
      <c r="C390" t="inlineStr">
        <is>
          <t>Mine</t>
        </is>
      </c>
      <c r="D390" t="n">
        <v>24</v>
      </c>
      <c r="E390" t="n">
        <v>18</v>
      </c>
      <c r="F390" t="inlineStr">
        <is>
          <t>Fandom</t>
        </is>
      </c>
      <c r="G390" t="n">
        <v>1</v>
      </c>
      <c r="H390" t="n">
        <v>0</v>
      </c>
      <c r="J390" t="n">
        <v>0</v>
      </c>
      <c r="K390" t="n">
        <v>0</v>
      </c>
      <c r="L390" t="n">
        <v>0</v>
      </c>
      <c r="M390" t="n">
        <v>0</v>
      </c>
      <c r="N390" t="n">
        <v>0</v>
      </c>
      <c r="O390" t="inlineStr">
        <is>
          <t>Silver Ore x1</t>
        </is>
      </c>
      <c r="P390" t="n">
        <v>0</v>
      </c>
      <c r="Q390" t="n">
        <v>0</v>
      </c>
      <c r="S390" t="n">
        <v>0</v>
      </c>
      <c r="T390" t="n">
        <v>0</v>
      </c>
      <c r="U390" t="n">
        <v>0</v>
      </c>
      <c r="W390" t="n">
        <v>18</v>
      </c>
      <c r="AB390" t="b">
        <v>1</v>
      </c>
    </row>
  </sheetData>
  <autoFilter ref="A1:AC390"/>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S351"/>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28" min="1" max="1"/>
    <col width="22" customWidth="1" style="28" min="2" max="2"/>
    <col width="8" customWidth="1" style="28" min="3" max="3"/>
    <col width="11" customWidth="1" style="28" min="4" max="4"/>
    <col width="12" customWidth="1" style="28" min="5" max="5"/>
    <col width="13" customWidth="1" style="28" min="6" max="6"/>
    <col width="14" customWidth="1" style="28" min="7" max="7"/>
    <col width="10" customWidth="1" style="28" min="8" max="8"/>
    <col width="14" customWidth="1" style="28" min="9" max="9"/>
    <col width="7" customWidth="1" style="28" min="10" max="10"/>
    <col width="12" customWidth="1" style="28" min="11" max="11"/>
    <col width="13" customWidth="1" style="28" min="12" max="12"/>
    <col width="11" customWidth="1" style="28" min="13" max="13"/>
    <col width="22" customWidth="1" style="28" min="14" max="14"/>
    <col width="12" customWidth="1" style="28" min="15" max="15"/>
    <col width="17" customWidth="1" style="28" min="16" max="16"/>
    <col width="16" customWidth="1" style="28" min="17" max="17"/>
    <col width="52" customWidth="1" style="28" min="18" max="18"/>
    <col width="62" customWidth="1" style="28" min="19" max="19"/>
  </cols>
  <sheetData>
    <row r="1" ht="54" customHeight="1" s="29">
      <c r="A1" s="30" t="inlineStr">
        <is>
          <t>Product</t>
        </is>
      </c>
      <c r="B1" s="30" t="inlineStr">
        <is>
          <t>Machine</t>
        </is>
      </c>
      <c r="C1" s="30" t="inlineStr">
        <is>
          <t>Level</t>
        </is>
      </c>
      <c r="D1" s="30" t="inlineStr">
        <is>
          <t>Time normal (min)</t>
        </is>
      </c>
      <c r="E1" s="30" t="inlineStr">
        <is>
          <t>Time mastered (min)</t>
        </is>
      </c>
      <c r="F1" s="30" t="inlineStr">
        <is>
          <t>Time in hayday.info (min)</t>
        </is>
      </c>
      <c r="G1" s="31" t="inlineStr">
        <is>
          <t>hayday.info time basis</t>
        </is>
      </c>
      <c r="H1" s="30" t="inlineStr">
        <is>
          <t>Sell price</t>
        </is>
      </c>
      <c r="I1" s="30" t="inlineStr">
        <is>
          <t>Sell price (Fandom, if different)</t>
        </is>
      </c>
      <c r="J1" s="30" t="inlineStr">
        <is>
          <t>XP</t>
        </is>
      </c>
      <c r="K1" s="30" t="inlineStr">
        <is>
          <t>XP (Fandom, if different)</t>
        </is>
      </c>
      <c r="L1" s="30" t="inlineStr">
        <is>
          <t>Profit/hr (site)</t>
        </is>
      </c>
      <c r="M1" s="30" t="inlineStr">
        <is>
          <t>XP/hr (site)</t>
        </is>
      </c>
      <c r="N1" s="31" t="inlineStr">
        <is>
          <t>Flag</t>
        </is>
      </c>
      <c r="O1" s="30" t="inlineStr">
        <is>
          <t>Found in</t>
        </is>
      </c>
      <c r="P1" s="31" t="inlineStr">
        <is>
          <t>Status</t>
        </is>
      </c>
      <c r="Q1" s="31" t="inlineStr">
        <is>
          <t>Conflict fields</t>
        </is>
      </c>
      <c r="R1" s="30" t="inlineStr">
        <is>
          <t>Source</t>
        </is>
      </c>
      <c r="S1" s="30" t="inlineStr">
        <is>
          <t>Fandom page</t>
        </is>
      </c>
    </row>
    <row r="2" ht="15" customHeight="1" s="29">
      <c r="A2" s="32" t="inlineStr">
        <is>
          <t>Egg</t>
        </is>
      </c>
      <c r="B2" s="32" t="inlineStr">
        <is>
          <t>Animal Products</t>
        </is>
      </c>
      <c r="C2" s="33" t="n">
        <v>1</v>
      </c>
      <c r="D2" s="34" t="n"/>
      <c r="E2" s="34" t="n"/>
      <c r="F2" s="34" t="n">
        <v>20</v>
      </c>
      <c r="G2" s="32">
        <f>IF(OR(F2="",AND(D2="",E2="")),"n/a",IF(F2=E2,"mastered",IF(F2=D2,"normal","differs")))</f>
        <v/>
      </c>
      <c r="H2" s="35" t="n">
        <v>18</v>
      </c>
      <c r="I2" s="35" t="n"/>
      <c r="J2" s="33" t="n">
        <v>2</v>
      </c>
      <c r="K2" s="33" t="n"/>
      <c r="L2" s="36" t="n">
        <v>33</v>
      </c>
      <c r="M2" s="37" t="n">
        <v>6</v>
      </c>
      <c r="N2" s="32">
        <f>IF(L2="","",IF(L2&lt;0,"negative profit",IF(L2&gt;Notes!$B$4,"unusually high - verify","")))</f>
        <v/>
      </c>
      <c r="O2" s="32" t="inlineStr">
        <is>
          <t>hayday.info</t>
        </is>
      </c>
      <c r="P2" s="32">
        <f>IF(O2&lt;&gt;"both",O2&amp;" only",IF(Q2="","agree","conflict"))</f>
        <v/>
      </c>
      <c r="Q2" s="32">
        <f>IF(O2="both",TRIM(IF(I2&lt;&gt;"","price ","")&amp;IF(K2&lt;&gt;"","xp ","")&amp;IF(G2="differs","time","")),"")</f>
        <v/>
      </c>
      <c r="R2" s="32" t="inlineStr">
        <is>
          <t>hayday.info /api/production-data only</t>
        </is>
      </c>
      <c r="S2" s="32" t="n"/>
    </row>
    <row r="3" ht="15" customHeight="1" s="29">
      <c r="A3" s="32" t="inlineStr">
        <is>
          <t>Milk</t>
        </is>
      </c>
      <c r="B3" s="32" t="inlineStr">
        <is>
          <t>Animal Products</t>
        </is>
      </c>
      <c r="C3" s="33" t="n">
        <v>6</v>
      </c>
      <c r="D3" s="34" t="n"/>
      <c r="E3" s="34" t="n"/>
      <c r="F3" s="34" t="n">
        <v>60</v>
      </c>
      <c r="G3" s="32">
        <f>IF(OR(F3="",AND(D3="",E3="")),"n/a",IF(F3=E3,"mastered",IF(F3=D3,"normal","differs")))</f>
        <v/>
      </c>
      <c r="H3" s="35" t="n">
        <v>32</v>
      </c>
      <c r="I3" s="35" t="n"/>
      <c r="J3" s="33" t="n">
        <v>3</v>
      </c>
      <c r="K3" s="33" t="n"/>
      <c r="L3" s="36" t="n">
        <v>18</v>
      </c>
      <c r="M3" s="37" t="n">
        <v>3</v>
      </c>
      <c r="N3" s="32">
        <f>IF(L3="","",IF(L3&lt;0,"negative profit",IF(L3&gt;Notes!$B$4,"unusually high - verify","")))</f>
        <v/>
      </c>
      <c r="O3" s="32" t="inlineStr">
        <is>
          <t>hayday.info</t>
        </is>
      </c>
      <c r="P3" s="32">
        <f>IF(O3&lt;&gt;"both",O3&amp;" only",IF(Q3="","agree","conflict"))</f>
        <v/>
      </c>
      <c r="Q3" s="32">
        <f>IF(O3="both",TRIM(IF(I3&lt;&gt;"","price ","")&amp;IF(K3&lt;&gt;"","xp ","")&amp;IF(G3="differs","time","")),"")</f>
        <v/>
      </c>
      <c r="R3" s="32" t="inlineStr">
        <is>
          <t>hayday.info /api/production-data only</t>
        </is>
      </c>
      <c r="S3" s="32" t="n"/>
    </row>
    <row r="4" ht="15" customHeight="1" s="29">
      <c r="A4" s="32" t="inlineStr">
        <is>
          <t>Bacon</t>
        </is>
      </c>
      <c r="B4" s="32" t="inlineStr">
        <is>
          <t>Animal Products</t>
        </is>
      </c>
      <c r="C4" s="33" t="n">
        <v>10</v>
      </c>
      <c r="D4" s="34" t="n"/>
      <c r="E4" s="34" t="n"/>
      <c r="F4" s="34" t="n">
        <v>240</v>
      </c>
      <c r="G4" s="32">
        <f>IF(OR(F4="",AND(D4="",E4="")),"n/a",IF(F4=E4,"mastered",IF(F4=D4,"normal","differs")))</f>
        <v/>
      </c>
      <c r="H4" s="35" t="n">
        <v>50</v>
      </c>
      <c r="I4" s="35" t="n"/>
      <c r="J4" s="33" t="n">
        <v>5</v>
      </c>
      <c r="K4" s="33" t="n"/>
      <c r="L4" s="36" t="n">
        <v>-2.5</v>
      </c>
      <c r="M4" s="37" t="n">
        <v>1.25</v>
      </c>
      <c r="N4" s="32">
        <f>IF(L4="","",IF(L4&lt;0,"negative profit",IF(L4&gt;Notes!$B$4,"unusually high - verify","")))</f>
        <v/>
      </c>
      <c r="O4" s="32" t="inlineStr">
        <is>
          <t>hayday.info</t>
        </is>
      </c>
      <c r="P4" s="32">
        <f>IF(O4&lt;&gt;"both",O4&amp;" only",IF(Q4="","agree","conflict"))</f>
        <v/>
      </c>
      <c r="Q4" s="32">
        <f>IF(O4="both",TRIM(IF(I4&lt;&gt;"","price ","")&amp;IF(K4&lt;&gt;"","xp ","")&amp;IF(G4="differs","time","")),"")</f>
        <v/>
      </c>
      <c r="R4" s="32" t="inlineStr">
        <is>
          <t>hayday.info /api/production-data only</t>
        </is>
      </c>
      <c r="S4" s="32" t="n"/>
    </row>
    <row r="5" ht="15" customHeight="1" s="29">
      <c r="A5" s="32" t="inlineStr">
        <is>
          <t>Wool</t>
        </is>
      </c>
      <c r="B5" s="32" t="inlineStr">
        <is>
          <t>Animal Products</t>
        </is>
      </c>
      <c r="C5" s="33" t="n">
        <v>16</v>
      </c>
      <c r="D5" s="34" t="n"/>
      <c r="E5" s="34" t="n"/>
      <c r="F5" s="34" t="n">
        <v>360</v>
      </c>
      <c r="G5" s="32">
        <f>IF(OR(F5="",AND(D5="",E5="")),"n/a",IF(F5=E5,"mastered",IF(F5=D5,"normal","differs")))</f>
        <v/>
      </c>
      <c r="H5" s="35" t="n">
        <v>54</v>
      </c>
      <c r="I5" s="35" t="n"/>
      <c r="J5" s="33" t="n">
        <v>5</v>
      </c>
      <c r="K5" s="33" t="n"/>
      <c r="L5" s="36" t="n">
        <v>-0.8333333333</v>
      </c>
      <c r="M5" s="37" t="n">
        <v>0.8333333333</v>
      </c>
      <c r="N5" s="32">
        <f>IF(L5="","",IF(L5&lt;0,"negative profit",IF(L5&gt;Notes!$B$4,"unusually high - verify","")))</f>
        <v/>
      </c>
      <c r="O5" s="32" t="inlineStr">
        <is>
          <t>hayday.info</t>
        </is>
      </c>
      <c r="P5" s="32">
        <f>IF(O5&lt;&gt;"both",O5&amp;" only",IF(Q5="","agree","conflict"))</f>
        <v/>
      </c>
      <c r="Q5" s="32">
        <f>IF(O5="both",TRIM(IF(I5&lt;&gt;"","price ","")&amp;IF(K5&lt;&gt;"","xp ","")&amp;IF(G5="differs","time","")),"")</f>
        <v/>
      </c>
      <c r="R5" s="32" t="inlineStr">
        <is>
          <t>hayday.info /api/production-data only</t>
        </is>
      </c>
      <c r="S5" s="32" t="n"/>
    </row>
    <row r="6" ht="15" customHeight="1" s="29">
      <c r="A6" s="32" t="inlineStr">
        <is>
          <t>Goat Milk</t>
        </is>
      </c>
      <c r="B6" s="32" t="inlineStr">
        <is>
          <t>Animal Products</t>
        </is>
      </c>
      <c r="C6" s="33" t="n">
        <v>32</v>
      </c>
      <c r="D6" s="34" t="n"/>
      <c r="E6" s="34" t="n"/>
      <c r="F6" s="34" t="n">
        <v>480</v>
      </c>
      <c r="G6" s="32">
        <f>IF(OR(F6="",AND(D6="",E6="")),"n/a",IF(F6=E6,"mastered",IF(F6=D6,"normal","differs")))</f>
        <v/>
      </c>
      <c r="H6" s="35" t="n">
        <v>64</v>
      </c>
      <c r="I6" s="35" t="n"/>
      <c r="J6" s="33" t="n">
        <v>6</v>
      </c>
      <c r="K6" s="33" t="n"/>
      <c r="L6" s="36" t="n">
        <v>-1.25</v>
      </c>
      <c r="M6" s="37" t="n">
        <v>0.75</v>
      </c>
      <c r="N6" s="32">
        <f>IF(L6="","",IF(L6&lt;0,"negative profit",IF(L6&gt;Notes!$B$4,"unusually high - verify","")))</f>
        <v/>
      </c>
      <c r="O6" s="32" t="inlineStr">
        <is>
          <t>hayday.info</t>
        </is>
      </c>
      <c r="P6" s="32">
        <f>IF(O6&lt;&gt;"both",O6&amp;" only",IF(Q6="","agree","conflict"))</f>
        <v/>
      </c>
      <c r="Q6" s="32">
        <f>IF(O6="both",TRIM(IF(I6&lt;&gt;"","price ","")&amp;IF(K6&lt;&gt;"","xp ","")&amp;IF(G6="differs","time","")),"")</f>
        <v/>
      </c>
      <c r="R6" s="32" t="inlineStr">
        <is>
          <t>hayday.info /api/production-data only</t>
        </is>
      </c>
      <c r="S6" s="32" t="n"/>
    </row>
    <row r="7" ht="15" customHeight="1" s="29">
      <c r="A7" s="32" t="inlineStr">
        <is>
          <t>Bread</t>
        </is>
      </c>
      <c r="B7" s="32" t="inlineStr">
        <is>
          <t>Bakery</t>
        </is>
      </c>
      <c r="C7" s="33" t="n">
        <v>2</v>
      </c>
      <c r="D7" s="34" t="n">
        <v>5</v>
      </c>
      <c r="E7" s="34" t="n">
        <v>4</v>
      </c>
      <c r="F7" s="34" t="n">
        <v>4</v>
      </c>
      <c r="G7" s="32">
        <f>IF(OR(F7="",AND(D7="",E7="")),"n/a",IF(F7=E7,"mastered",IF(F7=D7,"normal","differs")))</f>
        <v/>
      </c>
      <c r="H7" s="35" t="n">
        <v>21</v>
      </c>
      <c r="I7" s="35" t="n"/>
      <c r="J7" s="33" t="n">
        <v>3</v>
      </c>
      <c r="K7" s="33" t="n"/>
      <c r="L7" s="36" t="n">
        <v>169.4117647</v>
      </c>
      <c r="M7" s="37" t="n">
        <v>42.35294118</v>
      </c>
      <c r="N7" s="32">
        <f>IF(L7="","",IF(L7&lt;0,"negative profit",IF(L7&gt;Notes!$B$4,"unusually high - verify","")))</f>
        <v/>
      </c>
      <c r="O7" s="32" t="inlineStr">
        <is>
          <t>both</t>
        </is>
      </c>
      <c r="P7" s="32">
        <f>IF(O7&lt;&gt;"both",O7&amp;" only",IF(Q7="","agree","conflict"))</f>
        <v/>
      </c>
      <c r="Q7" s="32">
        <f>IF(O7="both",TRIM(IF(I7&lt;&gt;"","price ","")&amp;IF(K7&lt;&gt;"","xp ","")&amp;IF(G7="differs","time","")),"")</f>
        <v/>
      </c>
      <c r="R7" s="32" t="inlineStr">
        <is>
          <t>hayday.info (primary values) + Fandom (times, cross-check)</t>
        </is>
      </c>
      <c r="S7" s="32" t="inlineStr">
        <is>
          <t>https://hayday.fandom.com/wiki/Bakery</t>
        </is>
      </c>
    </row>
    <row r="8" ht="15" customHeight="1" s="29">
      <c r="A8" s="32" t="inlineStr">
        <is>
          <t>Corn Bread</t>
        </is>
      </c>
      <c r="B8" s="32" t="inlineStr">
        <is>
          <t>Bakery</t>
        </is>
      </c>
      <c r="C8" s="33" t="n">
        <v>7</v>
      </c>
      <c r="D8" s="34" t="n">
        <v>30</v>
      </c>
      <c r="E8" s="34" t="n">
        <v>25</v>
      </c>
      <c r="F8" s="34" t="n">
        <v>25</v>
      </c>
      <c r="G8" s="32">
        <f>IF(OR(F8="",AND(D8="",E8="")),"n/a",IF(F8=E8,"mastered",IF(F8=D8,"normal","differs")))</f>
        <v/>
      </c>
      <c r="H8" s="35" t="n">
        <v>72</v>
      </c>
      <c r="I8" s="35" t="n"/>
      <c r="J8" s="33" t="n">
        <v>8</v>
      </c>
      <c r="K8" s="33" t="n"/>
      <c r="L8" s="36" t="n">
        <v>51.76470588</v>
      </c>
      <c r="M8" s="37" t="n">
        <v>18.82352941</v>
      </c>
      <c r="N8" s="32">
        <f>IF(L8="","",IF(L8&lt;0,"negative profit",IF(L8&gt;Notes!$B$4,"unusually high - verify","")))</f>
        <v/>
      </c>
      <c r="O8" s="32" t="inlineStr">
        <is>
          <t>both</t>
        </is>
      </c>
      <c r="P8" s="32">
        <f>IF(O8&lt;&gt;"both",O8&amp;" only",IF(Q8="","agree","conflict"))</f>
        <v/>
      </c>
      <c r="Q8" s="32">
        <f>IF(O8="both",TRIM(IF(I8&lt;&gt;"","price ","")&amp;IF(K8&lt;&gt;"","xp ","")&amp;IF(G8="differs","time","")),"")</f>
        <v/>
      </c>
      <c r="R8" s="32" t="inlineStr">
        <is>
          <t>hayday.info (primary values) + Fandom (times, cross-check)</t>
        </is>
      </c>
      <c r="S8" s="32" t="inlineStr">
        <is>
          <t>https://hayday.fandom.com/wiki/Bakery</t>
        </is>
      </c>
    </row>
    <row r="9" ht="15" customHeight="1" s="29">
      <c r="A9" s="32" t="inlineStr">
        <is>
          <t>Cookie</t>
        </is>
      </c>
      <c r="B9" s="32" t="inlineStr">
        <is>
          <t>Bakery</t>
        </is>
      </c>
      <c r="C9" s="33" t="n">
        <v>10</v>
      </c>
      <c r="D9" s="34" t="n">
        <v>60</v>
      </c>
      <c r="E9" s="34" t="n">
        <v>51</v>
      </c>
      <c r="F9" s="34" t="n">
        <v>51</v>
      </c>
      <c r="G9" s="32">
        <f>IF(OR(F9="",AND(D9="",E9="")),"n/a",IF(F9=E9,"mastered",IF(F9=D9,"normal","differs")))</f>
        <v/>
      </c>
      <c r="H9" s="35" t="n">
        <v>104</v>
      </c>
      <c r="I9" s="35" t="n"/>
      <c r="J9" s="33" t="n">
        <v>13</v>
      </c>
      <c r="K9" s="33" t="n"/>
      <c r="L9" s="36" t="n">
        <v>35.29411765</v>
      </c>
      <c r="M9" s="37" t="n">
        <v>15.29411765</v>
      </c>
      <c r="N9" s="32">
        <f>IF(L9="","",IF(L9&lt;0,"negative profit",IF(L9&gt;Notes!$B$4,"unusually high - verify","")))</f>
        <v/>
      </c>
      <c r="O9" s="32" t="inlineStr">
        <is>
          <t>both</t>
        </is>
      </c>
      <c r="P9" s="32">
        <f>IF(O9&lt;&gt;"both",O9&amp;" only",IF(Q9="","agree","conflict"))</f>
        <v/>
      </c>
      <c r="Q9" s="32">
        <f>IF(O9="both",TRIM(IF(I9&lt;&gt;"","price ","")&amp;IF(K9&lt;&gt;"","xp ","")&amp;IF(G9="differs","time","")),"")</f>
        <v/>
      </c>
      <c r="R9" s="32" t="inlineStr">
        <is>
          <t>hayday.info (primary values) + Fandom (times, cross-check)</t>
        </is>
      </c>
      <c r="S9" s="32" t="inlineStr">
        <is>
          <t>https://hayday.fandom.com/wiki/Bakery</t>
        </is>
      </c>
    </row>
    <row r="10" ht="15" customHeight="1" s="29">
      <c r="A10" s="32" t="inlineStr">
        <is>
          <t>Raspberry Muffin</t>
        </is>
      </c>
      <c r="B10" s="32" t="inlineStr">
        <is>
          <t>Bakery</t>
        </is>
      </c>
      <c r="C10" s="33" t="n">
        <v>19</v>
      </c>
      <c r="D10" s="34" t="n">
        <v>45</v>
      </c>
      <c r="E10" s="34" t="n">
        <v>38</v>
      </c>
      <c r="F10" s="34" t="n">
        <v>38</v>
      </c>
      <c r="G10" s="32">
        <f>IF(OR(F10="",AND(D10="",E10="")),"n/a",IF(F10=E10,"mastered",IF(F10=D10,"normal","differs")))</f>
        <v/>
      </c>
      <c r="H10" s="35" t="n">
        <v>140</v>
      </c>
      <c r="I10" s="35" t="n"/>
      <c r="J10" s="33" t="n">
        <v>17</v>
      </c>
      <c r="K10" s="33" t="n"/>
      <c r="L10" s="36" t="n">
        <v>37.64705882</v>
      </c>
      <c r="M10" s="37" t="n">
        <v>26.66666667</v>
      </c>
      <c r="N10" s="32">
        <f>IF(L10="","",IF(L10&lt;0,"negative profit",IF(L10&gt;Notes!$B$4,"unusually high - verify","")))</f>
        <v/>
      </c>
      <c r="O10" s="32" t="inlineStr">
        <is>
          <t>both</t>
        </is>
      </c>
      <c r="P10" s="32">
        <f>IF(O10&lt;&gt;"both",O10&amp;" only",IF(Q10="","agree","conflict"))</f>
        <v/>
      </c>
      <c r="Q10" s="32">
        <f>IF(O10="both",TRIM(IF(I10&lt;&gt;"","price ","")&amp;IF(K10&lt;&gt;"","xp ","")&amp;IF(G10="differs","time","")),"")</f>
        <v/>
      </c>
      <c r="R10" s="32" t="inlineStr">
        <is>
          <t>hayday.info (primary values) + Fandom (times, cross-check)</t>
        </is>
      </c>
      <c r="S10" s="32" t="inlineStr">
        <is>
          <t>https://hayday.fandom.com/wiki/Bakery</t>
        </is>
      </c>
    </row>
    <row r="11" ht="15" customHeight="1" s="29">
      <c r="A11" s="32" t="inlineStr">
        <is>
          <t>Blackberry Muffin</t>
        </is>
      </c>
      <c r="B11" s="32" t="inlineStr">
        <is>
          <t>Bakery</t>
        </is>
      </c>
      <c r="C11" s="33" t="n">
        <v>26</v>
      </c>
      <c r="D11" s="34" t="n">
        <v>45</v>
      </c>
      <c r="E11" s="34" t="n">
        <v>38</v>
      </c>
      <c r="F11" s="34" t="n">
        <v>38</v>
      </c>
      <c r="G11" s="32">
        <f>IF(OR(F11="",AND(D11="",E11="")),"n/a",IF(F11=E11,"mastered",IF(F11=D11,"normal","differs")))</f>
        <v/>
      </c>
      <c r="H11" s="35" t="n">
        <v>226</v>
      </c>
      <c r="I11" s="35" t="n"/>
      <c r="J11" s="33" t="n">
        <v>27</v>
      </c>
      <c r="K11" s="33" t="n"/>
      <c r="L11" s="36" t="n">
        <v>36.07843137</v>
      </c>
      <c r="M11" s="37" t="n">
        <v>42.35294118</v>
      </c>
      <c r="N11" s="32">
        <f>IF(L11="","",IF(L11&lt;0,"negative profit",IF(L11&gt;Notes!$B$4,"unusually high - verify","")))</f>
        <v/>
      </c>
      <c r="O11" s="32" t="inlineStr">
        <is>
          <t>both</t>
        </is>
      </c>
      <c r="P11" s="32">
        <f>IF(O11&lt;&gt;"both",O11&amp;" only",IF(Q11="","agree","conflict"))</f>
        <v/>
      </c>
      <c r="Q11" s="32">
        <f>IF(O11="both",TRIM(IF(I11&lt;&gt;"","price ","")&amp;IF(K11&lt;&gt;"","xp ","")&amp;IF(G11="differs","time","")),"")</f>
        <v/>
      </c>
      <c r="R11" s="32" t="inlineStr">
        <is>
          <t>hayday.info (primary values) + Fandom (times, cross-check)</t>
        </is>
      </c>
      <c r="S11" s="32" t="inlineStr">
        <is>
          <t>https://hayday.fandom.com/wiki/Bakery</t>
        </is>
      </c>
    </row>
    <row r="12" ht="15" customHeight="1" s="29">
      <c r="A12" s="32" t="inlineStr">
        <is>
          <t>Pizza</t>
        </is>
      </c>
      <c r="B12" s="32" t="inlineStr">
        <is>
          <t>Bakery</t>
        </is>
      </c>
      <c r="C12" s="33" t="n">
        <v>33</v>
      </c>
      <c r="D12" s="34" t="n">
        <v>15</v>
      </c>
      <c r="E12" s="34" t="n">
        <v>12</v>
      </c>
      <c r="F12" s="34" t="n">
        <v>12</v>
      </c>
      <c r="G12" s="32">
        <f>IF(OR(F12="",AND(D12="",E12="")),"n/a",IF(F12=E12,"mastered",IF(F12=D12,"normal","differs")))</f>
        <v/>
      </c>
      <c r="H12" s="35" t="n">
        <v>190</v>
      </c>
      <c r="I12" s="35" t="n"/>
      <c r="J12" s="33" t="n">
        <v>23</v>
      </c>
      <c r="K12" s="33" t="n"/>
      <c r="L12" s="36" t="n">
        <v>89.41176471</v>
      </c>
      <c r="M12" s="37" t="n">
        <v>108.2352941</v>
      </c>
      <c r="N12" s="32">
        <f>IF(L12="","",IF(L12&lt;0,"negative profit",IF(L12&gt;Notes!$B$4,"unusually high - verify","")))</f>
        <v/>
      </c>
      <c r="O12" s="32" t="inlineStr">
        <is>
          <t>both</t>
        </is>
      </c>
      <c r="P12" s="32">
        <f>IF(O12&lt;&gt;"both",O12&amp;" only",IF(Q12="","agree","conflict"))</f>
        <v/>
      </c>
      <c r="Q12" s="32">
        <f>IF(O12="both",TRIM(IF(I12&lt;&gt;"","price ","")&amp;IF(K12&lt;&gt;"","xp ","")&amp;IF(G12="differs","time","")),"")</f>
        <v/>
      </c>
      <c r="R12" s="32" t="inlineStr">
        <is>
          <t>hayday.info (primary values) + Fandom (times, cross-check)</t>
        </is>
      </c>
      <c r="S12" s="32" t="inlineStr">
        <is>
          <t>https://hayday.fandom.com/wiki/Bakery</t>
        </is>
      </c>
    </row>
    <row r="13" ht="15" customHeight="1" s="29">
      <c r="A13" s="32" t="inlineStr">
        <is>
          <t>Spicy Pizza</t>
        </is>
      </c>
      <c r="B13" s="32" t="inlineStr">
        <is>
          <t>Bakery</t>
        </is>
      </c>
      <c r="C13" s="33" t="n">
        <v>37</v>
      </c>
      <c r="D13" s="34" t="n">
        <v>15</v>
      </c>
      <c r="E13" s="34" t="n">
        <v>12</v>
      </c>
      <c r="F13" s="34" t="n">
        <v>12</v>
      </c>
      <c r="G13" s="32">
        <f>IF(OR(F13="",AND(D13="",E13="")),"n/a",IF(F13=E13,"mastered",IF(F13=D13,"normal","differs")))</f>
        <v/>
      </c>
      <c r="H13" s="35" t="n">
        <v>226</v>
      </c>
      <c r="I13" s="35" t="n"/>
      <c r="J13" s="33" t="n">
        <v>27</v>
      </c>
      <c r="K13" s="33" t="n"/>
      <c r="L13" s="36" t="n">
        <v>89.41176471</v>
      </c>
      <c r="M13" s="37" t="n">
        <v>127.0588235</v>
      </c>
      <c r="N13" s="32">
        <f>IF(L13="","",IF(L13&lt;0,"negative profit",IF(L13&gt;Notes!$B$4,"unusually high - verify","")))</f>
        <v/>
      </c>
      <c r="O13" s="32" t="inlineStr">
        <is>
          <t>both</t>
        </is>
      </c>
      <c r="P13" s="32">
        <f>IF(O13&lt;&gt;"both",O13&amp;" only",IF(Q13="","agree","conflict"))</f>
        <v/>
      </c>
      <c r="Q13" s="32">
        <f>IF(O13="both",TRIM(IF(I13&lt;&gt;"","price ","")&amp;IF(K13&lt;&gt;"","xp ","")&amp;IF(G13="differs","time","")),"")</f>
        <v/>
      </c>
      <c r="R13" s="32" t="inlineStr">
        <is>
          <t>hayday.info (primary values) + Fandom (times, cross-check)</t>
        </is>
      </c>
      <c r="S13" s="32" t="inlineStr">
        <is>
          <t>https://hayday.fandom.com/wiki/Bakery</t>
        </is>
      </c>
    </row>
    <row r="14" ht="15" customHeight="1" s="29">
      <c r="A14" s="32" t="inlineStr">
        <is>
          <t>Potato Bread</t>
        </is>
      </c>
      <c r="B14" s="32" t="inlineStr">
        <is>
          <t>Bakery</t>
        </is>
      </c>
      <c r="C14" s="33" t="n">
        <v>39</v>
      </c>
      <c r="D14" s="34" t="n">
        <v>45</v>
      </c>
      <c r="E14" s="34" t="n">
        <v>38</v>
      </c>
      <c r="F14" s="34" t="n">
        <v>38</v>
      </c>
      <c r="G14" s="32">
        <f>IF(OR(F14="",AND(D14="",E14="")),"n/a",IF(F14=E14,"mastered",IF(F14=D14,"normal","differs")))</f>
        <v/>
      </c>
      <c r="H14" s="35" t="n">
        <v>284</v>
      </c>
      <c r="I14" s="35" t="n"/>
      <c r="J14" s="33" t="n">
        <v>34</v>
      </c>
      <c r="K14" s="33" t="n"/>
      <c r="L14" s="36" t="n">
        <v>40.78431373</v>
      </c>
      <c r="M14" s="37" t="n">
        <v>53.33333333</v>
      </c>
      <c r="N14" s="32">
        <f>IF(L14="","",IF(L14&lt;0,"negative profit",IF(L14&gt;Notes!$B$4,"unusually high - verify","")))</f>
        <v/>
      </c>
      <c r="O14" s="32" t="inlineStr">
        <is>
          <t>both</t>
        </is>
      </c>
      <c r="P14" s="32">
        <f>IF(O14&lt;&gt;"both",O14&amp;" only",IF(Q14="","agree","conflict"))</f>
        <v/>
      </c>
      <c r="Q14" s="32">
        <f>IF(O14="both",TRIM(IF(I14&lt;&gt;"","price ","")&amp;IF(K14&lt;&gt;"","xp ","")&amp;IF(G14="differs","time","")),"")</f>
        <v/>
      </c>
      <c r="R14" s="32" t="inlineStr">
        <is>
          <t>hayday.info (primary values) + Fandom (times, cross-check)</t>
        </is>
      </c>
      <c r="S14" s="32" t="inlineStr">
        <is>
          <t>https://hayday.fandom.com/wiki/Bakery</t>
        </is>
      </c>
    </row>
    <row r="15" ht="15" customHeight="1" s="29">
      <c r="A15" s="32" t="inlineStr">
        <is>
          <t>Frutti di Mare Pizza</t>
        </is>
      </c>
      <c r="B15" s="32" t="inlineStr">
        <is>
          <t>Bakery</t>
        </is>
      </c>
      <c r="C15" s="33" t="n">
        <v>45</v>
      </c>
      <c r="D15" s="34" t="n"/>
      <c r="E15" s="34" t="n"/>
      <c r="F15" s="34" t="n">
        <v>12</v>
      </c>
      <c r="G15" s="32">
        <f>IF(OR(F15="",AND(D15="",E15="")),"n/a",IF(F15=E15,"mastered",IF(F15=D15,"normal","differs")))</f>
        <v/>
      </c>
      <c r="H15" s="35" t="n">
        <v>403</v>
      </c>
      <c r="I15" s="35" t="n"/>
      <c r="J15" s="33" t="n">
        <v>48</v>
      </c>
      <c r="K15" s="33" t="n"/>
      <c r="L15" s="36" t="n">
        <v>94.11764706</v>
      </c>
      <c r="M15" s="37" t="n">
        <v>225.8823529</v>
      </c>
      <c r="N15" s="32">
        <f>IF(L15="","",IF(L15&lt;0,"negative profit",IF(L15&gt;Notes!$B$4,"unusually high - verify","")))</f>
        <v/>
      </c>
      <c r="O15" s="32" t="inlineStr">
        <is>
          <t>hayday.info</t>
        </is>
      </c>
      <c r="P15" s="32">
        <f>IF(O15&lt;&gt;"both",O15&amp;" only",IF(Q15="","agree","conflict"))</f>
        <v/>
      </c>
      <c r="Q15" s="32">
        <f>IF(O15="both",TRIM(IF(I15&lt;&gt;"","price ","")&amp;IF(K15&lt;&gt;"","xp ","")&amp;IF(G15="differs","time","")),"")</f>
        <v/>
      </c>
      <c r="R15" s="32" t="inlineStr">
        <is>
          <t>hayday.info /api/production-data only</t>
        </is>
      </c>
      <c r="S15" s="32" t="n"/>
    </row>
    <row r="16" ht="15" customHeight="1" s="29">
      <c r="A16" s="32" t="inlineStr">
        <is>
          <t>Gingerbread Cookie</t>
        </is>
      </c>
      <c r="B16" s="32" t="inlineStr">
        <is>
          <t>Bakery</t>
        </is>
      </c>
      <c r="C16" s="33" t="n">
        <v>86</v>
      </c>
      <c r="D16" s="34" t="n"/>
      <c r="E16" s="34" t="n"/>
      <c r="F16" s="34" t="n">
        <v>25</v>
      </c>
      <c r="G16" s="32">
        <f>IF(OR(F16="",AND(D16="",E16="")),"n/a",IF(F16=E16,"mastered",IF(F16=D16,"normal","differs")))</f>
        <v/>
      </c>
      <c r="H16" s="35" t="n">
        <v>273</v>
      </c>
      <c r="I16" s="35" t="n"/>
      <c r="J16" s="33" t="n">
        <v>33</v>
      </c>
      <c r="K16" s="33" t="n"/>
      <c r="L16" s="36" t="n">
        <v>70.58823529</v>
      </c>
      <c r="M16" s="37" t="n">
        <v>77.64705882</v>
      </c>
      <c r="N16" s="32">
        <f>IF(L16="","",IF(L16&lt;0,"negative profit",IF(L16&gt;Notes!$B$4,"unusually high - verify","")))</f>
        <v/>
      </c>
      <c r="O16" s="32" t="inlineStr">
        <is>
          <t>hayday.info</t>
        </is>
      </c>
      <c r="P16" s="32">
        <f>IF(O16&lt;&gt;"both",O16&amp;" only",IF(Q16="","agree","conflict"))</f>
        <v/>
      </c>
      <c r="Q16" s="32">
        <f>IF(O16="both",TRIM(IF(I16&lt;&gt;"","price ","")&amp;IF(K16&lt;&gt;"","xp ","")&amp;IF(G16="differs","time","")),"")</f>
        <v/>
      </c>
      <c r="R16" s="32" t="inlineStr">
        <is>
          <t>hayday.info /api/production-data only</t>
        </is>
      </c>
      <c r="S16" s="32" t="n"/>
    </row>
    <row r="17" ht="15" customHeight="1" s="29">
      <c r="A17" s="32" t="inlineStr">
        <is>
          <t>Banana Bread</t>
        </is>
      </c>
      <c r="B17" s="32" t="inlineStr">
        <is>
          <t>Bakery</t>
        </is>
      </c>
      <c r="C17" s="33" t="n">
        <v>91</v>
      </c>
      <c r="D17" s="34" t="n"/>
      <c r="E17" s="34" t="n"/>
      <c r="F17" s="34" t="n">
        <v>25</v>
      </c>
      <c r="G17" s="32">
        <f>IF(OR(F17="",AND(D17="",E17="")),"n/a",IF(F17=E17,"mastered",IF(F17=D17,"normal","differs")))</f>
        <v/>
      </c>
      <c r="H17" s="35" t="n">
        <v>424</v>
      </c>
      <c r="I17" s="35" t="n"/>
      <c r="J17" s="33" t="n">
        <v>50</v>
      </c>
      <c r="K17" s="33" t="n"/>
      <c r="L17" s="36" t="n">
        <v>49.41176471</v>
      </c>
      <c r="M17" s="37" t="n">
        <v>117.6470588</v>
      </c>
      <c r="N17" s="32">
        <f>IF(L17="","",IF(L17&lt;0,"negative profit",IF(L17&gt;Notes!$B$4,"unusually high - verify","")))</f>
        <v/>
      </c>
      <c r="O17" s="32" t="inlineStr">
        <is>
          <t>hayday.info</t>
        </is>
      </c>
      <c r="P17" s="32">
        <f>IF(O17&lt;&gt;"both",O17&amp;" only",IF(Q17="","agree","conflict"))</f>
        <v/>
      </c>
      <c r="Q17" s="32">
        <f>IF(O17="both",TRIM(IF(I17&lt;&gt;"","price ","")&amp;IF(K17&lt;&gt;"","xp ","")&amp;IF(G17="differs","time","")),"")</f>
        <v/>
      </c>
      <c r="R17" s="32" t="inlineStr">
        <is>
          <t>hayday.info /api/production-data only</t>
        </is>
      </c>
      <c r="S17" s="32" t="n"/>
    </row>
    <row r="18" ht="15" customHeight="1" s="29">
      <c r="A18" s="32" t="inlineStr">
        <is>
          <t>Macaroon</t>
        </is>
      </c>
      <c r="B18" s="32" t="inlineStr">
        <is>
          <t>Bakery</t>
        </is>
      </c>
      <c r="C18" s="33" t="n">
        <v>101</v>
      </c>
      <c r="D18" s="34" t="n"/>
      <c r="E18" s="34" t="n"/>
      <c r="F18" s="34" t="n">
        <v>30</v>
      </c>
      <c r="G18" s="32">
        <f>IF(OR(F18="",AND(D18="",E18="")),"n/a",IF(F18=E18,"mastered",IF(F18=D18,"normal","differs")))</f>
        <v/>
      </c>
      <c r="H18" s="35" t="n">
        <v>421</v>
      </c>
      <c r="I18" s="35" t="n"/>
      <c r="J18" s="33" t="n">
        <v>50</v>
      </c>
      <c r="K18" s="33" t="n"/>
      <c r="L18" s="36" t="n">
        <v>38</v>
      </c>
      <c r="M18" s="37" t="n">
        <v>100</v>
      </c>
      <c r="N18" s="32">
        <f>IF(L18="","",IF(L18&lt;0,"negative profit",IF(L18&gt;Notes!$B$4,"unusually high - verify","")))</f>
        <v/>
      </c>
      <c r="O18" s="32" t="inlineStr">
        <is>
          <t>hayday.info</t>
        </is>
      </c>
      <c r="P18" s="32">
        <f>IF(O18&lt;&gt;"both",O18&amp;" only",IF(Q18="","agree","conflict"))</f>
        <v/>
      </c>
      <c r="Q18" s="32">
        <f>IF(O18="both",TRIM(IF(I18&lt;&gt;"","price ","")&amp;IF(K18&lt;&gt;"","xp ","")&amp;IF(G18="differs","time","")),"")</f>
        <v/>
      </c>
      <c r="R18" s="32" t="inlineStr">
        <is>
          <t>hayday.info /api/production-data only</t>
        </is>
      </c>
      <c r="S18" s="32" t="n"/>
    </row>
    <row r="19" ht="15" customHeight="1" s="29">
      <c r="A19" s="32" t="inlineStr">
        <is>
          <t>Honey Soap</t>
        </is>
      </c>
      <c r="B19" s="32" t="inlineStr">
        <is>
          <t>Bath Kiosk</t>
        </is>
      </c>
      <c r="C19" s="33" t="n">
        <v>84</v>
      </c>
      <c r="D19" s="34" t="n"/>
      <c r="E19" s="34" t="n"/>
      <c r="F19" s="34" t="n">
        <v>51</v>
      </c>
      <c r="G19" s="32">
        <f>IF(OR(F19="",AND(D19="",E19="")),"n/a",IF(F19=E19,"mastered",IF(F19=D19,"normal","differs")))</f>
        <v/>
      </c>
      <c r="H19" s="35" t="n">
        <v>327</v>
      </c>
      <c r="I19" s="35" t="n"/>
      <c r="J19" s="33" t="n">
        <v>39</v>
      </c>
      <c r="K19" s="33" t="n"/>
      <c r="L19" s="36" t="n">
        <v>27.05882353</v>
      </c>
      <c r="M19" s="37" t="n">
        <v>45.88235294</v>
      </c>
      <c r="N19" s="32">
        <f>IF(L19="","",IF(L19&lt;0,"negative profit",IF(L19&gt;Notes!$B$4,"unusually high - verify","")))</f>
        <v/>
      </c>
      <c r="O19" s="32" t="inlineStr">
        <is>
          <t>hayday.info</t>
        </is>
      </c>
      <c r="P19" s="32">
        <f>IF(O19&lt;&gt;"both",O19&amp;" only",IF(Q19="","agree","conflict"))</f>
        <v/>
      </c>
      <c r="Q19" s="32">
        <f>IF(O19="both",TRIM(IF(I19&lt;&gt;"","price ","")&amp;IF(K19&lt;&gt;"","xp ","")&amp;IF(G19="differs","time","")),"")</f>
        <v/>
      </c>
      <c r="R19" s="32" t="inlineStr">
        <is>
          <t>hayday.info /api/production-data only</t>
        </is>
      </c>
      <c r="S19" s="32" t="n"/>
    </row>
    <row r="20" ht="15" customHeight="1" s="29">
      <c r="A20" s="32" t="inlineStr">
        <is>
          <t>Lemon Lotion</t>
        </is>
      </c>
      <c r="B20" s="32" t="inlineStr">
        <is>
          <t>Bath Kiosk</t>
        </is>
      </c>
      <c r="C20" s="33" t="n">
        <v>84</v>
      </c>
      <c r="D20" s="34" t="n"/>
      <c r="E20" s="34" t="n"/>
      <c r="F20" s="34" t="n">
        <v>63</v>
      </c>
      <c r="G20" s="32">
        <f>IF(OR(F20="",AND(D20="",E20="")),"n/a",IF(F20=E20,"mastered",IF(F20=D20,"normal","differs")))</f>
        <v/>
      </c>
      <c r="H20" s="35" t="n">
        <v>403</v>
      </c>
      <c r="I20" s="35" t="n"/>
      <c r="J20" s="33" t="n">
        <v>48</v>
      </c>
      <c r="K20" s="33" t="n"/>
      <c r="L20" s="36" t="n">
        <v>31.05882353</v>
      </c>
      <c r="M20" s="37" t="n">
        <v>45.17647059</v>
      </c>
      <c r="N20" s="32">
        <f>IF(L20="","",IF(L20&lt;0,"negative profit",IF(L20&gt;Notes!$B$4,"unusually high - verify","")))</f>
        <v/>
      </c>
      <c r="O20" s="32" t="inlineStr">
        <is>
          <t>hayday.info</t>
        </is>
      </c>
      <c r="P20" s="32">
        <f>IF(O20&lt;&gt;"both",O20&amp;" only",IF(Q20="","agree","conflict"))</f>
        <v/>
      </c>
      <c r="Q20" s="32">
        <f>IF(O20="both",TRIM(IF(I20&lt;&gt;"","price ","")&amp;IF(K20&lt;&gt;"","xp ","")&amp;IF(G20="differs","time","")),"")</f>
        <v/>
      </c>
      <c r="R20" s="32" t="inlineStr">
        <is>
          <t>hayday.info /api/production-data only</t>
        </is>
      </c>
      <c r="S20" s="32" t="n"/>
    </row>
    <row r="21" ht="15" customHeight="1" s="29">
      <c r="A21" s="32" t="inlineStr">
        <is>
          <t>Exfoliating Soap</t>
        </is>
      </c>
      <c r="B21" s="32" t="inlineStr">
        <is>
          <t>Bath Kiosk</t>
        </is>
      </c>
      <c r="C21" s="33" t="n">
        <v>93</v>
      </c>
      <c r="D21" s="34" t="n"/>
      <c r="E21" s="34" t="n"/>
      <c r="F21" s="34" t="n">
        <v>51</v>
      </c>
      <c r="G21" s="32">
        <f>IF(OR(F21="",AND(D21="",E21="")),"n/a",IF(F21=E21,"mastered",IF(F21=D21,"normal","differs")))</f>
        <v/>
      </c>
      <c r="H21" s="35" t="n">
        <v>363</v>
      </c>
      <c r="I21" s="35" t="n"/>
      <c r="J21" s="33" t="n">
        <v>43</v>
      </c>
      <c r="K21" s="33" t="n"/>
      <c r="L21" s="36" t="n">
        <v>20</v>
      </c>
      <c r="M21" s="37" t="n">
        <v>50.58823529</v>
      </c>
      <c r="N21" s="32">
        <f>IF(L21="","",IF(L21&lt;0,"negative profit",IF(L21&gt;Notes!$B$4,"unusually high - verify","")))</f>
        <v/>
      </c>
      <c r="O21" s="32" t="inlineStr">
        <is>
          <t>hayday.info</t>
        </is>
      </c>
      <c r="P21" s="32">
        <f>IF(O21&lt;&gt;"both",O21&amp;" only",IF(Q21="","agree","conflict"))</f>
        <v/>
      </c>
      <c r="Q21" s="32">
        <f>IF(O21="both",TRIM(IF(I21&lt;&gt;"","price ","")&amp;IF(K21&lt;&gt;"","xp ","")&amp;IF(G21="differs","time","")),"")</f>
        <v/>
      </c>
      <c r="R21" s="32" t="inlineStr">
        <is>
          <t>hayday.info /api/production-data only</t>
        </is>
      </c>
      <c r="S21" s="32" t="n"/>
    </row>
    <row r="22" ht="15" customHeight="1" s="29">
      <c r="A22" s="32" t="inlineStr">
        <is>
          <t>Honey Face Mask</t>
        </is>
      </c>
      <c r="B22" s="32" t="inlineStr">
        <is>
          <t>Bath Kiosk</t>
        </is>
      </c>
      <c r="C22" s="33" t="n">
        <v>99</v>
      </c>
      <c r="D22" s="34" t="n"/>
      <c r="E22" s="34" t="n"/>
      <c r="F22" s="34" t="n">
        <v>76</v>
      </c>
      <c r="G22" s="32">
        <f>IF(OR(F22="",AND(D22="",E22="")),"n/a",IF(F22=E22,"mastered",IF(F22=D22,"normal","differs")))</f>
        <v/>
      </c>
      <c r="H22" s="35" t="n">
        <v>320</v>
      </c>
      <c r="I22" s="35" t="n"/>
      <c r="J22" s="33" t="n">
        <v>38</v>
      </c>
      <c r="K22" s="33" t="n"/>
      <c r="L22" s="36" t="n">
        <v>29.01960784</v>
      </c>
      <c r="M22" s="37" t="n">
        <v>29.80392157</v>
      </c>
      <c r="N22" s="32">
        <f>IF(L22="","",IF(L22&lt;0,"negative profit",IF(L22&gt;Notes!$B$4,"unusually high - verify","")))</f>
        <v/>
      </c>
      <c r="O22" s="32" t="inlineStr">
        <is>
          <t>hayday.info</t>
        </is>
      </c>
      <c r="P22" s="32">
        <f>IF(O22&lt;&gt;"both",O22&amp;" only",IF(Q22="","agree","conflict"))</f>
        <v/>
      </c>
      <c r="Q22" s="32">
        <f>IF(O22="both",TRIM(IF(I22&lt;&gt;"","price ","")&amp;IF(K22&lt;&gt;"","xp ","")&amp;IF(G22="differs","time","")),"")</f>
        <v/>
      </c>
      <c r="R22" s="32" t="inlineStr">
        <is>
          <t>hayday.info /api/production-data only</t>
        </is>
      </c>
      <c r="S22" s="32" t="n"/>
    </row>
    <row r="23" ht="15" customHeight="1" s="29">
      <c r="A23" s="32" t="inlineStr">
        <is>
          <t>Pancake</t>
        </is>
      </c>
      <c r="B23" s="32" t="inlineStr">
        <is>
          <t>BBQ Grill</t>
        </is>
      </c>
      <c r="C23" s="33" t="n">
        <v>9</v>
      </c>
      <c r="D23" s="34" t="n"/>
      <c r="E23" s="34" t="n"/>
      <c r="F23" s="34" t="n">
        <v>25</v>
      </c>
      <c r="G23" s="32">
        <f>IF(OR(F23="",AND(D23="",E23="")),"n/a",IF(F23=E23,"mastered",IF(F23=D23,"normal","differs")))</f>
        <v/>
      </c>
      <c r="H23" s="35" t="n">
        <v>108</v>
      </c>
      <c r="I23" s="35" t="n"/>
      <c r="J23" s="33" t="n">
        <v>13</v>
      </c>
      <c r="K23" s="33" t="n"/>
      <c r="L23" s="36" t="n">
        <v>51.76470588</v>
      </c>
      <c r="M23" s="37" t="n">
        <v>30.58823529</v>
      </c>
      <c r="N23" s="32">
        <f>IF(L23="","",IF(L23&lt;0,"negative profit",IF(L23&gt;Notes!$B$4,"unusually high - verify","")))</f>
        <v/>
      </c>
      <c r="O23" s="32" t="inlineStr">
        <is>
          <t>hayday.info</t>
        </is>
      </c>
      <c r="P23" s="32">
        <f>IF(O23&lt;&gt;"both",O23&amp;" only",IF(Q23="","agree","conflict"))</f>
        <v/>
      </c>
      <c r="Q23" s="32">
        <f>IF(O23="both",TRIM(IF(I23&lt;&gt;"","price ","")&amp;IF(K23&lt;&gt;"","xp ","")&amp;IF(G23="differs","time","")),"")</f>
        <v/>
      </c>
      <c r="R23" s="32" t="inlineStr">
        <is>
          <t>hayday.info /api/production-data only</t>
        </is>
      </c>
      <c r="S23" s="32" t="n"/>
    </row>
    <row r="24" ht="15" customHeight="1" s="29">
      <c r="A24" s="32" t="inlineStr">
        <is>
          <t>Bacon and Eggs</t>
        </is>
      </c>
      <c r="B24" s="32" t="inlineStr">
        <is>
          <t>BBQ Grill</t>
        </is>
      </c>
      <c r="C24" s="33" t="n">
        <v>11</v>
      </c>
      <c r="D24" s="34" t="n"/>
      <c r="E24" s="34" t="n"/>
      <c r="F24" s="34" t="n">
        <v>51</v>
      </c>
      <c r="G24" s="32">
        <f>IF(OR(F24="",AND(D24="",E24="")),"n/a",IF(F24=E24,"mastered",IF(F24=D24,"normal","differs")))</f>
        <v/>
      </c>
      <c r="H24" s="35" t="n">
        <v>201</v>
      </c>
      <c r="I24" s="35" t="n"/>
      <c r="J24" s="33" t="n">
        <v>24</v>
      </c>
      <c r="K24" s="33" t="n"/>
      <c r="L24" s="36" t="n">
        <v>34.11764706</v>
      </c>
      <c r="M24" s="37" t="n">
        <v>28.23529412</v>
      </c>
      <c r="N24" s="32">
        <f>IF(L24="","",IF(L24&lt;0,"negative profit",IF(L24&gt;Notes!$B$4,"unusually high - verify","")))</f>
        <v/>
      </c>
      <c r="O24" s="32" t="inlineStr">
        <is>
          <t>hayday.info</t>
        </is>
      </c>
      <c r="P24" s="32">
        <f>IF(O24&lt;&gt;"both",O24&amp;" only",IF(Q24="","agree","conflict"))</f>
        <v/>
      </c>
      <c r="Q24" s="32">
        <f>IF(O24="both",TRIM(IF(I24&lt;&gt;"","price ","")&amp;IF(K24&lt;&gt;"","xp ","")&amp;IF(G24="differs","time","")),"")</f>
        <v/>
      </c>
      <c r="R24" s="32" t="inlineStr">
        <is>
          <t>hayday.info /api/production-data only</t>
        </is>
      </c>
      <c r="S24" s="32" t="n"/>
    </row>
    <row r="25" ht="15" customHeight="1" s="29">
      <c r="A25" s="32" t="inlineStr">
        <is>
          <t>Hamburger</t>
        </is>
      </c>
      <c r="B25" s="32" t="inlineStr">
        <is>
          <t>BBQ Grill</t>
        </is>
      </c>
      <c r="C25" s="33" t="n">
        <v>18</v>
      </c>
      <c r="D25" s="34" t="n"/>
      <c r="E25" s="34" t="n"/>
      <c r="F25" s="34" t="n">
        <v>102</v>
      </c>
      <c r="G25" s="32">
        <f>IF(OR(F25="",AND(D25="",E25="")),"n/a",IF(F25=E25,"mastered",IF(F25=D25,"normal","differs")))</f>
        <v/>
      </c>
      <c r="H25" s="35" t="n">
        <v>180</v>
      </c>
      <c r="I25" s="35" t="n"/>
      <c r="J25" s="33" t="n">
        <v>22</v>
      </c>
      <c r="K25" s="33" t="n"/>
      <c r="L25" s="36" t="n">
        <v>22.35294118</v>
      </c>
      <c r="M25" s="37" t="n">
        <v>12.94117647</v>
      </c>
      <c r="N25" s="32">
        <f>IF(L25="","",IF(L25&lt;0,"negative profit",IF(L25&gt;Notes!$B$4,"unusually high - verify","")))</f>
        <v/>
      </c>
      <c r="O25" s="32" t="inlineStr">
        <is>
          <t>hayday.info</t>
        </is>
      </c>
      <c r="P25" s="32">
        <f>IF(O25&lt;&gt;"both",O25&amp;" only",IF(Q25="","agree","conflict"))</f>
        <v/>
      </c>
      <c r="Q25" s="32">
        <f>IF(O25="both",TRIM(IF(I25&lt;&gt;"","price ","")&amp;IF(K25&lt;&gt;"","xp ","")&amp;IF(G25="differs","time","")),"")</f>
        <v/>
      </c>
      <c r="R25" s="32" t="inlineStr">
        <is>
          <t>hayday.info /api/production-data only</t>
        </is>
      </c>
      <c r="S25" s="32" t="n"/>
    </row>
    <row r="26" ht="15" customHeight="1" s="29">
      <c r="A26" s="32" t="inlineStr">
        <is>
          <t>Fish Burger</t>
        </is>
      </c>
      <c r="B26" s="32" t="inlineStr">
        <is>
          <t>BBQ Grill</t>
        </is>
      </c>
      <c r="C26" s="33" t="n">
        <v>27</v>
      </c>
      <c r="D26" s="34" t="n"/>
      <c r="E26" s="34" t="n"/>
      <c r="F26" s="34" t="n">
        <v>102</v>
      </c>
      <c r="G26" s="32">
        <f>IF(OR(F26="",AND(D26="",E26="")),"n/a",IF(F26=E26,"mastered",IF(F26=D26,"normal","differs")))</f>
        <v/>
      </c>
      <c r="H26" s="35" t="n">
        <v>226</v>
      </c>
      <c r="I26" s="35" t="n"/>
      <c r="J26" s="33" t="n">
        <v>27</v>
      </c>
      <c r="K26" s="33" t="n"/>
      <c r="L26" s="36" t="n">
        <v>23.52941176</v>
      </c>
      <c r="M26" s="37" t="n">
        <v>15.88235294</v>
      </c>
      <c r="N26" s="32">
        <f>IF(L26="","",IF(L26&lt;0,"negative profit",IF(L26&gt;Notes!$B$4,"unusually high - verify","")))</f>
        <v/>
      </c>
      <c r="O26" s="32" t="inlineStr">
        <is>
          <t>hayday.info</t>
        </is>
      </c>
      <c r="P26" s="32">
        <f>IF(O26&lt;&gt;"both",O26&amp;" only",IF(Q26="","agree","conflict"))</f>
        <v/>
      </c>
      <c r="Q26" s="32">
        <f>IF(O26="both",TRIM(IF(I26&lt;&gt;"","price ","")&amp;IF(K26&lt;&gt;"","xp ","")&amp;IF(G26="differs","time","")),"")</f>
        <v/>
      </c>
      <c r="R26" s="32" t="inlineStr">
        <is>
          <t>hayday.info /api/production-data only</t>
        </is>
      </c>
      <c r="S26" s="32" t="n"/>
    </row>
    <row r="27" ht="15" customHeight="1" s="29">
      <c r="A27" s="32" t="inlineStr">
        <is>
          <t>Roasted Tomatoes</t>
        </is>
      </c>
      <c r="B27" s="32" t="inlineStr">
        <is>
          <t>BBQ Grill</t>
        </is>
      </c>
      <c r="C27" s="33" t="n">
        <v>30</v>
      </c>
      <c r="D27" s="34" t="n"/>
      <c r="E27" s="34" t="n"/>
      <c r="F27" s="34" t="n">
        <v>76</v>
      </c>
      <c r="G27" s="32">
        <f>IF(OR(F27="",AND(D27="",E27="")),"n/a",IF(F27=E27,"mastered",IF(F27=D27,"normal","differs")))</f>
        <v/>
      </c>
      <c r="H27" s="35" t="n">
        <v>118</v>
      </c>
      <c r="I27" s="35" t="n"/>
      <c r="J27" s="33" t="n">
        <v>14</v>
      </c>
      <c r="K27" s="33" t="n"/>
      <c r="L27" s="36" t="n">
        <v>25.09803922</v>
      </c>
      <c r="M27" s="37" t="n">
        <v>10.98039216</v>
      </c>
      <c r="N27" s="32">
        <f>IF(L27="","",IF(L27&lt;0,"negative profit",IF(L27&gt;Notes!$B$4,"unusually high - verify","")))</f>
        <v/>
      </c>
      <c r="O27" s="32" t="inlineStr">
        <is>
          <t>hayday.info</t>
        </is>
      </c>
      <c r="P27" s="32">
        <f>IF(O27&lt;&gt;"both",O27&amp;" only",IF(Q27="","agree","conflict"))</f>
        <v/>
      </c>
      <c r="Q27" s="32">
        <f>IF(O27="both",TRIM(IF(I27&lt;&gt;"","price ","")&amp;IF(K27&lt;&gt;"","xp ","")&amp;IF(G27="differs","time","")),"")</f>
        <v/>
      </c>
      <c r="R27" s="32" t="inlineStr">
        <is>
          <t>hayday.info /api/production-data only</t>
        </is>
      </c>
      <c r="S27" s="32" t="n"/>
    </row>
    <row r="28" ht="15" customHeight="1" s="29">
      <c r="A28" s="32" t="inlineStr">
        <is>
          <t>Baked Potato</t>
        </is>
      </c>
      <c r="B28" s="32" t="inlineStr">
        <is>
          <t>BBQ Grill</t>
        </is>
      </c>
      <c r="C28" s="33" t="n">
        <v>35</v>
      </c>
      <c r="D28" s="34" t="n"/>
      <c r="E28" s="34" t="n"/>
      <c r="F28" s="34" t="n">
        <v>29</v>
      </c>
      <c r="G28" s="32">
        <f>IF(OR(F28="",AND(D28="",E28="")),"n/a",IF(F28=E28,"mastered",IF(F28=D28,"normal","differs")))</f>
        <v/>
      </c>
      <c r="H28" s="35" t="n">
        <v>298</v>
      </c>
      <c r="I28" s="35" t="n"/>
      <c r="J28" s="33" t="n">
        <v>36</v>
      </c>
      <c r="K28" s="33" t="n"/>
      <c r="L28" s="36" t="n">
        <v>36.30252101</v>
      </c>
      <c r="M28" s="37" t="n">
        <v>72.60504202</v>
      </c>
      <c r="N28" s="32">
        <f>IF(L28="","",IF(L28&lt;0,"negative profit",IF(L28&gt;Notes!$B$4,"unusually high - verify","")))</f>
        <v/>
      </c>
      <c r="O28" s="32" t="inlineStr">
        <is>
          <t>hayday.info</t>
        </is>
      </c>
      <c r="P28" s="32">
        <f>IF(O28&lt;&gt;"both",O28&amp;" only",IF(Q28="","agree","conflict"))</f>
        <v/>
      </c>
      <c r="Q28" s="32">
        <f>IF(O28="both",TRIM(IF(I28&lt;&gt;"","price ","")&amp;IF(K28&lt;&gt;"","xp ","")&amp;IF(G28="differs","time","")),"")</f>
        <v/>
      </c>
      <c r="R28" s="32" t="inlineStr">
        <is>
          <t>hayday.info /api/production-data only</t>
        </is>
      </c>
      <c r="S28" s="32" t="n"/>
    </row>
    <row r="29" ht="15" customHeight="1" s="29">
      <c r="A29" s="32" t="inlineStr">
        <is>
          <t>Fish and Chips</t>
        </is>
      </c>
      <c r="B29" s="32" t="inlineStr">
        <is>
          <t>BBQ Grill</t>
        </is>
      </c>
      <c r="C29" s="33" t="n">
        <v>41</v>
      </c>
      <c r="D29" s="34" t="n"/>
      <c r="E29" s="34" t="n"/>
      <c r="F29" s="34" t="n">
        <v>76</v>
      </c>
      <c r="G29" s="32">
        <f>IF(OR(F29="",AND(D29="",E29="")),"n/a",IF(F29=E29,"mastered",IF(F29=D29,"normal","differs")))</f>
        <v/>
      </c>
      <c r="H29" s="35" t="n">
        <v>244</v>
      </c>
      <c r="I29" s="35" t="n"/>
      <c r="J29" s="33" t="n">
        <v>29</v>
      </c>
      <c r="K29" s="33" t="n"/>
      <c r="L29" s="36" t="n">
        <v>21.96078431</v>
      </c>
      <c r="M29" s="37" t="n">
        <v>22.74509804</v>
      </c>
      <c r="N29" s="32">
        <f>IF(L29="","",IF(L29&lt;0,"negative profit",IF(L29&gt;Notes!$B$4,"unusually high - verify","")))</f>
        <v/>
      </c>
      <c r="O29" s="32" t="inlineStr">
        <is>
          <t>hayday.info</t>
        </is>
      </c>
      <c r="P29" s="32">
        <f>IF(O29&lt;&gt;"both",O29&amp;" only",IF(Q29="","agree","conflict"))</f>
        <v/>
      </c>
      <c r="Q29" s="32">
        <f>IF(O29="both",TRIM(IF(I29&lt;&gt;"","price ","")&amp;IF(K29&lt;&gt;"","xp ","")&amp;IF(G29="differs","time","")),"")</f>
        <v/>
      </c>
      <c r="R29" s="32" t="inlineStr">
        <is>
          <t>hayday.info /api/production-data only</t>
        </is>
      </c>
      <c r="S29" s="32" t="n"/>
    </row>
    <row r="30" ht="15" customHeight="1" s="29">
      <c r="A30" s="32" t="inlineStr">
        <is>
          <t>Lobster Skewer</t>
        </is>
      </c>
      <c r="B30" s="32" t="inlineStr">
        <is>
          <t>BBQ Grill</t>
        </is>
      </c>
      <c r="C30" s="33" t="n">
        <v>48</v>
      </c>
      <c r="D30" s="34" t="n"/>
      <c r="E30" s="34" t="n"/>
      <c r="F30" s="34" t="n">
        <v>34</v>
      </c>
      <c r="G30" s="32">
        <f>IF(OR(F30="",AND(D30="",E30="")),"n/a",IF(F30=E30,"mastered",IF(F30=D30,"normal","differs")))</f>
        <v/>
      </c>
      <c r="H30" s="35" t="n">
        <v>417</v>
      </c>
      <c r="I30" s="35" t="n"/>
      <c r="J30" s="33" t="n">
        <v>50</v>
      </c>
      <c r="K30" s="33" t="n"/>
      <c r="L30" s="36" t="n">
        <v>45.88235294</v>
      </c>
      <c r="M30" s="37" t="n">
        <v>88.23529412000001</v>
      </c>
      <c r="N30" s="32">
        <f>IF(L30="","",IF(L30&lt;0,"negative profit",IF(L30&gt;Notes!$B$4,"unusually high - verify","")))</f>
        <v/>
      </c>
      <c r="O30" s="32" t="inlineStr">
        <is>
          <t>hayday.info</t>
        </is>
      </c>
      <c r="P30" s="32">
        <f>IF(O30&lt;&gt;"both",O30&amp;" only",IF(Q30="","agree","conflict"))</f>
        <v/>
      </c>
      <c r="Q30" s="32">
        <f>IF(O30="both",TRIM(IF(I30&lt;&gt;"","price ","")&amp;IF(K30&lt;&gt;"","xp ","")&amp;IF(G30="differs","time","")),"")</f>
        <v/>
      </c>
      <c r="R30" s="32" t="inlineStr">
        <is>
          <t>hayday.info /api/production-data only</t>
        </is>
      </c>
      <c r="S30" s="32" t="n"/>
    </row>
    <row r="31" ht="15" customHeight="1" s="29">
      <c r="A31" s="32" t="inlineStr">
        <is>
          <t>Garlic Bread</t>
        </is>
      </c>
      <c r="B31" s="32" t="inlineStr">
        <is>
          <t>BBQ Grill</t>
        </is>
      </c>
      <c r="C31" s="33" t="n">
        <v>60</v>
      </c>
      <c r="D31" s="34" t="n"/>
      <c r="E31" s="34" t="n"/>
      <c r="F31" s="34" t="n">
        <v>12</v>
      </c>
      <c r="G31" s="32">
        <f>IF(OR(F31="",AND(D31="",E31="")),"n/a",IF(F31=E31,"mastered",IF(F31=D31,"normal","differs")))</f>
        <v/>
      </c>
      <c r="H31" s="35" t="n">
        <v>198</v>
      </c>
      <c r="I31" s="35" t="n"/>
      <c r="J31" s="33" t="n">
        <v>24</v>
      </c>
      <c r="K31" s="33" t="n"/>
      <c r="L31" s="36" t="n">
        <v>84.70588235</v>
      </c>
      <c r="M31" s="37" t="n">
        <v>112.9411765</v>
      </c>
      <c r="N31" s="32">
        <f>IF(L31="","",IF(L31&lt;0,"negative profit",IF(L31&gt;Notes!$B$4,"unusually high - verify","")))</f>
        <v/>
      </c>
      <c r="O31" s="32" t="inlineStr">
        <is>
          <t>hayday.info</t>
        </is>
      </c>
      <c r="P31" s="32">
        <f>IF(O31&lt;&gt;"both",O31&amp;" only",IF(Q31="","agree","conflict"))</f>
        <v/>
      </c>
      <c r="Q31" s="32">
        <f>IF(O31="both",TRIM(IF(I31&lt;&gt;"","price ","")&amp;IF(K31&lt;&gt;"","xp ","")&amp;IF(G31="differs","time","")),"")</f>
        <v/>
      </c>
      <c r="R31" s="32" t="inlineStr">
        <is>
          <t>hayday.info /api/production-data only</t>
        </is>
      </c>
      <c r="S31" s="32" t="n"/>
    </row>
    <row r="32" ht="15" customHeight="1" s="29">
      <c r="A32" s="32" t="inlineStr">
        <is>
          <t>Grilled Onion</t>
        </is>
      </c>
      <c r="B32" s="32" t="inlineStr">
        <is>
          <t>BBQ Grill</t>
        </is>
      </c>
      <c r="C32" s="33" t="n">
        <v>68</v>
      </c>
      <c r="D32" s="34" t="n"/>
      <c r="E32" s="34" t="n"/>
      <c r="F32" s="34" t="n">
        <v>51</v>
      </c>
      <c r="G32" s="32">
        <f>IF(OR(F32="",AND(D32="",E32="")),"n/a",IF(F32=E32,"mastered",IF(F32=D32,"normal","differs")))</f>
        <v/>
      </c>
      <c r="H32" s="35" t="n">
        <v>190</v>
      </c>
      <c r="I32" s="35" t="n"/>
      <c r="J32" s="33" t="n">
        <v>23</v>
      </c>
      <c r="K32" s="33" t="n"/>
      <c r="L32" s="36" t="n">
        <v>35.29411765</v>
      </c>
      <c r="M32" s="37" t="n">
        <v>27.05882353</v>
      </c>
      <c r="N32" s="32">
        <f>IF(L32="","",IF(L32&lt;0,"negative profit",IF(L32&gt;Notes!$B$4,"unusually high - verify","")))</f>
        <v/>
      </c>
      <c r="O32" s="32" t="inlineStr">
        <is>
          <t>hayday.info</t>
        </is>
      </c>
      <c r="P32" s="32">
        <f>IF(O32&lt;&gt;"both",O32&amp;" only",IF(Q32="","agree","conflict"))</f>
        <v/>
      </c>
      <c r="Q32" s="32">
        <f>IF(O32="both",TRIM(IF(I32&lt;&gt;"","price ","")&amp;IF(K32&lt;&gt;"","xp ","")&amp;IF(G32="differs","time","")),"")</f>
        <v/>
      </c>
      <c r="R32" s="32" t="inlineStr">
        <is>
          <t>hayday.info /api/production-data only</t>
        </is>
      </c>
      <c r="S32" s="32" t="n"/>
    </row>
    <row r="33" ht="15" customHeight="1" s="29">
      <c r="A33" s="32" t="inlineStr">
        <is>
          <t>Winter Veggies</t>
        </is>
      </c>
      <c r="B33" s="32" t="inlineStr">
        <is>
          <t>BBQ Grill</t>
        </is>
      </c>
      <c r="C33" s="33" t="n">
        <v>72</v>
      </c>
      <c r="D33" s="34" t="n"/>
      <c r="E33" s="34" t="n"/>
      <c r="F33" s="34" t="n">
        <v>21</v>
      </c>
      <c r="G33" s="32">
        <f>IF(OR(F33="",AND(D33="",E33="")),"n/a",IF(F33=E33,"mastered",IF(F33=D33,"normal","differs")))</f>
        <v/>
      </c>
      <c r="H33" s="35" t="n">
        <v>198</v>
      </c>
      <c r="I33" s="35" t="n"/>
      <c r="J33" s="33" t="n">
        <v>24</v>
      </c>
      <c r="K33" s="33" t="n"/>
      <c r="L33" s="36" t="n">
        <v>36.70588235</v>
      </c>
      <c r="M33" s="37" t="n">
        <v>67.76470587999999</v>
      </c>
      <c r="N33" s="32">
        <f>IF(L33="","",IF(L33&lt;0,"negative profit",IF(L33&gt;Notes!$B$4,"unusually high - verify","")))</f>
        <v/>
      </c>
      <c r="O33" s="32" t="inlineStr">
        <is>
          <t>hayday.info</t>
        </is>
      </c>
      <c r="P33" s="32">
        <f>IF(O33&lt;&gt;"both",O33&amp;" only",IF(Q33="","agree","conflict"))</f>
        <v/>
      </c>
      <c r="Q33" s="32">
        <f>IF(O33="both",TRIM(IF(I33&lt;&gt;"","price ","")&amp;IF(K33&lt;&gt;"","xp ","")&amp;IF(G33="differs","time","")),"")</f>
        <v/>
      </c>
      <c r="R33" s="32" t="inlineStr">
        <is>
          <t>hayday.info /api/production-data only</t>
        </is>
      </c>
      <c r="S33" s="32" t="n"/>
    </row>
    <row r="34" ht="15" customHeight="1" s="29">
      <c r="A34" s="32" t="inlineStr">
        <is>
          <t>Stuffed Peppers</t>
        </is>
      </c>
      <c r="B34" s="32" t="inlineStr">
        <is>
          <t>BBQ Grill</t>
        </is>
      </c>
      <c r="C34" s="33" t="n">
        <v>80</v>
      </c>
      <c r="D34" s="34" t="n"/>
      <c r="E34" s="34" t="n"/>
      <c r="F34" s="34" t="n">
        <v>17</v>
      </c>
      <c r="G34" s="32">
        <f>IF(OR(F34="",AND(D34="",E34="")),"n/a",IF(F34=E34,"mastered",IF(F34=D34,"normal","differs")))</f>
        <v/>
      </c>
      <c r="H34" s="35" t="n">
        <v>352</v>
      </c>
      <c r="I34" s="35" t="n"/>
      <c r="J34" s="33" t="n">
        <v>42</v>
      </c>
      <c r="K34" s="33" t="n"/>
      <c r="L34" s="36" t="n">
        <v>63.52941176</v>
      </c>
      <c r="M34" s="37" t="n">
        <v>148.2352941</v>
      </c>
      <c r="N34" s="32">
        <f>IF(L34="","",IF(L34&lt;0,"negative profit",IF(L34&gt;Notes!$B$4,"unusually high - verify","")))</f>
        <v/>
      </c>
      <c r="O34" s="32" t="inlineStr">
        <is>
          <t>hayday.info</t>
        </is>
      </c>
      <c r="P34" s="32">
        <f>IF(O34&lt;&gt;"both",O34&amp;" only",IF(Q34="","agree","conflict"))</f>
        <v/>
      </c>
      <c r="Q34" s="32">
        <f>IF(O34="both",TRIM(IF(I34&lt;&gt;"","price ","")&amp;IF(K34&lt;&gt;"","xp ","")&amp;IF(G34="differs","time","")),"")</f>
        <v/>
      </c>
      <c r="R34" s="32" t="inlineStr">
        <is>
          <t>hayday.info /api/production-data only</t>
        </is>
      </c>
      <c r="S34" s="32" t="n"/>
    </row>
    <row r="35" ht="15" customHeight="1" s="29">
      <c r="A35" s="32" t="inlineStr">
        <is>
          <t>Grilled Eggplant</t>
        </is>
      </c>
      <c r="B35" s="32" t="inlineStr">
        <is>
          <t>BBQ Grill</t>
        </is>
      </c>
      <c r="C35" s="33" t="n">
        <v>90</v>
      </c>
      <c r="D35" s="34" t="n"/>
      <c r="E35" s="34" t="n"/>
      <c r="F35" s="34" t="n">
        <v>34</v>
      </c>
      <c r="G35" s="32">
        <f>IF(OR(F35="",AND(D35="",E35="")),"n/a",IF(F35=E35,"mastered",IF(F35=D35,"normal","differs")))</f>
        <v/>
      </c>
      <c r="H35" s="35" t="n">
        <v>324</v>
      </c>
      <c r="I35" s="35" t="n"/>
      <c r="J35" s="33" t="n">
        <v>39</v>
      </c>
      <c r="K35" s="33" t="n"/>
      <c r="L35" s="36" t="n">
        <v>52.94117647</v>
      </c>
      <c r="M35" s="37" t="n">
        <v>68.82352941000001</v>
      </c>
      <c r="N35" s="32">
        <f>IF(L35="","",IF(L35&lt;0,"negative profit",IF(L35&gt;Notes!$B$4,"unusually high - verify","")))</f>
        <v/>
      </c>
      <c r="O35" s="32" t="inlineStr">
        <is>
          <t>hayday.info</t>
        </is>
      </c>
      <c r="P35" s="32">
        <f>IF(O35&lt;&gt;"both",O35&amp;" only",IF(Q35="","agree","conflict"))</f>
        <v/>
      </c>
      <c r="Q35" s="32">
        <f>IF(O35="both",TRIM(IF(I35&lt;&gt;"","price ","")&amp;IF(K35&lt;&gt;"","xp ","")&amp;IF(G35="differs","time","")),"")</f>
        <v/>
      </c>
      <c r="R35" s="32" t="inlineStr">
        <is>
          <t>hayday.info /api/production-data only</t>
        </is>
      </c>
      <c r="S35" s="32" t="n"/>
    </row>
    <row r="36" ht="15" customHeight="1" s="29">
      <c r="A36" s="32" t="inlineStr">
        <is>
          <t>Banana Pancakes</t>
        </is>
      </c>
      <c r="B36" s="32" t="inlineStr">
        <is>
          <t>BBQ Grill</t>
        </is>
      </c>
      <c r="C36" s="33" t="n">
        <v>94</v>
      </c>
      <c r="D36" s="34" t="n"/>
      <c r="E36" s="34" t="n"/>
      <c r="F36" s="34" t="n">
        <v>51</v>
      </c>
      <c r="G36" s="32">
        <f>IF(OR(F36="",AND(D36="",E36="")),"n/a",IF(F36=E36,"mastered",IF(F36=D36,"normal","differs")))</f>
        <v/>
      </c>
      <c r="H36" s="35" t="n">
        <v>352</v>
      </c>
      <c r="I36" s="35" t="n"/>
      <c r="J36" s="33" t="n">
        <v>42</v>
      </c>
      <c r="K36" s="33" t="n"/>
      <c r="L36" s="36" t="n">
        <v>29.41176471</v>
      </c>
      <c r="M36" s="37" t="n">
        <v>49.41176471</v>
      </c>
      <c r="N36" s="32">
        <f>IF(L36="","",IF(L36&lt;0,"negative profit",IF(L36&gt;Notes!$B$4,"unusually high - verify","")))</f>
        <v/>
      </c>
      <c r="O36" s="32" t="inlineStr">
        <is>
          <t>hayday.info</t>
        </is>
      </c>
      <c r="P36" s="32">
        <f>IF(O36&lt;&gt;"both",O36&amp;" only",IF(Q36="","agree","conflict"))</f>
        <v/>
      </c>
      <c r="Q36" s="32">
        <f>IF(O36="both",TRIM(IF(I36&lt;&gt;"","price ","")&amp;IF(K36&lt;&gt;"","xp ","")&amp;IF(G36="differs","time","")),"")</f>
        <v/>
      </c>
      <c r="R36" s="32" t="inlineStr">
        <is>
          <t>hayday.info /api/production-data only</t>
        </is>
      </c>
      <c r="S36" s="32" t="n"/>
    </row>
    <row r="37" ht="15" customHeight="1" s="29">
      <c r="A37" s="32" t="inlineStr">
        <is>
          <t>Fish Skewer</t>
        </is>
      </c>
      <c r="B37" s="32" t="inlineStr">
        <is>
          <t>BBQ Grill</t>
        </is>
      </c>
      <c r="C37" s="33" t="n">
        <v>96</v>
      </c>
      <c r="D37" s="34" t="n"/>
      <c r="E37" s="34" t="n"/>
      <c r="F37" s="34" t="n">
        <v>25</v>
      </c>
      <c r="G37" s="32">
        <f>IF(OR(F37="",AND(D37="",E37="")),"n/a",IF(F37=E37,"mastered",IF(F37=D37,"normal","differs")))</f>
        <v/>
      </c>
      <c r="H37" s="35" t="n">
        <v>176</v>
      </c>
      <c r="I37" s="35" t="n"/>
      <c r="J37" s="33" t="n">
        <v>21</v>
      </c>
      <c r="K37" s="33" t="n"/>
      <c r="L37" s="36" t="n">
        <v>65.88235294</v>
      </c>
      <c r="M37" s="37" t="n">
        <v>49.41176471</v>
      </c>
      <c r="N37" s="32">
        <f>IF(L37="","",IF(L37&lt;0,"negative profit",IF(L37&gt;Notes!$B$4,"unusually high - verify","")))</f>
        <v/>
      </c>
      <c r="O37" s="32" t="inlineStr">
        <is>
          <t>hayday.info</t>
        </is>
      </c>
      <c r="P37" s="32">
        <f>IF(O37&lt;&gt;"both",O37&amp;" only",IF(Q37="","agree","conflict"))</f>
        <v/>
      </c>
      <c r="Q37" s="32">
        <f>IF(O37="both",TRIM(IF(I37&lt;&gt;"","price ","")&amp;IF(K37&lt;&gt;"","xp ","")&amp;IF(G37="differs","time","")),"")</f>
        <v/>
      </c>
      <c r="R37" s="32" t="inlineStr">
        <is>
          <t>hayday.info /api/production-data only</t>
        </is>
      </c>
      <c r="S37" s="32" t="n"/>
    </row>
    <row r="38" ht="15" customHeight="1" s="29">
      <c r="A38" s="32" t="inlineStr">
        <is>
          <t>Carrot Cake</t>
        </is>
      </c>
      <c r="B38" s="32" t="inlineStr">
        <is>
          <t>Cake Oven</t>
        </is>
      </c>
      <c r="C38" s="33" t="n">
        <v>21</v>
      </c>
      <c r="D38" s="34" t="n">
        <v>90</v>
      </c>
      <c r="E38" s="34" t="n">
        <v>76</v>
      </c>
      <c r="F38" s="34" t="n">
        <v>76</v>
      </c>
      <c r="G38" s="32">
        <f>IF(OR(F38="",AND(D38="",E38="")),"n/a",IF(F38=E38,"mastered",IF(F38=D38,"normal","differs")))</f>
        <v/>
      </c>
      <c r="H38" s="35" t="n">
        <v>165</v>
      </c>
      <c r="I38" s="35" t="n"/>
      <c r="J38" s="33" t="n">
        <v>20</v>
      </c>
      <c r="K38" s="33" t="n"/>
      <c r="L38" s="36" t="n">
        <v>29.01960784</v>
      </c>
      <c r="M38" s="37" t="n">
        <v>15.68627451</v>
      </c>
      <c r="N38" s="32">
        <f>IF(L38="","",IF(L38&lt;0,"negative profit",IF(L38&gt;Notes!$B$4,"unusually high - verify","")))</f>
        <v/>
      </c>
      <c r="O38" s="32" t="inlineStr">
        <is>
          <t>both</t>
        </is>
      </c>
      <c r="P38" s="32">
        <f>IF(O38&lt;&gt;"both",O38&amp;" only",IF(Q38="","agree","conflict"))</f>
        <v/>
      </c>
      <c r="Q38" s="32">
        <f>IF(O38="both",TRIM(IF(I38&lt;&gt;"","price ","")&amp;IF(K38&lt;&gt;"","xp ","")&amp;IF(G38="differs","time","")),"")</f>
        <v/>
      </c>
      <c r="R38" s="32" t="inlineStr">
        <is>
          <t>hayday.info (primary values) + Fandom (times, cross-check)</t>
        </is>
      </c>
      <c r="S38" s="32" t="inlineStr">
        <is>
          <t>https://hayday.fandom.com/wiki/Cake_Oven</t>
        </is>
      </c>
    </row>
    <row r="39" ht="15" customHeight="1" s="29">
      <c r="A39" s="32" t="inlineStr">
        <is>
          <t>Cream Cake</t>
        </is>
      </c>
      <c r="B39" s="32" t="inlineStr">
        <is>
          <t>Cake Oven</t>
        </is>
      </c>
      <c r="C39" s="33" t="n">
        <v>23</v>
      </c>
      <c r="D39" s="34" t="n">
        <v>180</v>
      </c>
      <c r="E39" s="34" t="n">
        <v>153</v>
      </c>
      <c r="F39" s="34" t="n">
        <v>153</v>
      </c>
      <c r="G39" s="32">
        <f>IF(OR(F39="",AND(D39="",E39="")),"n/a",IF(F39=E39,"mastered",IF(F39=D39,"normal","differs")))</f>
        <v/>
      </c>
      <c r="H39" s="35" t="n">
        <v>219</v>
      </c>
      <c r="I39" s="35" t="n"/>
      <c r="J39" s="33" t="n">
        <v>26</v>
      </c>
      <c r="K39" s="33" t="n"/>
      <c r="L39" s="36" t="n">
        <v>40.78431373</v>
      </c>
      <c r="M39" s="37" t="n">
        <v>10.19607843</v>
      </c>
      <c r="N39" s="32">
        <f>IF(L39="","",IF(L39&lt;0,"negative profit",IF(L39&gt;Notes!$B$4,"unusually high - verify","")))</f>
        <v/>
      </c>
      <c r="O39" s="32" t="inlineStr">
        <is>
          <t>both</t>
        </is>
      </c>
      <c r="P39" s="32">
        <f>IF(O39&lt;&gt;"both",O39&amp;" only",IF(Q39="","agree","conflict"))</f>
        <v/>
      </c>
      <c r="Q39" s="32">
        <f>IF(O39="both",TRIM(IF(I39&lt;&gt;"","price ","")&amp;IF(K39&lt;&gt;"","xp ","")&amp;IF(G39="differs","time","")),"")</f>
        <v/>
      </c>
      <c r="R39" s="32" t="inlineStr">
        <is>
          <t>hayday.info (primary values) + Fandom (times, cross-check)</t>
        </is>
      </c>
      <c r="S39" s="32" t="inlineStr">
        <is>
          <t>https://hayday.fandom.com/wiki/Cake_Oven</t>
        </is>
      </c>
    </row>
    <row r="40" ht="15" customHeight="1" s="29">
      <c r="A40" s="32" t="inlineStr">
        <is>
          <t>Red Berry Cake</t>
        </is>
      </c>
      <c r="B40" s="32" t="inlineStr">
        <is>
          <t>Cake Oven</t>
        </is>
      </c>
      <c r="C40" s="33" t="n">
        <v>23</v>
      </c>
      <c r="D40" s="34" t="n">
        <v>60</v>
      </c>
      <c r="E40" s="34" t="n">
        <v>51</v>
      </c>
      <c r="F40" s="34" t="n">
        <v>51</v>
      </c>
      <c r="G40" s="32">
        <f>IF(OR(F40="",AND(D40="",E40="")),"n/a",IF(F40=E40,"mastered",IF(F40=D40,"normal","differs")))</f>
        <v/>
      </c>
      <c r="H40" s="35" t="n">
        <v>255</v>
      </c>
      <c r="I40" s="35" t="n"/>
      <c r="J40" s="33" t="n">
        <v>31</v>
      </c>
      <c r="K40" s="33" t="n"/>
      <c r="L40" s="36" t="n">
        <v>27.05882353</v>
      </c>
      <c r="M40" s="37" t="n">
        <v>36.47058824</v>
      </c>
      <c r="N40" s="32">
        <f>IF(L40="","",IF(L40&lt;0,"negative profit",IF(L40&gt;Notes!$B$4,"unusually high - verify","")))</f>
        <v/>
      </c>
      <c r="O40" s="32" t="inlineStr">
        <is>
          <t>both</t>
        </is>
      </c>
      <c r="P40" s="32">
        <f>IF(O40&lt;&gt;"both",O40&amp;" only",IF(Q40="","agree","conflict"))</f>
        <v/>
      </c>
      <c r="Q40" s="32">
        <f>IF(O40="both",TRIM(IF(I40&lt;&gt;"","price ","")&amp;IF(K40&lt;&gt;"","xp ","")&amp;IF(G40="differs","time","")),"")</f>
        <v/>
      </c>
      <c r="R40" s="32" t="inlineStr">
        <is>
          <t>hayday.info (primary values) + Fandom (times, cross-check)</t>
        </is>
      </c>
      <c r="S40" s="32" t="inlineStr">
        <is>
          <t>https://hayday.fandom.com/wiki/Cake_Oven</t>
        </is>
      </c>
    </row>
    <row r="41" ht="15" customHeight="1" s="29">
      <c r="A41" s="32" t="inlineStr">
        <is>
          <t>Cheesecake</t>
        </is>
      </c>
      <c r="B41" s="32" t="inlineStr">
        <is>
          <t>Cake Oven</t>
        </is>
      </c>
      <c r="C41" s="33" t="n">
        <v>24</v>
      </c>
      <c r="D41" s="34" t="n">
        <v>240</v>
      </c>
      <c r="E41" s="34" t="n">
        <v>204</v>
      </c>
      <c r="F41" s="34" t="n">
        <v>204</v>
      </c>
      <c r="G41" s="32">
        <f>IF(OR(F41="",AND(D41="",E41="")),"n/a",IF(F41=E41,"mastered",IF(F41=D41,"normal","differs")))</f>
        <v/>
      </c>
      <c r="H41" s="35" t="n">
        <v>284</v>
      </c>
      <c r="I41" s="35" t="n"/>
      <c r="J41" s="33" t="n">
        <v>34</v>
      </c>
      <c r="K41" s="33" t="n"/>
      <c r="L41" s="36" t="n">
        <v>17.05882353</v>
      </c>
      <c r="M41" s="37" t="n">
        <v>10</v>
      </c>
      <c r="N41" s="32">
        <f>IF(L41="","",IF(L41&lt;0,"negative profit",IF(L41&gt;Notes!$B$4,"unusually high - verify","")))</f>
        <v/>
      </c>
      <c r="O41" s="32" t="inlineStr">
        <is>
          <t>both</t>
        </is>
      </c>
      <c r="P41" s="32">
        <f>IF(O41&lt;&gt;"both",O41&amp;" only",IF(Q41="","agree","conflict"))</f>
        <v/>
      </c>
      <c r="Q41" s="32">
        <f>IF(O41="both",TRIM(IF(I41&lt;&gt;"","price ","")&amp;IF(K41&lt;&gt;"","xp ","")&amp;IF(G41="differs","time","")),"")</f>
        <v/>
      </c>
      <c r="R41" s="32" t="inlineStr">
        <is>
          <t>hayday.info (primary values) + Fandom (times, cross-check)</t>
        </is>
      </c>
      <c r="S41" s="32" t="inlineStr">
        <is>
          <t>https://hayday.fandom.com/wiki/Cake_Oven</t>
        </is>
      </c>
    </row>
    <row r="42" ht="15" customHeight="1" s="29">
      <c r="A42" s="32" t="inlineStr">
        <is>
          <t>Strawberry Cake</t>
        </is>
      </c>
      <c r="B42" s="32" t="inlineStr">
        <is>
          <t>Cake Oven</t>
        </is>
      </c>
      <c r="C42" s="33" t="n">
        <v>35</v>
      </c>
      <c r="D42" s="34" t="n">
        <v>180</v>
      </c>
      <c r="E42" s="34" t="n">
        <v>153</v>
      </c>
      <c r="F42" s="34" t="n">
        <v>153</v>
      </c>
      <c r="G42" s="32">
        <f>IF(OR(F42="",AND(D42="",E42="")),"n/a",IF(F42=E42,"mastered",IF(F42=D42,"normal","differs")))</f>
        <v/>
      </c>
      <c r="H42" s="35" t="n">
        <v>316</v>
      </c>
      <c r="I42" s="35" t="n"/>
      <c r="J42" s="33" t="n">
        <v>38</v>
      </c>
      <c r="K42" s="33" t="n"/>
      <c r="L42" s="36" t="n">
        <v>41.96078431</v>
      </c>
      <c r="M42" s="37" t="n">
        <v>14.90196078</v>
      </c>
      <c r="N42" s="32">
        <f>IF(L42="","",IF(L42&lt;0,"negative profit",IF(L42&gt;Notes!$B$4,"unusually high - verify","")))</f>
        <v/>
      </c>
      <c r="O42" s="32" t="inlineStr">
        <is>
          <t>both</t>
        </is>
      </c>
      <c r="P42" s="32">
        <f>IF(O42&lt;&gt;"both",O42&amp;" only",IF(Q42="","agree","conflict"))</f>
        <v/>
      </c>
      <c r="Q42" s="32">
        <f>IF(O42="both",TRIM(IF(I42&lt;&gt;"","price ","")&amp;IF(K42&lt;&gt;"","xp ","")&amp;IF(G42="differs","time","")),"")</f>
        <v/>
      </c>
      <c r="R42" s="32" t="inlineStr">
        <is>
          <t>hayday.info (primary values) + Fandom (times, cross-check)</t>
        </is>
      </c>
      <c r="S42" s="32" t="inlineStr">
        <is>
          <t>https://hayday.fandom.com/wiki/Cake_Oven</t>
        </is>
      </c>
    </row>
    <row r="43" ht="15" customHeight="1" s="29">
      <c r="A43" s="32" t="inlineStr">
        <is>
          <t>Chocolate Cake</t>
        </is>
      </c>
      <c r="B43" s="32" t="inlineStr">
        <is>
          <t>Cake Oven</t>
        </is>
      </c>
      <c r="C43" s="33" t="n">
        <v>36</v>
      </c>
      <c r="D43" s="34" t="n">
        <v>120</v>
      </c>
      <c r="E43" s="34" t="n">
        <v>102</v>
      </c>
      <c r="F43" s="34" t="n">
        <v>102</v>
      </c>
      <c r="G43" s="32">
        <f>IF(OR(F43="",AND(D43="",E43="")),"n/a",IF(F43=E43,"mastered",IF(F43=D43,"normal","differs")))</f>
        <v/>
      </c>
      <c r="H43" s="35" t="n">
        <v>320</v>
      </c>
      <c r="I43" s="35" t="n"/>
      <c r="J43" s="33" t="n">
        <v>38</v>
      </c>
      <c r="K43" s="33" t="n"/>
      <c r="L43" s="36" t="n">
        <v>20</v>
      </c>
      <c r="M43" s="37" t="n">
        <v>22.35294118</v>
      </c>
      <c r="N43" s="32">
        <f>IF(L43="","",IF(L43&lt;0,"negative profit",IF(L43&gt;Notes!$B$4,"unusually high - verify","")))</f>
        <v/>
      </c>
      <c r="O43" s="32" t="inlineStr">
        <is>
          <t>both</t>
        </is>
      </c>
      <c r="P43" s="32">
        <f>IF(O43&lt;&gt;"both",O43&amp;" only",IF(Q43="","agree","conflict"))</f>
        <v/>
      </c>
      <c r="Q43" s="32">
        <f>IF(O43="both",TRIM(IF(I43&lt;&gt;"","price ","")&amp;IF(K43&lt;&gt;"","xp ","")&amp;IF(G43="differs","time","")),"")</f>
        <v/>
      </c>
      <c r="R43" s="32" t="inlineStr">
        <is>
          <t>hayday.info (primary values) + Fandom (times, cross-check)</t>
        </is>
      </c>
      <c r="S43" s="32" t="inlineStr">
        <is>
          <t>https://hayday.fandom.com/wiki/Cake_Oven</t>
        </is>
      </c>
    </row>
    <row r="44" ht="15" customHeight="1" s="29">
      <c r="A44" s="32" t="inlineStr">
        <is>
          <t>Potato Feta Cake</t>
        </is>
      </c>
      <c r="B44" s="32" t="inlineStr">
        <is>
          <t>Cake Oven</t>
        </is>
      </c>
      <c r="C44" s="33" t="n">
        <v>38</v>
      </c>
      <c r="D44" s="34" t="n">
        <v>120</v>
      </c>
      <c r="E44" s="34" t="n">
        <v>102</v>
      </c>
      <c r="F44" s="34" t="n">
        <v>102</v>
      </c>
      <c r="G44" s="32">
        <f>IF(OR(F44="",AND(D44="",E44="")),"n/a",IF(F44=E44,"mastered",IF(F44=D44,"normal","differs")))</f>
        <v/>
      </c>
      <c r="H44" s="35" t="n">
        <v>309</v>
      </c>
      <c r="I44" s="35" t="n"/>
      <c r="J44" s="33" t="n">
        <v>37</v>
      </c>
      <c r="K44" s="33" t="n"/>
      <c r="L44" s="36" t="n">
        <v>22.94117647</v>
      </c>
      <c r="M44" s="37" t="n">
        <v>21.76470588</v>
      </c>
      <c r="N44" s="32">
        <f>IF(L44="","",IF(L44&lt;0,"negative profit",IF(L44&gt;Notes!$B$4,"unusually high - verify","")))</f>
        <v/>
      </c>
      <c r="O44" s="32" t="inlineStr">
        <is>
          <t>both</t>
        </is>
      </c>
      <c r="P44" s="32">
        <f>IF(O44&lt;&gt;"both",O44&amp;" only",IF(Q44="","agree","conflict"))</f>
        <v/>
      </c>
      <c r="Q44" s="32">
        <f>IF(O44="both",TRIM(IF(I44&lt;&gt;"","price ","")&amp;IF(K44&lt;&gt;"","xp ","")&amp;IF(G44="differs","time","")),"")</f>
        <v/>
      </c>
      <c r="R44" s="32" t="inlineStr">
        <is>
          <t>hayday.info (primary values) + Fandom (times, cross-check)</t>
        </is>
      </c>
      <c r="S44" s="32" t="inlineStr">
        <is>
          <t>https://hayday.fandom.com/wiki/Cake_Oven</t>
        </is>
      </c>
    </row>
    <row r="45" ht="15" customHeight="1" s="29">
      <c r="A45" s="32" t="inlineStr">
        <is>
          <t>Honey Apple Cake</t>
        </is>
      </c>
      <c r="B45" s="32" t="inlineStr">
        <is>
          <t>Cake Oven</t>
        </is>
      </c>
      <c r="C45" s="33" t="n">
        <v>42</v>
      </c>
      <c r="D45" s="34" t="n">
        <v>200</v>
      </c>
      <c r="E45" s="34" t="n">
        <v>170</v>
      </c>
      <c r="F45" s="34" t="n">
        <v>170</v>
      </c>
      <c r="G45" s="32">
        <f>IF(OR(F45="",AND(D45="",E45="")),"n/a",IF(F45=E45,"mastered",IF(F45=D45,"normal","differs")))</f>
        <v/>
      </c>
      <c r="H45" s="35" t="n">
        <v>482</v>
      </c>
      <c r="I45" s="35" t="n"/>
      <c r="J45" s="33" t="n">
        <v>57</v>
      </c>
      <c r="K45" s="33" t="n"/>
      <c r="L45" s="36" t="n">
        <v>19.05882353</v>
      </c>
      <c r="M45" s="37" t="n">
        <v>20.11764706</v>
      </c>
      <c r="N45" s="32">
        <f>IF(L45="","",IF(L45&lt;0,"negative profit",IF(L45&gt;Notes!$B$4,"unusually high - verify","")))</f>
        <v/>
      </c>
      <c r="O45" s="32" t="inlineStr">
        <is>
          <t>both</t>
        </is>
      </c>
      <c r="P45" s="32">
        <f>IF(O45&lt;&gt;"both",O45&amp;" only",IF(Q45="","agree","conflict"))</f>
        <v/>
      </c>
      <c r="Q45" s="32">
        <f>IF(O45="both",TRIM(IF(I45&lt;&gt;"","price ","")&amp;IF(K45&lt;&gt;"","xp ","")&amp;IF(G45="differs","time","")),"")</f>
        <v/>
      </c>
      <c r="R45" s="32" t="inlineStr">
        <is>
          <t>hayday.info (primary values) + Fandom (times, cross-check)</t>
        </is>
      </c>
      <c r="S45" s="32" t="inlineStr">
        <is>
          <t>https://hayday.fandom.com/wiki/Cake_Oven</t>
        </is>
      </c>
    </row>
    <row r="46" ht="15" customHeight="1" s="29">
      <c r="A46" s="32" t="inlineStr">
        <is>
          <t>Fancy Cake</t>
        </is>
      </c>
      <c r="B46" s="32" t="inlineStr">
        <is>
          <t>Cake Oven</t>
        </is>
      </c>
      <c r="C46" s="33" t="n">
        <v>54</v>
      </c>
      <c r="D46" s="34" t="n">
        <v>15</v>
      </c>
      <c r="E46" s="34" t="n">
        <v>12</v>
      </c>
      <c r="F46" s="34" t="n">
        <v>12</v>
      </c>
      <c r="G46" s="32">
        <f>IF(OR(F46="",AND(D46="",E46="")),"n/a",IF(F46=E46,"mastered",IF(F46=D46,"normal","differs")))</f>
        <v/>
      </c>
      <c r="H46" s="35" t="n">
        <v>450</v>
      </c>
      <c r="I46" s="35" t="n"/>
      <c r="J46" s="33" t="n">
        <v>49</v>
      </c>
      <c r="K46" s="33" t="n"/>
      <c r="L46" s="36" t="n">
        <v>42.35294118</v>
      </c>
      <c r="M46" s="37" t="n">
        <v>230.5882353</v>
      </c>
      <c r="N46" s="32">
        <f>IF(L46="","",IF(L46&lt;0,"negative profit",IF(L46&gt;Notes!$B$4,"unusually high - verify","")))</f>
        <v/>
      </c>
      <c r="O46" s="32" t="inlineStr">
        <is>
          <t>both</t>
        </is>
      </c>
      <c r="P46" s="32">
        <f>IF(O46&lt;&gt;"both",O46&amp;" only",IF(Q46="","agree","conflict"))</f>
        <v/>
      </c>
      <c r="Q46" s="32">
        <f>IF(O46="both",TRIM(IF(I46&lt;&gt;"","price ","")&amp;IF(K46&lt;&gt;"","xp ","")&amp;IF(G46="differs","time","")),"")</f>
        <v/>
      </c>
      <c r="R46" s="32" t="inlineStr">
        <is>
          <t>hayday.info (primary values) + Fandom (times, cross-check)</t>
        </is>
      </c>
      <c r="S46" s="32" t="inlineStr">
        <is>
          <t>https://hayday.fandom.com/wiki/Cake_Oven</t>
        </is>
      </c>
    </row>
    <row r="47" ht="15" customHeight="1" s="29">
      <c r="A47" s="32" t="inlineStr">
        <is>
          <t>Pineapple Cake</t>
        </is>
      </c>
      <c r="B47" s="32" t="inlineStr">
        <is>
          <t>Cake Oven</t>
        </is>
      </c>
      <c r="C47" s="33" t="n">
        <v>65</v>
      </c>
      <c r="D47" s="34" t="n">
        <v>75</v>
      </c>
      <c r="E47" s="34" t="n">
        <v>63</v>
      </c>
      <c r="F47" s="34" t="n">
        <v>63</v>
      </c>
      <c r="G47" s="32">
        <f>IF(OR(F47="",AND(D47="",E47="")),"n/a",IF(F47=E47,"mastered",IF(F47=D47,"normal","differs")))</f>
        <v/>
      </c>
      <c r="H47" s="35" t="n">
        <v>259</v>
      </c>
      <c r="I47" s="35" t="n"/>
      <c r="J47" s="33" t="n">
        <v>31</v>
      </c>
      <c r="K47" s="33" t="n"/>
      <c r="L47" s="36" t="n">
        <v>31.05882353</v>
      </c>
      <c r="M47" s="37" t="n">
        <v>29.17647059</v>
      </c>
      <c r="N47" s="32">
        <f>IF(L47="","",IF(L47&lt;0,"negative profit",IF(L47&gt;Notes!$B$4,"unusually high - verify","")))</f>
        <v/>
      </c>
      <c r="O47" s="32" t="inlineStr">
        <is>
          <t>both</t>
        </is>
      </c>
      <c r="P47" s="32">
        <f>IF(O47&lt;&gt;"both",O47&amp;" only",IF(Q47="","agree","conflict"))</f>
        <v/>
      </c>
      <c r="Q47" s="32">
        <f>IF(O47="both",TRIM(IF(I47&lt;&gt;"","price ","")&amp;IF(K47&lt;&gt;"","xp ","")&amp;IF(G47="differs","time","")),"")</f>
        <v/>
      </c>
      <c r="R47" s="32" t="inlineStr">
        <is>
          <t>hayday.info (primary values) + Fandom (times, cross-check)</t>
        </is>
      </c>
      <c r="S47" s="32" t="inlineStr">
        <is>
          <t>https://hayday.fandom.com/wiki/Cake_Oven</t>
        </is>
      </c>
    </row>
    <row r="48" ht="15" customHeight="1" s="29">
      <c r="A48" s="32" t="inlineStr">
        <is>
          <t>Lemon Cake</t>
        </is>
      </c>
      <c r="B48" s="32" t="inlineStr">
        <is>
          <t>Cake Oven</t>
        </is>
      </c>
      <c r="C48" s="33" t="n">
        <v>68</v>
      </c>
      <c r="D48" s="34" t="n">
        <v>150</v>
      </c>
      <c r="E48" s="34" t="n">
        <v>127</v>
      </c>
      <c r="F48" s="34" t="n">
        <v>127</v>
      </c>
      <c r="G48" s="32">
        <f>IF(OR(F48="",AND(D48="",E48="")),"n/a",IF(F48=E48,"mastered",IF(F48=D48,"normal","differs")))</f>
        <v/>
      </c>
      <c r="H48" s="35" t="n">
        <v>896</v>
      </c>
      <c r="I48" s="35" t="n"/>
      <c r="J48" s="33" t="n">
        <v>107</v>
      </c>
      <c r="K48" s="33" t="n"/>
      <c r="L48" s="36" t="n">
        <v>21.17647059</v>
      </c>
      <c r="M48" s="37" t="n">
        <v>50.35294118</v>
      </c>
      <c r="N48" s="32">
        <f>IF(L48="","",IF(L48&lt;0,"negative profit",IF(L48&gt;Notes!$B$4,"unusually high - verify","")))</f>
        <v/>
      </c>
      <c r="O48" s="32" t="inlineStr">
        <is>
          <t>both</t>
        </is>
      </c>
      <c r="P48" s="32">
        <f>IF(O48&lt;&gt;"both",O48&amp;" only",IF(Q48="","agree","conflict"))</f>
        <v/>
      </c>
      <c r="Q48" s="32">
        <f>IF(O48="both",TRIM(IF(I48&lt;&gt;"","price ","")&amp;IF(K48&lt;&gt;"","xp ","")&amp;IF(G48="differs","time","")),"")</f>
        <v/>
      </c>
      <c r="R48" s="32" t="inlineStr">
        <is>
          <t>hayday.info (primary values) + Fandom (times, cross-check)</t>
        </is>
      </c>
      <c r="S48" s="32" t="inlineStr">
        <is>
          <t>https://hayday.fandom.com/wiki/Cake_Oven</t>
        </is>
      </c>
    </row>
    <row r="49" ht="15" customHeight="1" s="29">
      <c r="A49" s="32" t="inlineStr">
        <is>
          <t>Fruit Cake</t>
        </is>
      </c>
      <c r="B49" s="32" t="inlineStr">
        <is>
          <t>Cake Oven</t>
        </is>
      </c>
      <c r="C49" s="33" t="n">
        <v>89</v>
      </c>
      <c r="D49" s="34" t="n">
        <v>180</v>
      </c>
      <c r="E49" s="34" t="n">
        <v>153</v>
      </c>
      <c r="F49" s="34" t="n">
        <v>153</v>
      </c>
      <c r="G49" s="32">
        <f>IF(OR(F49="",AND(D49="",E49="")),"n/a",IF(F49=E49,"mastered",IF(F49=D49,"normal","differs")))</f>
        <v/>
      </c>
      <c r="H49" s="35" t="n">
        <v>450</v>
      </c>
      <c r="I49" s="35" t="n"/>
      <c r="J49" s="33" t="n">
        <v>54</v>
      </c>
      <c r="K49" s="33" t="n"/>
      <c r="L49" s="36" t="n">
        <v>18.43137255</v>
      </c>
      <c r="M49" s="37" t="n">
        <v>21.17647059</v>
      </c>
      <c r="N49" s="32">
        <f>IF(L49="","",IF(L49&lt;0,"negative profit",IF(L49&gt;Notes!$B$4,"unusually high - verify","")))</f>
        <v/>
      </c>
      <c r="O49" s="32" t="inlineStr">
        <is>
          <t>both</t>
        </is>
      </c>
      <c r="P49" s="32">
        <f>IF(O49&lt;&gt;"both",O49&amp;" only",IF(Q49="","agree","conflict"))</f>
        <v/>
      </c>
      <c r="Q49" s="32">
        <f>IF(O49="both",TRIM(IF(I49&lt;&gt;"","price ","")&amp;IF(K49&lt;&gt;"","xp ","")&amp;IF(G49="differs","time","")),"")</f>
        <v/>
      </c>
      <c r="R49" s="32" t="inlineStr">
        <is>
          <t>hayday.info (primary values) + Fandom (times, cross-check)</t>
        </is>
      </c>
      <c r="S49" s="32" t="inlineStr">
        <is>
          <t>https://hayday.fandom.com/wiki/Cake_Oven</t>
        </is>
      </c>
    </row>
    <row r="50" ht="15" customHeight="1" s="29">
      <c r="A50" s="32" t="inlineStr">
        <is>
          <t>Chocolate Roll</t>
        </is>
      </c>
      <c r="B50" s="32" t="inlineStr">
        <is>
          <t>Cake Oven</t>
        </is>
      </c>
      <c r="C50" s="33" t="n">
        <v>95</v>
      </c>
      <c r="D50" s="34" t="n"/>
      <c r="E50" s="34" t="n"/>
      <c r="F50" s="34" t="n">
        <v>76</v>
      </c>
      <c r="G50" s="32">
        <f>IF(OR(F50="",AND(D50="",E50="")),"n/a",IF(F50=E50,"mastered",IF(F50=D50,"normal","differs")))</f>
        <v/>
      </c>
      <c r="H50" s="35" t="n">
        <v>604</v>
      </c>
      <c r="I50" s="35" t="n"/>
      <c r="J50" s="33" t="n">
        <v>72</v>
      </c>
      <c r="K50" s="33" t="n"/>
      <c r="L50" s="36" t="n">
        <v>14.90196078</v>
      </c>
      <c r="M50" s="37" t="n">
        <v>56.47058824</v>
      </c>
      <c r="N50" s="32">
        <f>IF(L50="","",IF(L50&lt;0,"negative profit",IF(L50&gt;Notes!$B$4,"unusually high - verify","")))</f>
        <v/>
      </c>
      <c r="O50" s="32" t="inlineStr">
        <is>
          <t>hayday.info</t>
        </is>
      </c>
      <c r="P50" s="32">
        <f>IF(O50&lt;&gt;"both",O50&amp;" only",IF(Q50="","agree","conflict"))</f>
        <v/>
      </c>
      <c r="Q50" s="32">
        <f>IF(O50="both",TRIM(IF(I50&lt;&gt;"","price ","")&amp;IF(K50&lt;&gt;"","xp ","")&amp;IF(G50="differs","time","")),"")</f>
        <v/>
      </c>
      <c r="R50" s="32" t="inlineStr">
        <is>
          <t>hayday.info /api/production-data only</t>
        </is>
      </c>
      <c r="S50" s="32" t="n"/>
    </row>
    <row r="51" ht="15" customHeight="1" s="29">
      <c r="A51" s="32" t="inlineStr">
        <is>
          <t>Strawberry Candle</t>
        </is>
      </c>
      <c r="B51" s="32" t="inlineStr">
        <is>
          <t>Candle Maker</t>
        </is>
      </c>
      <c r="C51" s="33" t="n">
        <v>48</v>
      </c>
      <c r="D51" s="34" t="n">
        <v>120</v>
      </c>
      <c r="E51" s="34" t="n">
        <v>102</v>
      </c>
      <c r="F51" s="34" t="n">
        <v>102</v>
      </c>
      <c r="G51" s="32">
        <f>IF(OR(F51="",AND(D51="",E51="")),"n/a",IF(F51=E51,"mastered",IF(F51=D51,"normal","differs")))</f>
        <v/>
      </c>
      <c r="H51" s="35" t="n">
        <v>370</v>
      </c>
      <c r="I51" s="35" t="n"/>
      <c r="J51" s="33" t="n">
        <v>44</v>
      </c>
      <c r="K51" s="33" t="n"/>
      <c r="L51" s="36" t="n">
        <v>21.17647059</v>
      </c>
      <c r="M51" s="37" t="n">
        <v>25.88235294</v>
      </c>
      <c r="N51" s="32">
        <f>IF(L51="","",IF(L51&lt;0,"negative profit",IF(L51&gt;Notes!$B$4,"unusually high - verify","")))</f>
        <v/>
      </c>
      <c r="O51" s="32" t="inlineStr">
        <is>
          <t>both</t>
        </is>
      </c>
      <c r="P51" s="32">
        <f>IF(O51&lt;&gt;"both",O51&amp;" only",IF(Q51="","agree","conflict"))</f>
        <v/>
      </c>
      <c r="Q51" s="32">
        <f>IF(O51="both",TRIM(IF(I51&lt;&gt;"","price ","")&amp;IF(K51&lt;&gt;"","xp ","")&amp;IF(G51="differs","time","")),"")</f>
        <v/>
      </c>
      <c r="R51" s="32" t="inlineStr">
        <is>
          <t>hayday.info (primary values) + Fandom (times, cross-check)</t>
        </is>
      </c>
      <c r="S51" s="32" t="inlineStr">
        <is>
          <t>https://hayday.fandom.com/wiki/Candle_Maker</t>
        </is>
      </c>
    </row>
    <row r="52" ht="15" customHeight="1" s="29">
      <c r="A52" s="32" t="inlineStr">
        <is>
          <t>Raspberry Candle</t>
        </is>
      </c>
      <c r="B52" s="32" t="inlineStr">
        <is>
          <t>Candle Maker</t>
        </is>
      </c>
      <c r="C52" s="33" t="n">
        <v>52</v>
      </c>
      <c r="D52" s="34" t="n">
        <v>105</v>
      </c>
      <c r="E52" s="34" t="n">
        <v>89</v>
      </c>
      <c r="F52" s="34" t="n">
        <v>89</v>
      </c>
      <c r="G52" s="32">
        <f>IF(OR(F52="",AND(D52="",E52="")),"n/a",IF(F52=E52,"mastered",IF(F52=D52,"normal","differs")))</f>
        <v/>
      </c>
      <c r="H52" s="35" t="n">
        <v>360</v>
      </c>
      <c r="I52" s="35" t="n"/>
      <c r="J52" s="33" t="n">
        <v>43</v>
      </c>
      <c r="K52" s="33" t="n"/>
      <c r="L52" s="36" t="n">
        <v>22.85714286</v>
      </c>
      <c r="M52" s="37" t="n">
        <v>28.90756303</v>
      </c>
      <c r="N52" s="32">
        <f>IF(L52="","",IF(L52&lt;0,"negative profit",IF(L52&gt;Notes!$B$4,"unusually high - verify","")))</f>
        <v/>
      </c>
      <c r="O52" s="32" t="inlineStr">
        <is>
          <t>both</t>
        </is>
      </c>
      <c r="P52" s="32">
        <f>IF(O52&lt;&gt;"both",O52&amp;" only",IF(Q52="","agree","conflict"))</f>
        <v/>
      </c>
      <c r="Q52" s="32">
        <f>IF(O52="both",TRIM(IF(I52&lt;&gt;"","price ","")&amp;IF(K52&lt;&gt;"","xp ","")&amp;IF(G52="differs","time","")),"")</f>
        <v/>
      </c>
      <c r="R52" s="32" t="inlineStr">
        <is>
          <t>hayday.info (primary values) + Fandom (times, cross-check)</t>
        </is>
      </c>
      <c r="S52" s="32" t="inlineStr">
        <is>
          <t>https://hayday.fandom.com/wiki/Candle_Maker</t>
        </is>
      </c>
    </row>
    <row r="53" ht="15" customHeight="1" s="29">
      <c r="A53" s="32" t="inlineStr">
        <is>
          <t>Lemon Candle</t>
        </is>
      </c>
      <c r="B53" s="32" t="inlineStr">
        <is>
          <t>Candle Maker</t>
        </is>
      </c>
      <c r="C53" s="33" t="n">
        <v>72</v>
      </c>
      <c r="D53" s="34" t="n">
        <v>135</v>
      </c>
      <c r="E53" s="34" t="n">
        <v>114</v>
      </c>
      <c r="F53" s="34" t="n">
        <v>114</v>
      </c>
      <c r="G53" s="32">
        <f>IF(OR(F53="",AND(D53="",E53="")),"n/a",IF(F53=E53,"mastered",IF(F53=D53,"normal","differs")))</f>
        <v/>
      </c>
      <c r="H53" s="35" t="n">
        <v>457</v>
      </c>
      <c r="I53" s="35" t="n"/>
      <c r="J53" s="33" t="n">
        <v>55</v>
      </c>
      <c r="K53" s="33" t="n"/>
      <c r="L53" s="36" t="n">
        <v>19.34640523</v>
      </c>
      <c r="M53" s="37" t="n">
        <v>28.75816993</v>
      </c>
      <c r="N53" s="32">
        <f>IF(L53="","",IF(L53&lt;0,"negative profit",IF(L53&gt;Notes!$B$4,"unusually high - verify","")))</f>
        <v/>
      </c>
      <c r="O53" s="32" t="inlineStr">
        <is>
          <t>both</t>
        </is>
      </c>
      <c r="P53" s="32">
        <f>IF(O53&lt;&gt;"both",O53&amp;" only",IF(Q53="","agree","conflict"))</f>
        <v/>
      </c>
      <c r="Q53" s="32">
        <f>IF(O53="both",TRIM(IF(I53&lt;&gt;"","price ","")&amp;IF(K53&lt;&gt;"","xp ","")&amp;IF(G53="differs","time","")),"")</f>
        <v/>
      </c>
      <c r="R53" s="32" t="inlineStr">
        <is>
          <t>hayday.info (primary values) + Fandom (times, cross-check)</t>
        </is>
      </c>
      <c r="S53" s="32" t="inlineStr">
        <is>
          <t>https://hayday.fandom.com/wiki/Candle_Maker</t>
        </is>
      </c>
    </row>
    <row r="54" ht="15" customHeight="1" s="29">
      <c r="A54" s="32" t="inlineStr">
        <is>
          <t>Colorful Candles</t>
        </is>
      </c>
      <c r="B54" s="32" t="inlineStr">
        <is>
          <t>Candle Maker</t>
        </is>
      </c>
      <c r="C54" s="33" t="n">
        <v>84</v>
      </c>
      <c r="D54" s="34" t="n">
        <v>110</v>
      </c>
      <c r="E54" s="34" t="n">
        <v>93</v>
      </c>
      <c r="F54" s="34" t="n">
        <v>93</v>
      </c>
      <c r="G54" s="32">
        <f>IF(OR(F54="",AND(D54="",E54="")),"n/a",IF(F54=E54,"mastered",IF(F54=D54,"normal","differs")))</f>
        <v/>
      </c>
      <c r="H54" s="35" t="n">
        <v>324</v>
      </c>
      <c r="I54" s="35" t="n"/>
      <c r="J54" s="33" t="n">
        <v>39</v>
      </c>
      <c r="K54" s="33" t="n"/>
      <c r="L54" s="36" t="n">
        <v>23.74331551</v>
      </c>
      <c r="M54" s="37" t="n">
        <v>25.02673797</v>
      </c>
      <c r="N54" s="32">
        <f>IF(L54="","",IF(L54&lt;0,"negative profit",IF(L54&gt;Notes!$B$4,"unusually high - verify","")))</f>
        <v/>
      </c>
      <c r="O54" s="32" t="inlineStr">
        <is>
          <t>both</t>
        </is>
      </c>
      <c r="P54" s="32">
        <f>IF(O54&lt;&gt;"both",O54&amp;" only",IF(Q54="","agree","conflict"))</f>
        <v/>
      </c>
      <c r="Q54" s="32">
        <f>IF(O54="both",TRIM(IF(I54&lt;&gt;"","price ","")&amp;IF(K54&lt;&gt;"","xp ","")&amp;IF(G54="differs","time","")),"")</f>
        <v/>
      </c>
      <c r="R54" s="32" t="inlineStr">
        <is>
          <t>hayday.info (primary values) + Fandom (times, cross-check)</t>
        </is>
      </c>
      <c r="S54" s="32" t="inlineStr">
        <is>
          <t>https://hayday.fandom.com/wiki/Candle_Maker</t>
        </is>
      </c>
    </row>
    <row r="55" ht="15" customHeight="1" s="29">
      <c r="A55" s="32" t="inlineStr">
        <is>
          <t>Floral Candle</t>
        </is>
      </c>
      <c r="B55" s="32" t="inlineStr">
        <is>
          <t>Candle Maker</t>
        </is>
      </c>
      <c r="C55" s="33" t="n">
        <v>95</v>
      </c>
      <c r="D55" s="34" t="n">
        <v>120</v>
      </c>
      <c r="E55" s="34" t="n">
        <v>102</v>
      </c>
      <c r="F55" s="34" t="n">
        <v>102</v>
      </c>
      <c r="G55" s="32">
        <f>IF(OR(F55="",AND(D55="",E55="")),"n/a",IF(F55=E55,"mastered",IF(F55=D55,"normal","differs")))</f>
        <v/>
      </c>
      <c r="H55" s="35" t="n">
        <v>442</v>
      </c>
      <c r="I55" s="35" t="n"/>
      <c r="J55" s="33" t="n">
        <v>53</v>
      </c>
      <c r="K55" s="33" t="n"/>
      <c r="L55" s="36" t="n">
        <v>11.17647059</v>
      </c>
      <c r="M55" s="37" t="n">
        <v>31.17647059</v>
      </c>
      <c r="N55" s="32">
        <f>IF(L55="","",IF(L55&lt;0,"negative profit",IF(L55&gt;Notes!$B$4,"unusually high - verify","")))</f>
        <v/>
      </c>
      <c r="O55" s="32" t="inlineStr">
        <is>
          <t>both</t>
        </is>
      </c>
      <c r="P55" s="32">
        <f>IF(O55&lt;&gt;"both",O55&amp;" only",IF(Q55="","agree","conflict"))</f>
        <v/>
      </c>
      <c r="Q55" s="32">
        <f>IF(O55="both",TRIM(IF(I55&lt;&gt;"","price ","")&amp;IF(K55&lt;&gt;"","xp ","")&amp;IF(G55="differs","time","")),"")</f>
        <v/>
      </c>
      <c r="R55" s="32" t="inlineStr">
        <is>
          <t>hayday.info (primary values) + Fandom (times, cross-check)</t>
        </is>
      </c>
      <c r="S55" s="32" t="inlineStr">
        <is>
          <t>https://hayday.fandom.com/wiki/Candle_Maker</t>
        </is>
      </c>
    </row>
    <row r="56" ht="15" customHeight="1" s="29">
      <c r="A56" s="32" t="inlineStr">
        <is>
          <t>Caramel Apple</t>
        </is>
      </c>
      <c r="B56" s="32" t="inlineStr">
        <is>
          <t>Candy Machine</t>
        </is>
      </c>
      <c r="C56" s="33" t="n">
        <v>51</v>
      </c>
      <c r="D56" s="34" t="n">
        <v>120</v>
      </c>
      <c r="E56" s="34" t="n">
        <v>102</v>
      </c>
      <c r="F56" s="34" t="n">
        <v>102</v>
      </c>
      <c r="G56" s="32">
        <f>IF(OR(F56="",AND(D56="",E56="")),"n/a",IF(F56=E56,"mastered",IF(F56=D56,"normal","differs")))</f>
        <v/>
      </c>
      <c r="H56" s="35" t="n">
        <v>255</v>
      </c>
      <c r="I56" s="35" t="n"/>
      <c r="J56" s="33" t="n">
        <v>31</v>
      </c>
      <c r="K56" s="33" t="n"/>
      <c r="L56" s="36" t="n">
        <v>21.17647059</v>
      </c>
      <c r="M56" s="37" t="n">
        <v>18.23529412</v>
      </c>
      <c r="N56" s="32">
        <f>IF(L56="","",IF(L56&lt;0,"negative profit",IF(L56&gt;Notes!$B$4,"unusually high - verify","")))</f>
        <v/>
      </c>
      <c r="O56" s="32" t="inlineStr">
        <is>
          <t>both</t>
        </is>
      </c>
      <c r="P56" s="32">
        <f>IF(O56&lt;&gt;"both",O56&amp;" only",IF(Q56="","agree","conflict"))</f>
        <v/>
      </c>
      <c r="Q56" s="32">
        <f>IF(O56="both",TRIM(IF(I56&lt;&gt;"","price ","")&amp;IF(K56&lt;&gt;"","xp ","")&amp;IF(G56="differs","time","")),"")</f>
        <v/>
      </c>
      <c r="R56" s="32" t="inlineStr">
        <is>
          <t>hayday.info (primary values) + Fandom (times, cross-check)</t>
        </is>
      </c>
      <c r="S56" s="32" t="inlineStr">
        <is>
          <t>https://hayday.fandom.com/wiki/Candy_Machine</t>
        </is>
      </c>
    </row>
    <row r="57" ht="15" customHeight="1" s="29">
      <c r="A57" s="32" t="inlineStr">
        <is>
          <t>Toffee</t>
        </is>
      </c>
      <c r="B57" s="32" t="inlineStr">
        <is>
          <t>Candy Machine</t>
        </is>
      </c>
      <c r="C57" s="33" t="n">
        <v>52</v>
      </c>
      <c r="D57" s="34" t="n">
        <v>90</v>
      </c>
      <c r="E57" s="34" t="n">
        <v>76</v>
      </c>
      <c r="F57" s="34" t="n">
        <v>76</v>
      </c>
      <c r="G57" s="32">
        <f>IF(OR(F57="",AND(D57="",E57="")),"n/a",IF(F57=E57,"mastered",IF(F57=D57,"normal","differs")))</f>
        <v/>
      </c>
      <c r="H57" s="35" t="n">
        <v>176</v>
      </c>
      <c r="I57" s="35" t="n"/>
      <c r="J57" s="33" t="n">
        <v>21</v>
      </c>
      <c r="K57" s="33" t="n"/>
      <c r="L57" s="36" t="n">
        <v>32.15686275</v>
      </c>
      <c r="M57" s="37" t="n">
        <v>16.47058824</v>
      </c>
      <c r="N57" s="32">
        <f>IF(L57="","",IF(L57&lt;0,"negative profit",IF(L57&gt;Notes!$B$4,"unusually high - verify","")))</f>
        <v/>
      </c>
      <c r="O57" s="32" t="inlineStr">
        <is>
          <t>both</t>
        </is>
      </c>
      <c r="P57" s="32">
        <f>IF(O57&lt;&gt;"both",O57&amp;" only",IF(Q57="","agree","conflict"))</f>
        <v/>
      </c>
      <c r="Q57" s="32">
        <f>IF(O57="both",TRIM(IF(I57&lt;&gt;"","price ","")&amp;IF(K57&lt;&gt;"","xp ","")&amp;IF(G57="differs","time","")),"")</f>
        <v/>
      </c>
      <c r="R57" s="32" t="inlineStr">
        <is>
          <t>hayday.info (primary values) + Fandom (times, cross-check)</t>
        </is>
      </c>
      <c r="S57" s="32" t="inlineStr">
        <is>
          <t>https://hayday.fandom.com/wiki/Candy_Machine</t>
        </is>
      </c>
    </row>
    <row r="58" ht="15" customHeight="1" s="29">
      <c r="A58" s="32" t="inlineStr">
        <is>
          <t>Chocolate</t>
        </is>
      </c>
      <c r="B58" s="32" t="inlineStr">
        <is>
          <t>Candy Machine</t>
        </is>
      </c>
      <c r="C58" s="33" t="n">
        <v>54</v>
      </c>
      <c r="D58" s="34" t="n">
        <v>1200</v>
      </c>
      <c r="E58" s="34" t="n">
        <v>1020</v>
      </c>
      <c r="F58" s="34" t="n">
        <v>1020</v>
      </c>
      <c r="G58" s="32">
        <f>IF(OR(F58="",AND(D58="",E58="")),"n/a",IF(F58=E58,"mastered",IF(F58=D58,"normal","differs")))</f>
        <v/>
      </c>
      <c r="H58" s="35" t="n">
        <v>460</v>
      </c>
      <c r="I58" s="35" t="n"/>
      <c r="J58" s="33" t="n">
        <v>55</v>
      </c>
      <c r="K58" s="33" t="n"/>
      <c r="L58" s="36" t="n">
        <v>6</v>
      </c>
      <c r="M58" s="37" t="n">
        <v>3.235294118</v>
      </c>
      <c r="N58" s="32">
        <f>IF(L58="","",IF(L58&lt;0,"negative profit",IF(L58&gt;Notes!$B$4,"unusually high - verify","")))</f>
        <v/>
      </c>
      <c r="O58" s="32" t="inlineStr">
        <is>
          <t>both</t>
        </is>
      </c>
      <c r="P58" s="32">
        <f>IF(O58&lt;&gt;"both",O58&amp;" only",IF(Q58="","agree","conflict"))</f>
        <v/>
      </c>
      <c r="Q58" s="32">
        <f>IF(O58="both",TRIM(IF(I58&lt;&gt;"","price ","")&amp;IF(K58&lt;&gt;"","xp ","")&amp;IF(G58="differs","time","")),"")</f>
        <v/>
      </c>
      <c r="R58" s="32" t="inlineStr">
        <is>
          <t>hayday.info (primary values) + Fandom (times, cross-check)</t>
        </is>
      </c>
      <c r="S58" s="32" t="inlineStr">
        <is>
          <t>https://hayday.fandom.com/wiki/Candy_Machine</t>
        </is>
      </c>
    </row>
    <row r="59" ht="15" customHeight="1" s="29">
      <c r="A59" s="32" t="inlineStr">
        <is>
          <t>Lollipop</t>
        </is>
      </c>
      <c r="B59" s="32" t="inlineStr">
        <is>
          <t>Candy Machine</t>
        </is>
      </c>
      <c r="C59" s="33" t="n">
        <v>57</v>
      </c>
      <c r="D59" s="34" t="n">
        <v>720</v>
      </c>
      <c r="E59" s="34" t="n">
        <v>612</v>
      </c>
      <c r="F59" s="34" t="n">
        <v>612</v>
      </c>
      <c r="G59" s="32">
        <f>IF(OR(F59="",AND(D59="",E59="")),"n/a",IF(F59=E59,"mastered",IF(F59=D59,"normal","differs")))</f>
        <v/>
      </c>
      <c r="H59" s="35" t="n">
        <v>342</v>
      </c>
      <c r="I59" s="35" t="n"/>
      <c r="J59" s="33" t="n">
        <v>41</v>
      </c>
      <c r="K59" s="33" t="n"/>
      <c r="L59" s="36" t="n">
        <v>8.235294118000001</v>
      </c>
      <c r="M59" s="37" t="n">
        <v>4.019607843</v>
      </c>
      <c r="N59" s="32">
        <f>IF(L59="","",IF(L59&lt;0,"negative profit",IF(L59&gt;Notes!$B$4,"unusually high - verify","")))</f>
        <v/>
      </c>
      <c r="O59" s="32" t="inlineStr">
        <is>
          <t>both</t>
        </is>
      </c>
      <c r="P59" s="32">
        <f>IF(O59&lt;&gt;"both",O59&amp;" only",IF(Q59="","agree","conflict"))</f>
        <v/>
      </c>
      <c r="Q59" s="32">
        <f>IF(O59="both",TRIM(IF(I59&lt;&gt;"","price ","")&amp;IF(K59&lt;&gt;"","xp ","")&amp;IF(G59="differs","time","")),"")</f>
        <v/>
      </c>
      <c r="R59" s="32" t="inlineStr">
        <is>
          <t>hayday.info (primary values) + Fandom (times, cross-check)</t>
        </is>
      </c>
      <c r="S59" s="32" t="inlineStr">
        <is>
          <t>https://hayday.fandom.com/wiki/Candy_Machine</t>
        </is>
      </c>
    </row>
    <row r="60" ht="15" customHeight="1" s="29">
      <c r="A60" s="32" t="inlineStr">
        <is>
          <t>Jelly Beans</t>
        </is>
      </c>
      <c r="B60" s="32" t="inlineStr">
        <is>
          <t>Candy Machine</t>
        </is>
      </c>
      <c r="C60" s="33" t="n">
        <v>60</v>
      </c>
      <c r="D60" s="34" t="n">
        <v>1440</v>
      </c>
      <c r="E60" s="34" t="n">
        <v>1224</v>
      </c>
      <c r="F60" s="34" t="n">
        <v>1224</v>
      </c>
      <c r="G60" s="32">
        <f>IF(OR(F60="",AND(D60="",E60="")),"n/a",IF(F60=E60,"mastered",IF(F60=D60,"normal","differs")))</f>
        <v/>
      </c>
      <c r="H60" s="35" t="n">
        <v>684</v>
      </c>
      <c r="I60" s="35" t="n"/>
      <c r="J60" s="33" t="n">
        <v>81</v>
      </c>
      <c r="K60" s="33" t="n"/>
      <c r="L60" s="36" t="n">
        <v>-0.2941176471</v>
      </c>
      <c r="M60" s="37" t="n">
        <v>3.970588235</v>
      </c>
      <c r="N60" s="32">
        <f>IF(L60="","",IF(L60&lt;0,"negative profit",IF(L60&gt;Notes!$B$4,"unusually high - verify","")))</f>
        <v/>
      </c>
      <c r="O60" s="32" t="inlineStr">
        <is>
          <t>both</t>
        </is>
      </c>
      <c r="P60" s="32">
        <f>IF(O60&lt;&gt;"both",O60&amp;" only",IF(Q60="","agree","conflict"))</f>
        <v/>
      </c>
      <c r="Q60" s="32">
        <f>IF(O60="both",TRIM(IF(I60&lt;&gt;"","price ","")&amp;IF(K60&lt;&gt;"","xp ","")&amp;IF(G60="differs","time","")),"")</f>
        <v/>
      </c>
      <c r="R60" s="32" t="inlineStr">
        <is>
          <t>hayday.info (primary values) + Fandom (times, cross-check)</t>
        </is>
      </c>
      <c r="S60" s="32" t="inlineStr">
        <is>
          <t>https://hayday.fandom.com/wiki/Candy_Machine</t>
        </is>
      </c>
    </row>
    <row r="61" ht="15" customHeight="1" s="29">
      <c r="A61" s="32" t="inlineStr">
        <is>
          <t>Honey Peanuts</t>
        </is>
      </c>
      <c r="B61" s="32" t="inlineStr">
        <is>
          <t>Candy Machine</t>
        </is>
      </c>
      <c r="C61" s="33" t="n">
        <v>63</v>
      </c>
      <c r="D61" s="34" t="n">
        <v>40</v>
      </c>
      <c r="E61" s="34" t="n">
        <v>34</v>
      </c>
      <c r="F61" s="34" t="n">
        <v>34</v>
      </c>
      <c r="G61" s="32">
        <f>IF(OR(F61="",AND(D61="",E61="")),"n/a",IF(F61=E61,"mastered",IF(F61=D61,"normal","differs")))</f>
        <v/>
      </c>
      <c r="H61" s="35" t="n">
        <v>540</v>
      </c>
      <c r="I61" s="35" t="n"/>
      <c r="J61" s="33" t="n">
        <v>64</v>
      </c>
      <c r="K61" s="33" t="n"/>
      <c r="L61" s="36" t="n">
        <v>268.2352941</v>
      </c>
      <c r="M61" s="37" t="n">
        <v>112.9411765</v>
      </c>
      <c r="N61" s="32">
        <f>IF(L61="","",IF(L61&lt;0,"negative profit",IF(L61&gt;Notes!$B$4,"unusually high - verify","")))</f>
        <v/>
      </c>
      <c r="O61" s="32" t="inlineStr">
        <is>
          <t>both</t>
        </is>
      </c>
      <c r="P61" s="32">
        <f>IF(O61&lt;&gt;"both",O61&amp;" only",IF(Q61="","agree","conflict"))</f>
        <v/>
      </c>
      <c r="Q61" s="32">
        <f>IF(O61="both",TRIM(IF(I61&lt;&gt;"","price ","")&amp;IF(K61&lt;&gt;"","xp ","")&amp;IF(G61="differs","time","")),"")</f>
        <v/>
      </c>
      <c r="R61" s="32" t="inlineStr">
        <is>
          <t>hayday.info (primary values) + Fandom (times, cross-check)</t>
        </is>
      </c>
      <c r="S61" s="32" t="inlineStr">
        <is>
          <t>https://hayday.fandom.com/wiki/Candy_Machine</t>
        </is>
      </c>
    </row>
    <row r="62" ht="15" customHeight="1" s="29">
      <c r="A62" s="32" t="inlineStr">
        <is>
          <t>Cotton Candy</t>
        </is>
      </c>
      <c r="B62" s="32" t="inlineStr">
        <is>
          <t>Candy Machine</t>
        </is>
      </c>
      <c r="C62" s="33" t="n">
        <v>75</v>
      </c>
      <c r="D62" s="34" t="n"/>
      <c r="E62" s="34" t="n"/>
      <c r="F62" s="34" t="n">
        <v>25</v>
      </c>
      <c r="G62" s="32">
        <f>IF(OR(F62="",AND(D62="",E62="")),"n/a",IF(F62=E62,"mastered",IF(F62=D62,"normal","differs")))</f>
        <v/>
      </c>
      <c r="H62" s="35" t="n">
        <v>226</v>
      </c>
      <c r="I62" s="35" t="n"/>
      <c r="J62" s="33" t="n">
        <v>27</v>
      </c>
      <c r="K62" s="33" t="n"/>
      <c r="L62" s="36" t="n">
        <v>61.17647059</v>
      </c>
      <c r="M62" s="37" t="n">
        <v>63.52941176</v>
      </c>
      <c r="N62" s="32">
        <f>IF(L62="","",IF(L62&lt;0,"negative profit",IF(L62&gt;Notes!$B$4,"unusually high - verify","")))</f>
        <v/>
      </c>
      <c r="O62" s="32" t="inlineStr">
        <is>
          <t>hayday.info</t>
        </is>
      </c>
      <c r="P62" s="32">
        <f>IF(O62&lt;&gt;"both",O62&amp;" only",IF(Q62="","agree","conflict"))</f>
        <v/>
      </c>
      <c r="Q62" s="32">
        <f>IF(O62="both",TRIM(IF(I62&lt;&gt;"","price ","")&amp;IF(K62&lt;&gt;"","xp ","")&amp;IF(G62="differs","time","")),"")</f>
        <v/>
      </c>
      <c r="R62" s="32" t="inlineStr">
        <is>
          <t>hayday.info /api/production-data only</t>
        </is>
      </c>
      <c r="S62" s="32" t="n"/>
    </row>
    <row r="63" ht="15" customHeight="1" s="29">
      <c r="A63" s="32" t="inlineStr">
        <is>
          <t>Sesame Brittle</t>
        </is>
      </c>
      <c r="B63" s="32" t="inlineStr">
        <is>
          <t>Candy Machine</t>
        </is>
      </c>
      <c r="C63" s="33" t="n">
        <v>78</v>
      </c>
      <c r="D63" s="34" t="n">
        <v>60</v>
      </c>
      <c r="E63" s="34" t="n">
        <v>51</v>
      </c>
      <c r="F63" s="34" t="n">
        <v>51</v>
      </c>
      <c r="G63" s="32">
        <f>IF(OR(F63="",AND(D63="",E63="")),"n/a",IF(F63=E63,"mastered",IF(F63=D63,"normal","differs")))</f>
        <v/>
      </c>
      <c r="H63" s="35" t="n">
        <v>270</v>
      </c>
      <c r="I63" s="35" t="n"/>
      <c r="J63" s="33" t="n">
        <v>32</v>
      </c>
      <c r="K63" s="33" t="n"/>
      <c r="L63" s="36" t="n">
        <v>40</v>
      </c>
      <c r="M63" s="37" t="n">
        <v>37.64705882</v>
      </c>
      <c r="N63" s="32">
        <f>IF(L63="","",IF(L63&lt;0,"negative profit",IF(L63&gt;Notes!$B$4,"unusually high - verify","")))</f>
        <v/>
      </c>
      <c r="O63" s="32" t="inlineStr">
        <is>
          <t>both</t>
        </is>
      </c>
      <c r="P63" s="32">
        <f>IF(O63&lt;&gt;"both",O63&amp;" only",IF(Q63="","agree","conflict"))</f>
        <v/>
      </c>
      <c r="Q63" s="32">
        <f>IF(O63="both",TRIM(IF(I63&lt;&gt;"","price ","")&amp;IF(K63&lt;&gt;"","xp ","")&amp;IF(G63="differs","time","")),"")</f>
        <v/>
      </c>
      <c r="R63" s="32" t="inlineStr">
        <is>
          <t>hayday.info (primary values) + Fandom (times, cross-check)</t>
        </is>
      </c>
      <c r="S63" s="32" t="inlineStr">
        <is>
          <t>https://hayday.fandom.com/wiki/Candy_Machine</t>
        </is>
      </c>
    </row>
    <row r="64" ht="15" customHeight="1" s="29">
      <c r="A64" s="32" t="inlineStr">
        <is>
          <t>Espresso</t>
        </is>
      </c>
      <c r="B64" s="32" t="inlineStr">
        <is>
          <t>Coffee Kiosk</t>
        </is>
      </c>
      <c r="C64" s="33" t="n">
        <v>42</v>
      </c>
      <c r="D64" s="34" t="n">
        <v>5</v>
      </c>
      <c r="E64" s="34" t="n">
        <v>4</v>
      </c>
      <c r="F64" s="34" t="n">
        <v>4</v>
      </c>
      <c r="G64" s="32">
        <f>IF(OR(F64="",AND(D64="",E64="")),"n/a",IF(F64=E64,"mastered",IF(F64=D64,"normal","differs")))</f>
        <v/>
      </c>
      <c r="H64" s="35" t="n">
        <v>248</v>
      </c>
      <c r="I64" s="35" t="n"/>
      <c r="J64" s="33" t="n">
        <v>29</v>
      </c>
      <c r="K64" s="33" t="n"/>
      <c r="L64" s="36" t="n">
        <v>84.70588235</v>
      </c>
      <c r="M64" s="37" t="n">
        <v>409.4117647</v>
      </c>
      <c r="N64" s="32">
        <f>IF(L64="","",IF(L64&lt;0,"negative profit",IF(L64&gt;Notes!$B$4,"unusually high - verify","")))</f>
        <v/>
      </c>
      <c r="O64" s="32" t="inlineStr">
        <is>
          <t>both</t>
        </is>
      </c>
      <c r="P64" s="32">
        <f>IF(O64&lt;&gt;"both",O64&amp;" only",IF(Q64="","agree","conflict"))</f>
        <v/>
      </c>
      <c r="Q64" s="32">
        <f>IF(O64="both",TRIM(IF(I64&lt;&gt;"","price ","")&amp;IF(K64&lt;&gt;"","xp ","")&amp;IF(G64="differs","time","")),"")</f>
        <v/>
      </c>
      <c r="R64" s="32" t="inlineStr">
        <is>
          <t>hayday.info (primary values) + Fandom (times, cross-check)</t>
        </is>
      </c>
      <c r="S64" s="32" t="inlineStr">
        <is>
          <t>https://hayday.fandom.com/wiki/Coffee_Kiosk</t>
        </is>
      </c>
    </row>
    <row r="65" ht="15" customHeight="1" s="29">
      <c r="A65" s="32" t="inlineStr">
        <is>
          <t>Caffè Latte</t>
        </is>
      </c>
      <c r="B65" s="32" t="inlineStr">
        <is>
          <t>Coffee Kiosk</t>
        </is>
      </c>
      <c r="C65" s="33" t="n">
        <v>43</v>
      </c>
      <c r="D65" s="34" t="n">
        <v>10</v>
      </c>
      <c r="E65" s="34" t="n">
        <v>8</v>
      </c>
      <c r="F65" s="34" t="n">
        <v>8</v>
      </c>
      <c r="G65" s="32">
        <f>IF(OR(F65="",AND(D65="",E65="")),"n/a",IF(F65=E65,"mastered",IF(F65=D65,"normal","differs")))</f>
        <v/>
      </c>
      <c r="H65" s="35" t="n">
        <v>219</v>
      </c>
      <c r="I65" s="35" t="n"/>
      <c r="J65" s="33" t="n">
        <v>26</v>
      </c>
      <c r="K65" s="33" t="n"/>
      <c r="L65" s="36" t="n">
        <v>63.52941176</v>
      </c>
      <c r="M65" s="37" t="n">
        <v>183.5294118</v>
      </c>
      <c r="N65" s="32">
        <f>IF(L65="","",IF(L65&lt;0,"negative profit",IF(L65&gt;Notes!$B$4,"unusually high - verify","")))</f>
        <v/>
      </c>
      <c r="O65" s="32" t="inlineStr">
        <is>
          <t>both</t>
        </is>
      </c>
      <c r="P65" s="32">
        <f>IF(O65&lt;&gt;"both",O65&amp;" only",IF(Q65="","agree","conflict"))</f>
        <v/>
      </c>
      <c r="Q65" s="32">
        <f>IF(O65="both",TRIM(IF(I65&lt;&gt;"","price ","")&amp;IF(K65&lt;&gt;"","xp ","")&amp;IF(G65="differs","time","")),"")</f>
        <v/>
      </c>
      <c r="R65" s="32" t="inlineStr">
        <is>
          <t>hayday.info (primary values) + Fandom (times, cross-check)</t>
        </is>
      </c>
      <c r="S65" s="32" t="inlineStr">
        <is>
          <t>https://hayday.fandom.com/wiki/Coffee_Kiosk</t>
        </is>
      </c>
    </row>
    <row r="66" ht="15" customHeight="1" s="29">
      <c r="A66" s="32" t="inlineStr">
        <is>
          <t>Caffè Mocha</t>
        </is>
      </c>
      <c r="B66" s="32" t="inlineStr">
        <is>
          <t>Coffee Kiosk</t>
        </is>
      </c>
      <c r="C66" s="33" t="n">
        <v>45</v>
      </c>
      <c r="D66" s="34" t="n">
        <v>15</v>
      </c>
      <c r="E66" s="34" t="n">
        <v>12</v>
      </c>
      <c r="F66" s="34" t="n">
        <v>12</v>
      </c>
      <c r="G66" s="32">
        <f>IF(OR(F66="",AND(D66="",E66="")),"n/a",IF(F66=E66,"mastered",IF(F66=D66,"normal","differs")))</f>
        <v/>
      </c>
      <c r="H66" s="35" t="n">
        <v>291</v>
      </c>
      <c r="I66" s="35" t="n"/>
      <c r="J66" s="33" t="n">
        <v>35</v>
      </c>
      <c r="K66" s="33" t="n"/>
      <c r="L66" s="36" t="n">
        <v>23.52941176</v>
      </c>
      <c r="M66" s="37" t="n">
        <v>164.7058824</v>
      </c>
      <c r="N66" s="32">
        <f>IF(L66="","",IF(L66&lt;0,"negative profit",IF(L66&gt;Notes!$B$4,"unusually high - verify","")))</f>
        <v/>
      </c>
      <c r="O66" s="32" t="inlineStr">
        <is>
          <t>both</t>
        </is>
      </c>
      <c r="P66" s="32">
        <f>IF(O66&lt;&gt;"both",O66&amp;" only",IF(Q66="","agree","conflict"))</f>
        <v/>
      </c>
      <c r="Q66" s="32">
        <f>IF(O66="both",TRIM(IF(I66&lt;&gt;"","price ","")&amp;IF(K66&lt;&gt;"","xp ","")&amp;IF(G66="differs","time","")),"")</f>
        <v/>
      </c>
      <c r="R66" s="32" t="inlineStr">
        <is>
          <t>hayday.info (primary values) + Fandom (times, cross-check)</t>
        </is>
      </c>
      <c r="S66" s="32" t="inlineStr">
        <is>
          <t>https://hayday.fandom.com/wiki/Coffee_Kiosk</t>
        </is>
      </c>
    </row>
    <row r="67" ht="15" customHeight="1" s="29">
      <c r="A67" s="32" t="inlineStr">
        <is>
          <t>Raspberry Mocha</t>
        </is>
      </c>
      <c r="B67" s="32" t="inlineStr">
        <is>
          <t>Coffee Kiosk</t>
        </is>
      </c>
      <c r="C67" s="33" t="n">
        <v>46</v>
      </c>
      <c r="D67" s="34" t="n">
        <v>30</v>
      </c>
      <c r="E67" s="34" t="n">
        <v>25</v>
      </c>
      <c r="F67" s="34" t="n">
        <v>25</v>
      </c>
      <c r="G67" s="32">
        <f>IF(OR(F67="",AND(D67="",E67="")),"n/a",IF(F67=E67,"mastered",IF(F67=D67,"normal","differs")))</f>
        <v/>
      </c>
      <c r="H67" s="35" t="n">
        <v>259</v>
      </c>
      <c r="I67" s="35" t="n"/>
      <c r="J67" s="33" t="n">
        <v>31</v>
      </c>
      <c r="K67" s="33" t="n"/>
      <c r="L67" s="36" t="n">
        <v>30.58823529</v>
      </c>
      <c r="M67" s="37" t="n">
        <v>72.94117647</v>
      </c>
      <c r="N67" s="32">
        <f>IF(L67="","",IF(L67&lt;0,"negative profit",IF(L67&gt;Notes!$B$4,"unusually high - verify","")))</f>
        <v/>
      </c>
      <c r="O67" s="32" t="inlineStr">
        <is>
          <t>both</t>
        </is>
      </c>
      <c r="P67" s="32">
        <f>IF(O67&lt;&gt;"both",O67&amp;" only",IF(Q67="","agree","conflict"))</f>
        <v/>
      </c>
      <c r="Q67" s="32">
        <f>IF(O67="both",TRIM(IF(I67&lt;&gt;"","price ","")&amp;IF(K67&lt;&gt;"","xp ","")&amp;IF(G67="differs","time","")),"")</f>
        <v/>
      </c>
      <c r="R67" s="32" t="inlineStr">
        <is>
          <t>hayday.info (primary values) + Fandom (times, cross-check)</t>
        </is>
      </c>
      <c r="S67" s="32" t="inlineStr">
        <is>
          <t>https://hayday.fandom.com/wiki/Coffee_Kiosk</t>
        </is>
      </c>
    </row>
    <row r="68" ht="15" customHeight="1" s="29">
      <c r="A68" s="32" t="inlineStr">
        <is>
          <t>Hot Chocolate</t>
        </is>
      </c>
      <c r="B68" s="32" t="inlineStr">
        <is>
          <t>Coffee Kiosk</t>
        </is>
      </c>
      <c r="C68" s="33" t="n">
        <v>47</v>
      </c>
      <c r="D68" s="34" t="n">
        <v>25</v>
      </c>
      <c r="E68" s="34" t="n">
        <v>21</v>
      </c>
      <c r="F68" s="34" t="n">
        <v>21</v>
      </c>
      <c r="G68" s="32">
        <f>IF(OR(F68="",AND(D68="",E68="")),"n/a",IF(F68=E68,"mastered",IF(F68=D68,"normal","differs")))</f>
        <v/>
      </c>
      <c r="H68" s="35" t="n">
        <v>316</v>
      </c>
      <c r="I68" s="35" t="n"/>
      <c r="J68" s="33" t="n">
        <v>38</v>
      </c>
      <c r="K68" s="33" t="n">
        <v>32</v>
      </c>
      <c r="L68" s="36" t="n">
        <v>33.88235294</v>
      </c>
      <c r="M68" s="37" t="n">
        <v>107.2941176</v>
      </c>
      <c r="N68" s="32">
        <f>IF(L68="","",IF(L68&lt;0,"negative profit",IF(L68&gt;Notes!$B$4,"unusually high - verify","")))</f>
        <v/>
      </c>
      <c r="O68" s="32" t="inlineStr">
        <is>
          <t>both</t>
        </is>
      </c>
      <c r="P68" s="32">
        <f>IF(O68&lt;&gt;"both",O68&amp;" only",IF(Q68="","agree","conflict"))</f>
        <v/>
      </c>
      <c r="Q68" s="32">
        <f>IF(O68="both",TRIM(IF(I68&lt;&gt;"","price ","")&amp;IF(K68&lt;&gt;"","xp ","")&amp;IF(G68="differs","time","")),"")</f>
        <v/>
      </c>
      <c r="R68" s="32" t="inlineStr">
        <is>
          <t>hayday.info (primary values) + Fandom (times, cross-check)</t>
        </is>
      </c>
      <c r="S68" s="32" t="inlineStr">
        <is>
          <t>https://hayday.fandom.com/wiki/Coffee_Kiosk</t>
        </is>
      </c>
    </row>
    <row r="69" ht="15" customHeight="1" s="29">
      <c r="A69" s="32" t="inlineStr">
        <is>
          <t>Caramel Latte</t>
        </is>
      </c>
      <c r="B69" s="32" t="inlineStr">
        <is>
          <t>Coffee Kiosk</t>
        </is>
      </c>
      <c r="C69" s="33" t="n">
        <v>62</v>
      </c>
      <c r="D69" s="34" t="n">
        <v>15</v>
      </c>
      <c r="E69" s="34" t="n">
        <v>12</v>
      </c>
      <c r="F69" s="34" t="n">
        <v>12</v>
      </c>
      <c r="G69" s="32">
        <f>IF(OR(F69="",AND(D69="",E69="")),"n/a",IF(F69=E69,"mastered",IF(F69=D69,"normal","differs")))</f>
        <v/>
      </c>
      <c r="H69" s="35" t="n">
        <v>345</v>
      </c>
      <c r="I69" s="35" t="n"/>
      <c r="J69" s="33" t="n">
        <v>41</v>
      </c>
      <c r="K69" s="33" t="n"/>
      <c r="L69" s="36" t="n">
        <v>42.35294118</v>
      </c>
      <c r="M69" s="37" t="n">
        <v>192.9411765</v>
      </c>
      <c r="N69" s="32">
        <f>IF(L69="","",IF(L69&lt;0,"negative profit",IF(L69&gt;Notes!$B$4,"unusually high - verify","")))</f>
        <v/>
      </c>
      <c r="O69" s="32" t="inlineStr">
        <is>
          <t>both</t>
        </is>
      </c>
      <c r="P69" s="32">
        <f>IF(O69&lt;&gt;"both",O69&amp;" only",IF(Q69="","agree","conflict"))</f>
        <v/>
      </c>
      <c r="Q69" s="32">
        <f>IF(O69="both",TRIM(IF(I69&lt;&gt;"","price ","")&amp;IF(K69&lt;&gt;"","xp ","")&amp;IF(G69="differs","time","")),"")</f>
        <v/>
      </c>
      <c r="R69" s="32" t="inlineStr">
        <is>
          <t>hayday.info (primary values) + Fandom (times, cross-check)</t>
        </is>
      </c>
      <c r="S69" s="32" t="inlineStr">
        <is>
          <t>https://hayday.fandom.com/wiki/Coffee_Kiosk</t>
        </is>
      </c>
    </row>
    <row r="70" ht="15" customHeight="1" s="29">
      <c r="A70" s="32" t="inlineStr">
        <is>
          <t>Iced Banana Latte</t>
        </is>
      </c>
      <c r="B70" s="32" t="inlineStr">
        <is>
          <t>Coffee Kiosk</t>
        </is>
      </c>
      <c r="C70" s="33" t="n">
        <v>88</v>
      </c>
      <c r="D70" s="34" t="n">
        <v>20</v>
      </c>
      <c r="E70" s="34" t="n">
        <v>17</v>
      </c>
      <c r="F70" s="34" t="n">
        <v>17</v>
      </c>
      <c r="G70" s="32">
        <f>IF(OR(F70="",AND(D70="",E70="")),"n/a",IF(F70=E70,"mastered",IF(F70=D70,"normal","differs")))</f>
        <v/>
      </c>
      <c r="H70" s="35" t="n">
        <v>277</v>
      </c>
      <c r="I70" s="35" t="n"/>
      <c r="J70" s="33" t="n">
        <v>33</v>
      </c>
      <c r="K70" s="33" t="n"/>
      <c r="L70" s="36" t="n">
        <v>45.88235294</v>
      </c>
      <c r="M70" s="37" t="n">
        <v>116.4705882</v>
      </c>
      <c r="N70" s="32">
        <f>IF(L70="","",IF(L70&lt;0,"negative profit",IF(L70&gt;Notes!$B$4,"unusually high - verify","")))</f>
        <v/>
      </c>
      <c r="O70" s="32" t="inlineStr">
        <is>
          <t>both</t>
        </is>
      </c>
      <c r="P70" s="32">
        <f>IF(O70&lt;&gt;"both",O70&amp;" only",IF(Q70="","agree","conflict"))</f>
        <v/>
      </c>
      <c r="Q70" s="32">
        <f>IF(O70="both",TRIM(IF(I70&lt;&gt;"","price ","")&amp;IF(K70&lt;&gt;"","xp ","")&amp;IF(G70="differs","time","")),"")</f>
        <v/>
      </c>
      <c r="R70" s="32" t="inlineStr">
        <is>
          <t>hayday.info (primary values) + Fandom (times, cross-check)</t>
        </is>
      </c>
      <c r="S70" s="32" t="inlineStr">
        <is>
          <t>https://hayday.fandom.com/wiki/Coffee_Kiosk</t>
        </is>
      </c>
    </row>
    <row r="71" ht="15" customHeight="1" s="29">
      <c r="A71" s="32" t="inlineStr">
        <is>
          <t>Wheat</t>
        </is>
      </c>
      <c r="B71" s="32" t="inlineStr">
        <is>
          <t>Crops</t>
        </is>
      </c>
      <c r="C71" s="33" t="n">
        <v>1</v>
      </c>
      <c r="D71" s="34" t="n"/>
      <c r="E71" s="34" t="n"/>
      <c r="F71" s="34" t="n">
        <v>2</v>
      </c>
      <c r="G71" s="32">
        <f>IF(OR(F71="",AND(D71="",E71="")),"n/a",IF(F71=E71,"mastered",IF(F71=D71,"normal","differs")))</f>
        <v/>
      </c>
      <c r="H71" s="35" t="n">
        <v>3</v>
      </c>
      <c r="I71" s="35" t="n"/>
      <c r="J71" s="33" t="n">
        <v>1</v>
      </c>
      <c r="K71" s="33" t="n"/>
      <c r="L71" s="36" t="n">
        <v>90</v>
      </c>
      <c r="M71" s="37" t="n">
        <v>30</v>
      </c>
      <c r="N71" s="32">
        <f>IF(L71="","",IF(L71&lt;0,"negative profit",IF(L71&gt;Notes!$B$4,"unusually high - verify","")))</f>
        <v/>
      </c>
      <c r="O71" s="32" t="inlineStr">
        <is>
          <t>hayday.info</t>
        </is>
      </c>
      <c r="P71" s="32">
        <f>IF(O71&lt;&gt;"both",O71&amp;" only",IF(Q71="","agree","conflict"))</f>
        <v/>
      </c>
      <c r="Q71" s="32">
        <f>IF(O71="both",TRIM(IF(I71&lt;&gt;"","price ","")&amp;IF(K71&lt;&gt;"","xp ","")&amp;IF(G71="differs","time","")),"")</f>
        <v/>
      </c>
      <c r="R71" s="32" t="inlineStr">
        <is>
          <t>hayday.info /api/production-data only</t>
        </is>
      </c>
      <c r="S71" s="32" t="n"/>
    </row>
    <row r="72" ht="15" customHeight="1" s="29">
      <c r="A72" s="32" t="inlineStr">
        <is>
          <t>Corn</t>
        </is>
      </c>
      <c r="B72" s="32" t="inlineStr">
        <is>
          <t>Crops</t>
        </is>
      </c>
      <c r="C72" s="33" t="n">
        <v>2</v>
      </c>
      <c r="D72" s="34" t="n"/>
      <c r="E72" s="34" t="n"/>
      <c r="F72" s="34" t="n">
        <v>5</v>
      </c>
      <c r="G72" s="32">
        <f>IF(OR(F72="",AND(D72="",E72="")),"n/a",IF(F72=E72,"mastered",IF(F72=D72,"normal","differs")))</f>
        <v/>
      </c>
      <c r="H72" s="35" t="n">
        <v>7</v>
      </c>
      <c r="I72" s="35" t="n"/>
      <c r="J72" s="33" t="n">
        <v>1</v>
      </c>
      <c r="K72" s="33" t="n"/>
      <c r="L72" s="36" t="n">
        <v>84</v>
      </c>
      <c r="M72" s="37" t="n">
        <v>12</v>
      </c>
      <c r="N72" s="32">
        <f>IF(L72="","",IF(L72&lt;0,"negative profit",IF(L72&gt;Notes!$B$4,"unusually high - verify","")))</f>
        <v/>
      </c>
      <c r="O72" s="32" t="inlineStr">
        <is>
          <t>hayday.info</t>
        </is>
      </c>
      <c r="P72" s="32">
        <f>IF(O72&lt;&gt;"both",O72&amp;" only",IF(Q72="","agree","conflict"))</f>
        <v/>
      </c>
      <c r="Q72" s="32">
        <f>IF(O72="both",TRIM(IF(I72&lt;&gt;"","price ","")&amp;IF(K72&lt;&gt;"","xp ","")&amp;IF(G72="differs","time","")),"")</f>
        <v/>
      </c>
      <c r="R72" s="32" t="inlineStr">
        <is>
          <t>hayday.info /api/production-data only</t>
        </is>
      </c>
      <c r="S72" s="32" t="n"/>
    </row>
    <row r="73" ht="15" customHeight="1" s="29">
      <c r="A73" s="32" t="inlineStr">
        <is>
          <t>Soybean</t>
        </is>
      </c>
      <c r="B73" s="32" t="inlineStr">
        <is>
          <t>Crops</t>
        </is>
      </c>
      <c r="C73" s="33" t="n">
        <v>5</v>
      </c>
      <c r="D73" s="34" t="n"/>
      <c r="E73" s="34" t="n"/>
      <c r="F73" s="34" t="n">
        <v>20</v>
      </c>
      <c r="G73" s="32">
        <f>IF(OR(F73="",AND(D73="",E73="")),"n/a",IF(F73=E73,"mastered",IF(F73=D73,"normal","differs")))</f>
        <v/>
      </c>
      <c r="H73" s="35" t="n">
        <v>10</v>
      </c>
      <c r="I73" s="35" t="n"/>
      <c r="J73" s="33" t="n">
        <v>2</v>
      </c>
      <c r="K73" s="33" t="n"/>
      <c r="L73" s="36" t="n">
        <v>30</v>
      </c>
      <c r="M73" s="37" t="n">
        <v>6</v>
      </c>
      <c r="N73" s="32">
        <f>IF(L73="","",IF(L73&lt;0,"negative profit",IF(L73&gt;Notes!$B$4,"unusually high - verify","")))</f>
        <v/>
      </c>
      <c r="O73" s="32" t="inlineStr">
        <is>
          <t>hayday.info</t>
        </is>
      </c>
      <c r="P73" s="32">
        <f>IF(O73&lt;&gt;"both",O73&amp;" only",IF(Q73="","agree","conflict"))</f>
        <v/>
      </c>
      <c r="Q73" s="32">
        <f>IF(O73="both",TRIM(IF(I73&lt;&gt;"","price ","")&amp;IF(K73&lt;&gt;"","xp ","")&amp;IF(G73="differs","time","")),"")</f>
        <v/>
      </c>
      <c r="R73" s="32" t="inlineStr">
        <is>
          <t>hayday.info /api/production-data only</t>
        </is>
      </c>
      <c r="S73" s="32" t="n"/>
    </row>
    <row r="74" ht="15" customHeight="1" s="29">
      <c r="A74" s="32" t="inlineStr">
        <is>
          <t>Sugarcane</t>
        </is>
      </c>
      <c r="B74" s="32" t="inlineStr">
        <is>
          <t>Crops</t>
        </is>
      </c>
      <c r="C74" s="33" t="n">
        <v>7</v>
      </c>
      <c r="D74" s="34" t="n"/>
      <c r="E74" s="34" t="n"/>
      <c r="F74" s="34" t="n">
        <v>30</v>
      </c>
      <c r="G74" s="32">
        <f>IF(OR(F74="",AND(D74="",E74="")),"n/a",IF(F74=E74,"mastered",IF(F74=D74,"normal","differs")))</f>
        <v/>
      </c>
      <c r="H74" s="35" t="n">
        <v>14</v>
      </c>
      <c r="I74" s="35" t="n"/>
      <c r="J74" s="33" t="n">
        <v>3</v>
      </c>
      <c r="K74" s="33" t="n"/>
      <c r="L74" s="36" t="n">
        <v>28</v>
      </c>
      <c r="M74" s="37" t="n">
        <v>6</v>
      </c>
      <c r="N74" s="32">
        <f>IF(L74="","",IF(L74&lt;0,"negative profit",IF(L74&gt;Notes!$B$4,"unusually high - verify","")))</f>
        <v/>
      </c>
      <c r="O74" s="32" t="inlineStr">
        <is>
          <t>hayday.info</t>
        </is>
      </c>
      <c r="P74" s="32">
        <f>IF(O74&lt;&gt;"both",O74&amp;" only",IF(Q74="","agree","conflict"))</f>
        <v/>
      </c>
      <c r="Q74" s="32">
        <f>IF(O74="both",TRIM(IF(I74&lt;&gt;"","price ","")&amp;IF(K74&lt;&gt;"","xp ","")&amp;IF(G74="differs","time","")),"")</f>
        <v/>
      </c>
      <c r="R74" s="32" t="inlineStr">
        <is>
          <t>hayday.info /api/production-data only</t>
        </is>
      </c>
      <c r="S74" s="32" t="n"/>
    </row>
    <row r="75" ht="15" customHeight="1" s="29">
      <c r="A75" s="32" t="inlineStr">
        <is>
          <t>Carrot</t>
        </is>
      </c>
      <c r="B75" s="32" t="inlineStr">
        <is>
          <t>Crops</t>
        </is>
      </c>
      <c r="C75" s="33" t="n">
        <v>9</v>
      </c>
      <c r="D75" s="34" t="n"/>
      <c r="E75" s="34" t="n"/>
      <c r="F75" s="34" t="n">
        <v>10</v>
      </c>
      <c r="G75" s="32">
        <f>IF(OR(F75="",AND(D75="",E75="")),"n/a",IF(F75=E75,"mastered",IF(F75=D75,"normal","differs")))</f>
        <v/>
      </c>
      <c r="H75" s="35" t="n">
        <v>7</v>
      </c>
      <c r="I75" s="35" t="n"/>
      <c r="J75" s="33" t="n">
        <v>2</v>
      </c>
      <c r="K75" s="33" t="n"/>
      <c r="L75" s="36" t="n">
        <v>42</v>
      </c>
      <c r="M75" s="37" t="n">
        <v>12</v>
      </c>
      <c r="N75" s="32">
        <f>IF(L75="","",IF(L75&lt;0,"negative profit",IF(L75&gt;Notes!$B$4,"unusually high - verify","")))</f>
        <v/>
      </c>
      <c r="O75" s="32" t="inlineStr">
        <is>
          <t>hayday.info</t>
        </is>
      </c>
      <c r="P75" s="32">
        <f>IF(O75&lt;&gt;"both",O75&amp;" only",IF(Q75="","agree","conflict"))</f>
        <v/>
      </c>
      <c r="Q75" s="32">
        <f>IF(O75="both",TRIM(IF(I75&lt;&gt;"","price ","")&amp;IF(K75&lt;&gt;"","xp ","")&amp;IF(G75="differs","time","")),"")</f>
        <v/>
      </c>
      <c r="R75" s="32" t="inlineStr">
        <is>
          <t>hayday.info /api/production-data only</t>
        </is>
      </c>
      <c r="S75" s="32" t="n"/>
    </row>
    <row r="76" ht="15" customHeight="1" s="29">
      <c r="A76" s="32" t="inlineStr">
        <is>
          <t>Indigo</t>
        </is>
      </c>
      <c r="B76" s="32" t="inlineStr">
        <is>
          <t>Crops</t>
        </is>
      </c>
      <c r="C76" s="33" t="n">
        <v>13</v>
      </c>
      <c r="D76" s="34" t="n"/>
      <c r="E76" s="34" t="n"/>
      <c r="F76" s="34" t="n">
        <v>120</v>
      </c>
      <c r="G76" s="32">
        <f>IF(OR(F76="",AND(D76="",E76="")),"n/a",IF(F76=E76,"mastered",IF(F76=D76,"normal","differs")))</f>
        <v/>
      </c>
      <c r="H76" s="35" t="n">
        <v>25</v>
      </c>
      <c r="I76" s="35" t="n"/>
      <c r="J76" s="33" t="n">
        <v>5</v>
      </c>
      <c r="K76" s="33" t="n"/>
      <c r="L76" s="36" t="n">
        <v>12.5</v>
      </c>
      <c r="M76" s="37" t="n">
        <v>2.5</v>
      </c>
      <c r="N76" s="32">
        <f>IF(L76="","",IF(L76&lt;0,"negative profit",IF(L76&gt;Notes!$B$4,"unusually high - verify","")))</f>
        <v/>
      </c>
      <c r="O76" s="32" t="inlineStr">
        <is>
          <t>hayday.info</t>
        </is>
      </c>
      <c r="P76" s="32">
        <f>IF(O76&lt;&gt;"both",O76&amp;" only",IF(Q76="","agree","conflict"))</f>
        <v/>
      </c>
      <c r="Q76" s="32">
        <f>IF(O76="both",TRIM(IF(I76&lt;&gt;"","price ","")&amp;IF(K76&lt;&gt;"","xp ","")&amp;IF(G76="differs","time","")),"")</f>
        <v/>
      </c>
      <c r="R76" s="32" t="inlineStr">
        <is>
          <t>hayday.info /api/production-data only</t>
        </is>
      </c>
      <c r="S76" s="32" t="n"/>
    </row>
    <row r="77" ht="15" customHeight="1" s="29">
      <c r="A77" s="32" t="inlineStr">
        <is>
          <t>Pumpkin</t>
        </is>
      </c>
      <c r="B77" s="32" t="inlineStr">
        <is>
          <t>Crops</t>
        </is>
      </c>
      <c r="C77" s="33" t="n">
        <v>15</v>
      </c>
      <c r="D77" s="34" t="n"/>
      <c r="E77" s="34" t="n"/>
      <c r="F77" s="34" t="n">
        <v>180</v>
      </c>
      <c r="G77" s="32">
        <f>IF(OR(F77="",AND(D77="",E77="")),"n/a",IF(F77=E77,"mastered",IF(F77=D77,"normal","differs")))</f>
        <v/>
      </c>
      <c r="H77" s="35" t="n">
        <v>32</v>
      </c>
      <c r="I77" s="35" t="n"/>
      <c r="J77" s="33" t="n">
        <v>6</v>
      </c>
      <c r="K77" s="33" t="n"/>
      <c r="L77" s="36" t="n">
        <v>10.66666667</v>
      </c>
      <c r="M77" s="37" t="n">
        <v>2</v>
      </c>
      <c r="N77" s="32">
        <f>IF(L77="","",IF(L77&lt;0,"negative profit",IF(L77&gt;Notes!$B$4,"unusually high - verify","")))</f>
        <v/>
      </c>
      <c r="O77" s="32" t="inlineStr">
        <is>
          <t>hayday.info</t>
        </is>
      </c>
      <c r="P77" s="32">
        <f>IF(O77&lt;&gt;"both",O77&amp;" only",IF(Q77="","agree","conflict"))</f>
        <v/>
      </c>
      <c r="Q77" s="32">
        <f>IF(O77="both",TRIM(IF(I77&lt;&gt;"","price ","")&amp;IF(K77&lt;&gt;"","xp ","")&amp;IF(G77="differs","time","")),"")</f>
        <v/>
      </c>
      <c r="R77" s="32" t="inlineStr">
        <is>
          <t>hayday.info /api/production-data only</t>
        </is>
      </c>
      <c r="S77" s="32" t="n"/>
    </row>
    <row r="78" ht="15" customHeight="1" s="29">
      <c r="A78" s="32" t="inlineStr">
        <is>
          <t>Cotton</t>
        </is>
      </c>
      <c r="B78" s="32" t="inlineStr">
        <is>
          <t>Crops</t>
        </is>
      </c>
      <c r="C78" s="33" t="n">
        <v>18</v>
      </c>
      <c r="D78" s="34" t="n"/>
      <c r="E78" s="34" t="n"/>
      <c r="F78" s="34" t="n">
        <v>150</v>
      </c>
      <c r="G78" s="32">
        <f>IF(OR(F78="",AND(D78="",E78="")),"n/a",IF(F78=E78,"mastered",IF(F78=D78,"normal","differs")))</f>
        <v/>
      </c>
      <c r="H78" s="35" t="n">
        <v>28</v>
      </c>
      <c r="I78" s="35" t="n"/>
      <c r="J78" s="33" t="n">
        <v>6</v>
      </c>
      <c r="K78" s="33" t="n"/>
      <c r="L78" s="36" t="n">
        <v>11.2</v>
      </c>
      <c r="M78" s="37" t="n">
        <v>2.4</v>
      </c>
      <c r="N78" s="32">
        <f>IF(L78="","",IF(L78&lt;0,"negative profit",IF(L78&gt;Notes!$B$4,"unusually high - verify","")))</f>
        <v/>
      </c>
      <c r="O78" s="32" t="inlineStr">
        <is>
          <t>hayday.info</t>
        </is>
      </c>
      <c r="P78" s="32">
        <f>IF(O78&lt;&gt;"both",O78&amp;" only",IF(Q78="","agree","conflict"))</f>
        <v/>
      </c>
      <c r="Q78" s="32">
        <f>IF(O78="both",TRIM(IF(I78&lt;&gt;"","price ","")&amp;IF(K78&lt;&gt;"","xp ","")&amp;IF(G78="differs","time","")),"")</f>
        <v/>
      </c>
      <c r="R78" s="32" t="inlineStr">
        <is>
          <t>hayday.info /api/production-data only</t>
        </is>
      </c>
      <c r="S78" s="32" t="n"/>
    </row>
    <row r="79" ht="15" customHeight="1" s="29">
      <c r="A79" s="32" t="inlineStr">
        <is>
          <t>Chili Pepper</t>
        </is>
      </c>
      <c r="B79" s="32" t="inlineStr">
        <is>
          <t>Crops</t>
        </is>
      </c>
      <c r="C79" s="33" t="n">
        <v>25</v>
      </c>
      <c r="D79" s="34" t="n"/>
      <c r="E79" s="34" t="n"/>
      <c r="F79" s="34" t="n">
        <v>240</v>
      </c>
      <c r="G79" s="32">
        <f>IF(OR(F79="",AND(D79="",E79="")),"n/a",IF(F79=E79,"mastered",IF(F79=D79,"normal","differs")))</f>
        <v/>
      </c>
      <c r="H79" s="35" t="n">
        <v>36</v>
      </c>
      <c r="I79" s="35" t="n"/>
      <c r="J79" s="33" t="n">
        <v>4</v>
      </c>
      <c r="K79" s="33" t="n"/>
      <c r="L79" s="36" t="n">
        <v>9</v>
      </c>
      <c r="M79" s="37" t="n">
        <v>1</v>
      </c>
      <c r="N79" s="32">
        <f>IF(L79="","",IF(L79&lt;0,"negative profit",IF(L79&gt;Notes!$B$4,"unusually high - verify","")))</f>
        <v/>
      </c>
      <c r="O79" s="32" t="inlineStr">
        <is>
          <t>hayday.info</t>
        </is>
      </c>
      <c r="P79" s="32">
        <f>IF(O79&lt;&gt;"both",O79&amp;" only",IF(Q79="","agree","conflict"))</f>
        <v/>
      </c>
      <c r="Q79" s="32">
        <f>IF(O79="both",TRIM(IF(I79&lt;&gt;"","price ","")&amp;IF(K79&lt;&gt;"","xp ","")&amp;IF(G79="differs","time","")),"")</f>
        <v/>
      </c>
      <c r="R79" s="32" t="inlineStr">
        <is>
          <t>hayday.info /api/production-data only</t>
        </is>
      </c>
      <c r="S79" s="32" t="n"/>
    </row>
    <row r="80" ht="15" customHeight="1" s="29">
      <c r="A80" s="32" t="inlineStr">
        <is>
          <t>Tomato</t>
        </is>
      </c>
      <c r="B80" s="32" t="inlineStr">
        <is>
          <t>Crops</t>
        </is>
      </c>
      <c r="C80" s="33" t="n">
        <v>30</v>
      </c>
      <c r="D80" s="34" t="n"/>
      <c r="E80" s="34" t="n"/>
      <c r="F80" s="34" t="n">
        <v>360</v>
      </c>
      <c r="G80" s="32">
        <f>IF(OR(F80="",AND(D80="",E80="")),"n/a",IF(F80=E80,"mastered",IF(F80=D80,"normal","differs")))</f>
        <v/>
      </c>
      <c r="H80" s="35" t="n">
        <v>43</v>
      </c>
      <c r="I80" s="35" t="n"/>
      <c r="J80" s="33" t="n">
        <v>8</v>
      </c>
      <c r="K80" s="33" t="n"/>
      <c r="L80" s="36" t="n">
        <v>7.166666667</v>
      </c>
      <c r="M80" s="37" t="n">
        <v>1.333333333</v>
      </c>
      <c r="N80" s="32">
        <f>IF(L80="","",IF(L80&lt;0,"negative profit",IF(L80&gt;Notes!$B$4,"unusually high - verify","")))</f>
        <v/>
      </c>
      <c r="O80" s="32" t="inlineStr">
        <is>
          <t>hayday.info</t>
        </is>
      </c>
      <c r="P80" s="32">
        <f>IF(O80&lt;&gt;"both",O80&amp;" only",IF(Q80="","agree","conflict"))</f>
        <v/>
      </c>
      <c r="Q80" s="32">
        <f>IF(O80="both",TRIM(IF(I80&lt;&gt;"","price ","")&amp;IF(K80&lt;&gt;"","xp ","")&amp;IF(G80="differs","time","")),"")</f>
        <v/>
      </c>
      <c r="R80" s="32" t="inlineStr">
        <is>
          <t>hayday.info /api/production-data only</t>
        </is>
      </c>
      <c r="S80" s="32" t="n"/>
    </row>
    <row r="81" ht="15" customHeight="1" s="29">
      <c r="A81" s="32" t="inlineStr">
        <is>
          <t>Strawberry</t>
        </is>
      </c>
      <c r="B81" s="32" t="inlineStr">
        <is>
          <t>Crops</t>
        </is>
      </c>
      <c r="C81" s="33" t="n">
        <v>34</v>
      </c>
      <c r="D81" s="34" t="n"/>
      <c r="E81" s="34" t="n"/>
      <c r="F81" s="34" t="n">
        <v>480</v>
      </c>
      <c r="G81" s="32">
        <f>IF(OR(F81="",AND(D81="",E81="")),"n/a",IF(F81=E81,"mastered",IF(F81=D81,"normal","differs")))</f>
        <v/>
      </c>
      <c r="H81" s="35" t="n">
        <v>50</v>
      </c>
      <c r="I81" s="35" t="n"/>
      <c r="J81" s="33" t="n">
        <v>10</v>
      </c>
      <c r="K81" s="33" t="n"/>
      <c r="L81" s="36" t="n">
        <v>6.25</v>
      </c>
      <c r="M81" s="37" t="n">
        <v>1.25</v>
      </c>
      <c r="N81" s="32">
        <f>IF(L81="","",IF(L81&lt;0,"negative profit",IF(L81&gt;Notes!$B$4,"unusually high - verify","")))</f>
        <v/>
      </c>
      <c r="O81" s="32" t="inlineStr">
        <is>
          <t>hayday.info</t>
        </is>
      </c>
      <c r="P81" s="32">
        <f>IF(O81&lt;&gt;"both",O81&amp;" only",IF(Q81="","agree","conflict"))</f>
        <v/>
      </c>
      <c r="Q81" s="32">
        <f>IF(O81="both",TRIM(IF(I81&lt;&gt;"","price ","")&amp;IF(K81&lt;&gt;"","xp ","")&amp;IF(G81="differs","time","")),"")</f>
        <v/>
      </c>
      <c r="R81" s="32" t="inlineStr">
        <is>
          <t>hayday.info /api/production-data only</t>
        </is>
      </c>
      <c r="S81" s="32" t="n"/>
    </row>
    <row r="82" ht="15" customHeight="1" s="29">
      <c r="A82" s="32" t="inlineStr">
        <is>
          <t>Potato</t>
        </is>
      </c>
      <c r="B82" s="32" t="inlineStr">
        <is>
          <t>Crops</t>
        </is>
      </c>
      <c r="C82" s="33" t="n">
        <v>35</v>
      </c>
      <c r="D82" s="34" t="n"/>
      <c r="E82" s="34" t="n"/>
      <c r="F82" s="34" t="n">
        <v>220</v>
      </c>
      <c r="G82" s="32">
        <f>IF(OR(F82="",AND(D82="",E82="")),"n/a",IF(F82=E82,"mastered",IF(F82=D82,"normal","differs")))</f>
        <v/>
      </c>
      <c r="H82" s="35" t="n">
        <v>36</v>
      </c>
      <c r="I82" s="35" t="n"/>
      <c r="J82" s="33" t="n">
        <v>7</v>
      </c>
      <c r="K82" s="33" t="n"/>
      <c r="L82" s="36" t="n">
        <v>9.818181817999999</v>
      </c>
      <c r="M82" s="37" t="n">
        <v>1.909090909</v>
      </c>
      <c r="N82" s="32">
        <f>IF(L82="","",IF(L82&lt;0,"negative profit",IF(L82&gt;Notes!$B$4,"unusually high - verify","")))</f>
        <v/>
      </c>
      <c r="O82" s="32" t="inlineStr">
        <is>
          <t>hayday.info</t>
        </is>
      </c>
      <c r="P82" s="32">
        <f>IF(O82&lt;&gt;"both",O82&amp;" only",IF(Q82="","agree","conflict"))</f>
        <v/>
      </c>
      <c r="Q82" s="32">
        <f>IF(O82="both",TRIM(IF(I82&lt;&gt;"","price ","")&amp;IF(K82&lt;&gt;"","xp ","")&amp;IF(G82="differs","time","")),"")</f>
        <v/>
      </c>
      <c r="R82" s="32" t="inlineStr">
        <is>
          <t>hayday.info /api/production-data only</t>
        </is>
      </c>
      <c r="S82" s="32" t="n"/>
    </row>
    <row r="83" ht="15" customHeight="1" s="29">
      <c r="A83" s="32" t="inlineStr">
        <is>
          <t>Sesame</t>
        </is>
      </c>
      <c r="B83" s="32" t="inlineStr">
        <is>
          <t>Crops</t>
        </is>
      </c>
      <c r="C83" s="33" t="n">
        <v>50</v>
      </c>
      <c r="D83" s="34" t="n"/>
      <c r="E83" s="34" t="n"/>
      <c r="F83" s="34" t="n">
        <v>60</v>
      </c>
      <c r="G83" s="32">
        <f>IF(OR(F83="",AND(D83="",E83="")),"n/a",IF(F83=E83,"mastered",IF(F83=D83,"normal","differs")))</f>
        <v/>
      </c>
      <c r="H83" s="35" t="n">
        <v>18</v>
      </c>
      <c r="I83" s="35" t="n"/>
      <c r="J83" s="33" t="n">
        <v>4</v>
      </c>
      <c r="K83" s="33" t="n"/>
      <c r="L83" s="36" t="n">
        <v>18</v>
      </c>
      <c r="M83" s="37" t="n">
        <v>4</v>
      </c>
      <c r="N83" s="32">
        <f>IF(L83="","",IF(L83&lt;0,"negative profit",IF(L83&gt;Notes!$B$4,"unusually high - verify","")))</f>
        <v/>
      </c>
      <c r="O83" s="32" t="inlineStr">
        <is>
          <t>hayday.info</t>
        </is>
      </c>
      <c r="P83" s="32">
        <f>IF(O83&lt;&gt;"both",O83&amp;" only",IF(Q83="","agree","conflict"))</f>
        <v/>
      </c>
      <c r="Q83" s="32">
        <f>IF(O83="both",TRIM(IF(I83&lt;&gt;"","price ","")&amp;IF(K83&lt;&gt;"","xp ","")&amp;IF(G83="differs","time","")),"")</f>
        <v/>
      </c>
      <c r="R83" s="32" t="inlineStr">
        <is>
          <t>hayday.info /api/production-data only</t>
        </is>
      </c>
      <c r="S83" s="32" t="n"/>
    </row>
    <row r="84" ht="15" customHeight="1" s="29">
      <c r="A84" s="32" t="inlineStr">
        <is>
          <t>Pineapple</t>
        </is>
      </c>
      <c r="B84" s="32" t="inlineStr">
        <is>
          <t>Crops</t>
        </is>
      </c>
      <c r="C84" s="33" t="n">
        <v>52</v>
      </c>
      <c r="D84" s="34" t="n"/>
      <c r="E84" s="34" t="n"/>
      <c r="F84" s="34" t="n">
        <v>30</v>
      </c>
      <c r="G84" s="32">
        <f>IF(OR(F84="",AND(D84="",E84="")),"n/a",IF(F84=E84,"mastered",IF(F84=D84,"normal","differs")))</f>
        <v/>
      </c>
      <c r="H84" s="35" t="n">
        <v>14</v>
      </c>
      <c r="I84" s="35" t="n"/>
      <c r="J84" s="33" t="n">
        <v>3</v>
      </c>
      <c r="K84" s="33" t="n"/>
      <c r="L84" s="36" t="n">
        <v>28</v>
      </c>
      <c r="M84" s="37" t="n">
        <v>6</v>
      </c>
      <c r="N84" s="32">
        <f>IF(L84="","",IF(L84&lt;0,"negative profit",IF(L84&gt;Notes!$B$4,"unusually high - verify","")))</f>
        <v/>
      </c>
      <c r="O84" s="32" t="inlineStr">
        <is>
          <t>hayday.info</t>
        </is>
      </c>
      <c r="P84" s="32">
        <f>IF(O84&lt;&gt;"both",O84&amp;" only",IF(Q84="","agree","conflict"))</f>
        <v/>
      </c>
      <c r="Q84" s="32">
        <f>IF(O84="both",TRIM(IF(I84&lt;&gt;"","price ","")&amp;IF(K84&lt;&gt;"","xp ","")&amp;IF(G84="differs","time","")),"")</f>
        <v/>
      </c>
      <c r="R84" s="32" t="inlineStr">
        <is>
          <t>hayday.info /api/production-data only</t>
        </is>
      </c>
      <c r="S84" s="32" t="n"/>
    </row>
    <row r="85" ht="15" customHeight="1" s="29">
      <c r="A85" s="32" t="inlineStr">
        <is>
          <t>Lily</t>
        </is>
      </c>
      <c r="B85" s="32" t="inlineStr">
        <is>
          <t>Crops</t>
        </is>
      </c>
      <c r="C85" s="33" t="n">
        <v>53</v>
      </c>
      <c r="D85" s="34" t="n"/>
      <c r="E85" s="34" t="n"/>
      <c r="F85" s="34" t="n">
        <v>90</v>
      </c>
      <c r="G85" s="32">
        <f>IF(OR(F85="",AND(D85="",E85="")),"n/a",IF(F85=E85,"mastered",IF(F85=D85,"normal","differs")))</f>
        <v/>
      </c>
      <c r="H85" s="35" t="n">
        <v>21</v>
      </c>
      <c r="I85" s="35" t="n"/>
      <c r="J85" s="33" t="n">
        <v>5</v>
      </c>
      <c r="K85" s="33" t="n"/>
      <c r="L85" s="36" t="n">
        <v>14</v>
      </c>
      <c r="M85" s="37" t="n">
        <v>3.333333333</v>
      </c>
      <c r="N85" s="32">
        <f>IF(L85="","",IF(L85&lt;0,"negative profit",IF(L85&gt;Notes!$B$4,"unusually high - verify","")))</f>
        <v/>
      </c>
      <c r="O85" s="32" t="inlineStr">
        <is>
          <t>hayday.info</t>
        </is>
      </c>
      <c r="P85" s="32">
        <f>IF(O85&lt;&gt;"both",O85&amp;" only",IF(Q85="","agree","conflict"))</f>
        <v/>
      </c>
      <c r="Q85" s="32">
        <f>IF(O85="both",TRIM(IF(I85&lt;&gt;"","price ","")&amp;IF(K85&lt;&gt;"","xp ","")&amp;IF(G85="differs","time","")),"")</f>
        <v/>
      </c>
      <c r="R85" s="32" t="inlineStr">
        <is>
          <t>hayday.info /api/production-data only</t>
        </is>
      </c>
      <c r="S85" s="32" t="n"/>
    </row>
    <row r="86" ht="15" customHeight="1" s="29">
      <c r="A86" s="32" t="inlineStr">
        <is>
          <t>Rice</t>
        </is>
      </c>
      <c r="B86" s="32" t="inlineStr">
        <is>
          <t>Crops</t>
        </is>
      </c>
      <c r="C86" s="33" t="n">
        <v>56</v>
      </c>
      <c r="D86" s="34" t="n"/>
      <c r="E86" s="34" t="n"/>
      <c r="F86" s="34" t="n">
        <v>45</v>
      </c>
      <c r="G86" s="32">
        <f>IF(OR(F86="",AND(D86="",E86="")),"n/a",IF(F86=E86,"mastered",IF(F86=D86,"normal","differs")))</f>
        <v/>
      </c>
      <c r="H86" s="35" t="n">
        <v>18</v>
      </c>
      <c r="I86" s="35" t="n"/>
      <c r="J86" s="33" t="n">
        <v>3</v>
      </c>
      <c r="K86" s="33" t="n"/>
      <c r="L86" s="36" t="n">
        <v>24</v>
      </c>
      <c r="M86" s="37" t="n">
        <v>4</v>
      </c>
      <c r="N86" s="32">
        <f>IF(L86="","",IF(L86&lt;0,"negative profit",IF(L86&gt;Notes!$B$4,"unusually high - verify","")))</f>
        <v/>
      </c>
      <c r="O86" s="32" t="inlineStr">
        <is>
          <t>hayday.info</t>
        </is>
      </c>
      <c r="P86" s="32">
        <f>IF(O86&lt;&gt;"both",O86&amp;" only",IF(Q86="","agree","conflict"))</f>
        <v/>
      </c>
      <c r="Q86" s="32">
        <f>IF(O86="both",TRIM(IF(I86&lt;&gt;"","price ","")&amp;IF(K86&lt;&gt;"","xp ","")&amp;IF(G86="differs","time","")),"")</f>
        <v/>
      </c>
      <c r="R86" s="32" t="inlineStr">
        <is>
          <t>hayday.info /api/production-data only</t>
        </is>
      </c>
      <c r="S86" s="32" t="n"/>
    </row>
    <row r="87" ht="15" customHeight="1" s="29">
      <c r="A87" s="32" t="inlineStr">
        <is>
          <t>Lettuce</t>
        </is>
      </c>
      <c r="B87" s="32" t="inlineStr">
        <is>
          <t>Crops</t>
        </is>
      </c>
      <c r="C87" s="33" t="n">
        <v>58</v>
      </c>
      <c r="D87" s="34" t="n"/>
      <c r="E87" s="34" t="n"/>
      <c r="F87" s="34" t="n">
        <v>210</v>
      </c>
      <c r="G87" s="32">
        <f>IF(OR(F87="",AND(D87="",E87="")),"n/a",IF(F87=E87,"mastered",IF(F87=D87,"normal","differs")))</f>
        <v/>
      </c>
      <c r="H87" s="35" t="n">
        <v>32</v>
      </c>
      <c r="I87" s="35" t="n"/>
      <c r="J87" s="33" t="n">
        <v>7</v>
      </c>
      <c r="K87" s="33" t="n"/>
      <c r="L87" s="36" t="n">
        <v>9.142857143000001</v>
      </c>
      <c r="M87" s="37" t="n">
        <v>2</v>
      </c>
      <c r="N87" s="32">
        <f>IF(L87="","",IF(L87&lt;0,"negative profit",IF(L87&gt;Notes!$B$4,"unusually high - verify","")))</f>
        <v/>
      </c>
      <c r="O87" s="32" t="inlineStr">
        <is>
          <t>hayday.info</t>
        </is>
      </c>
      <c r="P87" s="32">
        <f>IF(O87&lt;&gt;"both",O87&amp;" only",IF(Q87="","agree","conflict"))</f>
        <v/>
      </c>
      <c r="Q87" s="32">
        <f>IF(O87="both",TRIM(IF(I87&lt;&gt;"","price ","")&amp;IF(K87&lt;&gt;"","xp ","")&amp;IF(G87="differs","time","")),"")</f>
        <v/>
      </c>
      <c r="R87" s="32" t="inlineStr">
        <is>
          <t>hayday.info /api/production-data only</t>
        </is>
      </c>
      <c r="S87" s="32" t="n"/>
    </row>
    <row r="88" ht="15" customHeight="1" s="29">
      <c r="A88" s="32" t="inlineStr">
        <is>
          <t>Garlic</t>
        </is>
      </c>
      <c r="B88" s="32" t="inlineStr">
        <is>
          <t>Crops</t>
        </is>
      </c>
      <c r="C88" s="33" t="n">
        <v>60</v>
      </c>
      <c r="D88" s="34" t="n"/>
      <c r="E88" s="34" t="n"/>
      <c r="F88" s="34" t="n">
        <v>30</v>
      </c>
      <c r="G88" s="32">
        <f>IF(OR(F88="",AND(D88="",E88="")),"n/a",IF(F88=E88,"mastered",IF(F88=D88,"normal","differs")))</f>
        <v/>
      </c>
      <c r="H88" s="35" t="n">
        <v>14</v>
      </c>
      <c r="I88" s="35" t="n"/>
      <c r="J88" s="33" t="n">
        <v>3</v>
      </c>
      <c r="K88" s="33" t="n"/>
      <c r="L88" s="36" t="n">
        <v>28</v>
      </c>
      <c r="M88" s="37" t="n">
        <v>6</v>
      </c>
      <c r="N88" s="32">
        <f>IF(L88="","",IF(L88&lt;0,"negative profit",IF(L88&gt;Notes!$B$4,"unusually high - verify","")))</f>
        <v/>
      </c>
      <c r="O88" s="32" t="inlineStr">
        <is>
          <t>hayday.info</t>
        </is>
      </c>
      <c r="P88" s="32">
        <f>IF(O88&lt;&gt;"both",O88&amp;" only",IF(Q88="","agree","conflict"))</f>
        <v/>
      </c>
      <c r="Q88" s="32">
        <f>IF(O88="both",TRIM(IF(I88&lt;&gt;"","price ","")&amp;IF(K88&lt;&gt;"","xp ","")&amp;IF(G88="differs","time","")),"")</f>
        <v/>
      </c>
      <c r="R88" s="32" t="inlineStr">
        <is>
          <t>hayday.info /api/production-data only</t>
        </is>
      </c>
      <c r="S88" s="32" t="n"/>
    </row>
    <row r="89" ht="15" customHeight="1" s="29">
      <c r="A89" s="32" t="inlineStr">
        <is>
          <t>Sunflower</t>
        </is>
      </c>
      <c r="B89" s="32" t="inlineStr">
        <is>
          <t>Crops</t>
        </is>
      </c>
      <c r="C89" s="33" t="n">
        <v>63</v>
      </c>
      <c r="D89" s="34" t="n"/>
      <c r="E89" s="34" t="n"/>
      <c r="F89" s="34" t="n">
        <v>90</v>
      </c>
      <c r="G89" s="32">
        <f>IF(OR(F89="",AND(D89="",E89="")),"n/a",IF(F89=E89,"mastered",IF(F89=D89,"normal","differs")))</f>
        <v/>
      </c>
      <c r="H89" s="35" t="n">
        <v>21</v>
      </c>
      <c r="I89" s="35" t="n"/>
      <c r="J89" s="33" t="n">
        <v>5</v>
      </c>
      <c r="K89" s="33" t="n"/>
      <c r="L89" s="36" t="n">
        <v>14</v>
      </c>
      <c r="M89" s="37" t="n">
        <v>3.333333333</v>
      </c>
      <c r="N89" s="32">
        <f>IF(L89="","",IF(L89&lt;0,"negative profit",IF(L89&gt;Notes!$B$4,"unusually high - verify","")))</f>
        <v/>
      </c>
      <c r="O89" s="32" t="inlineStr">
        <is>
          <t>hayday.info</t>
        </is>
      </c>
      <c r="P89" s="32">
        <f>IF(O89&lt;&gt;"both",O89&amp;" only",IF(Q89="","agree","conflict"))</f>
        <v/>
      </c>
      <c r="Q89" s="32">
        <f>IF(O89="both",TRIM(IF(I89&lt;&gt;"","price ","")&amp;IF(K89&lt;&gt;"","xp ","")&amp;IF(G89="differs","time","")),"")</f>
        <v/>
      </c>
      <c r="R89" s="32" t="inlineStr">
        <is>
          <t>hayday.info /api/production-data only</t>
        </is>
      </c>
      <c r="S89" s="32" t="n"/>
    </row>
    <row r="90" ht="15" customHeight="1" s="29">
      <c r="A90" s="32" t="inlineStr">
        <is>
          <t>Cabbage</t>
        </is>
      </c>
      <c r="B90" s="32" t="inlineStr">
        <is>
          <t>Crops</t>
        </is>
      </c>
      <c r="C90" s="33" t="n">
        <v>65</v>
      </c>
      <c r="D90" s="34" t="n"/>
      <c r="E90" s="34" t="n"/>
      <c r="F90" s="34" t="n">
        <v>45</v>
      </c>
      <c r="G90" s="32">
        <f>IF(OR(F90="",AND(D90="",E90="")),"n/a",IF(F90=E90,"mastered",IF(F90=D90,"normal","differs")))</f>
        <v/>
      </c>
      <c r="H90" s="35" t="n">
        <v>18</v>
      </c>
      <c r="I90" s="35" t="n"/>
      <c r="J90" s="33" t="n">
        <v>3</v>
      </c>
      <c r="K90" s="33" t="n"/>
      <c r="L90" s="36" t="n">
        <v>24</v>
      </c>
      <c r="M90" s="37" t="n">
        <v>4</v>
      </c>
      <c r="N90" s="32">
        <f>IF(L90="","",IF(L90&lt;0,"negative profit",IF(L90&gt;Notes!$B$4,"unusually high - verify","")))</f>
        <v/>
      </c>
      <c r="O90" s="32" t="inlineStr">
        <is>
          <t>hayday.info</t>
        </is>
      </c>
      <c r="P90" s="32">
        <f>IF(O90&lt;&gt;"both",O90&amp;" only",IF(Q90="","agree","conflict"))</f>
        <v/>
      </c>
      <c r="Q90" s="32">
        <f>IF(O90="both",TRIM(IF(I90&lt;&gt;"","price ","")&amp;IF(K90&lt;&gt;"","xp ","")&amp;IF(G90="differs","time","")),"")</f>
        <v/>
      </c>
      <c r="R90" s="32" t="inlineStr">
        <is>
          <t>hayday.info /api/production-data only</t>
        </is>
      </c>
      <c r="S90" s="32" t="n"/>
    </row>
    <row r="91" ht="15" customHeight="1" s="29">
      <c r="A91" s="32" t="inlineStr">
        <is>
          <t>Onion</t>
        </is>
      </c>
      <c r="B91" s="32" t="inlineStr">
        <is>
          <t>Crops</t>
        </is>
      </c>
      <c r="C91" s="33" t="n">
        <v>68</v>
      </c>
      <c r="D91" s="34" t="n"/>
      <c r="E91" s="34" t="n"/>
      <c r="F91" s="34" t="n">
        <v>300</v>
      </c>
      <c r="G91" s="32">
        <f>IF(OR(F91="",AND(D91="",E91="")),"n/a",IF(F91=E91,"mastered",IF(F91=D91,"normal","differs")))</f>
        <v/>
      </c>
      <c r="H91" s="35" t="n">
        <v>39</v>
      </c>
      <c r="I91" s="35" t="n"/>
      <c r="J91" s="33" t="n">
        <v>8</v>
      </c>
      <c r="K91" s="33" t="n"/>
      <c r="L91" s="36" t="n">
        <v>7.8</v>
      </c>
      <c r="M91" s="37" t="n">
        <v>1.6</v>
      </c>
      <c r="N91" s="32">
        <f>IF(L91="","",IF(L91&lt;0,"negative profit",IF(L91&gt;Notes!$B$4,"unusually high - verify","")))</f>
        <v/>
      </c>
      <c r="O91" s="32" t="inlineStr">
        <is>
          <t>hayday.info</t>
        </is>
      </c>
      <c r="P91" s="32">
        <f>IF(O91&lt;&gt;"both",O91&amp;" only",IF(Q91="","agree","conflict"))</f>
        <v/>
      </c>
      <c r="Q91" s="32">
        <f>IF(O91="both",TRIM(IF(I91&lt;&gt;"","price ","")&amp;IF(K91&lt;&gt;"","xp ","")&amp;IF(G91="differs","time","")),"")</f>
        <v/>
      </c>
      <c r="R91" s="32" t="inlineStr">
        <is>
          <t>hayday.info /api/production-data only</t>
        </is>
      </c>
      <c r="S91" s="32" t="n"/>
    </row>
    <row r="92" ht="15" customHeight="1" s="29">
      <c r="A92" s="32" t="inlineStr">
        <is>
          <t>Cucumber</t>
        </is>
      </c>
      <c r="B92" s="32" t="inlineStr">
        <is>
          <t>Crops</t>
        </is>
      </c>
      <c r="C92" s="33" t="n">
        <v>70</v>
      </c>
      <c r="D92" s="34" t="n"/>
      <c r="E92" s="34" t="n"/>
      <c r="F92" s="34" t="n">
        <v>35</v>
      </c>
      <c r="G92" s="32">
        <f>IF(OR(F92="",AND(D92="",E92="")),"n/a",IF(F92=E92,"mastered",IF(F92=D92,"normal","differs")))</f>
        <v/>
      </c>
      <c r="H92" s="35" t="n">
        <v>14</v>
      </c>
      <c r="I92" s="35" t="n"/>
      <c r="J92" s="33" t="n">
        <v>3</v>
      </c>
      <c r="K92" s="33" t="n"/>
      <c r="L92" s="36" t="n">
        <v>24</v>
      </c>
      <c r="M92" s="37" t="n">
        <v>5.142857143</v>
      </c>
      <c r="N92" s="32">
        <f>IF(L92="","",IF(L92&lt;0,"negative profit",IF(L92&gt;Notes!$B$4,"unusually high - verify","")))</f>
        <v/>
      </c>
      <c r="O92" s="32" t="inlineStr">
        <is>
          <t>hayday.info</t>
        </is>
      </c>
      <c r="P92" s="32">
        <f>IF(O92&lt;&gt;"both",O92&amp;" only",IF(Q92="","agree","conflict"))</f>
        <v/>
      </c>
      <c r="Q92" s="32">
        <f>IF(O92="both",TRIM(IF(I92&lt;&gt;"","price ","")&amp;IF(K92&lt;&gt;"","xp ","")&amp;IF(G92="differs","time","")),"")</f>
        <v/>
      </c>
      <c r="R92" s="32" t="inlineStr">
        <is>
          <t>hayday.info /api/production-data only</t>
        </is>
      </c>
      <c r="S92" s="32" t="n"/>
    </row>
    <row r="93" ht="15" customHeight="1" s="29">
      <c r="A93" s="32" t="inlineStr">
        <is>
          <t>Beetroot</t>
        </is>
      </c>
      <c r="B93" s="32" t="inlineStr">
        <is>
          <t>Crops</t>
        </is>
      </c>
      <c r="C93" s="33" t="n">
        <v>72</v>
      </c>
      <c r="D93" s="34" t="n"/>
      <c r="E93" s="34" t="n"/>
      <c r="F93" s="34" t="n">
        <v>40</v>
      </c>
      <c r="G93" s="32">
        <f>IF(OR(F93="",AND(D93="",E93="")),"n/a",IF(F93=E93,"mastered",IF(F93=D93,"normal","differs")))</f>
        <v/>
      </c>
      <c r="H93" s="35" t="n">
        <v>14</v>
      </c>
      <c r="I93" s="35" t="n"/>
      <c r="J93" s="33" t="n">
        <v>3</v>
      </c>
      <c r="K93" s="33" t="n"/>
      <c r="L93" s="36" t="n">
        <v>21</v>
      </c>
      <c r="M93" s="37" t="n">
        <v>4.5</v>
      </c>
      <c r="N93" s="32">
        <f>IF(L93="","",IF(L93&lt;0,"negative profit",IF(L93&gt;Notes!$B$4,"unusually high - verify","")))</f>
        <v/>
      </c>
      <c r="O93" s="32" t="inlineStr">
        <is>
          <t>hayday.info</t>
        </is>
      </c>
      <c r="P93" s="32">
        <f>IF(O93&lt;&gt;"both",O93&amp;" only",IF(Q93="","agree","conflict"))</f>
        <v/>
      </c>
      <c r="Q93" s="32">
        <f>IF(O93="both",TRIM(IF(I93&lt;&gt;"","price ","")&amp;IF(K93&lt;&gt;"","xp ","")&amp;IF(G93="differs","time","")),"")</f>
        <v/>
      </c>
      <c r="R93" s="32" t="inlineStr">
        <is>
          <t>hayday.info /api/production-data only</t>
        </is>
      </c>
      <c r="S93" s="32" t="n"/>
    </row>
    <row r="94" ht="15" customHeight="1" s="29">
      <c r="A94" s="32" t="inlineStr">
        <is>
          <t>Bell Pepper</t>
        </is>
      </c>
      <c r="B94" s="32" t="inlineStr">
        <is>
          <t>Crops</t>
        </is>
      </c>
      <c r="C94" s="33" t="n">
        <v>74</v>
      </c>
      <c r="D94" s="34" t="n"/>
      <c r="E94" s="34" t="n"/>
      <c r="F94" s="34" t="n">
        <v>270</v>
      </c>
      <c r="G94" s="32">
        <f>IF(OR(F94="",AND(D94="",E94="")),"n/a",IF(F94=E94,"mastered",IF(F94=D94,"normal","differs")))</f>
        <v/>
      </c>
      <c r="H94" s="35" t="n">
        <v>36</v>
      </c>
      <c r="I94" s="35" t="n"/>
      <c r="J94" s="33" t="n">
        <v>7</v>
      </c>
      <c r="K94" s="33" t="n"/>
      <c r="L94" s="36" t="n">
        <v>8</v>
      </c>
      <c r="M94" s="37" t="n">
        <v>1.555555556</v>
      </c>
      <c r="N94" s="32">
        <f>IF(L94="","",IF(L94&lt;0,"negative profit",IF(L94&gt;Notes!$B$4,"unusually high - verify","")))</f>
        <v/>
      </c>
      <c r="O94" s="32" t="inlineStr">
        <is>
          <t>hayday.info</t>
        </is>
      </c>
      <c r="P94" s="32">
        <f>IF(O94&lt;&gt;"both",O94&amp;" only",IF(Q94="","agree","conflict"))</f>
        <v/>
      </c>
      <c r="Q94" s="32">
        <f>IF(O94="both",TRIM(IF(I94&lt;&gt;"","price ","")&amp;IF(K94&lt;&gt;"","xp ","")&amp;IF(G94="differs","time","")),"")</f>
        <v/>
      </c>
      <c r="R94" s="32" t="inlineStr">
        <is>
          <t>hayday.info /api/production-data only</t>
        </is>
      </c>
      <c r="S94" s="32" t="n"/>
    </row>
    <row r="95" ht="15" customHeight="1" s="29">
      <c r="A95" s="32" t="inlineStr">
        <is>
          <t>Ginger</t>
        </is>
      </c>
      <c r="B95" s="32" t="inlineStr">
        <is>
          <t>Crops</t>
        </is>
      </c>
      <c r="C95" s="33" t="n">
        <v>78</v>
      </c>
      <c r="D95" s="34" t="n"/>
      <c r="E95" s="34" t="n"/>
      <c r="F95" s="34" t="n">
        <v>150</v>
      </c>
      <c r="G95" s="32">
        <f>IF(OR(F95="",AND(D95="",E95="")),"n/a",IF(F95=E95,"mastered",IF(F95=D95,"normal","differs")))</f>
        <v/>
      </c>
      <c r="H95" s="35" t="n">
        <v>28</v>
      </c>
      <c r="I95" s="35" t="n"/>
      <c r="J95" s="33" t="n">
        <v>6</v>
      </c>
      <c r="K95" s="33" t="n"/>
      <c r="L95" s="36" t="n">
        <v>11.2</v>
      </c>
      <c r="M95" s="37" t="n">
        <v>2.4</v>
      </c>
      <c r="N95" s="32">
        <f>IF(L95="","",IF(L95&lt;0,"negative profit",IF(L95&gt;Notes!$B$4,"unusually high - verify","")))</f>
        <v/>
      </c>
      <c r="O95" s="32" t="inlineStr">
        <is>
          <t>hayday.info</t>
        </is>
      </c>
      <c r="P95" s="32">
        <f>IF(O95&lt;&gt;"both",O95&amp;" only",IF(Q95="","agree","conflict"))</f>
        <v/>
      </c>
      <c r="Q95" s="32">
        <f>IF(O95="both",TRIM(IF(I95&lt;&gt;"","price ","")&amp;IF(K95&lt;&gt;"","xp ","")&amp;IF(G95="differs","time","")),"")</f>
        <v/>
      </c>
      <c r="R95" s="32" t="inlineStr">
        <is>
          <t>hayday.info /api/production-data only</t>
        </is>
      </c>
      <c r="S95" s="32" t="n"/>
    </row>
    <row r="96" ht="15" customHeight="1" s="29">
      <c r="A96" s="32" t="inlineStr">
        <is>
          <t>Tea Leaf</t>
        </is>
      </c>
      <c r="B96" s="32" t="inlineStr">
        <is>
          <t>Crops</t>
        </is>
      </c>
      <c r="C96" s="33" t="n">
        <v>80</v>
      </c>
      <c r="D96" s="34" t="n"/>
      <c r="E96" s="34" t="n"/>
      <c r="F96" s="34" t="n">
        <v>390</v>
      </c>
      <c r="G96" s="32">
        <f>IF(OR(F96="",AND(D96="",E96="")),"n/a",IF(F96=E96,"mastered",IF(F96=D96,"normal","differs")))</f>
        <v/>
      </c>
      <c r="H96" s="35" t="n">
        <v>43</v>
      </c>
      <c r="I96" s="35" t="n"/>
      <c r="J96" s="33" t="n">
        <v>9</v>
      </c>
      <c r="K96" s="33" t="n"/>
      <c r="L96" s="36" t="n">
        <v>6.615384615</v>
      </c>
      <c r="M96" s="37" t="n">
        <v>1.384615385</v>
      </c>
      <c r="N96" s="32">
        <f>IF(L96="","",IF(L96&lt;0,"negative profit",IF(L96&gt;Notes!$B$4,"unusually high - verify","")))</f>
        <v/>
      </c>
      <c r="O96" s="32" t="inlineStr">
        <is>
          <t>hayday.info</t>
        </is>
      </c>
      <c r="P96" s="32">
        <f>IF(O96&lt;&gt;"both",O96&amp;" only",IF(Q96="","agree","conflict"))</f>
        <v/>
      </c>
      <c r="Q96" s="32">
        <f>IF(O96="both",TRIM(IF(I96&lt;&gt;"","price ","")&amp;IF(K96&lt;&gt;"","xp ","")&amp;IF(G96="differs","time","")),"")</f>
        <v/>
      </c>
      <c r="R96" s="32" t="inlineStr">
        <is>
          <t>hayday.info /api/production-data only</t>
        </is>
      </c>
      <c r="S96" s="32" t="n"/>
    </row>
    <row r="97" ht="15" customHeight="1" s="29">
      <c r="A97" s="32" t="inlineStr">
        <is>
          <t>Peony</t>
        </is>
      </c>
      <c r="B97" s="32" t="inlineStr">
        <is>
          <t>Crops</t>
        </is>
      </c>
      <c r="C97" s="33" t="n">
        <v>82</v>
      </c>
      <c r="D97" s="34" t="n"/>
      <c r="E97" s="34" t="n"/>
      <c r="F97" s="34" t="n">
        <v>240</v>
      </c>
      <c r="G97" s="32">
        <f>IF(OR(F97="",AND(D97="",E97="")),"n/a",IF(F97=E97,"mastered",IF(F97=D97,"normal","differs")))</f>
        <v/>
      </c>
      <c r="H97" s="35" t="n">
        <v>36</v>
      </c>
      <c r="I97" s="35" t="n"/>
      <c r="J97" s="33" t="n">
        <v>7</v>
      </c>
      <c r="K97" s="33" t="n"/>
      <c r="L97" s="36" t="n">
        <v>9</v>
      </c>
      <c r="M97" s="37" t="n">
        <v>1.75</v>
      </c>
      <c r="N97" s="32">
        <f>IF(L97="","",IF(L97&lt;0,"negative profit",IF(L97&gt;Notes!$B$4,"unusually high - verify","")))</f>
        <v/>
      </c>
      <c r="O97" s="32" t="inlineStr">
        <is>
          <t>hayday.info</t>
        </is>
      </c>
      <c r="P97" s="32">
        <f>IF(O97&lt;&gt;"both",O97&amp;" only",IF(Q97="","agree","conflict"))</f>
        <v/>
      </c>
      <c r="Q97" s="32">
        <f>IF(O97="both",TRIM(IF(I97&lt;&gt;"","price ","")&amp;IF(K97&lt;&gt;"","xp ","")&amp;IF(G97="differs","time","")),"")</f>
        <v/>
      </c>
      <c r="R97" s="32" t="inlineStr">
        <is>
          <t>hayday.info /api/production-data only</t>
        </is>
      </c>
      <c r="S97" s="32" t="n"/>
    </row>
    <row r="98" ht="15" customHeight="1" s="29">
      <c r="A98" s="32" t="inlineStr">
        <is>
          <t>Broccoli</t>
        </is>
      </c>
      <c r="B98" s="32" t="inlineStr">
        <is>
          <t>Crops</t>
        </is>
      </c>
      <c r="C98" s="33" t="n">
        <v>83</v>
      </c>
      <c r="D98" s="34" t="n"/>
      <c r="E98" s="34" t="n"/>
      <c r="F98" s="34" t="n">
        <v>90</v>
      </c>
      <c r="G98" s="32">
        <f>IF(OR(F98="",AND(D98="",E98="")),"n/a",IF(F98=E98,"mastered",IF(F98=D98,"normal","differs")))</f>
        <v/>
      </c>
      <c r="H98" s="35" t="n">
        <v>21</v>
      </c>
      <c r="I98" s="35" t="n"/>
      <c r="J98" s="33" t="n">
        <v>4</v>
      </c>
      <c r="K98" s="33" t="n"/>
      <c r="L98" s="36" t="n">
        <v>14</v>
      </c>
      <c r="M98" s="37" t="n">
        <v>2.666666667</v>
      </c>
      <c r="N98" s="32">
        <f>IF(L98="","",IF(L98&lt;0,"negative profit",IF(L98&gt;Notes!$B$4,"unusually high - verify","")))</f>
        <v/>
      </c>
      <c r="O98" s="32" t="inlineStr">
        <is>
          <t>hayday.info</t>
        </is>
      </c>
      <c r="P98" s="32">
        <f>IF(O98&lt;&gt;"both",O98&amp;" only",IF(Q98="","agree","conflict"))</f>
        <v/>
      </c>
      <c r="Q98" s="32">
        <f>IF(O98="both",TRIM(IF(I98&lt;&gt;"","price ","")&amp;IF(K98&lt;&gt;"","xp ","")&amp;IF(G98="differs","time","")),"")</f>
        <v/>
      </c>
      <c r="R98" s="32" t="inlineStr">
        <is>
          <t>hayday.info /api/production-data only</t>
        </is>
      </c>
      <c r="S98" s="32" t="n"/>
    </row>
    <row r="99" ht="15" customHeight="1" s="29">
      <c r="A99" s="32" t="inlineStr">
        <is>
          <t>Grapes</t>
        </is>
      </c>
      <c r="B99" s="32" t="inlineStr">
        <is>
          <t>Crops</t>
        </is>
      </c>
      <c r="C99" s="33" t="n">
        <v>84</v>
      </c>
      <c r="D99" s="34" t="n"/>
      <c r="E99" s="34" t="n"/>
      <c r="F99" s="34" t="n">
        <v>180</v>
      </c>
      <c r="G99" s="32">
        <f>IF(OR(F99="",AND(D99="",E99="")),"n/a",IF(F99=E99,"mastered",IF(F99=D99,"normal","differs")))</f>
        <v/>
      </c>
      <c r="H99" s="35" t="n">
        <v>32</v>
      </c>
      <c r="I99" s="35" t="n"/>
      <c r="J99" s="33" t="n">
        <v>6</v>
      </c>
      <c r="K99" s="33" t="n"/>
      <c r="L99" s="36" t="n">
        <v>10.66666667</v>
      </c>
      <c r="M99" s="37" t="n">
        <v>2</v>
      </c>
      <c r="N99" s="32">
        <f>IF(L99="","",IF(L99&lt;0,"negative profit",IF(L99&gt;Notes!$B$4,"unusually high - verify","")))</f>
        <v/>
      </c>
      <c r="O99" s="32" t="inlineStr">
        <is>
          <t>hayday.info</t>
        </is>
      </c>
      <c r="P99" s="32">
        <f>IF(O99&lt;&gt;"both",O99&amp;" only",IF(Q99="","agree","conflict"))</f>
        <v/>
      </c>
      <c r="Q99" s="32">
        <f>IF(O99="both",TRIM(IF(I99&lt;&gt;"","price ","")&amp;IF(K99&lt;&gt;"","xp ","")&amp;IF(G99="differs","time","")),"")</f>
        <v/>
      </c>
      <c r="R99" s="32" t="inlineStr">
        <is>
          <t>hayday.info /api/production-data only</t>
        </is>
      </c>
      <c r="S99" s="32" t="n"/>
    </row>
    <row r="100" ht="15" customHeight="1" s="29">
      <c r="A100" s="32" t="inlineStr">
        <is>
          <t>Mint</t>
        </is>
      </c>
      <c r="B100" s="32" t="inlineStr">
        <is>
          <t>Crops</t>
        </is>
      </c>
      <c r="C100" s="33" t="n">
        <v>85</v>
      </c>
      <c r="D100" s="34" t="n"/>
      <c r="E100" s="34" t="n"/>
      <c r="F100" s="34" t="n">
        <v>180</v>
      </c>
      <c r="G100" s="32">
        <f>IF(OR(F100="",AND(D100="",E100="")),"n/a",IF(F100=E100,"mastered",IF(F100=D100,"normal","differs")))</f>
        <v/>
      </c>
      <c r="H100" s="35" t="n">
        <v>32</v>
      </c>
      <c r="I100" s="35" t="n"/>
      <c r="J100" s="33" t="n">
        <v>6</v>
      </c>
      <c r="K100" s="33" t="n"/>
      <c r="L100" s="36" t="n">
        <v>10.66666667</v>
      </c>
      <c r="M100" s="37" t="n">
        <v>2</v>
      </c>
      <c r="N100" s="32">
        <f>IF(L100="","",IF(L100&lt;0,"negative profit",IF(L100&gt;Notes!$B$4,"unusually high - verify","")))</f>
        <v/>
      </c>
      <c r="O100" s="32" t="inlineStr">
        <is>
          <t>hayday.info</t>
        </is>
      </c>
      <c r="P100" s="32">
        <f>IF(O100&lt;&gt;"both",O100&amp;" only",IF(Q100="","agree","conflict"))</f>
        <v/>
      </c>
      <c r="Q100" s="32">
        <f>IF(O100="both",TRIM(IF(I100&lt;&gt;"","price ","")&amp;IF(K100&lt;&gt;"","xp ","")&amp;IF(G100="differs","time","")),"")</f>
        <v/>
      </c>
      <c r="R100" s="32" t="inlineStr">
        <is>
          <t>hayday.info /api/production-data only</t>
        </is>
      </c>
      <c r="S100" s="32" t="n"/>
    </row>
    <row r="101" ht="15" customHeight="1" s="29">
      <c r="A101" s="32" t="inlineStr">
        <is>
          <t>Passion Fruit</t>
        </is>
      </c>
      <c r="B101" s="32" t="inlineStr">
        <is>
          <t>Crops</t>
        </is>
      </c>
      <c r="C101" s="33" t="n">
        <v>88</v>
      </c>
      <c r="D101" s="34" t="n"/>
      <c r="E101" s="34" t="n"/>
      <c r="F101" s="34" t="n">
        <v>60</v>
      </c>
      <c r="G101" s="32">
        <f>IF(OR(F101="",AND(D101="",E101="")),"n/a",IF(F101=E101,"mastered",IF(F101=D101,"normal","differs")))</f>
        <v/>
      </c>
      <c r="H101" s="35" t="n">
        <v>18</v>
      </c>
      <c r="I101" s="35" t="n"/>
      <c r="J101" s="33" t="n">
        <v>4</v>
      </c>
      <c r="K101" s="33" t="n"/>
      <c r="L101" s="36" t="n">
        <v>18</v>
      </c>
      <c r="M101" s="37" t="n">
        <v>4</v>
      </c>
      <c r="N101" s="32">
        <f>IF(L101="","",IF(L101&lt;0,"negative profit",IF(L101&gt;Notes!$B$4,"unusually high - verify","")))</f>
        <v/>
      </c>
      <c r="O101" s="32" t="inlineStr">
        <is>
          <t>hayday.info</t>
        </is>
      </c>
      <c r="P101" s="32">
        <f>IF(O101&lt;&gt;"both",O101&amp;" only",IF(Q101="","agree","conflict"))</f>
        <v/>
      </c>
      <c r="Q101" s="32">
        <f>IF(O101="both",TRIM(IF(I101&lt;&gt;"","price ","")&amp;IF(K101&lt;&gt;"","xp ","")&amp;IF(G101="differs","time","")),"")</f>
        <v/>
      </c>
      <c r="R101" s="32" t="inlineStr">
        <is>
          <t>hayday.info /api/production-data only</t>
        </is>
      </c>
      <c r="S101" s="32" t="n"/>
    </row>
    <row r="102" ht="15" customHeight="1" s="29">
      <c r="A102" s="32" t="inlineStr">
        <is>
          <t>Mushroom</t>
        </is>
      </c>
      <c r="B102" s="32" t="inlineStr">
        <is>
          <t>Crops</t>
        </is>
      </c>
      <c r="C102" s="33" t="n">
        <v>89</v>
      </c>
      <c r="D102" s="34" t="n"/>
      <c r="E102" s="34" t="n"/>
      <c r="F102" s="34" t="n">
        <v>20</v>
      </c>
      <c r="G102" s="32">
        <f>IF(OR(F102="",AND(D102="",E102="")),"n/a",IF(F102=E102,"mastered",IF(F102=D102,"normal","differs")))</f>
        <v/>
      </c>
      <c r="H102" s="35" t="n">
        <v>10</v>
      </c>
      <c r="I102" s="35" t="n"/>
      <c r="J102" s="33" t="n">
        <v>2</v>
      </c>
      <c r="K102" s="33" t="n"/>
      <c r="L102" s="36" t="n">
        <v>30</v>
      </c>
      <c r="M102" s="37" t="n">
        <v>6</v>
      </c>
      <c r="N102" s="32">
        <f>IF(L102="","",IF(L102&lt;0,"negative profit",IF(L102&gt;Notes!$B$4,"unusually high - verify","")))</f>
        <v/>
      </c>
      <c r="O102" s="32" t="inlineStr">
        <is>
          <t>hayday.info</t>
        </is>
      </c>
      <c r="P102" s="32">
        <f>IF(O102&lt;&gt;"both",O102&amp;" only",IF(Q102="","agree","conflict"))</f>
        <v/>
      </c>
      <c r="Q102" s="32">
        <f>IF(O102="both",TRIM(IF(I102&lt;&gt;"","price ","")&amp;IF(K102&lt;&gt;"","xp ","")&amp;IF(G102="differs","time","")),"")</f>
        <v/>
      </c>
      <c r="R102" s="32" t="inlineStr">
        <is>
          <t>hayday.info /api/production-data only</t>
        </is>
      </c>
      <c r="S102" s="32" t="n"/>
    </row>
    <row r="103" ht="15" customHeight="1" s="29">
      <c r="A103" s="32" t="inlineStr">
        <is>
          <t>Eggplant</t>
        </is>
      </c>
      <c r="B103" s="32" t="inlineStr">
        <is>
          <t>Crops</t>
        </is>
      </c>
      <c r="C103" s="33" t="n">
        <v>90</v>
      </c>
      <c r="D103" s="34" t="n"/>
      <c r="E103" s="34" t="n"/>
      <c r="F103" s="34" t="n">
        <v>40</v>
      </c>
      <c r="G103" s="32">
        <f>IF(OR(F103="",AND(D103="",E103="")),"n/a",IF(F103=E103,"mastered",IF(F103=D103,"normal","differs")))</f>
        <v/>
      </c>
      <c r="H103" s="35" t="n">
        <v>14</v>
      </c>
      <c r="I103" s="35" t="n"/>
      <c r="J103" s="33" t="n">
        <v>3</v>
      </c>
      <c r="K103" s="33" t="n"/>
      <c r="L103" s="36" t="n">
        <v>21</v>
      </c>
      <c r="M103" s="37" t="n">
        <v>4.5</v>
      </c>
      <c r="N103" s="32">
        <f>IF(L103="","",IF(L103&lt;0,"negative profit",IF(L103&gt;Notes!$B$4,"unusually high - verify","")))</f>
        <v/>
      </c>
      <c r="O103" s="32" t="inlineStr">
        <is>
          <t>hayday.info</t>
        </is>
      </c>
      <c r="P103" s="32">
        <f>IF(O103&lt;&gt;"both",O103&amp;" only",IF(Q103="","agree","conflict"))</f>
        <v/>
      </c>
      <c r="Q103" s="32">
        <f>IF(O103="both",TRIM(IF(I103&lt;&gt;"","price ","")&amp;IF(K103&lt;&gt;"","xp ","")&amp;IF(G103="differs","time","")),"")</f>
        <v/>
      </c>
      <c r="R103" s="32" t="inlineStr">
        <is>
          <t>hayday.info /api/production-data only</t>
        </is>
      </c>
      <c r="S103" s="32" t="n"/>
    </row>
    <row r="104" ht="15" customHeight="1" s="29">
      <c r="A104" s="32" t="inlineStr">
        <is>
          <t>Watermelon</t>
        </is>
      </c>
      <c r="B104" s="32" t="inlineStr">
        <is>
          <t>Crops</t>
        </is>
      </c>
      <c r="C104" s="33" t="n">
        <v>92</v>
      </c>
      <c r="D104" s="34" t="n"/>
      <c r="E104" s="34" t="n"/>
      <c r="F104" s="34" t="n">
        <v>300</v>
      </c>
      <c r="G104" s="32">
        <f>IF(OR(F104="",AND(D104="",E104="")),"n/a",IF(F104=E104,"mastered",IF(F104=D104,"normal","differs")))</f>
        <v/>
      </c>
      <c r="H104" s="35" t="n">
        <v>39</v>
      </c>
      <c r="I104" s="35" t="n"/>
      <c r="J104" s="33" t="n">
        <v>8</v>
      </c>
      <c r="K104" s="33" t="n"/>
      <c r="L104" s="36" t="n">
        <v>7.8</v>
      </c>
      <c r="M104" s="37" t="n">
        <v>1.6</v>
      </c>
      <c r="N104" s="32">
        <f>IF(L104="","",IF(L104&lt;0,"negative profit",IF(L104&gt;Notes!$B$4,"unusually high - verify","")))</f>
        <v/>
      </c>
      <c r="O104" s="32" t="inlineStr">
        <is>
          <t>hayday.info</t>
        </is>
      </c>
      <c r="P104" s="32">
        <f>IF(O104&lt;&gt;"both",O104&amp;" only",IF(Q104="","agree","conflict"))</f>
        <v/>
      </c>
      <c r="Q104" s="32">
        <f>IF(O104="both",TRIM(IF(I104&lt;&gt;"","price ","")&amp;IF(K104&lt;&gt;"","xp ","")&amp;IF(G104="differs","time","")),"")</f>
        <v/>
      </c>
      <c r="R104" s="32" t="inlineStr">
        <is>
          <t>hayday.info /api/production-data only</t>
        </is>
      </c>
      <c r="S104" s="32" t="n"/>
    </row>
    <row r="105" ht="15" customHeight="1" s="29">
      <c r="A105" s="32" t="inlineStr">
        <is>
          <t>Clay</t>
        </is>
      </c>
      <c r="B105" s="32" t="inlineStr">
        <is>
          <t>Crops</t>
        </is>
      </c>
      <c r="C105" s="33" t="n">
        <v>94</v>
      </c>
      <c r="D105" s="34" t="n"/>
      <c r="E105" s="34" t="n"/>
      <c r="F105" s="34" t="n">
        <v>110</v>
      </c>
      <c r="G105" s="32">
        <f>IF(OR(F105="",AND(D105="",E105="")),"n/a",IF(F105=E105,"mastered",IF(F105=D105,"normal","differs")))</f>
        <v/>
      </c>
      <c r="H105" s="35" t="n">
        <v>18</v>
      </c>
      <c r="I105" s="35" t="n"/>
      <c r="J105" s="33" t="n">
        <v>5</v>
      </c>
      <c r="K105" s="33" t="n"/>
      <c r="L105" s="36" t="n">
        <v>9.818181817999999</v>
      </c>
      <c r="M105" s="37" t="n">
        <v>2.727272727</v>
      </c>
      <c r="N105" s="32">
        <f>IF(L105="","",IF(L105&lt;0,"negative profit",IF(L105&gt;Notes!$B$4,"unusually high - verify","")))</f>
        <v/>
      </c>
      <c r="O105" s="32" t="inlineStr">
        <is>
          <t>hayday.info</t>
        </is>
      </c>
      <c r="P105" s="32">
        <f>IF(O105&lt;&gt;"both",O105&amp;" only",IF(Q105="","agree","conflict"))</f>
        <v/>
      </c>
      <c r="Q105" s="32">
        <f>IF(O105="both",TRIM(IF(I105&lt;&gt;"","price ","")&amp;IF(K105&lt;&gt;"","xp ","")&amp;IF(G105="differs","time","")),"")</f>
        <v/>
      </c>
      <c r="R105" s="32" t="inlineStr">
        <is>
          <t>hayday.info /api/production-data only</t>
        </is>
      </c>
      <c r="S105" s="32" t="n"/>
    </row>
    <row r="106" ht="15" customHeight="1" s="29">
      <c r="A106" s="32" t="inlineStr">
        <is>
          <t>Chickpea</t>
        </is>
      </c>
      <c r="B106" s="32" t="inlineStr">
        <is>
          <t>Crops</t>
        </is>
      </c>
      <c r="C106" s="33" t="n">
        <v>95</v>
      </c>
      <c r="D106" s="34" t="n"/>
      <c r="E106" s="34" t="n"/>
      <c r="F106" s="34" t="n">
        <v>60</v>
      </c>
      <c r="G106" s="32">
        <f>IF(OR(F106="",AND(D106="",E106="")),"n/a",IF(F106=E106,"mastered",IF(F106=D106,"normal","differs")))</f>
        <v/>
      </c>
      <c r="H106" s="35" t="n">
        <v>18</v>
      </c>
      <c r="I106" s="35" t="n"/>
      <c r="J106" s="33" t="n">
        <v>4</v>
      </c>
      <c r="K106" s="33" t="n"/>
      <c r="L106" s="36" t="n">
        <v>18</v>
      </c>
      <c r="M106" s="37" t="n">
        <v>4</v>
      </c>
      <c r="N106" s="32">
        <f>IF(L106="","",IF(L106&lt;0,"negative profit",IF(L106&gt;Notes!$B$4,"unusually high - verify","")))</f>
        <v/>
      </c>
      <c r="O106" s="32" t="inlineStr">
        <is>
          <t>hayday.info</t>
        </is>
      </c>
      <c r="P106" s="32">
        <f>IF(O106&lt;&gt;"both",O106&amp;" only",IF(Q106="","agree","conflict"))</f>
        <v/>
      </c>
      <c r="Q106" s="32">
        <f>IF(O106="both",TRIM(IF(I106&lt;&gt;"","price ","")&amp;IF(K106&lt;&gt;"","xp ","")&amp;IF(G106="differs","time","")),"")</f>
        <v/>
      </c>
      <c r="R106" s="32" t="inlineStr">
        <is>
          <t>hayday.info /api/production-data only</t>
        </is>
      </c>
      <c r="S106" s="32" t="n"/>
    </row>
    <row r="107" ht="15" customHeight="1" s="29">
      <c r="A107" s="32" t="inlineStr">
        <is>
          <t>Guava Cupcake</t>
        </is>
      </c>
      <c r="B107" s="32" t="inlineStr">
        <is>
          <t>Cupcake Maker</t>
        </is>
      </c>
      <c r="C107" s="33" t="n">
        <v>109</v>
      </c>
      <c r="D107" s="34" t="n"/>
      <c r="E107" s="34" t="n"/>
      <c r="F107" s="34" t="n">
        <v>70</v>
      </c>
      <c r="G107" s="32">
        <f>IF(OR(F107="",AND(D107="",E107="")),"n/a",IF(F107=E107,"mastered",IF(F107=D107,"normal","differs")))</f>
        <v/>
      </c>
      <c r="H107" s="35" t="n">
        <v>583</v>
      </c>
      <c r="I107" s="35" t="n"/>
      <c r="J107" s="33" t="n">
        <v>70</v>
      </c>
      <c r="K107" s="33" t="n"/>
      <c r="L107" s="36" t="n">
        <v>26.57142857</v>
      </c>
      <c r="M107" s="37" t="n">
        <v>60</v>
      </c>
      <c r="N107" s="32">
        <f>IF(L107="","",IF(L107&lt;0,"negative profit",IF(L107&gt;Notes!$B$4,"unusually high - verify","")))</f>
        <v/>
      </c>
      <c r="O107" s="32" t="inlineStr">
        <is>
          <t>hayday.info</t>
        </is>
      </c>
      <c r="P107" s="32">
        <f>IF(O107&lt;&gt;"both",O107&amp;" only",IF(Q107="","agree","conflict"))</f>
        <v/>
      </c>
      <c r="Q107" s="32">
        <f>IF(O107="both",TRIM(IF(I107&lt;&gt;"","price ","")&amp;IF(K107&lt;&gt;"","xp ","")&amp;IF(G107="differs","time","")),"")</f>
        <v/>
      </c>
      <c r="R107" s="32" t="inlineStr">
        <is>
          <t>hayday.info /api/production-data only</t>
        </is>
      </c>
      <c r="S107" s="32" t="n"/>
    </row>
    <row r="108" ht="15" customHeight="1" s="29">
      <c r="A108" s="32" t="inlineStr">
        <is>
          <t>Plain Cupcake</t>
        </is>
      </c>
      <c r="B108" s="32" t="inlineStr">
        <is>
          <t>Cupcake Maker</t>
        </is>
      </c>
      <c r="C108" s="33" t="n">
        <v>109</v>
      </c>
      <c r="D108" s="34" t="n"/>
      <c r="E108" s="34" t="n"/>
      <c r="F108" s="34" t="n">
        <v>40</v>
      </c>
      <c r="G108" s="32">
        <f>IF(OR(F108="",AND(D108="",E108="")),"n/a",IF(F108=E108,"mastered",IF(F108=D108,"normal","differs")))</f>
        <v/>
      </c>
      <c r="H108" s="35" t="n">
        <v>280</v>
      </c>
      <c r="I108" s="35" t="n"/>
      <c r="J108" s="33" t="n">
        <v>34</v>
      </c>
      <c r="K108" s="33" t="n"/>
      <c r="L108" s="36" t="n">
        <v>43.5</v>
      </c>
      <c r="M108" s="37" t="n">
        <v>51</v>
      </c>
      <c r="N108" s="32">
        <f>IF(L108="","",IF(L108&lt;0,"negative profit",IF(L108&gt;Notes!$B$4,"unusually high - verify","")))</f>
        <v/>
      </c>
      <c r="O108" s="32" t="inlineStr">
        <is>
          <t>hayday.info</t>
        </is>
      </c>
      <c r="P108" s="32">
        <f>IF(O108&lt;&gt;"both",O108&amp;" only",IF(Q108="","agree","conflict"))</f>
        <v/>
      </c>
      <c r="Q108" s="32">
        <f>IF(O108="both",TRIM(IF(I108&lt;&gt;"","price ","")&amp;IF(K108&lt;&gt;"","xp ","")&amp;IF(G108="differs","time","")),"")</f>
        <v/>
      </c>
      <c r="R108" s="32" t="inlineStr">
        <is>
          <t>hayday.info /api/production-data only</t>
        </is>
      </c>
      <c r="S108" s="32" t="n"/>
    </row>
    <row r="109" ht="15" customHeight="1" s="29">
      <c r="A109" s="32" t="inlineStr">
        <is>
          <t>Tropical Cupcake</t>
        </is>
      </c>
      <c r="B109" s="32" t="inlineStr">
        <is>
          <t>Cupcake Maker</t>
        </is>
      </c>
      <c r="C109" s="33" t="n">
        <v>112</v>
      </c>
      <c r="D109" s="34" t="n"/>
      <c r="E109" s="34" t="n"/>
      <c r="F109" s="34" t="n">
        <v>90</v>
      </c>
      <c r="G109" s="32">
        <f>IF(OR(F109="",AND(D109="",E109="")),"n/a",IF(F109=E109,"mastered",IF(F109=D109,"normal","differs")))</f>
        <v/>
      </c>
      <c r="H109" s="35" t="n">
        <v>572</v>
      </c>
      <c r="I109" s="35" t="n"/>
      <c r="J109" s="33" t="n">
        <v>68</v>
      </c>
      <c r="K109" s="33" t="n"/>
      <c r="L109" s="36" t="n">
        <v>22.66666667</v>
      </c>
      <c r="M109" s="37" t="n">
        <v>45.33333333</v>
      </c>
      <c r="N109" s="32">
        <f>IF(L109="","",IF(L109&lt;0,"negative profit",IF(L109&gt;Notes!$B$4,"unusually high - verify","")))</f>
        <v/>
      </c>
      <c r="O109" s="32" t="inlineStr">
        <is>
          <t>hayday.info</t>
        </is>
      </c>
      <c r="P109" s="32">
        <f>IF(O109&lt;&gt;"both",O109&amp;" only",IF(Q109="","agree","conflict"))</f>
        <v/>
      </c>
      <c r="Q109" s="32">
        <f>IF(O109="both",TRIM(IF(I109&lt;&gt;"","price ","")&amp;IF(K109&lt;&gt;"","xp ","")&amp;IF(G109="differs","time","")),"")</f>
        <v/>
      </c>
      <c r="R109" s="32" t="inlineStr">
        <is>
          <t>hayday.info /api/production-data only</t>
        </is>
      </c>
      <c r="S109" s="32" t="n"/>
    </row>
    <row r="110" ht="15" customHeight="1" s="29">
      <c r="A110" s="32" t="inlineStr">
        <is>
          <t>Cookie Cupcake</t>
        </is>
      </c>
      <c r="B110" s="32" t="inlineStr">
        <is>
          <t>Cupcake Maker</t>
        </is>
      </c>
      <c r="C110" s="33" t="n">
        <v>114</v>
      </c>
      <c r="D110" s="34" t="n"/>
      <c r="E110" s="34" t="n"/>
      <c r="F110" s="34" t="n">
        <v>120</v>
      </c>
      <c r="G110" s="32">
        <f>IF(OR(F110="",AND(D110="",E110="")),"n/a",IF(F110=E110,"mastered",IF(F110=D110,"normal","differs")))</f>
        <v/>
      </c>
      <c r="H110" s="35" t="n">
        <v>712</v>
      </c>
      <c r="I110" s="35" t="n"/>
      <c r="J110" s="33" t="n">
        <v>85</v>
      </c>
      <c r="K110" s="33" t="n"/>
      <c r="L110" s="36" t="n">
        <v>69</v>
      </c>
      <c r="M110" s="37" t="n">
        <v>42.5</v>
      </c>
      <c r="N110" s="32">
        <f>IF(L110="","",IF(L110&lt;0,"negative profit",IF(L110&gt;Notes!$B$4,"unusually high - verify","")))</f>
        <v/>
      </c>
      <c r="O110" s="32" t="inlineStr">
        <is>
          <t>hayday.info</t>
        </is>
      </c>
      <c r="P110" s="32">
        <f>IF(O110&lt;&gt;"both",O110&amp;" only",IF(Q110="","agree","conflict"))</f>
        <v/>
      </c>
      <c r="Q110" s="32">
        <f>IF(O110="both",TRIM(IF(I110&lt;&gt;"","price ","")&amp;IF(K110&lt;&gt;"","xp ","")&amp;IF(G110="differs","time","")),"")</f>
        <v/>
      </c>
      <c r="R110" s="32" t="inlineStr">
        <is>
          <t>hayday.info /api/production-data only</t>
        </is>
      </c>
      <c r="S110" s="32" t="n"/>
    </row>
    <row r="111" ht="15" customHeight="1" s="29">
      <c r="A111" s="32" t="inlineStr">
        <is>
          <t>Cream</t>
        </is>
      </c>
      <c r="B111" s="32" t="inlineStr">
        <is>
          <t>Dairy</t>
        </is>
      </c>
      <c r="C111" s="33" t="n">
        <v>6</v>
      </c>
      <c r="D111" s="34" t="n">
        <v>20</v>
      </c>
      <c r="E111" s="34" t="n">
        <v>17</v>
      </c>
      <c r="F111" s="34" t="n">
        <v>17</v>
      </c>
      <c r="G111" s="32">
        <f>IF(OR(F111="",AND(D111="",E111="")),"n/a",IF(F111=E111,"mastered",IF(F111=D111,"normal","differs")))</f>
        <v/>
      </c>
      <c r="H111" s="35" t="n">
        <v>50</v>
      </c>
      <c r="I111" s="35" t="n"/>
      <c r="J111" s="33" t="n">
        <v>6</v>
      </c>
      <c r="K111" s="33" t="n"/>
      <c r="L111" s="36" t="n">
        <v>63.52941176</v>
      </c>
      <c r="M111" s="37" t="n">
        <v>21.17647059</v>
      </c>
      <c r="N111" s="32">
        <f>IF(L111="","",IF(L111&lt;0,"negative profit",IF(L111&gt;Notes!$B$4,"unusually high - verify","")))</f>
        <v/>
      </c>
      <c r="O111" s="32" t="inlineStr">
        <is>
          <t>both</t>
        </is>
      </c>
      <c r="P111" s="32">
        <f>IF(O111&lt;&gt;"both",O111&amp;" only",IF(Q111="","agree","conflict"))</f>
        <v/>
      </c>
      <c r="Q111" s="32">
        <f>IF(O111="both",TRIM(IF(I111&lt;&gt;"","price ","")&amp;IF(K111&lt;&gt;"","xp ","")&amp;IF(G111="differs","time","")),"")</f>
        <v/>
      </c>
      <c r="R111" s="32" t="inlineStr">
        <is>
          <t>hayday.info (primary values) + Fandom (times, cross-check)</t>
        </is>
      </c>
      <c r="S111" s="32" t="inlineStr">
        <is>
          <t>https://hayday.fandom.com/wiki/Dairy</t>
        </is>
      </c>
    </row>
    <row r="112" ht="15" customHeight="1" s="29">
      <c r="A112" s="32" t="inlineStr">
        <is>
          <t>Butter</t>
        </is>
      </c>
      <c r="B112" s="32" t="inlineStr">
        <is>
          <t>Dairy</t>
        </is>
      </c>
      <c r="C112" s="33" t="n">
        <v>9</v>
      </c>
      <c r="D112" s="34" t="n">
        <v>30</v>
      </c>
      <c r="E112" s="34" t="n">
        <v>25</v>
      </c>
      <c r="F112" s="34" t="n">
        <v>25</v>
      </c>
      <c r="G112" s="32">
        <f>IF(OR(F112="",AND(D112="",E112="")),"n/a",IF(F112=E112,"mastered",IF(F112=D112,"normal","differs")))</f>
        <v/>
      </c>
      <c r="H112" s="35" t="n">
        <v>82</v>
      </c>
      <c r="I112" s="35" t="n"/>
      <c r="J112" s="33" t="n">
        <v>10</v>
      </c>
      <c r="K112" s="33" t="n"/>
      <c r="L112" s="36" t="n">
        <v>42.35294118</v>
      </c>
      <c r="M112" s="37" t="n">
        <v>23.52941176</v>
      </c>
      <c r="N112" s="32">
        <f>IF(L112="","",IF(L112&lt;0,"negative profit",IF(L112&gt;Notes!$B$4,"unusually high - verify","")))</f>
        <v/>
      </c>
      <c r="O112" s="32" t="inlineStr">
        <is>
          <t>both</t>
        </is>
      </c>
      <c r="P112" s="32">
        <f>IF(O112&lt;&gt;"both",O112&amp;" only",IF(Q112="","agree","conflict"))</f>
        <v/>
      </c>
      <c r="Q112" s="32">
        <f>IF(O112="both",TRIM(IF(I112&lt;&gt;"","price ","")&amp;IF(K112&lt;&gt;"","xp ","")&amp;IF(G112="differs","time","")),"")</f>
        <v/>
      </c>
      <c r="R112" s="32" t="inlineStr">
        <is>
          <t>hayday.info (primary values) + Fandom (times, cross-check)</t>
        </is>
      </c>
      <c r="S112" s="32" t="inlineStr">
        <is>
          <t>https://hayday.fandom.com/wiki/Dairy</t>
        </is>
      </c>
    </row>
    <row r="113" ht="15" customHeight="1" s="29">
      <c r="A113" s="32" t="inlineStr">
        <is>
          <t>Cheese</t>
        </is>
      </c>
      <c r="B113" s="32" t="inlineStr">
        <is>
          <t>Dairy</t>
        </is>
      </c>
      <c r="C113" s="33" t="n">
        <v>12</v>
      </c>
      <c r="D113" s="34" t="n">
        <v>60</v>
      </c>
      <c r="E113" s="34" t="n">
        <v>51</v>
      </c>
      <c r="F113" s="34" t="n">
        <v>51</v>
      </c>
      <c r="G113" s="32">
        <f>IF(OR(F113="",AND(D113="",E113="")),"n/a",IF(F113=E113,"mastered",IF(F113=D113,"normal","differs")))</f>
        <v/>
      </c>
      <c r="H113" s="35" t="n">
        <v>122</v>
      </c>
      <c r="I113" s="35" t="n"/>
      <c r="J113" s="33" t="n">
        <v>15</v>
      </c>
      <c r="K113" s="33" t="n"/>
      <c r="L113" s="36" t="n">
        <v>30.58823529</v>
      </c>
      <c r="M113" s="37" t="n">
        <v>17.64705882</v>
      </c>
      <c r="N113" s="32">
        <f>IF(L113="","",IF(L113&lt;0,"negative profit",IF(L113&gt;Notes!$B$4,"unusually high - verify","")))</f>
        <v/>
      </c>
      <c r="O113" s="32" t="inlineStr">
        <is>
          <t>both</t>
        </is>
      </c>
      <c r="P113" s="32">
        <f>IF(O113&lt;&gt;"both",O113&amp;" only",IF(Q113="","agree","conflict"))</f>
        <v/>
      </c>
      <c r="Q113" s="32">
        <f>IF(O113="both",TRIM(IF(I113&lt;&gt;"","price ","")&amp;IF(K113&lt;&gt;"","xp ","")&amp;IF(G113="differs","time","")),"")</f>
        <v/>
      </c>
      <c r="R113" s="32" t="inlineStr">
        <is>
          <t>hayday.info (primary values) + Fandom (times, cross-check)</t>
        </is>
      </c>
      <c r="S113" s="32" t="inlineStr">
        <is>
          <t>https://hayday.fandom.com/wiki/Dairy</t>
        </is>
      </c>
    </row>
    <row r="114" ht="15" customHeight="1" s="29">
      <c r="A114" s="32" t="inlineStr">
        <is>
          <t>Goat Cheese</t>
        </is>
      </c>
      <c r="B114" s="32" t="inlineStr">
        <is>
          <t>Dairy</t>
        </is>
      </c>
      <c r="C114" s="33" t="n">
        <v>33</v>
      </c>
      <c r="D114" s="34" t="n">
        <v>90</v>
      </c>
      <c r="E114" s="34" t="n">
        <v>76</v>
      </c>
      <c r="F114" s="34" t="n">
        <v>76</v>
      </c>
      <c r="G114" s="32">
        <f>IF(OR(F114="",AND(D114="",E114="")),"n/a",IF(F114=E114,"mastered",IF(F114=D114,"normal","differs")))</f>
        <v/>
      </c>
      <c r="H114" s="35" t="n">
        <v>162</v>
      </c>
      <c r="I114" s="35" t="n"/>
      <c r="J114" s="33" t="n">
        <v>19</v>
      </c>
      <c r="K114" s="33" t="n"/>
      <c r="L114" s="36" t="n">
        <v>26.66666667</v>
      </c>
      <c r="M114" s="37" t="n">
        <v>14.90196078</v>
      </c>
      <c r="N114" s="32">
        <f>IF(L114="","",IF(L114&lt;0,"negative profit",IF(L114&gt;Notes!$B$4,"unusually high - verify","")))</f>
        <v/>
      </c>
      <c r="O114" s="32" t="inlineStr">
        <is>
          <t>both</t>
        </is>
      </c>
      <c r="P114" s="32">
        <f>IF(O114&lt;&gt;"both",O114&amp;" only",IF(Q114="","agree","conflict"))</f>
        <v/>
      </c>
      <c r="Q114" s="32">
        <f>IF(O114="both",TRIM(IF(I114&lt;&gt;"","price ","")&amp;IF(K114&lt;&gt;"","xp ","")&amp;IF(G114="differs","time","")),"")</f>
        <v/>
      </c>
      <c r="R114" s="32" t="inlineStr">
        <is>
          <t>hayday.info (primary values) + Fandom (times, cross-check)</t>
        </is>
      </c>
      <c r="S114" s="32" t="inlineStr">
        <is>
          <t>https://hayday.fandom.com/wiki/Dairy</t>
        </is>
      </c>
    </row>
    <row r="115" ht="15" customHeight="1" s="29">
      <c r="A115" s="32" t="inlineStr">
        <is>
          <t>Bacon Fries</t>
        </is>
      </c>
      <c r="B115" s="32" t="inlineStr">
        <is>
          <t>Deep Fryer</t>
        </is>
      </c>
      <c r="C115" s="33" t="n">
        <v>87</v>
      </c>
      <c r="D115" s="34" t="n"/>
      <c r="E115" s="34" t="n"/>
      <c r="F115" s="34" t="n">
        <v>21</v>
      </c>
      <c r="G115" s="32">
        <f>IF(OR(F115="",AND(D115="",E115="")),"n/a",IF(F115=E115,"mastered",IF(F115=D115,"normal","differs")))</f>
        <v/>
      </c>
      <c r="H115" s="35" t="n">
        <v>302</v>
      </c>
      <c r="I115" s="35" t="n"/>
      <c r="J115" s="33" t="n">
        <v>36</v>
      </c>
      <c r="K115" s="33" t="n"/>
      <c r="L115" s="36" t="n">
        <v>22.58823529</v>
      </c>
      <c r="M115" s="37" t="n">
        <v>101.6470588</v>
      </c>
      <c r="N115" s="32">
        <f>IF(L115="","",IF(L115&lt;0,"negative profit",IF(L115&gt;Notes!$B$4,"unusually high - verify","")))</f>
        <v/>
      </c>
      <c r="O115" s="32" t="inlineStr">
        <is>
          <t>hayday.info</t>
        </is>
      </c>
      <c r="P115" s="32">
        <f>IF(O115&lt;&gt;"both",O115&amp;" only",IF(Q115="","agree","conflict"))</f>
        <v/>
      </c>
      <c r="Q115" s="32">
        <f>IF(O115="both",TRIM(IF(I115&lt;&gt;"","price ","")&amp;IF(K115&lt;&gt;"","xp ","")&amp;IF(G115="differs","time","")),"")</f>
        <v/>
      </c>
      <c r="R115" s="32" t="inlineStr">
        <is>
          <t>hayday.info /api/production-data only</t>
        </is>
      </c>
      <c r="S115" s="32" t="n"/>
    </row>
    <row r="116" ht="15" customHeight="1" s="29">
      <c r="A116" s="32" t="inlineStr">
        <is>
          <t>Hand Pies</t>
        </is>
      </c>
      <c r="B116" s="32" t="inlineStr">
        <is>
          <t>Deep Fryer</t>
        </is>
      </c>
      <c r="C116" s="33" t="n">
        <v>91</v>
      </c>
      <c r="D116" s="34" t="n"/>
      <c r="E116" s="34" t="n"/>
      <c r="F116" s="34" t="n">
        <v>17</v>
      </c>
      <c r="G116" s="32">
        <f>IF(OR(F116="",AND(D116="",E116="")),"n/a",IF(F116=E116,"mastered",IF(F116=D116,"normal","differs")))</f>
        <v/>
      </c>
      <c r="H116" s="35" t="n">
        <v>295</v>
      </c>
      <c r="I116" s="35" t="n"/>
      <c r="J116" s="33" t="n">
        <v>35</v>
      </c>
      <c r="K116" s="33" t="n"/>
      <c r="L116" s="36" t="n">
        <v>88.23529412000001</v>
      </c>
      <c r="M116" s="37" t="n">
        <v>123.5294118</v>
      </c>
      <c r="N116" s="32">
        <f>IF(L116="","",IF(L116&lt;0,"negative profit",IF(L116&gt;Notes!$B$4,"unusually high - verify","")))</f>
        <v/>
      </c>
      <c r="O116" s="32" t="inlineStr">
        <is>
          <t>hayday.info</t>
        </is>
      </c>
      <c r="P116" s="32">
        <f>IF(O116&lt;&gt;"both",O116&amp;" only",IF(Q116="","agree","conflict"))</f>
        <v/>
      </c>
      <c r="Q116" s="32">
        <f>IF(O116="both",TRIM(IF(I116&lt;&gt;"","price ","")&amp;IF(K116&lt;&gt;"","xp ","")&amp;IF(G116="differs","time","")),"")</f>
        <v/>
      </c>
      <c r="R116" s="32" t="inlineStr">
        <is>
          <t>hayday.info /api/production-data only</t>
        </is>
      </c>
      <c r="S116" s="32" t="n"/>
    </row>
    <row r="117" ht="15" customHeight="1" s="29">
      <c r="A117" s="32" t="inlineStr">
        <is>
          <t>Chili Poppers</t>
        </is>
      </c>
      <c r="B117" s="32" t="inlineStr">
        <is>
          <t>Deep Fryer</t>
        </is>
      </c>
      <c r="C117" s="33" t="n">
        <v>98</v>
      </c>
      <c r="D117" s="34" t="n"/>
      <c r="E117" s="34" t="n"/>
      <c r="F117" s="34" t="n">
        <v>34</v>
      </c>
      <c r="G117" s="32">
        <f>IF(OR(F117="",AND(D117="",E117="")),"n/a",IF(F117=E117,"mastered",IF(F117=D117,"normal","differs")))</f>
        <v/>
      </c>
      <c r="H117" s="35" t="n">
        <v>406</v>
      </c>
      <c r="I117" s="35" t="n"/>
      <c r="J117" s="33" t="n">
        <v>48</v>
      </c>
      <c r="K117" s="33" t="n"/>
      <c r="L117" s="36" t="n">
        <v>40.58823529</v>
      </c>
      <c r="M117" s="37" t="n">
        <v>84.70588235</v>
      </c>
      <c r="N117" s="32">
        <f>IF(L117="","",IF(L117&lt;0,"negative profit",IF(L117&gt;Notes!$B$4,"unusually high - verify","")))</f>
        <v/>
      </c>
      <c r="O117" s="32" t="inlineStr">
        <is>
          <t>hayday.info</t>
        </is>
      </c>
      <c r="P117" s="32">
        <f>IF(O117&lt;&gt;"both",O117&amp;" only",IF(Q117="","agree","conflict"))</f>
        <v/>
      </c>
      <c r="Q117" s="32">
        <f>IF(O117="both",TRIM(IF(I117&lt;&gt;"","price ","")&amp;IF(K117&lt;&gt;"","xp ","")&amp;IF(G117="differs","time","")),"")</f>
        <v/>
      </c>
      <c r="R117" s="32" t="inlineStr">
        <is>
          <t>hayday.info /api/production-data only</t>
        </is>
      </c>
      <c r="S117" s="32" t="n"/>
    </row>
    <row r="118" ht="15" customHeight="1" s="29">
      <c r="A118" s="32" t="inlineStr">
        <is>
          <t>Falafel</t>
        </is>
      </c>
      <c r="B118" s="32" t="inlineStr">
        <is>
          <t>Deep Fryer</t>
        </is>
      </c>
      <c r="C118" s="33" t="n">
        <v>98</v>
      </c>
      <c r="D118" s="34" t="n"/>
      <c r="E118" s="34" t="n"/>
      <c r="F118" s="34" t="n">
        <v>46</v>
      </c>
      <c r="G118" s="32">
        <f>IF(OR(F118="",AND(D118="",E118="")),"n/a",IF(F118=E118,"mastered",IF(F118=D118,"normal","differs")))</f>
        <v/>
      </c>
      <c r="H118" s="35" t="n">
        <v>226</v>
      </c>
      <c r="I118" s="35" t="n"/>
      <c r="J118" s="33" t="n">
        <v>27</v>
      </c>
      <c r="K118" s="33" t="n"/>
      <c r="L118" s="36" t="n">
        <v>38.5026738</v>
      </c>
      <c r="M118" s="37" t="n">
        <v>34.65240642</v>
      </c>
      <c r="N118" s="32">
        <f>IF(L118="","",IF(L118&lt;0,"negative profit",IF(L118&gt;Notes!$B$4,"unusually high - verify","")))</f>
        <v/>
      </c>
      <c r="O118" s="32" t="inlineStr">
        <is>
          <t>hayday.info</t>
        </is>
      </c>
      <c r="P118" s="32">
        <f>IF(O118&lt;&gt;"both",O118&amp;" only",IF(Q118="","agree","conflict"))</f>
        <v/>
      </c>
      <c r="Q118" s="32">
        <f>IF(O118="both",TRIM(IF(I118&lt;&gt;"","price ","")&amp;IF(K118&lt;&gt;"","xp ","")&amp;IF(G118="differs","time","")),"")</f>
        <v/>
      </c>
      <c r="R118" s="32" t="inlineStr">
        <is>
          <t>hayday.info /api/production-data only</t>
        </is>
      </c>
      <c r="S118" s="32" t="n"/>
    </row>
    <row r="119" ht="15" customHeight="1" s="29">
      <c r="A119" s="32" t="inlineStr">
        <is>
          <t>Fried Candy Bar</t>
        </is>
      </c>
      <c r="B119" s="32" t="inlineStr">
        <is>
          <t>Deep Fryer</t>
        </is>
      </c>
      <c r="C119" s="33" t="n">
        <v>100</v>
      </c>
      <c r="D119" s="34" t="n"/>
      <c r="E119" s="34" t="n"/>
      <c r="F119" s="34" t="n">
        <v>12</v>
      </c>
      <c r="G119" s="32">
        <f>IF(OR(F119="",AND(D119="",E119="")),"n/a",IF(F119=E119,"mastered",IF(F119=D119,"normal","differs")))</f>
        <v/>
      </c>
      <c r="H119" s="35" t="n">
        <v>658</v>
      </c>
      <c r="I119" s="35" t="n"/>
      <c r="J119" s="33" t="n">
        <v>87</v>
      </c>
      <c r="K119" s="33" t="n"/>
      <c r="L119" s="36" t="n">
        <v>291.7647059</v>
      </c>
      <c r="M119" s="37" t="n">
        <v>409.4117647</v>
      </c>
      <c r="N119" s="32">
        <f>IF(L119="","",IF(L119&lt;0,"negative profit",IF(L119&gt;Notes!$B$4,"unusually high - verify","")))</f>
        <v/>
      </c>
      <c r="O119" s="32" t="inlineStr">
        <is>
          <t>hayday.info</t>
        </is>
      </c>
      <c r="P119" s="32">
        <f>IF(O119&lt;&gt;"both",O119&amp;" only",IF(Q119="","agree","conflict"))</f>
        <v/>
      </c>
      <c r="Q119" s="32">
        <f>IF(O119="both",TRIM(IF(I119&lt;&gt;"","price ","")&amp;IF(K119&lt;&gt;"","xp ","")&amp;IF(G119="differs","time","")),"")</f>
        <v/>
      </c>
      <c r="R119" s="32" t="inlineStr">
        <is>
          <t>hayday.info /api/production-data only</t>
        </is>
      </c>
      <c r="S119" s="32" t="n"/>
    </row>
    <row r="120" ht="15" customHeight="1" s="29">
      <c r="A120" s="32" t="inlineStr">
        <is>
          <t>Samosa</t>
        </is>
      </c>
      <c r="B120" s="32" t="inlineStr">
        <is>
          <t>Deep Fryer</t>
        </is>
      </c>
      <c r="C120" s="33" t="n">
        <v>103</v>
      </c>
      <c r="D120" s="34" t="n"/>
      <c r="E120" s="34" t="n"/>
      <c r="F120" s="34" t="n">
        <v>63</v>
      </c>
      <c r="G120" s="32">
        <f>IF(OR(F120="",AND(D120="",E120="")),"n/a",IF(F120=E120,"mastered",IF(F120=D120,"normal","differs")))</f>
        <v/>
      </c>
      <c r="H120" s="35" t="n">
        <v>223</v>
      </c>
      <c r="I120" s="35" t="n"/>
      <c r="J120" s="33" t="n">
        <v>27</v>
      </c>
      <c r="K120" s="33" t="n"/>
      <c r="L120" s="36" t="n">
        <v>29.17647059</v>
      </c>
      <c r="M120" s="37" t="n">
        <v>25.41176471</v>
      </c>
      <c r="N120" s="32">
        <f>IF(L120="","",IF(L120&lt;0,"negative profit",IF(L120&gt;Notes!$B$4,"unusually high - verify","")))</f>
        <v/>
      </c>
      <c r="O120" s="32" t="inlineStr">
        <is>
          <t>hayday.info</t>
        </is>
      </c>
      <c r="P120" s="32">
        <f>IF(O120&lt;&gt;"both",O120&amp;" only",IF(Q120="","agree","conflict"))</f>
        <v/>
      </c>
      <c r="Q120" s="32">
        <f>IF(O120="both",TRIM(IF(I120&lt;&gt;"","price ","")&amp;IF(K120&lt;&gt;"","xp ","")&amp;IF(G120="differs","time","")),"")</f>
        <v/>
      </c>
      <c r="R120" s="32" t="inlineStr">
        <is>
          <t>hayday.info /api/production-data only</t>
        </is>
      </c>
      <c r="S120" s="32" t="n"/>
    </row>
    <row r="121" ht="15" customHeight="1" s="29">
      <c r="A121" s="32" t="inlineStr">
        <is>
          <t>Plain Donut</t>
        </is>
      </c>
      <c r="B121" s="32" t="inlineStr">
        <is>
          <t>Donut Maker</t>
        </is>
      </c>
      <c r="C121" s="33" t="n">
        <v>76</v>
      </c>
      <c r="D121" s="34" t="n">
        <v>15</v>
      </c>
      <c r="E121" s="34" t="n">
        <v>12</v>
      </c>
      <c r="F121" s="34" t="n">
        <v>12</v>
      </c>
      <c r="G121" s="32">
        <f>IF(OR(F121="",AND(D121="",E121="")),"n/a",IF(F121=E121,"mastered",IF(F121=D121,"normal","differs")))</f>
        <v/>
      </c>
      <c r="H121" s="35" t="n">
        <v>129</v>
      </c>
      <c r="I121" s="35" t="n"/>
      <c r="J121" s="33" t="n">
        <v>15</v>
      </c>
      <c r="K121" s="33" t="n"/>
      <c r="L121" s="36" t="n">
        <v>94.11764706</v>
      </c>
      <c r="M121" s="37" t="n">
        <v>70.58823529</v>
      </c>
      <c r="N121" s="32">
        <f>IF(L121="","",IF(L121&lt;0,"negative profit",IF(L121&gt;Notes!$B$4,"unusually high - verify","")))</f>
        <v/>
      </c>
      <c r="O121" s="32" t="inlineStr">
        <is>
          <t>both</t>
        </is>
      </c>
      <c r="P121" s="32">
        <f>IF(O121&lt;&gt;"both",O121&amp;" only",IF(Q121="","agree","conflict"))</f>
        <v/>
      </c>
      <c r="Q121" s="32">
        <f>IF(O121="both",TRIM(IF(I121&lt;&gt;"","price ","")&amp;IF(K121&lt;&gt;"","xp ","")&amp;IF(G121="differs","time","")),"")</f>
        <v/>
      </c>
      <c r="R121" s="32" t="inlineStr">
        <is>
          <t>hayday.info (primary values) + Fandom (times, cross-check)</t>
        </is>
      </c>
      <c r="S121" s="32" t="inlineStr">
        <is>
          <t>https://hayday.fandom.com/wiki/Donut_Maker</t>
        </is>
      </c>
    </row>
    <row r="122" ht="15" customHeight="1" s="29">
      <c r="A122" s="32" t="inlineStr">
        <is>
          <t>Sprinkled Donut</t>
        </is>
      </c>
      <c r="B122" s="32" t="inlineStr">
        <is>
          <t>Donut Maker</t>
        </is>
      </c>
      <c r="C122" s="33" t="n">
        <v>79</v>
      </c>
      <c r="D122" s="34" t="n">
        <v>20</v>
      </c>
      <c r="E122" s="34" t="n">
        <v>17</v>
      </c>
      <c r="F122" s="34" t="n">
        <v>17</v>
      </c>
      <c r="G122" s="32">
        <f>IF(OR(F122="",AND(D122="",E122="")),"n/a",IF(F122=E122,"mastered",IF(F122=D122,"normal","differs")))</f>
        <v/>
      </c>
      <c r="H122" s="35" t="n">
        <v>313</v>
      </c>
      <c r="I122" s="35" t="n"/>
      <c r="J122" s="33" t="n">
        <v>37</v>
      </c>
      <c r="K122" s="33" t="n"/>
      <c r="L122" s="36" t="n">
        <v>42.35294118</v>
      </c>
      <c r="M122" s="37" t="n">
        <v>130.5882353</v>
      </c>
      <c r="N122" s="32">
        <f>IF(L122="","",IF(L122&lt;0,"negative profit",IF(L122&gt;Notes!$B$4,"unusually high - verify","")))</f>
        <v/>
      </c>
      <c r="O122" s="32" t="inlineStr">
        <is>
          <t>both</t>
        </is>
      </c>
      <c r="P122" s="32">
        <f>IF(O122&lt;&gt;"both",O122&amp;" only",IF(Q122="","agree","conflict"))</f>
        <v/>
      </c>
      <c r="Q122" s="32">
        <f>IF(O122="both",TRIM(IF(I122&lt;&gt;"","price ","")&amp;IF(K122&lt;&gt;"","xp ","")&amp;IF(G122="differs","time","")),"")</f>
        <v/>
      </c>
      <c r="R122" s="32" t="inlineStr">
        <is>
          <t>hayday.info (primary values) + Fandom (times, cross-check)</t>
        </is>
      </c>
      <c r="S122" s="32" t="inlineStr">
        <is>
          <t>https://hayday.fandom.com/wiki/Donut_Maker</t>
        </is>
      </c>
    </row>
    <row r="123" ht="15" customHeight="1" s="29">
      <c r="A123" s="32" t="inlineStr">
        <is>
          <t>Crunchy Donut</t>
        </is>
      </c>
      <c r="B123" s="32" t="inlineStr">
        <is>
          <t>Donut Maker</t>
        </is>
      </c>
      <c r="C123" s="33" t="n">
        <v>82</v>
      </c>
      <c r="D123" s="34" t="n">
        <v>30</v>
      </c>
      <c r="E123" s="34" t="n">
        <v>25</v>
      </c>
      <c r="F123" s="34" t="n">
        <v>25</v>
      </c>
      <c r="G123" s="32">
        <f>IF(OR(F123="",AND(D123="",E123="")),"n/a",IF(F123=E123,"mastered",IF(F123=D123,"normal","differs")))</f>
        <v/>
      </c>
      <c r="H123" s="35" t="n">
        <v>594</v>
      </c>
      <c r="I123" s="35" t="n"/>
      <c r="J123" s="33" t="n">
        <v>71</v>
      </c>
      <c r="K123" s="33" t="n"/>
      <c r="L123" s="36" t="n">
        <v>341.1764706</v>
      </c>
      <c r="M123" s="37" t="n">
        <v>167.0588235</v>
      </c>
      <c r="N123" s="32">
        <f>IF(L123="","",IF(L123&lt;0,"negative profit",IF(L123&gt;Notes!$B$4,"unusually high - verify","")))</f>
        <v/>
      </c>
      <c r="O123" s="32" t="inlineStr">
        <is>
          <t>both</t>
        </is>
      </c>
      <c r="P123" s="32">
        <f>IF(O123&lt;&gt;"both",O123&amp;" only",IF(Q123="","agree","conflict"))</f>
        <v/>
      </c>
      <c r="Q123" s="32">
        <f>IF(O123="both",TRIM(IF(I123&lt;&gt;"","price ","")&amp;IF(K123&lt;&gt;"","xp ","")&amp;IF(G123="differs","time","")),"")</f>
        <v/>
      </c>
      <c r="R123" s="32" t="inlineStr">
        <is>
          <t>hayday.info (primary values) + Fandom (times, cross-check)</t>
        </is>
      </c>
      <c r="S123" s="32" t="inlineStr">
        <is>
          <t>https://hayday.fandom.com/wiki/Donut_Maker</t>
        </is>
      </c>
    </row>
    <row r="124" ht="15" customHeight="1" s="29">
      <c r="A124" s="32" t="inlineStr">
        <is>
          <t>Cream Donut</t>
        </is>
      </c>
      <c r="B124" s="32" t="inlineStr">
        <is>
          <t>Donut Maker</t>
        </is>
      </c>
      <c r="C124" s="33" t="n">
        <v>86</v>
      </c>
      <c r="D124" s="34" t="n">
        <v>25</v>
      </c>
      <c r="E124" s="34" t="n">
        <v>21</v>
      </c>
      <c r="F124" s="34" t="n">
        <v>21</v>
      </c>
      <c r="G124" s="32">
        <f>IF(OR(F124="",AND(D124="",E124="")),"n/a",IF(F124=E124,"mastered",IF(F124=D124,"normal","differs")))</f>
        <v/>
      </c>
      <c r="H124" s="35" t="n">
        <v>230</v>
      </c>
      <c r="I124" s="35" t="n"/>
      <c r="J124" s="33" t="n">
        <v>27</v>
      </c>
      <c r="K124" s="33" t="n"/>
      <c r="L124" s="36" t="n">
        <v>53.64705882</v>
      </c>
      <c r="M124" s="37" t="n">
        <v>76.23529412000001</v>
      </c>
      <c r="N124" s="32">
        <f>IF(L124="","",IF(L124&lt;0,"negative profit",IF(L124&gt;Notes!$B$4,"unusually high - verify","")))</f>
        <v/>
      </c>
      <c r="O124" s="32" t="inlineStr">
        <is>
          <t>both</t>
        </is>
      </c>
      <c r="P124" s="32">
        <f>IF(O124&lt;&gt;"both",O124&amp;" only",IF(Q124="","agree","conflict"))</f>
        <v/>
      </c>
      <c r="Q124" s="32">
        <f>IF(O124="both",TRIM(IF(I124&lt;&gt;"","price ","")&amp;IF(K124&lt;&gt;"","xp ","")&amp;IF(G124="differs","time","")),"")</f>
        <v/>
      </c>
      <c r="R124" s="32" t="inlineStr">
        <is>
          <t>hayday.info (primary values) + Fandom (times, cross-check)</t>
        </is>
      </c>
      <c r="S124" s="32" t="inlineStr">
        <is>
          <t>https://hayday.fandom.com/wiki/Donut_Maker</t>
        </is>
      </c>
    </row>
    <row r="125" ht="15" customHeight="1" s="29">
      <c r="A125" s="32" t="inlineStr">
        <is>
          <t>Bacon Donut</t>
        </is>
      </c>
      <c r="B125" s="32" t="inlineStr">
        <is>
          <t>Donut Maker</t>
        </is>
      </c>
      <c r="C125" s="33" t="n">
        <v>88</v>
      </c>
      <c r="D125" s="34" t="n">
        <v>30</v>
      </c>
      <c r="E125" s="34" t="n">
        <v>25</v>
      </c>
      <c r="F125" s="34" t="n">
        <v>25</v>
      </c>
      <c r="G125" s="32">
        <f>IF(OR(F125="",AND(D125="",E125="")),"n/a",IF(F125=E125,"mastered",IF(F125=D125,"normal","differs")))</f>
        <v/>
      </c>
      <c r="H125" s="35" t="n">
        <v>388</v>
      </c>
      <c r="I125" s="35" t="n"/>
      <c r="J125" s="33" t="n">
        <v>46</v>
      </c>
      <c r="K125" s="33" t="n"/>
      <c r="L125" s="36" t="n">
        <v>44.70588235</v>
      </c>
      <c r="M125" s="37" t="n">
        <v>108.2352941</v>
      </c>
      <c r="N125" s="32">
        <f>IF(L125="","",IF(L125&lt;0,"negative profit",IF(L125&gt;Notes!$B$4,"unusually high - verify","")))</f>
        <v/>
      </c>
      <c r="O125" s="32" t="inlineStr">
        <is>
          <t>both</t>
        </is>
      </c>
      <c r="P125" s="32">
        <f>IF(O125&lt;&gt;"both",O125&amp;" only",IF(Q125="","agree","conflict"))</f>
        <v/>
      </c>
      <c r="Q125" s="32">
        <f>IF(O125="both",TRIM(IF(I125&lt;&gt;"","price ","")&amp;IF(K125&lt;&gt;"","xp ","")&amp;IF(G125="differs","time","")),"")</f>
        <v/>
      </c>
      <c r="R125" s="32" t="inlineStr">
        <is>
          <t>hayday.info (primary values) + Fandom (times, cross-check)</t>
        </is>
      </c>
      <c r="S125" s="32" t="inlineStr">
        <is>
          <t>https://hayday.fandom.com/wiki/Donut_Maker</t>
        </is>
      </c>
    </row>
    <row r="126" ht="15" customHeight="1" s="29">
      <c r="A126" s="32" t="inlineStr">
        <is>
          <t>Filled Donut</t>
        </is>
      </c>
      <c r="B126" s="32" t="inlineStr">
        <is>
          <t>Donut Maker</t>
        </is>
      </c>
      <c r="C126" s="33" t="n">
        <v>93</v>
      </c>
      <c r="D126" s="34" t="n">
        <v>35</v>
      </c>
      <c r="E126" s="34" t="n">
        <v>29</v>
      </c>
      <c r="F126" s="34" t="n">
        <v>29</v>
      </c>
      <c r="G126" s="32">
        <f>IF(OR(F126="",AND(D126="",E126="")),"n/a",IF(F126=E126,"mastered",IF(F126=D126,"normal","differs")))</f>
        <v/>
      </c>
      <c r="H126" s="35" t="n">
        <v>403</v>
      </c>
      <c r="I126" s="35" t="n"/>
      <c r="J126" s="33" t="n">
        <v>48</v>
      </c>
      <c r="K126" s="33" t="n"/>
      <c r="L126" s="36" t="n">
        <v>44.3697479</v>
      </c>
      <c r="M126" s="37" t="n">
        <v>96.80672269</v>
      </c>
      <c r="N126" s="32">
        <f>IF(L126="","",IF(L126&lt;0,"negative profit",IF(L126&gt;Notes!$B$4,"unusually high - verify","")))</f>
        <v/>
      </c>
      <c r="O126" s="32" t="inlineStr">
        <is>
          <t>both</t>
        </is>
      </c>
      <c r="P126" s="32">
        <f>IF(O126&lt;&gt;"both",O126&amp;" only",IF(Q126="","agree","conflict"))</f>
        <v/>
      </c>
      <c r="Q126" s="32">
        <f>IF(O126="both",TRIM(IF(I126&lt;&gt;"","price ","")&amp;IF(K126&lt;&gt;"","xp ","")&amp;IF(G126="differs","time","")),"")</f>
        <v/>
      </c>
      <c r="R126" s="32" t="inlineStr">
        <is>
          <t>hayday.info (primary values) + Fandom (times, cross-check)</t>
        </is>
      </c>
      <c r="S126" s="32" t="inlineStr">
        <is>
          <t>https://hayday.fandom.com/wiki/Donut_Maker</t>
        </is>
      </c>
    </row>
    <row r="127" ht="15" customHeight="1" s="29">
      <c r="A127" s="32" t="inlineStr">
        <is>
          <t>Duck Feather</t>
        </is>
      </c>
      <c r="B127" s="32" t="inlineStr">
        <is>
          <t>Duck Salon</t>
        </is>
      </c>
      <c r="C127" s="33" t="n">
        <v>50</v>
      </c>
      <c r="D127" s="34" t="n">
        <v>180</v>
      </c>
      <c r="E127" s="34" t="n"/>
      <c r="F127" s="34" t="n">
        <v>180</v>
      </c>
      <c r="G127" s="32">
        <f>IF(OR(F127="",AND(D127="",E127="")),"n/a",IF(F127=E127,"mastered",IF(F127=D127,"normal","differs")))</f>
        <v/>
      </c>
      <c r="H127" s="35" t="n">
        <v>140</v>
      </c>
      <c r="I127" s="35" t="n"/>
      <c r="J127" s="33" t="n">
        <v>17</v>
      </c>
      <c r="K127" s="33" t="n"/>
      <c r="L127" s="36" t="n">
        <v>46.66666667</v>
      </c>
      <c r="M127" s="37" t="n">
        <v>5.666666667</v>
      </c>
      <c r="N127" s="32">
        <f>IF(L127="","",IF(L127&lt;0,"negative profit",IF(L127&gt;Notes!$B$4,"unusually high - verify","")))</f>
        <v/>
      </c>
      <c r="O127" s="32" t="inlineStr">
        <is>
          <t>both</t>
        </is>
      </c>
      <c r="P127" s="32">
        <f>IF(O127&lt;&gt;"both",O127&amp;" only",IF(Q127="","agree","conflict"))</f>
        <v/>
      </c>
      <c r="Q127" s="32">
        <f>IF(O127="both",TRIM(IF(I127&lt;&gt;"","price ","")&amp;IF(K127&lt;&gt;"","xp ","")&amp;IF(G127="differs","time","")),"")</f>
        <v/>
      </c>
      <c r="R127" s="32" t="inlineStr">
        <is>
          <t>hayday.info (primary values) + Fandom (times, cross-check)</t>
        </is>
      </c>
      <c r="S127" s="32" t="inlineStr">
        <is>
          <t>https://hayday.fandom.com/wiki/Duck_Salon</t>
        </is>
      </c>
    </row>
    <row r="128" ht="15" customHeight="1" s="29">
      <c r="A128" s="32" t="inlineStr">
        <is>
          <t>Chicken Feed</t>
        </is>
      </c>
      <c r="B128" s="32" t="inlineStr">
        <is>
          <t>Feed Mill</t>
        </is>
      </c>
      <c r="C128" s="33" t="n">
        <v>3</v>
      </c>
      <c r="D128" s="34" t="n">
        <v>5</v>
      </c>
      <c r="E128" s="34" t="n">
        <v>4</v>
      </c>
      <c r="F128" s="34" t="n">
        <v>4</v>
      </c>
      <c r="G128" s="32">
        <f>IF(OR(F128="",AND(D128="",E128="")),"n/a",IF(F128=E128,"mastered",IF(F128=D128,"normal","differs")))</f>
        <v/>
      </c>
      <c r="H128" s="35" t="n">
        <v>7</v>
      </c>
      <c r="I128" s="35" t="n"/>
      <c r="J128" s="33" t="n">
        <v>1</v>
      </c>
      <c r="K128" s="33" t="n"/>
      <c r="L128" s="36" t="n">
        <v>112.9411765</v>
      </c>
      <c r="M128" s="37" t="n">
        <v>14.11764706</v>
      </c>
      <c r="N128" s="32">
        <f>IF(L128="","",IF(L128&lt;0,"negative profit",IF(L128&gt;Notes!$B$4,"unusually high - verify","")))</f>
        <v/>
      </c>
      <c r="O128" s="32" t="inlineStr">
        <is>
          <t>both</t>
        </is>
      </c>
      <c r="P128" s="32">
        <f>IF(O128&lt;&gt;"both",O128&amp;" only",IF(Q128="","agree","conflict"))</f>
        <v/>
      </c>
      <c r="Q128" s="32">
        <f>IF(O128="both",TRIM(IF(I128&lt;&gt;"","price ","")&amp;IF(K128&lt;&gt;"","xp ","")&amp;IF(G128="differs","time","")),"")</f>
        <v/>
      </c>
      <c r="R128" s="32" t="inlineStr">
        <is>
          <t>hayday.info (primary values) + Fandom (times, cross-check)</t>
        </is>
      </c>
      <c r="S128" s="32" t="inlineStr">
        <is>
          <t>https://hayday.fandom.com/wiki/Feed_Mill</t>
        </is>
      </c>
    </row>
    <row r="129" ht="15" customHeight="1" s="29">
      <c r="A129" s="32" t="inlineStr">
        <is>
          <t>Cow Feed</t>
        </is>
      </c>
      <c r="B129" s="32" t="inlineStr">
        <is>
          <t>Feed Mill</t>
        </is>
      </c>
      <c r="C129" s="33" t="n">
        <v>6</v>
      </c>
      <c r="D129" s="34" t="n">
        <v>10</v>
      </c>
      <c r="E129" s="34" t="n">
        <v>8</v>
      </c>
      <c r="F129" s="34" t="n">
        <v>8</v>
      </c>
      <c r="G129" s="32">
        <f>IF(OR(F129="",AND(D129="",E129="")),"n/a",IF(F129=E129,"mastered",IF(F129=D129,"normal","differs")))</f>
        <v/>
      </c>
      <c r="H129" s="35" t="n">
        <v>14</v>
      </c>
      <c r="I129" s="35" t="n"/>
      <c r="J129" s="33" t="n">
        <v>2</v>
      </c>
      <c r="K129" s="33" t="n"/>
      <c r="L129" s="36" t="n">
        <v>105.8823529</v>
      </c>
      <c r="M129" s="37" t="n">
        <v>14.11764706</v>
      </c>
      <c r="N129" s="32">
        <f>IF(L129="","",IF(L129&lt;0,"negative profit",IF(L129&gt;Notes!$B$4,"unusually high - verify","")))</f>
        <v/>
      </c>
      <c r="O129" s="32" t="inlineStr">
        <is>
          <t>both</t>
        </is>
      </c>
      <c r="P129" s="32">
        <f>IF(O129&lt;&gt;"both",O129&amp;" only",IF(Q129="","agree","conflict"))</f>
        <v/>
      </c>
      <c r="Q129" s="32">
        <f>IF(O129="both",TRIM(IF(I129&lt;&gt;"","price ","")&amp;IF(K129&lt;&gt;"","xp ","")&amp;IF(G129="differs","time","")),"")</f>
        <v/>
      </c>
      <c r="R129" s="32" t="inlineStr">
        <is>
          <t>hayday.info (primary values) + Fandom (times, cross-check)</t>
        </is>
      </c>
      <c r="S129" s="32" t="inlineStr">
        <is>
          <t>https://hayday.fandom.com/wiki/Feed_Mill</t>
        </is>
      </c>
    </row>
    <row r="130" ht="15" customHeight="1" s="29">
      <c r="A130" s="32" t="inlineStr">
        <is>
          <t>Pig Feed</t>
        </is>
      </c>
      <c r="B130" s="32" t="inlineStr">
        <is>
          <t>Feed Mill</t>
        </is>
      </c>
      <c r="C130" s="33" t="n">
        <v>10</v>
      </c>
      <c r="D130" s="34" t="n">
        <v>20</v>
      </c>
      <c r="E130" s="34" t="n">
        <v>17</v>
      </c>
      <c r="F130" s="34" t="n">
        <v>17</v>
      </c>
      <c r="G130" s="32">
        <f>IF(OR(F130="",AND(D130="",E130="")),"n/a",IF(F130=E130,"mastered",IF(F130=D130,"normal","differs")))</f>
        <v/>
      </c>
      <c r="H130" s="35" t="n">
        <v>14</v>
      </c>
      <c r="I130" s="35" t="n"/>
      <c r="J130" s="33" t="n">
        <v>2</v>
      </c>
      <c r="K130" s="33" t="n"/>
      <c r="L130" s="36" t="n">
        <v>63.52941176</v>
      </c>
      <c r="M130" s="37" t="n">
        <v>7.058823529</v>
      </c>
      <c r="N130" s="32">
        <f>IF(L130="","",IF(L130&lt;0,"negative profit",IF(L130&gt;Notes!$B$4,"unusually high - verify","")))</f>
        <v/>
      </c>
      <c r="O130" s="32" t="inlineStr">
        <is>
          <t>both</t>
        </is>
      </c>
      <c r="P130" s="32">
        <f>IF(O130&lt;&gt;"both",O130&amp;" only",IF(Q130="","agree","conflict"))</f>
        <v/>
      </c>
      <c r="Q130" s="32">
        <f>IF(O130="both",TRIM(IF(I130&lt;&gt;"","price ","")&amp;IF(K130&lt;&gt;"","xp ","")&amp;IF(G130="differs","time","")),"")</f>
        <v/>
      </c>
      <c r="R130" s="32" t="inlineStr">
        <is>
          <t>hayday.info (primary values) + Fandom (times, cross-check)</t>
        </is>
      </c>
      <c r="S130" s="32" t="inlineStr">
        <is>
          <t>https://hayday.fandom.com/wiki/Feed_Mill</t>
        </is>
      </c>
    </row>
    <row r="131" ht="15" customHeight="1" s="29">
      <c r="A131" s="32" t="inlineStr">
        <is>
          <t>Sheep Feed</t>
        </is>
      </c>
      <c r="B131" s="32" t="inlineStr">
        <is>
          <t>Feed Mill</t>
        </is>
      </c>
      <c r="C131" s="33" t="n">
        <v>16</v>
      </c>
      <c r="D131" s="34" t="n">
        <v>30</v>
      </c>
      <c r="E131" s="34" t="n">
        <v>25</v>
      </c>
      <c r="F131" s="34" t="n">
        <v>25</v>
      </c>
      <c r="G131" s="32">
        <f>IF(OR(F131="",AND(D131="",E131="")),"n/a",IF(F131=E131,"mastered",IF(F131=D131,"normal","differs")))</f>
        <v/>
      </c>
      <c r="H131" s="35" t="n">
        <v>14</v>
      </c>
      <c r="I131" s="35" t="n"/>
      <c r="J131" s="33" t="n">
        <v>3</v>
      </c>
      <c r="K131" s="33" t="n"/>
      <c r="L131" s="36" t="n">
        <v>54.11764706</v>
      </c>
      <c r="M131" s="37" t="n">
        <v>7.058823529</v>
      </c>
      <c r="N131" s="32">
        <f>IF(L131="","",IF(L131&lt;0,"negative profit",IF(L131&gt;Notes!$B$4,"unusually high - verify","")))</f>
        <v/>
      </c>
      <c r="O131" s="32" t="inlineStr">
        <is>
          <t>both</t>
        </is>
      </c>
      <c r="P131" s="32">
        <f>IF(O131&lt;&gt;"both",O131&amp;" only",IF(Q131="","agree","conflict"))</f>
        <v/>
      </c>
      <c r="Q131" s="32">
        <f>IF(O131="both",TRIM(IF(I131&lt;&gt;"","price ","")&amp;IF(K131&lt;&gt;"","xp ","")&amp;IF(G131="differs","time","")),"")</f>
        <v/>
      </c>
      <c r="R131" s="32" t="inlineStr">
        <is>
          <t>hayday.info (primary values) + Fandom (times, cross-check)</t>
        </is>
      </c>
      <c r="S131" s="32" t="inlineStr">
        <is>
          <t>https://hayday.fandom.com/wiki/Feed_Mill</t>
        </is>
      </c>
    </row>
    <row r="132" ht="15" customHeight="1" s="29">
      <c r="A132" s="32" t="inlineStr">
        <is>
          <t>Goat Feed</t>
        </is>
      </c>
      <c r="B132" s="32" t="inlineStr">
        <is>
          <t>Feed Mill</t>
        </is>
      </c>
      <c r="C132" s="33" t="n">
        <v>32</v>
      </c>
      <c r="D132" s="34" t="n">
        <v>40</v>
      </c>
      <c r="E132" s="34" t="n">
        <v>34</v>
      </c>
      <c r="F132" s="34" t="n">
        <v>34</v>
      </c>
      <c r="G132" s="32">
        <f>IF(OR(F132="",AND(D132="",E132="")),"n/a",IF(F132=E132,"mastered",IF(F132=D132,"normal","differs")))</f>
        <v/>
      </c>
      <c r="H132" s="35" t="n">
        <v>14</v>
      </c>
      <c r="I132" s="35" t="n"/>
      <c r="J132" s="33" t="n">
        <v>3</v>
      </c>
      <c r="K132" s="33" t="n"/>
      <c r="L132" s="36" t="n">
        <v>31.76470588</v>
      </c>
      <c r="M132" s="37" t="n">
        <v>5.294117647</v>
      </c>
      <c r="N132" s="32">
        <f>IF(L132="","",IF(L132&lt;0,"negative profit",IF(L132&gt;Notes!$B$4,"unusually high - verify","")))</f>
        <v/>
      </c>
      <c r="O132" s="32" t="inlineStr">
        <is>
          <t>both</t>
        </is>
      </c>
      <c r="P132" s="32">
        <f>IF(O132&lt;&gt;"both",O132&amp;" only",IF(Q132="","agree","conflict"))</f>
        <v/>
      </c>
      <c r="Q132" s="32">
        <f>IF(O132="both",TRIM(IF(I132&lt;&gt;"","price ","")&amp;IF(K132&lt;&gt;"","xp ","")&amp;IF(G132="differs","time","")),"")</f>
        <v/>
      </c>
      <c r="R132" s="32" t="inlineStr">
        <is>
          <t>hayday.info (primary values) + Fandom (times, cross-check)</t>
        </is>
      </c>
      <c r="S132" s="32" t="inlineStr">
        <is>
          <t>https://hayday.fandom.com/wiki/Feed_Mill</t>
        </is>
      </c>
    </row>
    <row r="133" ht="15" customHeight="1" s="29">
      <c r="A133" s="32" t="inlineStr">
        <is>
          <t>Meat Bucket</t>
        </is>
      </c>
      <c r="B133" s="32" t="inlineStr">
        <is>
          <t>Feed Mill</t>
        </is>
      </c>
      <c r="C133" s="33" t="n">
        <v>34</v>
      </c>
      <c r="D133" s="34" t="n"/>
      <c r="E133" s="34" t="n"/>
      <c r="F133" s="34" t="n">
        <v>38</v>
      </c>
      <c r="G133" s="32">
        <f>IF(OR(F133="",AND(D133="",E133="")),"n/a",IF(F133=E133,"mastered",IF(F133=D133,"normal","differs")))</f>
        <v/>
      </c>
      <c r="H133" s="35" t="n">
        <v>72</v>
      </c>
      <c r="I133" s="35" t="n"/>
      <c r="J133" s="33" t="n">
        <v>15</v>
      </c>
      <c r="K133" s="33" t="n"/>
      <c r="L133" s="36" t="n">
        <v>29.80392157</v>
      </c>
      <c r="M133" s="37" t="n">
        <v>23.52941176</v>
      </c>
      <c r="N133" s="32">
        <f>IF(L133="","",IF(L133&lt;0,"negative profit",IF(L133&gt;Notes!$B$4,"unusually high - verify","")))</f>
        <v/>
      </c>
      <c r="O133" s="32" t="inlineStr">
        <is>
          <t>hayday.info</t>
        </is>
      </c>
      <c r="P133" s="32">
        <f>IF(O133&lt;&gt;"both",O133&amp;" only",IF(Q133="","agree","conflict"))</f>
        <v/>
      </c>
      <c r="Q133" s="32">
        <f>IF(O133="both",TRIM(IF(I133&lt;&gt;"","price ","")&amp;IF(K133&lt;&gt;"","xp ","")&amp;IF(G133="differs","time","")),"")</f>
        <v/>
      </c>
      <c r="R133" s="32" t="inlineStr">
        <is>
          <t>hayday.info /api/production-data only</t>
        </is>
      </c>
      <c r="S133" s="32" t="n"/>
    </row>
    <row r="134" ht="15" customHeight="1" s="29">
      <c r="A134" s="32" t="inlineStr">
        <is>
          <t>Wheat Bundle</t>
        </is>
      </c>
      <c r="B134" s="32" t="inlineStr">
        <is>
          <t>Feed Mill</t>
        </is>
      </c>
      <c r="C134" s="33" t="n">
        <v>34</v>
      </c>
      <c r="D134" s="34" t="n">
        <v>85</v>
      </c>
      <c r="E134" s="34" t="n">
        <v>76</v>
      </c>
      <c r="F134" s="34" t="n">
        <v>76</v>
      </c>
      <c r="G134" s="32">
        <f>IF(OR(F134="",AND(D134="",E134="")),"n/a",IF(F134=E134,"mastered",IF(F134=D134,"normal","differs")))</f>
        <v/>
      </c>
      <c r="H134" s="35" t="n">
        <v>50</v>
      </c>
      <c r="I134" s="35" t="n"/>
      <c r="J134" s="33" t="n">
        <v>10</v>
      </c>
      <c r="K134" s="33" t="n"/>
      <c r="L134" s="36" t="n">
        <v>-58.82352941</v>
      </c>
      <c r="M134" s="37" t="n">
        <v>7.843137255</v>
      </c>
      <c r="N134" s="32">
        <f>IF(L134="","",IF(L134&lt;0,"negative profit",IF(L134&gt;Notes!$B$4,"unusually high - verify","")))</f>
        <v/>
      </c>
      <c r="O134" s="32" t="inlineStr">
        <is>
          <t>both</t>
        </is>
      </c>
      <c r="P134" s="32">
        <f>IF(O134&lt;&gt;"both",O134&amp;" only",IF(Q134="","agree","conflict"))</f>
        <v/>
      </c>
      <c r="Q134" s="32">
        <f>IF(O134="both",TRIM(IF(I134&lt;&gt;"","price ","")&amp;IF(K134&lt;&gt;"","xp ","")&amp;IF(G134="differs","time","")),"")</f>
        <v/>
      </c>
      <c r="R134" s="32" t="inlineStr">
        <is>
          <t>hayday.info (primary values) + Fandom (times, cross-check)</t>
        </is>
      </c>
      <c r="S134" s="32" t="inlineStr">
        <is>
          <t>https://hayday.fandom.com/wiki/Feed_Mill</t>
        </is>
      </c>
    </row>
    <row r="135" ht="15" customHeight="1" s="29">
      <c r="A135" s="32" t="inlineStr">
        <is>
          <t>Rustic Bouquet</t>
        </is>
      </c>
      <c r="B135" s="32" t="inlineStr">
        <is>
          <t>Flower Shop</t>
        </is>
      </c>
      <c r="C135" s="33" t="n">
        <v>49</v>
      </c>
      <c r="D135" s="34" t="n">
        <v>45</v>
      </c>
      <c r="E135" s="34" t="n">
        <v>38</v>
      </c>
      <c r="F135" s="34" t="n">
        <v>38</v>
      </c>
      <c r="G135" s="32">
        <f>IF(OR(F135="",AND(D135="",E135="")),"n/a",IF(F135=E135,"mastered",IF(F135=D135,"normal","differs")))</f>
        <v/>
      </c>
      <c r="H135" s="35" t="n">
        <v>208</v>
      </c>
      <c r="I135" s="35" t="n"/>
      <c r="J135" s="33" t="n">
        <v>25</v>
      </c>
      <c r="K135" s="33" t="n"/>
      <c r="L135" s="36" t="n">
        <v>53.33333333</v>
      </c>
      <c r="M135" s="37" t="n">
        <v>39.21568627</v>
      </c>
      <c r="N135" s="32">
        <f>IF(L135="","",IF(L135&lt;0,"negative profit",IF(L135&gt;Notes!$B$4,"unusually high - verify","")))</f>
        <v/>
      </c>
      <c r="O135" s="32" t="inlineStr">
        <is>
          <t>both</t>
        </is>
      </c>
      <c r="P135" s="32">
        <f>IF(O135&lt;&gt;"both",O135&amp;" only",IF(Q135="","agree","conflict"))</f>
        <v/>
      </c>
      <c r="Q135" s="32">
        <f>IF(O135="both",TRIM(IF(I135&lt;&gt;"","price ","")&amp;IF(K135&lt;&gt;"","xp ","")&amp;IF(G135="differs","time","")),"")</f>
        <v/>
      </c>
      <c r="R135" s="32" t="inlineStr">
        <is>
          <t>hayday.info (primary values) + Fandom (times, cross-check)</t>
        </is>
      </c>
      <c r="S135" s="32" t="inlineStr">
        <is>
          <t>https://hayday.fandom.com/wiki/Flower_Shop</t>
        </is>
      </c>
    </row>
    <row r="136" ht="15" customHeight="1" s="29">
      <c r="A136" s="32" t="inlineStr">
        <is>
          <t>Bright Bouquet</t>
        </is>
      </c>
      <c r="B136" s="32" t="inlineStr">
        <is>
          <t>Flower Shop</t>
        </is>
      </c>
      <c r="C136" s="33" t="n">
        <v>65</v>
      </c>
      <c r="D136" s="34" t="n">
        <v>20</v>
      </c>
      <c r="E136" s="34" t="n">
        <v>17</v>
      </c>
      <c r="F136" s="34" t="n">
        <v>17</v>
      </c>
      <c r="G136" s="32">
        <f>IF(OR(F136="",AND(D136="",E136="")),"n/a",IF(F136=E136,"mastered",IF(F136=D136,"normal","differs")))</f>
        <v/>
      </c>
      <c r="H136" s="35" t="n">
        <v>338</v>
      </c>
      <c r="I136" s="35" t="n"/>
      <c r="J136" s="33" t="n">
        <v>40</v>
      </c>
      <c r="K136" s="33" t="n"/>
      <c r="L136" s="36" t="n">
        <v>458.8235294</v>
      </c>
      <c r="M136" s="37" t="n">
        <v>141.1764706</v>
      </c>
      <c r="N136" s="32">
        <f>IF(L136="","",IF(L136&lt;0,"negative profit",IF(L136&gt;Notes!$B$4,"unusually high - verify","")))</f>
        <v/>
      </c>
      <c r="O136" s="32" t="inlineStr">
        <is>
          <t>both</t>
        </is>
      </c>
      <c r="P136" s="32">
        <f>IF(O136&lt;&gt;"both",O136&amp;" only",IF(Q136="","agree","conflict"))</f>
        <v/>
      </c>
      <c r="Q136" s="32">
        <f>IF(O136="both",TRIM(IF(I136&lt;&gt;"","price ","")&amp;IF(K136&lt;&gt;"","xp ","")&amp;IF(G136="differs","time","")),"")</f>
        <v/>
      </c>
      <c r="R136" s="32" t="inlineStr">
        <is>
          <t>hayday.info (primary values) + Fandom (times, cross-check)</t>
        </is>
      </c>
      <c r="S136" s="32" t="inlineStr">
        <is>
          <t>https://hayday.fandom.com/wiki/Flower_Shop</t>
        </is>
      </c>
    </row>
    <row r="137" ht="15" customHeight="1" s="29">
      <c r="A137" s="32" t="inlineStr">
        <is>
          <t>Gracious Bouquet</t>
        </is>
      </c>
      <c r="B137" s="32" t="inlineStr">
        <is>
          <t>Flower Shop</t>
        </is>
      </c>
      <c r="C137" s="33" t="n">
        <v>73</v>
      </c>
      <c r="D137" s="34" t="n">
        <v>40</v>
      </c>
      <c r="E137" s="34" t="n">
        <v>34</v>
      </c>
      <c r="F137" s="34" t="n">
        <v>34</v>
      </c>
      <c r="G137" s="32">
        <f>IF(OR(F137="",AND(D137="",E137="")),"n/a",IF(F137=E137,"mastered",IF(F137=D137,"normal","differs")))</f>
        <v/>
      </c>
      <c r="H137" s="35" t="n">
        <v>500</v>
      </c>
      <c r="I137" s="35" t="n"/>
      <c r="J137" s="33" t="n">
        <v>60</v>
      </c>
      <c r="K137" s="33" t="n"/>
      <c r="L137" s="36" t="n">
        <v>469.4117647</v>
      </c>
      <c r="M137" s="37" t="n">
        <v>105.8823529</v>
      </c>
      <c r="N137" s="32">
        <f>IF(L137="","",IF(L137&lt;0,"negative profit",IF(L137&gt;Notes!$B$4,"unusually high - verify","")))</f>
        <v/>
      </c>
      <c r="O137" s="32" t="inlineStr">
        <is>
          <t>both</t>
        </is>
      </c>
      <c r="P137" s="32">
        <f>IF(O137&lt;&gt;"both",O137&amp;" only",IF(Q137="","agree","conflict"))</f>
        <v/>
      </c>
      <c r="Q137" s="32">
        <f>IF(O137="both",TRIM(IF(I137&lt;&gt;"","price ","")&amp;IF(K137&lt;&gt;"","xp ","")&amp;IF(G137="differs","time","")),"")</f>
        <v/>
      </c>
      <c r="R137" s="32" t="inlineStr">
        <is>
          <t>hayday.info (primary values) + Fandom (times, cross-check)</t>
        </is>
      </c>
      <c r="S137" s="32" t="inlineStr">
        <is>
          <t>https://hayday.fandom.com/wiki/Flower_Shop</t>
        </is>
      </c>
    </row>
    <row r="138" ht="15" customHeight="1" s="29">
      <c r="A138" s="32" t="inlineStr">
        <is>
          <t>Candy Bouquet</t>
        </is>
      </c>
      <c r="B138" s="32" t="inlineStr">
        <is>
          <t>Flower Shop</t>
        </is>
      </c>
      <c r="C138" s="33" t="n">
        <v>90</v>
      </c>
      <c r="D138" s="34" t="n">
        <v>20</v>
      </c>
      <c r="E138" s="34" t="n">
        <v>17</v>
      </c>
      <c r="F138" s="34" t="n">
        <v>17</v>
      </c>
      <c r="G138" s="32">
        <f>IF(OR(F138="",AND(D138="",E138="")),"n/a",IF(F138=E138,"mastered",IF(F138=D138,"normal","differs")))</f>
        <v/>
      </c>
      <c r="H138" s="35" t="n">
        <v>554</v>
      </c>
      <c r="I138" s="35" t="n"/>
      <c r="J138" s="33" t="n">
        <v>66</v>
      </c>
      <c r="K138" s="33" t="n"/>
      <c r="L138" s="36" t="n">
        <v>52.94117647</v>
      </c>
      <c r="M138" s="37" t="n">
        <v>232.9411765</v>
      </c>
      <c r="N138" s="32">
        <f>IF(L138="","",IF(L138&lt;0,"negative profit",IF(L138&gt;Notes!$B$4,"unusually high - verify","")))</f>
        <v/>
      </c>
      <c r="O138" s="32" t="inlineStr">
        <is>
          <t>both</t>
        </is>
      </c>
      <c r="P138" s="32">
        <f>IF(O138&lt;&gt;"both",O138&amp;" only",IF(Q138="","agree","conflict"))</f>
        <v/>
      </c>
      <c r="Q138" s="32">
        <f>IF(O138="both",TRIM(IF(I138&lt;&gt;"","price ","")&amp;IF(K138&lt;&gt;"","xp ","")&amp;IF(G138="differs","time","")),"")</f>
        <v/>
      </c>
      <c r="R138" s="32" t="inlineStr">
        <is>
          <t>hayday.info (primary values) + Fandom (times, cross-check)</t>
        </is>
      </c>
      <c r="S138" s="32" t="inlineStr">
        <is>
          <t>https://hayday.fandom.com/wiki/Flower_Shop</t>
        </is>
      </c>
    </row>
    <row r="139" ht="15" customHeight="1" s="29">
      <c r="A139" s="32" t="inlineStr">
        <is>
          <t>Birthday Bouquet</t>
        </is>
      </c>
      <c r="B139" s="32" t="inlineStr">
        <is>
          <t>Flower Shop</t>
        </is>
      </c>
      <c r="C139" s="33" t="n">
        <v>92</v>
      </c>
      <c r="D139" s="34" t="n"/>
      <c r="E139" s="34" t="n"/>
      <c r="F139" s="34" t="n">
        <v>17</v>
      </c>
      <c r="G139" s="32">
        <f>IF(OR(F139="",AND(D139="",E139="")),"n/a",IF(F139=E139,"mastered",IF(F139=D139,"normal","differs")))</f>
        <v/>
      </c>
      <c r="H139" s="35" t="n">
        <v>349</v>
      </c>
      <c r="I139" s="35" t="n"/>
      <c r="J139" s="33" t="n">
        <v>42</v>
      </c>
      <c r="K139" s="33" t="n"/>
      <c r="L139" s="36" t="n">
        <v>-74.11764706</v>
      </c>
      <c r="M139" s="37" t="n">
        <v>148.2352941</v>
      </c>
      <c r="N139" s="32">
        <f>IF(L139="","",IF(L139&lt;0,"negative profit",IF(L139&gt;Notes!$B$4,"unusually high - verify","")))</f>
        <v/>
      </c>
      <c r="O139" s="32" t="inlineStr">
        <is>
          <t>hayday.info</t>
        </is>
      </c>
      <c r="P139" s="32">
        <f>IF(O139&lt;&gt;"both",O139&amp;" only",IF(Q139="","agree","conflict"))</f>
        <v/>
      </c>
      <c r="Q139" s="32">
        <f>IF(O139="both",TRIM(IF(I139&lt;&gt;"","price ","")&amp;IF(K139&lt;&gt;"","xp ","")&amp;IF(G139="differs","time","")),"")</f>
        <v/>
      </c>
      <c r="R139" s="32" t="inlineStr">
        <is>
          <t>hayday.info /api/production-data only</t>
        </is>
      </c>
      <c r="S139" s="32" t="n"/>
    </row>
    <row r="140" ht="15" customHeight="1" s="29">
      <c r="A140" s="32" t="inlineStr">
        <is>
          <t>Soft Bouquet</t>
        </is>
      </c>
      <c r="B140" s="32" t="inlineStr">
        <is>
          <t>Flower Shop</t>
        </is>
      </c>
      <c r="C140" s="33" t="n">
        <v>93</v>
      </c>
      <c r="D140" s="34" t="n">
        <v>30</v>
      </c>
      <c r="E140" s="34" t="n">
        <v>25</v>
      </c>
      <c r="F140" s="34" t="n">
        <v>25</v>
      </c>
      <c r="G140" s="32">
        <f>IF(OR(F140="",AND(D140="",E140="")),"n/a",IF(F140=E140,"mastered",IF(F140=D140,"normal","differs")))</f>
        <v/>
      </c>
      <c r="H140" s="35" t="n">
        <v>298</v>
      </c>
      <c r="I140" s="35" t="n"/>
      <c r="J140" s="33" t="n">
        <v>36</v>
      </c>
      <c r="K140" s="33" t="n"/>
      <c r="L140" s="36" t="n">
        <v>42.35294118</v>
      </c>
      <c r="M140" s="37" t="n">
        <v>84.70588235</v>
      </c>
      <c r="N140" s="32">
        <f>IF(L140="","",IF(L140&lt;0,"negative profit",IF(L140&gt;Notes!$B$4,"unusually high - verify","")))</f>
        <v/>
      </c>
      <c r="O140" s="32" t="inlineStr">
        <is>
          <t>both</t>
        </is>
      </c>
      <c r="P140" s="32">
        <f>IF(O140&lt;&gt;"both",O140&amp;" only",IF(Q140="","agree","conflict"))</f>
        <v/>
      </c>
      <c r="Q140" s="32">
        <f>IF(O140="both",TRIM(IF(I140&lt;&gt;"","price ","")&amp;IF(K140&lt;&gt;"","xp ","")&amp;IF(G140="differs","time","")),"")</f>
        <v/>
      </c>
      <c r="R140" s="32" t="inlineStr">
        <is>
          <t>hayday.info (primary values) + Fandom (times, cross-check)</t>
        </is>
      </c>
      <c r="S140" s="32" t="inlineStr">
        <is>
          <t>https://hayday.fandom.com/wiki/Flower_Shop</t>
        </is>
      </c>
    </row>
    <row r="141" ht="15" customHeight="1" s="29">
      <c r="A141" s="32" t="inlineStr">
        <is>
          <t>Veggie Bouquet</t>
        </is>
      </c>
      <c r="B141" s="32" t="inlineStr">
        <is>
          <t>Flower Shop</t>
        </is>
      </c>
      <c r="C141" s="33" t="n">
        <v>106</v>
      </c>
      <c r="D141" s="34" t="n">
        <v>15</v>
      </c>
      <c r="E141" s="34" t="n">
        <v>12</v>
      </c>
      <c r="F141" s="34" t="n">
        <v>12</v>
      </c>
      <c r="G141" s="32">
        <f>IF(OR(F141="",AND(D141="",E141="")),"n/a",IF(F141=E141,"mastered",IF(F141=D141,"normal","differs")))</f>
        <v/>
      </c>
      <c r="H141" s="35" t="n">
        <v>352</v>
      </c>
      <c r="I141" s="35" t="n"/>
      <c r="J141" s="33" t="n">
        <v>42</v>
      </c>
      <c r="K141" s="33" t="n"/>
      <c r="L141" s="36" t="n">
        <v>103.5294118</v>
      </c>
      <c r="M141" s="37" t="n">
        <v>197.6470588</v>
      </c>
      <c r="N141" s="32">
        <f>IF(L141="","",IF(L141&lt;0,"negative profit",IF(L141&gt;Notes!$B$4,"unusually high - verify","")))</f>
        <v/>
      </c>
      <c r="O141" s="32" t="inlineStr">
        <is>
          <t>both</t>
        </is>
      </c>
      <c r="P141" s="32">
        <f>IF(O141&lt;&gt;"both",O141&amp;" only",IF(Q141="","agree","conflict"))</f>
        <v/>
      </c>
      <c r="Q141" s="32">
        <f>IF(O141="both",TRIM(IF(I141&lt;&gt;"","price ","")&amp;IF(K141&lt;&gt;"","xp ","")&amp;IF(G141="differs","time","")),"")</f>
        <v/>
      </c>
      <c r="R141" s="32" t="inlineStr">
        <is>
          <t>hayday.info (primary values) + Fandom (times, cross-check)</t>
        </is>
      </c>
      <c r="S141" s="32" t="inlineStr">
        <is>
          <t>https://hayday.fandom.com/wiki/Flower_Shop</t>
        </is>
      </c>
    </row>
    <row r="142" ht="15" customHeight="1" s="29">
      <c r="A142" s="32" t="inlineStr">
        <is>
          <t>Chocolate Fondue</t>
        </is>
      </c>
      <c r="B142" s="32" t="inlineStr">
        <is>
          <t>Fondue Pot</t>
        </is>
      </c>
      <c r="C142" s="33" t="n">
        <v>81</v>
      </c>
      <c r="D142" s="34" t="n">
        <v>25</v>
      </c>
      <c r="E142" s="34" t="n">
        <v>21</v>
      </c>
      <c r="F142" s="34" t="n">
        <v>21</v>
      </c>
      <c r="G142" s="32">
        <f>IF(OR(F142="",AND(D142="",E142="")),"n/a",IF(F142=E142,"mastered",IF(F142=D142,"normal","differs")))</f>
        <v/>
      </c>
      <c r="H142" s="35" t="n">
        <v>626</v>
      </c>
      <c r="I142" s="35" t="n"/>
      <c r="J142" s="33" t="n">
        <v>74</v>
      </c>
      <c r="K142" s="33" t="n"/>
      <c r="L142" s="36" t="n">
        <v>45.17647059</v>
      </c>
      <c r="M142" s="37" t="n">
        <v>208.9411765</v>
      </c>
      <c r="N142" s="32">
        <f>IF(L142="","",IF(L142&lt;0,"negative profit",IF(L142&gt;Notes!$B$4,"unusually high - verify","")))</f>
        <v/>
      </c>
      <c r="O142" s="32" t="inlineStr">
        <is>
          <t>both</t>
        </is>
      </c>
      <c r="P142" s="32">
        <f>IF(O142&lt;&gt;"both",O142&amp;" only",IF(Q142="","agree","conflict"))</f>
        <v/>
      </c>
      <c r="Q142" s="32">
        <f>IF(O142="both",TRIM(IF(I142&lt;&gt;"","price ","")&amp;IF(K142&lt;&gt;"","xp ","")&amp;IF(G142="differs","time","")),"")</f>
        <v/>
      </c>
      <c r="R142" s="32" t="inlineStr">
        <is>
          <t>hayday.info (primary values) + Fandom (times, cross-check)</t>
        </is>
      </c>
      <c r="S142" s="32" t="inlineStr">
        <is>
          <t>https://hayday.fandom.com/wiki/Fondue_Pot</t>
        </is>
      </c>
    </row>
    <row r="143" ht="15" customHeight="1" s="29">
      <c r="A143" s="32" t="inlineStr">
        <is>
          <t>Bacon Fondue</t>
        </is>
      </c>
      <c r="B143" s="32" t="inlineStr">
        <is>
          <t>Fondue Pot</t>
        </is>
      </c>
      <c r="C143" s="33" t="n">
        <v>86</v>
      </c>
      <c r="D143" s="34" t="n">
        <v>30</v>
      </c>
      <c r="E143" s="34" t="n">
        <v>25</v>
      </c>
      <c r="F143" s="34" t="n">
        <v>25</v>
      </c>
      <c r="G143" s="32">
        <f>IF(OR(F143="",AND(D143="",E143="")),"n/a",IF(F143=E143,"mastered",IF(F143=D143,"normal","differs")))</f>
        <v/>
      </c>
      <c r="H143" s="35" t="n">
        <v>507</v>
      </c>
      <c r="I143" s="35" t="n"/>
      <c r="J143" s="33" t="n">
        <v>60</v>
      </c>
      <c r="K143" s="33" t="n"/>
      <c r="L143" s="36" t="n">
        <v>54.11764706</v>
      </c>
      <c r="M143" s="37" t="n">
        <v>141.1764706</v>
      </c>
      <c r="N143" s="32">
        <f>IF(L143="","",IF(L143&lt;0,"negative profit",IF(L143&gt;Notes!$B$4,"unusually high - verify","")))</f>
        <v/>
      </c>
      <c r="O143" s="32" t="inlineStr">
        <is>
          <t>both</t>
        </is>
      </c>
      <c r="P143" s="32">
        <f>IF(O143&lt;&gt;"both",O143&amp;" only",IF(Q143="","agree","conflict"))</f>
        <v/>
      </c>
      <c r="Q143" s="32">
        <f>IF(O143="both",TRIM(IF(I143&lt;&gt;"","price ","")&amp;IF(K143&lt;&gt;"","xp ","")&amp;IF(G143="differs","time","")),"")</f>
        <v/>
      </c>
      <c r="R143" s="32" t="inlineStr">
        <is>
          <t>hayday.info (primary values) + Fandom (times, cross-check)</t>
        </is>
      </c>
      <c r="S143" s="32" t="inlineStr">
        <is>
          <t>https://hayday.fandom.com/wiki/Fondue_Pot</t>
        </is>
      </c>
    </row>
    <row r="144" ht="15" customHeight="1" s="29">
      <c r="A144" s="32" t="inlineStr">
        <is>
          <t>Cheese Fondue</t>
        </is>
      </c>
      <c r="B144" s="32" t="inlineStr">
        <is>
          <t>Fondue Pot</t>
        </is>
      </c>
      <c r="C144" s="33" t="n">
        <v>91</v>
      </c>
      <c r="D144" s="34" t="n">
        <v>20</v>
      </c>
      <c r="E144" s="34" t="n">
        <v>17</v>
      </c>
      <c r="F144" s="34" t="n">
        <v>17</v>
      </c>
      <c r="G144" s="32">
        <f>IF(OR(F144="",AND(D144="",E144="")),"n/a",IF(F144=E144,"mastered",IF(F144=D144,"normal","differs")))</f>
        <v/>
      </c>
      <c r="H144" s="35" t="n">
        <v>493</v>
      </c>
      <c r="I144" s="35" t="n"/>
      <c r="J144" s="33" t="n">
        <v>59</v>
      </c>
      <c r="K144" s="33" t="n"/>
      <c r="L144" s="36" t="n">
        <v>84.70588235</v>
      </c>
      <c r="M144" s="37" t="n">
        <v>208.2352941</v>
      </c>
      <c r="N144" s="32">
        <f>IF(L144="","",IF(L144&lt;0,"negative profit",IF(L144&gt;Notes!$B$4,"unusually high - verify","")))</f>
        <v/>
      </c>
      <c r="O144" s="32" t="inlineStr">
        <is>
          <t>both</t>
        </is>
      </c>
      <c r="P144" s="32">
        <f>IF(O144&lt;&gt;"both",O144&amp;" only",IF(Q144="","agree","conflict"))</f>
        <v/>
      </c>
      <c r="Q144" s="32">
        <f>IF(O144="both",TRIM(IF(I144&lt;&gt;"","price ","")&amp;IF(K144&lt;&gt;"","xp ","")&amp;IF(G144="differs","time","")),"")</f>
        <v/>
      </c>
      <c r="R144" s="32" t="inlineStr">
        <is>
          <t>hayday.info (primary values) + Fandom (times, cross-check)</t>
        </is>
      </c>
      <c r="S144" s="32" t="inlineStr">
        <is>
          <t>https://hayday.fandom.com/wiki/Fondue_Pot</t>
        </is>
      </c>
    </row>
    <row r="145" ht="15" customHeight="1" s="29">
      <c r="A145" s="32" t="inlineStr">
        <is>
          <t>Tropical Fondue</t>
        </is>
      </c>
      <c r="B145" s="32" t="inlineStr">
        <is>
          <t>Fondue Pot</t>
        </is>
      </c>
      <c r="C145" s="33" t="n">
        <v>100</v>
      </c>
      <c r="D145" s="34" t="n"/>
      <c r="E145" s="34" t="n"/>
      <c r="F145" s="34" t="n">
        <v>29</v>
      </c>
      <c r="G145" s="32">
        <f>IF(OR(F145="",AND(D145="",E145="")),"n/a",IF(F145=E145,"mastered",IF(F145=D145,"normal","differs")))</f>
        <v/>
      </c>
      <c r="H145" s="35" t="n">
        <v>417</v>
      </c>
      <c r="I145" s="35" t="n"/>
      <c r="J145" s="33" t="n">
        <v>50</v>
      </c>
      <c r="K145" s="33" t="n"/>
      <c r="L145" s="36" t="n">
        <v>50.42016807</v>
      </c>
      <c r="M145" s="37" t="n">
        <v>100.8403361</v>
      </c>
      <c r="N145" s="32">
        <f>IF(L145="","",IF(L145&lt;0,"negative profit",IF(L145&gt;Notes!$B$4,"unusually high - verify","")))</f>
        <v/>
      </c>
      <c r="O145" s="32" t="inlineStr">
        <is>
          <t>hayday.info</t>
        </is>
      </c>
      <c r="P145" s="32">
        <f>IF(O145&lt;&gt;"both",O145&amp;" only",IF(Q145="","agree","conflict"))</f>
        <v/>
      </c>
      <c r="Q145" s="32">
        <f>IF(O145="both",TRIM(IF(I145&lt;&gt;"","price ","")&amp;IF(K145&lt;&gt;"","xp ","")&amp;IF(G145="differs","time","")),"")</f>
        <v/>
      </c>
      <c r="R145" s="32" t="inlineStr">
        <is>
          <t>hayday.info /api/production-data only</t>
        </is>
      </c>
      <c r="S145" s="32" t="n"/>
    </row>
    <row r="146" ht="15" customHeight="1" s="29">
      <c r="A146" s="32" t="inlineStr">
        <is>
          <t>Rich Fudge</t>
        </is>
      </c>
      <c r="B146" s="32" t="inlineStr">
        <is>
          <t>Fudge Shop</t>
        </is>
      </c>
      <c r="C146" s="33" t="n">
        <v>99</v>
      </c>
      <c r="D146" s="34" t="n"/>
      <c r="E146" s="34" t="n"/>
      <c r="F146" s="34" t="n">
        <v>102</v>
      </c>
      <c r="G146" s="32">
        <f>IF(OR(F146="",AND(D146="",E146="")),"n/a",IF(F146=E146,"mastered",IF(F146=D146,"normal","differs")))</f>
        <v/>
      </c>
      <c r="H146" s="35" t="n">
        <v>644</v>
      </c>
      <c r="I146" s="35" t="n"/>
      <c r="J146" s="33" t="n">
        <v>77</v>
      </c>
      <c r="K146" s="33" t="n"/>
      <c r="L146" s="36" t="n">
        <v>23.52941176</v>
      </c>
      <c r="M146" s="37" t="n">
        <v>45.29411765</v>
      </c>
      <c r="N146" s="32">
        <f>IF(L146="","",IF(L146&lt;0,"negative profit",IF(L146&gt;Notes!$B$4,"unusually high - verify","")))</f>
        <v/>
      </c>
      <c r="O146" s="32" t="inlineStr">
        <is>
          <t>hayday.info</t>
        </is>
      </c>
      <c r="P146" s="32">
        <f>IF(O146&lt;&gt;"both",O146&amp;" only",IF(Q146="","agree","conflict"))</f>
        <v/>
      </c>
      <c r="Q146" s="32">
        <f>IF(O146="both",TRIM(IF(I146&lt;&gt;"","price ","")&amp;IF(K146&lt;&gt;"","xp ","")&amp;IF(G146="differs","time","")),"")</f>
        <v/>
      </c>
      <c r="R146" s="32" t="inlineStr">
        <is>
          <t>hayday.info /api/production-data only</t>
        </is>
      </c>
      <c r="S146" s="32" t="n"/>
    </row>
    <row r="147" ht="15" customHeight="1" s="29">
      <c r="A147" s="32" t="inlineStr">
        <is>
          <t>Mint Fudge</t>
        </is>
      </c>
      <c r="B147" s="32" t="inlineStr">
        <is>
          <t>Fudge Shop</t>
        </is>
      </c>
      <c r="C147" s="33" t="n">
        <v>102</v>
      </c>
      <c r="D147" s="34" t="n"/>
      <c r="E147" s="34" t="n"/>
      <c r="F147" s="34" t="n">
        <v>127</v>
      </c>
      <c r="G147" s="32">
        <f>IF(OR(F147="",AND(D147="",E147="")),"n/a",IF(F147=E147,"mastered",IF(F147=D147,"normal","differs")))</f>
        <v/>
      </c>
      <c r="H147" s="35" t="n">
        <v>522</v>
      </c>
      <c r="I147" s="35" t="n"/>
      <c r="J147" s="33" t="n">
        <v>62</v>
      </c>
      <c r="K147" s="33" t="n"/>
      <c r="L147" s="36" t="n">
        <v>18.82352941</v>
      </c>
      <c r="M147" s="37" t="n">
        <v>29.17647059</v>
      </c>
      <c r="N147" s="32">
        <f>IF(L147="","",IF(L147&lt;0,"negative profit",IF(L147&gt;Notes!$B$4,"unusually high - verify","")))</f>
        <v/>
      </c>
      <c r="O147" s="32" t="inlineStr">
        <is>
          <t>hayday.info</t>
        </is>
      </c>
      <c r="P147" s="32">
        <f>IF(O147&lt;&gt;"both",O147&amp;" only",IF(Q147="","agree","conflict"))</f>
        <v/>
      </c>
      <c r="Q147" s="32">
        <f>IF(O147="both",TRIM(IF(I147&lt;&gt;"","price ","")&amp;IF(K147&lt;&gt;"","xp ","")&amp;IF(G147="differs","time","")),"")</f>
        <v/>
      </c>
      <c r="R147" s="32" t="inlineStr">
        <is>
          <t>hayday.info /api/production-data only</t>
        </is>
      </c>
      <c r="S147" s="32" t="n"/>
    </row>
    <row r="148" ht="15" customHeight="1" s="29">
      <c r="A148" s="32" t="inlineStr">
        <is>
          <t>Chili Fudge</t>
        </is>
      </c>
      <c r="B148" s="32" t="inlineStr">
        <is>
          <t>Fudge Shop</t>
        </is>
      </c>
      <c r="C148" s="33" t="n">
        <v>104</v>
      </c>
      <c r="D148" s="34" t="n"/>
      <c r="E148" s="34" t="n"/>
      <c r="F148" s="34" t="n">
        <v>144</v>
      </c>
      <c r="G148" s="32">
        <f>IF(OR(F148="",AND(D148="",E148="")),"n/a",IF(F148=E148,"mastered",IF(F148=D148,"normal","differs")))</f>
        <v/>
      </c>
      <c r="H148" s="35" t="n">
        <v>540</v>
      </c>
      <c r="I148" s="35" t="n"/>
      <c r="J148" s="33" t="n">
        <v>64</v>
      </c>
      <c r="K148" s="33" t="n"/>
      <c r="L148" s="36" t="n">
        <v>19.10034602</v>
      </c>
      <c r="M148" s="37" t="n">
        <v>26.57439446</v>
      </c>
      <c r="N148" s="32">
        <f>IF(L148="","",IF(L148&lt;0,"negative profit",IF(L148&gt;Notes!$B$4,"unusually high - verify","")))</f>
        <v/>
      </c>
      <c r="O148" s="32" t="inlineStr">
        <is>
          <t>hayday.info</t>
        </is>
      </c>
      <c r="P148" s="32">
        <f>IF(O148&lt;&gt;"both",O148&amp;" only",IF(Q148="","agree","conflict"))</f>
        <v/>
      </c>
      <c r="Q148" s="32">
        <f>IF(O148="both",TRIM(IF(I148&lt;&gt;"","price ","")&amp;IF(K148&lt;&gt;"","xp ","")&amp;IF(G148="differs","time","")),"")</f>
        <v/>
      </c>
      <c r="R148" s="32" t="inlineStr">
        <is>
          <t>hayday.info /api/production-data only</t>
        </is>
      </c>
      <c r="S148" s="32" t="n"/>
    </row>
    <row r="149" ht="15" customHeight="1" s="29">
      <c r="A149" s="32" t="inlineStr">
        <is>
          <t>Lemon Fudge</t>
        </is>
      </c>
      <c r="B149" s="32" t="inlineStr">
        <is>
          <t>Fudge Shop</t>
        </is>
      </c>
      <c r="C149" s="33" t="n">
        <v>108</v>
      </c>
      <c r="D149" s="34" t="n"/>
      <c r="E149" s="34" t="n"/>
      <c r="F149" s="34" t="n">
        <v>93</v>
      </c>
      <c r="G149" s="32">
        <f>IF(OR(F149="",AND(D149="",E149="")),"n/a",IF(F149=E149,"mastered",IF(F149=D149,"normal","differs")))</f>
        <v/>
      </c>
      <c r="H149" s="35" t="n">
        <v>590</v>
      </c>
      <c r="I149" s="35" t="n"/>
      <c r="J149" s="33" t="n">
        <v>70</v>
      </c>
      <c r="K149" s="33" t="n"/>
      <c r="L149" s="36" t="n">
        <v>28.23529412</v>
      </c>
      <c r="M149" s="37" t="n">
        <v>44.9197861</v>
      </c>
      <c r="N149" s="32">
        <f>IF(L149="","",IF(L149&lt;0,"negative profit",IF(L149&gt;Notes!$B$4,"unusually high - verify","")))</f>
        <v/>
      </c>
      <c r="O149" s="32" t="inlineStr">
        <is>
          <t>hayday.info</t>
        </is>
      </c>
      <c r="P149" s="32">
        <f>IF(O149&lt;&gt;"both",O149&amp;" only",IF(Q149="","agree","conflict"))</f>
        <v/>
      </c>
      <c r="Q149" s="32">
        <f>IF(O149="both",TRIM(IF(I149&lt;&gt;"","price ","")&amp;IF(K149&lt;&gt;"","xp ","")&amp;IF(G149="differs","time","")),"")</f>
        <v/>
      </c>
      <c r="R149" s="32" t="inlineStr">
        <is>
          <t>hayday.info /api/production-data only</t>
        </is>
      </c>
      <c r="S149" s="32" t="n"/>
    </row>
    <row r="150" ht="15" customHeight="1" s="29">
      <c r="A150" s="32" t="inlineStr">
        <is>
          <t>Peanut Fudge</t>
        </is>
      </c>
      <c r="B150" s="32" t="inlineStr">
        <is>
          <t>Fudge Shop</t>
        </is>
      </c>
      <c r="C150" s="33" t="n">
        <v>111</v>
      </c>
      <c r="D150" s="34" t="n"/>
      <c r="E150" s="34" t="n"/>
      <c r="F150" s="34" t="n">
        <v>76</v>
      </c>
      <c r="G150" s="32">
        <f>IF(OR(F150="",AND(D150="",E150="")),"n/a",IF(F150=E150,"mastered",IF(F150=D150,"normal","differs")))</f>
        <v/>
      </c>
      <c r="H150" s="35" t="n">
        <v>1141</v>
      </c>
      <c r="I150" s="35" t="n"/>
      <c r="J150" s="33" t="n">
        <v>136</v>
      </c>
      <c r="K150" s="33" t="n"/>
      <c r="L150" s="36" t="n">
        <v>41.56862745</v>
      </c>
      <c r="M150" s="37" t="n">
        <v>106.6666667</v>
      </c>
      <c r="N150" s="32">
        <f>IF(L150="","",IF(L150&lt;0,"negative profit",IF(L150&gt;Notes!$B$4,"unusually high - verify","")))</f>
        <v/>
      </c>
      <c r="O150" s="32" t="inlineStr">
        <is>
          <t>hayday.info</t>
        </is>
      </c>
      <c r="P150" s="32">
        <f>IF(O150&lt;&gt;"both",O150&amp;" only",IF(Q150="","agree","conflict"))</f>
        <v/>
      </c>
      <c r="Q150" s="32">
        <f>IF(O150="both",TRIM(IF(I150&lt;&gt;"","price ","")&amp;IF(K150&lt;&gt;"","xp ","")&amp;IF(G150="differs","time","")),"")</f>
        <v/>
      </c>
      <c r="R150" s="32" t="inlineStr">
        <is>
          <t>hayday.info /api/production-data only</t>
        </is>
      </c>
      <c r="S150" s="32" t="n"/>
    </row>
    <row r="151" ht="15" customHeight="1" s="29">
      <c r="A151" s="32" t="inlineStr">
        <is>
          <t>Cloche Hat</t>
        </is>
      </c>
      <c r="B151" s="32" t="inlineStr">
        <is>
          <t>Hat Maker</t>
        </is>
      </c>
      <c r="C151" s="33" t="n">
        <v>70</v>
      </c>
      <c r="D151" s="34" t="n">
        <v>120</v>
      </c>
      <c r="E151" s="34" t="n">
        <v>102</v>
      </c>
      <c r="F151" s="34" t="n">
        <v>102</v>
      </c>
      <c r="G151" s="32">
        <f>IF(OR(F151="",AND(D151="",E151="")),"n/a",IF(F151=E151,"mastered",IF(F151=D151,"normal","differs")))</f>
        <v/>
      </c>
      <c r="H151" s="35" t="n">
        <v>468</v>
      </c>
      <c r="I151" s="35" t="n"/>
      <c r="J151" s="33" t="n">
        <v>56</v>
      </c>
      <c r="K151" s="33" t="n"/>
      <c r="L151" s="36" t="n">
        <v>25.88235294</v>
      </c>
      <c r="M151" s="37" t="n">
        <v>32.94117647</v>
      </c>
      <c r="N151" s="32">
        <f>IF(L151="","",IF(L151&lt;0,"negative profit",IF(L151&gt;Notes!$B$4,"unusually high - verify","")))</f>
        <v/>
      </c>
      <c r="O151" s="32" t="inlineStr">
        <is>
          <t>both</t>
        </is>
      </c>
      <c r="P151" s="32">
        <f>IF(O151&lt;&gt;"both",O151&amp;" only",IF(Q151="","agree","conflict"))</f>
        <v/>
      </c>
      <c r="Q151" s="32">
        <f>IF(O151="both",TRIM(IF(I151&lt;&gt;"","price ","")&amp;IF(K151&lt;&gt;"","xp ","")&amp;IF(G151="differs","time","")),"")</f>
        <v/>
      </c>
      <c r="R151" s="32" t="inlineStr">
        <is>
          <t>hayday.info (primary values) + Fandom (times, cross-check)</t>
        </is>
      </c>
      <c r="S151" s="32" t="inlineStr">
        <is>
          <t>https://hayday.fandom.com/wiki/Hat_Maker</t>
        </is>
      </c>
    </row>
    <row r="152" ht="15" customHeight="1" s="29">
      <c r="A152" s="32" t="inlineStr">
        <is>
          <t>Top Hat</t>
        </is>
      </c>
      <c r="B152" s="32" t="inlineStr">
        <is>
          <t>Hat Maker</t>
        </is>
      </c>
      <c r="C152" s="33" t="n">
        <v>72</v>
      </c>
      <c r="D152" s="34" t="n">
        <v>210</v>
      </c>
      <c r="E152" s="34" t="n">
        <v>178</v>
      </c>
      <c r="F152" s="34" t="n">
        <v>178</v>
      </c>
      <c r="G152" s="32">
        <f>IF(OR(F152="",AND(D152="",E152="")),"n/a",IF(F152=E152,"mastered",IF(F152=D152,"normal","differs")))</f>
        <v/>
      </c>
      <c r="H152" s="35" t="n">
        <v>619</v>
      </c>
      <c r="I152" s="35" t="n"/>
      <c r="J152" s="33" t="n">
        <v>74</v>
      </c>
      <c r="K152" s="33" t="n"/>
      <c r="L152" s="36" t="n">
        <v>15.79831933</v>
      </c>
      <c r="M152" s="37" t="n">
        <v>24.87394958</v>
      </c>
      <c r="N152" s="32">
        <f>IF(L152="","",IF(L152&lt;0,"negative profit",IF(L152&gt;Notes!$B$4,"unusually high - verify","")))</f>
        <v/>
      </c>
      <c r="O152" s="32" t="inlineStr">
        <is>
          <t>both</t>
        </is>
      </c>
      <c r="P152" s="32">
        <f>IF(O152&lt;&gt;"both",O152&amp;" only",IF(Q152="","agree","conflict"))</f>
        <v/>
      </c>
      <c r="Q152" s="32">
        <f>IF(O152="both",TRIM(IF(I152&lt;&gt;"","price ","")&amp;IF(K152&lt;&gt;"","xp ","")&amp;IF(G152="differs","time","")),"")</f>
        <v/>
      </c>
      <c r="R152" s="32" t="inlineStr">
        <is>
          <t>hayday.info (primary values) + Fandom (times, cross-check)</t>
        </is>
      </c>
      <c r="S152" s="32" t="inlineStr">
        <is>
          <t>https://hayday.fandom.com/wiki/Hat_Maker</t>
        </is>
      </c>
    </row>
    <row r="153" ht="15" customHeight="1" s="29">
      <c r="A153" s="32" t="inlineStr">
        <is>
          <t>Sun Hat</t>
        </is>
      </c>
      <c r="B153" s="32" t="inlineStr">
        <is>
          <t>Hat Maker</t>
        </is>
      </c>
      <c r="C153" s="33" t="n">
        <v>74</v>
      </c>
      <c r="D153" s="34" t="n">
        <v>150</v>
      </c>
      <c r="E153" s="34" t="n">
        <v>127</v>
      </c>
      <c r="F153" s="34" t="n">
        <v>127</v>
      </c>
      <c r="G153" s="32">
        <f>IF(OR(F153="",AND(D153="",E153="")),"n/a",IF(F153=E153,"mastered",IF(F153=D153,"normal","differs")))</f>
        <v/>
      </c>
      <c r="H153" s="35" t="n">
        <v>558</v>
      </c>
      <c r="I153" s="35" t="n"/>
      <c r="J153" s="33" t="n">
        <v>66</v>
      </c>
      <c r="K153" s="33" t="n"/>
      <c r="L153" s="36" t="n">
        <v>21.17647059</v>
      </c>
      <c r="M153" s="37" t="n">
        <v>31.05882353</v>
      </c>
      <c r="N153" s="32">
        <f>IF(L153="","",IF(L153&lt;0,"negative profit",IF(L153&gt;Notes!$B$4,"unusually high - verify","")))</f>
        <v/>
      </c>
      <c r="O153" s="32" t="inlineStr">
        <is>
          <t>both</t>
        </is>
      </c>
      <c r="P153" s="32">
        <f>IF(O153&lt;&gt;"both",O153&amp;" only",IF(Q153="","agree","conflict"))</f>
        <v/>
      </c>
      <c r="Q153" s="32">
        <f>IF(O153="both",TRIM(IF(I153&lt;&gt;"","price ","")&amp;IF(K153&lt;&gt;"","xp ","")&amp;IF(G153="differs","time","")),"")</f>
        <v/>
      </c>
      <c r="R153" s="32" t="inlineStr">
        <is>
          <t>hayday.info (primary values) + Fandom (times, cross-check)</t>
        </is>
      </c>
      <c r="S153" s="32" t="inlineStr">
        <is>
          <t>https://hayday.fandom.com/wiki/Hat_Maker</t>
        </is>
      </c>
    </row>
    <row r="154" ht="15" customHeight="1" s="29">
      <c r="A154" s="32" t="inlineStr">
        <is>
          <t>Flower Crown</t>
        </is>
      </c>
      <c r="B154" s="32" t="inlineStr">
        <is>
          <t>Hat Maker</t>
        </is>
      </c>
      <c r="C154" s="33" t="n">
        <v>86</v>
      </c>
      <c r="D154" s="34" t="n">
        <v>120</v>
      </c>
      <c r="E154" s="34" t="n">
        <v>102</v>
      </c>
      <c r="F154" s="34" t="n">
        <v>102</v>
      </c>
      <c r="G154" s="32">
        <f>IF(OR(F154="",AND(D154="",E154="")),"n/a",IF(F154=E154,"mastered",IF(F154=D154,"normal","differs")))</f>
        <v/>
      </c>
      <c r="H154" s="35" t="n">
        <v>331</v>
      </c>
      <c r="I154" s="35" t="n"/>
      <c r="J154" s="33" t="n">
        <v>40</v>
      </c>
      <c r="K154" s="33" t="n"/>
      <c r="L154" s="36" t="n">
        <v>22.94117647</v>
      </c>
      <c r="M154" s="37" t="n">
        <v>23.52941176</v>
      </c>
      <c r="N154" s="32">
        <f>IF(L154="","",IF(L154&lt;0,"negative profit",IF(L154&gt;Notes!$B$4,"unusually high - verify","")))</f>
        <v/>
      </c>
      <c r="O154" s="32" t="inlineStr">
        <is>
          <t>both</t>
        </is>
      </c>
      <c r="P154" s="32">
        <f>IF(O154&lt;&gt;"both",O154&amp;" only",IF(Q154="","agree","conflict"))</f>
        <v/>
      </c>
      <c r="Q154" s="32">
        <f>IF(O154="both",TRIM(IF(I154&lt;&gt;"","price ","")&amp;IF(K154&lt;&gt;"","xp ","")&amp;IF(G154="differs","time","")),"")</f>
        <v/>
      </c>
      <c r="R154" s="32" t="inlineStr">
        <is>
          <t>hayday.info (primary values) + Fandom (times, cross-check)</t>
        </is>
      </c>
      <c r="S154" s="32" t="inlineStr">
        <is>
          <t>https://hayday.fandom.com/wiki/Hat_Maker</t>
        </is>
      </c>
    </row>
    <row r="155" ht="15" customHeight="1" s="29">
      <c r="A155" s="32" t="inlineStr">
        <is>
          <t>Honey</t>
        </is>
      </c>
      <c r="B155" s="32" t="inlineStr">
        <is>
          <t>Honey Extractor</t>
        </is>
      </c>
      <c r="C155" s="33" t="n">
        <v>39</v>
      </c>
      <c r="D155" s="34" t="n">
        <v>20</v>
      </c>
      <c r="E155" s="34" t="n">
        <v>17</v>
      </c>
      <c r="F155" s="34" t="n">
        <v>17</v>
      </c>
      <c r="G155" s="32">
        <f>IF(OR(F155="",AND(D155="",E155="")),"n/a",IF(F155=E155,"mastered",IF(F155=D155,"normal","differs")))</f>
        <v/>
      </c>
      <c r="H155" s="35" t="n">
        <v>154</v>
      </c>
      <c r="I155" s="35" t="n"/>
      <c r="J155" s="33" t="n">
        <v>19</v>
      </c>
      <c r="K155" s="33" t="n"/>
      <c r="L155" s="36" t="n">
        <v>63.52941176</v>
      </c>
      <c r="M155" s="37" t="n">
        <v>67.05882353</v>
      </c>
      <c r="N155" s="32">
        <f>IF(L155="","",IF(L155&lt;0,"negative profit",IF(L155&gt;Notes!$B$4,"unusually high - verify","")))</f>
        <v/>
      </c>
      <c r="O155" s="32" t="inlineStr">
        <is>
          <t>both</t>
        </is>
      </c>
      <c r="P155" s="32">
        <f>IF(O155&lt;&gt;"both",O155&amp;" only",IF(Q155="","agree","conflict"))</f>
        <v/>
      </c>
      <c r="Q155" s="32">
        <f>IF(O155="both",TRIM(IF(I155&lt;&gt;"","price ","")&amp;IF(K155&lt;&gt;"","xp ","")&amp;IF(G155="differs","time","")),"")</f>
        <v/>
      </c>
      <c r="R155" s="32" t="inlineStr">
        <is>
          <t>hayday.info (primary values) + Fandom (times, cross-check)</t>
        </is>
      </c>
      <c r="S155" s="32" t="inlineStr">
        <is>
          <t>https://hayday.fandom.com/wiki/Honey_Extractor</t>
        </is>
      </c>
    </row>
    <row r="156" ht="15" customHeight="1" s="29">
      <c r="A156" s="32" t="inlineStr">
        <is>
          <t>Beeswax</t>
        </is>
      </c>
      <c r="B156" s="32" t="inlineStr">
        <is>
          <t>Honey Extractor</t>
        </is>
      </c>
      <c r="C156" s="33" t="n">
        <v>48</v>
      </c>
      <c r="D156" s="34" t="n">
        <v>45</v>
      </c>
      <c r="E156" s="34" t="n">
        <v>38</v>
      </c>
      <c r="F156" s="34" t="n">
        <v>38</v>
      </c>
      <c r="G156" s="32">
        <f>IF(OR(F156="",AND(D156="",E156="")),"n/a",IF(F156=E156,"mastered",IF(F156=D156,"normal","differs")))</f>
        <v/>
      </c>
      <c r="H156" s="35" t="n">
        <v>234</v>
      </c>
      <c r="I156" s="35" t="n"/>
      <c r="J156" s="33" t="n">
        <v>28</v>
      </c>
      <c r="K156" s="33" t="n"/>
      <c r="L156" s="36" t="n">
        <v>47.05882353</v>
      </c>
      <c r="M156" s="37" t="n">
        <v>43.92156863</v>
      </c>
      <c r="N156" s="32">
        <f>IF(L156="","",IF(L156&lt;0,"negative profit",IF(L156&gt;Notes!$B$4,"unusually high - verify","")))</f>
        <v/>
      </c>
      <c r="O156" s="32" t="inlineStr">
        <is>
          <t>both</t>
        </is>
      </c>
      <c r="P156" s="32">
        <f>IF(O156&lt;&gt;"both",O156&amp;" only",IF(Q156="","agree","conflict"))</f>
        <v/>
      </c>
      <c r="Q156" s="32">
        <f>IF(O156="both",TRIM(IF(I156&lt;&gt;"","price ","")&amp;IF(K156&lt;&gt;"","xp ","")&amp;IF(G156="differs","time","")),"")</f>
        <v/>
      </c>
      <c r="R156" s="32" t="inlineStr">
        <is>
          <t>hayday.info (primary values) + Fandom (times, cross-check)</t>
        </is>
      </c>
      <c r="S156" s="32" t="inlineStr">
        <is>
          <t>https://hayday.fandom.com/wiki/Honey_Extractor</t>
        </is>
      </c>
    </row>
    <row r="157" ht="15" customHeight="1" s="29">
      <c r="A157" s="32" t="inlineStr">
        <is>
          <t>Hot Dog</t>
        </is>
      </c>
      <c r="B157" s="32" t="inlineStr">
        <is>
          <t>Hot Dog Stand</t>
        </is>
      </c>
      <c r="C157" s="33" t="n">
        <v>75</v>
      </c>
      <c r="D157" s="34" t="n">
        <v>30</v>
      </c>
      <c r="E157" s="34" t="n">
        <v>25</v>
      </c>
      <c r="F157" s="34" t="n">
        <v>25</v>
      </c>
      <c r="G157" s="32">
        <f>IF(OR(F157="",AND(D157="",E157="")),"n/a",IF(F157=E157,"mastered",IF(F157=D157,"normal","differs")))</f>
        <v/>
      </c>
      <c r="H157" s="35" t="n">
        <v>370</v>
      </c>
      <c r="I157" s="35" t="n"/>
      <c r="J157" s="33" t="n">
        <v>44</v>
      </c>
      <c r="K157" s="33" t="n"/>
      <c r="L157" s="36" t="n">
        <v>44.70588235</v>
      </c>
      <c r="M157" s="37" t="n">
        <v>103.5294118</v>
      </c>
      <c r="N157" s="32">
        <f>IF(L157="","",IF(L157&lt;0,"negative profit",IF(L157&gt;Notes!$B$4,"unusually high - verify","")))</f>
        <v/>
      </c>
      <c r="O157" s="32" t="inlineStr">
        <is>
          <t>both</t>
        </is>
      </c>
      <c r="P157" s="32">
        <f>IF(O157&lt;&gt;"both",O157&amp;" only",IF(Q157="","agree","conflict"))</f>
        <v/>
      </c>
      <c r="Q157" s="32">
        <f>IF(O157="both",TRIM(IF(I157&lt;&gt;"","price ","")&amp;IF(K157&lt;&gt;"","xp ","")&amp;IF(G157="differs","time","")),"")</f>
        <v/>
      </c>
      <c r="R157" s="32" t="inlineStr">
        <is>
          <t>hayday.info (primary values) + Fandom (times, cross-check)</t>
        </is>
      </c>
      <c r="S157" s="32" t="inlineStr">
        <is>
          <t>https://hayday.fandom.com/wiki/Hot_Dog_Stand</t>
        </is>
      </c>
    </row>
    <row r="158" ht="15" customHeight="1" s="29">
      <c r="A158" s="32" t="inlineStr">
        <is>
          <t>Tofu Dog</t>
        </is>
      </c>
      <c r="B158" s="32" t="inlineStr">
        <is>
          <t>Hot Dog Stand</t>
        </is>
      </c>
      <c r="C158" s="33" t="n">
        <v>76</v>
      </c>
      <c r="D158" s="34" t="n">
        <v>45</v>
      </c>
      <c r="E158" s="34" t="n">
        <v>38</v>
      </c>
      <c r="F158" s="34" t="n">
        <v>38</v>
      </c>
      <c r="G158" s="32">
        <f>IF(OR(F158="",AND(D158="",E158="")),"n/a",IF(F158=E158,"mastered",IF(F158=D158,"normal","differs")))</f>
        <v/>
      </c>
      <c r="H158" s="35" t="n">
        <v>367</v>
      </c>
      <c r="I158" s="35" t="n"/>
      <c r="J158" s="33" t="n">
        <v>44</v>
      </c>
      <c r="K158" s="33" t="n"/>
      <c r="L158" s="36" t="n">
        <v>61.17647059</v>
      </c>
      <c r="M158" s="37" t="n">
        <v>69.01960784000001</v>
      </c>
      <c r="N158" s="32">
        <f>IF(L158="","",IF(L158&lt;0,"negative profit",IF(L158&gt;Notes!$B$4,"unusually high - verify","")))</f>
        <v/>
      </c>
      <c r="O158" s="32" t="inlineStr">
        <is>
          <t>both</t>
        </is>
      </c>
      <c r="P158" s="32">
        <f>IF(O158&lt;&gt;"both",O158&amp;" only",IF(Q158="","agree","conflict"))</f>
        <v/>
      </c>
      <c r="Q158" s="32">
        <f>IF(O158="both",TRIM(IF(I158&lt;&gt;"","price ","")&amp;IF(K158&lt;&gt;"","xp ","")&amp;IF(G158="differs","time","")),"")</f>
        <v/>
      </c>
      <c r="R158" s="32" t="inlineStr">
        <is>
          <t>hayday.info (primary values) + Fandom (times, cross-check)</t>
        </is>
      </c>
      <c r="S158" s="32" t="inlineStr">
        <is>
          <t>https://hayday.fandom.com/wiki/Hot_Dog_Stand</t>
        </is>
      </c>
    </row>
    <row r="159" ht="15" customHeight="1" s="29">
      <c r="A159" s="32" t="inlineStr">
        <is>
          <t>Corn Dog</t>
        </is>
      </c>
      <c r="B159" s="32" t="inlineStr">
        <is>
          <t>Hot Dog Stand</t>
        </is>
      </c>
      <c r="C159" s="33" t="n">
        <v>78</v>
      </c>
      <c r="D159" s="34" t="n">
        <v>60</v>
      </c>
      <c r="E159" s="34" t="n">
        <v>51</v>
      </c>
      <c r="F159" s="34" t="n">
        <v>51</v>
      </c>
      <c r="G159" s="32">
        <f>IF(OR(F159="",AND(D159="",E159="")),"n/a",IF(F159=E159,"mastered",IF(F159=D159,"normal","differs")))</f>
        <v/>
      </c>
      <c r="H159" s="35" t="n">
        <v>529</v>
      </c>
      <c r="I159" s="35" t="n"/>
      <c r="J159" s="33" t="n">
        <v>63</v>
      </c>
      <c r="K159" s="33" t="n"/>
      <c r="L159" s="36" t="n">
        <v>28.23529412</v>
      </c>
      <c r="M159" s="37" t="n">
        <v>74.11764706</v>
      </c>
      <c r="N159" s="32">
        <f>IF(L159="","",IF(L159&lt;0,"negative profit",IF(L159&gt;Notes!$B$4,"unusually high - verify","")))</f>
        <v/>
      </c>
      <c r="O159" s="32" t="inlineStr">
        <is>
          <t>both</t>
        </is>
      </c>
      <c r="P159" s="32">
        <f>IF(O159&lt;&gt;"both",O159&amp;" only",IF(Q159="","agree","conflict"))</f>
        <v/>
      </c>
      <c r="Q159" s="32">
        <f>IF(O159="both",TRIM(IF(I159&lt;&gt;"","price ","")&amp;IF(K159&lt;&gt;"","xp ","")&amp;IF(G159="differs","time","")),"")</f>
        <v/>
      </c>
      <c r="R159" s="32" t="inlineStr">
        <is>
          <t>hayday.info (primary values) + Fandom (times, cross-check)</t>
        </is>
      </c>
      <c r="S159" s="32" t="inlineStr">
        <is>
          <t>https://hayday.fandom.com/wiki/Hot_Dog_Stand</t>
        </is>
      </c>
    </row>
    <row r="160" ht="15" customHeight="1" s="29">
      <c r="A160" s="32" t="inlineStr">
        <is>
          <t>Onion Dog</t>
        </is>
      </c>
      <c r="B160" s="32" t="inlineStr">
        <is>
          <t>Hot Dog Stand</t>
        </is>
      </c>
      <c r="C160" s="33" t="n">
        <v>80</v>
      </c>
      <c r="D160" s="34" t="n">
        <v>75</v>
      </c>
      <c r="E160" s="34" t="n">
        <v>63</v>
      </c>
      <c r="F160" s="34" t="n">
        <v>63</v>
      </c>
      <c r="G160" s="32">
        <f>IF(OR(F160="",AND(D160="",E160="")),"n/a",IF(F160=E160,"mastered",IF(F160=D160,"normal","differs")))</f>
        <v/>
      </c>
      <c r="H160" s="35" t="n">
        <v>306</v>
      </c>
      <c r="I160" s="35" t="n"/>
      <c r="J160" s="33" t="n">
        <v>36</v>
      </c>
      <c r="K160" s="33" t="n"/>
      <c r="L160" s="36" t="n">
        <v>30.11764706</v>
      </c>
      <c r="M160" s="37" t="n">
        <v>33.88235294</v>
      </c>
      <c r="N160" s="32">
        <f>IF(L160="","",IF(L160&lt;0,"negative profit",IF(L160&gt;Notes!$B$4,"unusually high - verify","")))</f>
        <v/>
      </c>
      <c r="O160" s="32" t="inlineStr">
        <is>
          <t>both</t>
        </is>
      </c>
      <c r="P160" s="32">
        <f>IF(O160&lt;&gt;"both",O160&amp;" only",IF(Q160="","agree","conflict"))</f>
        <v/>
      </c>
      <c r="Q160" s="32">
        <f>IF(O160="both",TRIM(IF(I160&lt;&gt;"","price ","")&amp;IF(K160&lt;&gt;"","xp ","")&amp;IF(G160="differs","time","")),"")</f>
        <v/>
      </c>
      <c r="R160" s="32" t="inlineStr">
        <is>
          <t>hayday.info (primary values) + Fandom (times, cross-check)</t>
        </is>
      </c>
      <c r="S160" s="32" t="inlineStr">
        <is>
          <t>https://hayday.fandom.com/wiki/Hot_Dog_Stand</t>
        </is>
      </c>
    </row>
    <row r="161" ht="15" customHeight="1" s="29">
      <c r="A161" s="32" t="inlineStr">
        <is>
          <t>Vanilla Ice Cream</t>
        </is>
      </c>
      <c r="B161" s="32" t="inlineStr">
        <is>
          <t>Ice Cream Maker</t>
        </is>
      </c>
      <c r="C161" s="33" t="n">
        <v>29</v>
      </c>
      <c r="D161" s="34" t="n">
        <v>120</v>
      </c>
      <c r="E161" s="34" t="n">
        <v>102</v>
      </c>
      <c r="F161" s="34" t="n">
        <v>102</v>
      </c>
      <c r="G161" s="32">
        <f>IF(OR(F161="",AND(D161="",E161="")),"n/a",IF(F161=E161,"mastered",IF(F161=D161,"normal","differs")))</f>
        <v/>
      </c>
      <c r="H161" s="35" t="n">
        <v>172</v>
      </c>
      <c r="I161" s="35" t="n"/>
      <c r="J161" s="33" t="n">
        <v>20</v>
      </c>
      <c r="K161" s="33" t="n"/>
      <c r="L161" s="36" t="n">
        <v>23.52941176</v>
      </c>
      <c r="M161" s="37" t="n">
        <v>11.76470588</v>
      </c>
      <c r="N161" s="32">
        <f>IF(L161="","",IF(L161&lt;0,"negative profit",IF(L161&gt;Notes!$B$4,"unusually high - verify","")))</f>
        <v/>
      </c>
      <c r="O161" s="32" t="inlineStr">
        <is>
          <t>both</t>
        </is>
      </c>
      <c r="P161" s="32">
        <f>IF(O161&lt;&gt;"both",O161&amp;" only",IF(Q161="","agree","conflict"))</f>
        <v/>
      </c>
      <c r="Q161" s="32">
        <f>IF(O161="both",TRIM(IF(I161&lt;&gt;"","price ","")&amp;IF(K161&lt;&gt;"","xp ","")&amp;IF(G161="differs","time","")),"")</f>
        <v/>
      </c>
      <c r="R161" s="32" t="inlineStr">
        <is>
          <t>hayday.info (primary values) + Fandom (times, cross-check)</t>
        </is>
      </c>
      <c r="S161" s="32" t="inlineStr">
        <is>
          <t>https://hayday.fandom.com/wiki/Ice_Cream_Maker</t>
        </is>
      </c>
    </row>
    <row r="162" ht="15" customHeight="1" s="29">
      <c r="A162" s="32" t="inlineStr">
        <is>
          <t>Cherry Popsicle</t>
        </is>
      </c>
      <c r="B162" s="32" t="inlineStr">
        <is>
          <t>Ice Cream Maker</t>
        </is>
      </c>
      <c r="C162" s="33" t="n">
        <v>33</v>
      </c>
      <c r="D162" s="34" t="n">
        <v>180</v>
      </c>
      <c r="E162" s="34" t="n">
        <v>153</v>
      </c>
      <c r="F162" s="34" t="n">
        <v>153</v>
      </c>
      <c r="G162" s="32">
        <f>IF(OR(F162="",AND(D162="",E162="")),"n/a",IF(F162=E162,"mastered",IF(F162=D162,"normal","differs")))</f>
        <v/>
      </c>
      <c r="H162" s="35" t="n">
        <v>352</v>
      </c>
      <c r="I162" s="35" t="n"/>
      <c r="J162" s="33" t="n">
        <v>42</v>
      </c>
      <c r="K162" s="33" t="n"/>
      <c r="L162" s="36" t="n">
        <v>18.03921569</v>
      </c>
      <c r="M162" s="37" t="n">
        <v>16.47058824</v>
      </c>
      <c r="N162" s="32">
        <f>IF(L162="","",IF(L162&lt;0,"negative profit",IF(L162&gt;Notes!$B$4,"unusually high - verify","")))</f>
        <v/>
      </c>
      <c r="O162" s="32" t="inlineStr">
        <is>
          <t>both</t>
        </is>
      </c>
      <c r="P162" s="32">
        <f>IF(O162&lt;&gt;"both",O162&amp;" only",IF(Q162="","agree","conflict"))</f>
        <v/>
      </c>
      <c r="Q162" s="32">
        <f>IF(O162="both",TRIM(IF(I162&lt;&gt;"","price ","")&amp;IF(K162&lt;&gt;"","xp ","")&amp;IF(G162="differs","time","")),"")</f>
        <v/>
      </c>
      <c r="R162" s="32" t="inlineStr">
        <is>
          <t>hayday.info (primary values) + Fandom (times, cross-check)</t>
        </is>
      </c>
      <c r="S162" s="32" t="inlineStr">
        <is>
          <t>https://hayday.fandom.com/wiki/Ice_Cream_Maker</t>
        </is>
      </c>
    </row>
    <row r="163" ht="15" customHeight="1" s="29">
      <c r="A163" s="32" t="inlineStr">
        <is>
          <t>Strawberry Ice Cream</t>
        </is>
      </c>
      <c r="B163" s="32" t="inlineStr">
        <is>
          <t>Ice Cream Maker</t>
        </is>
      </c>
      <c r="C163" s="33" t="n">
        <v>34</v>
      </c>
      <c r="D163" s="34" t="n">
        <v>240</v>
      </c>
      <c r="E163" s="34" t="n">
        <v>204</v>
      </c>
      <c r="F163" s="34" t="n">
        <v>204</v>
      </c>
      <c r="G163" s="32">
        <f>IF(OR(F163="",AND(D163="",E163="")),"n/a",IF(F163=E163,"mastered",IF(F163=D163,"normal","differs")))</f>
        <v/>
      </c>
      <c r="H163" s="35" t="n">
        <v>331</v>
      </c>
      <c r="I163" s="35" t="n"/>
      <c r="J163" s="33" t="n">
        <v>40</v>
      </c>
      <c r="K163" s="33" t="n"/>
      <c r="L163" s="36" t="n">
        <v>14.41176471</v>
      </c>
      <c r="M163" s="37" t="n">
        <v>11.76470588</v>
      </c>
      <c r="N163" s="32">
        <f>IF(L163="","",IF(L163&lt;0,"negative profit",IF(L163&gt;Notes!$B$4,"unusually high - verify","")))</f>
        <v/>
      </c>
      <c r="O163" s="32" t="inlineStr">
        <is>
          <t>both</t>
        </is>
      </c>
      <c r="P163" s="32">
        <f>IF(O163&lt;&gt;"both",O163&amp;" only",IF(Q163="","agree","conflict"))</f>
        <v/>
      </c>
      <c r="Q163" s="32">
        <f>IF(O163="both",TRIM(IF(I163&lt;&gt;"","price ","")&amp;IF(K163&lt;&gt;"","xp ","")&amp;IF(G163="differs","time","")),"")</f>
        <v/>
      </c>
      <c r="R163" s="32" t="inlineStr">
        <is>
          <t>hayday.info (primary values) + Fandom (times, cross-check)</t>
        </is>
      </c>
      <c r="S163" s="32" t="inlineStr">
        <is>
          <t>https://hayday.fandom.com/wiki/Ice_Cream_Maker</t>
        </is>
      </c>
    </row>
    <row r="164" ht="15" customHeight="1" s="29">
      <c r="A164" s="32" t="inlineStr">
        <is>
          <t>Chocolate Ice Cream</t>
        </is>
      </c>
      <c r="B164" s="32" t="inlineStr">
        <is>
          <t>Ice Cream Maker</t>
        </is>
      </c>
      <c r="C164" s="33" t="n">
        <v>39</v>
      </c>
      <c r="D164" s="34" t="n">
        <v>150</v>
      </c>
      <c r="E164" s="34" t="n">
        <v>127</v>
      </c>
      <c r="F164" s="34" t="n">
        <v>127</v>
      </c>
      <c r="G164" s="32">
        <f>IF(OR(F164="",AND(D164="",E164="")),"n/a",IF(F164=E164,"mastered",IF(F164=D164,"normal","differs")))</f>
        <v/>
      </c>
      <c r="H164" s="35" t="n">
        <v>342</v>
      </c>
      <c r="I164" s="35" t="n"/>
      <c r="J164" s="33" t="n">
        <v>41</v>
      </c>
      <c r="K164" s="33" t="n"/>
      <c r="L164" s="36" t="n">
        <v>17.88235294</v>
      </c>
      <c r="M164" s="37" t="n">
        <v>19.29411765</v>
      </c>
      <c r="N164" s="32">
        <f>IF(L164="","",IF(L164&lt;0,"negative profit",IF(L164&gt;Notes!$B$4,"unusually high - verify","")))</f>
        <v/>
      </c>
      <c r="O164" s="32" t="inlineStr">
        <is>
          <t>both</t>
        </is>
      </c>
      <c r="P164" s="32">
        <f>IF(O164&lt;&gt;"both",O164&amp;" only",IF(Q164="","agree","conflict"))</f>
        <v/>
      </c>
      <c r="Q164" s="32">
        <f>IF(O164="both",TRIM(IF(I164&lt;&gt;"","price ","")&amp;IF(K164&lt;&gt;"","xp ","")&amp;IF(G164="differs","time","")),"")</f>
        <v/>
      </c>
      <c r="R164" s="32" t="inlineStr">
        <is>
          <t>hayday.info (primary values) + Fandom (times, cross-check)</t>
        </is>
      </c>
      <c r="S164" s="32" t="inlineStr">
        <is>
          <t>https://hayday.fandom.com/wiki/Ice_Cream_Maker</t>
        </is>
      </c>
    </row>
    <row r="165" ht="15" customHeight="1" s="29">
      <c r="A165" s="32" t="inlineStr">
        <is>
          <t>Sesame Ice Cream</t>
        </is>
      </c>
      <c r="B165" s="32" t="inlineStr">
        <is>
          <t>Ice Cream Maker</t>
        </is>
      </c>
      <c r="C165" s="33" t="n">
        <v>50</v>
      </c>
      <c r="D165" s="34" t="n">
        <v>120</v>
      </c>
      <c r="E165" s="34" t="n">
        <v>102</v>
      </c>
      <c r="F165" s="34" t="n">
        <v>102</v>
      </c>
      <c r="G165" s="32">
        <f>IF(OR(F165="",AND(D165="",E165="")),"n/a",IF(F165=E165,"mastered",IF(F165=D165,"normal","differs")))</f>
        <v/>
      </c>
      <c r="H165" s="35" t="n">
        <v>176</v>
      </c>
      <c r="I165" s="35" t="n"/>
      <c r="J165" s="33" t="n">
        <v>21</v>
      </c>
      <c r="K165" s="33" t="n"/>
      <c r="L165" s="36" t="n">
        <v>23.52941176</v>
      </c>
      <c r="M165" s="37" t="n">
        <v>12.35294118</v>
      </c>
      <c r="N165" s="32">
        <f>IF(L165="","",IF(L165&lt;0,"negative profit",IF(L165&gt;Notes!$B$4,"unusually high - verify","")))</f>
        <v/>
      </c>
      <c r="O165" s="32" t="inlineStr">
        <is>
          <t>both</t>
        </is>
      </c>
      <c r="P165" s="32">
        <f>IF(O165&lt;&gt;"both",O165&amp;" only",IF(Q165="","agree","conflict"))</f>
        <v/>
      </c>
      <c r="Q165" s="32">
        <f>IF(O165="both",TRIM(IF(I165&lt;&gt;"","price ","")&amp;IF(K165&lt;&gt;"","xp ","")&amp;IF(G165="differs","time","")),"")</f>
        <v/>
      </c>
      <c r="R165" s="32" t="inlineStr">
        <is>
          <t>hayday.info (primary values) + Fandom (times, cross-check)</t>
        </is>
      </c>
      <c r="S165" s="32" t="inlineStr">
        <is>
          <t>https://hayday.fandom.com/wiki/Ice_Cream_Maker</t>
        </is>
      </c>
    </row>
    <row r="166" ht="15" customHeight="1" s="29">
      <c r="A166" s="32" t="inlineStr">
        <is>
          <t>Peanut Butter Milkshake</t>
        </is>
      </c>
      <c r="B166" s="32" t="inlineStr">
        <is>
          <t>Ice Cream Maker</t>
        </is>
      </c>
      <c r="C166" s="33" t="n">
        <v>68</v>
      </c>
      <c r="D166" s="34" t="n">
        <v>100</v>
      </c>
      <c r="E166" s="34" t="n">
        <v>85</v>
      </c>
      <c r="F166" s="34" t="n">
        <v>85</v>
      </c>
      <c r="G166" s="32">
        <f>IF(OR(F166="",AND(D166="",E166="")),"n/a",IF(F166=E166,"mastered",IF(F166=D166,"normal","differs")))</f>
        <v/>
      </c>
      <c r="H166" s="35" t="n">
        <v>619</v>
      </c>
      <c r="I166" s="35" t="n"/>
      <c r="J166" s="33" t="n">
        <v>86</v>
      </c>
      <c r="K166" s="33" t="n"/>
      <c r="L166" s="36" t="n">
        <v>31.76470588</v>
      </c>
      <c r="M166" s="37" t="n">
        <v>60.70588235</v>
      </c>
      <c r="N166" s="32">
        <f>IF(L166="","",IF(L166&lt;0,"negative profit",IF(L166&gt;Notes!$B$4,"unusually high - verify","")))</f>
        <v/>
      </c>
      <c r="O166" s="32" t="inlineStr">
        <is>
          <t>both</t>
        </is>
      </c>
      <c r="P166" s="32">
        <f>IF(O166&lt;&gt;"both",O166&amp;" only",IF(Q166="","agree","conflict"))</f>
        <v/>
      </c>
      <c r="Q166" s="32">
        <f>IF(O166="both",TRIM(IF(I166&lt;&gt;"","price ","")&amp;IF(K166&lt;&gt;"","xp ","")&amp;IF(G166="differs","time","")),"")</f>
        <v/>
      </c>
      <c r="R166" s="32" t="inlineStr">
        <is>
          <t>hayday.info (primary values) + Fandom (times, cross-check)</t>
        </is>
      </c>
      <c r="S166" s="32" t="inlineStr">
        <is>
          <t>https://hayday.fandom.com/wiki/Ice_Cream_Maker</t>
        </is>
      </c>
    </row>
    <row r="167" ht="15" customHeight="1" s="29">
      <c r="A167" s="32" t="inlineStr">
        <is>
          <t>Affogato</t>
        </is>
      </c>
      <c r="B167" s="32" t="inlineStr">
        <is>
          <t>Ice Cream Maker</t>
        </is>
      </c>
      <c r="C167" s="33" t="n">
        <v>78</v>
      </c>
      <c r="D167" s="34" t="n">
        <v>20</v>
      </c>
      <c r="E167" s="34" t="n">
        <v>17</v>
      </c>
      <c r="F167" s="34" t="n">
        <v>17</v>
      </c>
      <c r="G167" s="32">
        <f>IF(OR(F167="",AND(D167="",E167="")),"n/a",IF(F167=E167,"mastered",IF(F167=D167,"normal","differs")))</f>
        <v/>
      </c>
      <c r="H167" s="35" t="n">
        <v>435</v>
      </c>
      <c r="I167" s="35" t="n"/>
      <c r="J167" s="33" t="n">
        <v>56</v>
      </c>
      <c r="K167" s="33" t="n">
        <v>52</v>
      </c>
      <c r="L167" s="36" t="n">
        <v>52.94117647</v>
      </c>
      <c r="M167" s="37" t="n">
        <v>197.6470588</v>
      </c>
      <c r="N167" s="32">
        <f>IF(L167="","",IF(L167&lt;0,"negative profit",IF(L167&gt;Notes!$B$4,"unusually high - verify","")))</f>
        <v/>
      </c>
      <c r="O167" s="32" t="inlineStr">
        <is>
          <t>both</t>
        </is>
      </c>
      <c r="P167" s="32">
        <f>IF(O167&lt;&gt;"both",O167&amp;" only",IF(Q167="","agree","conflict"))</f>
        <v/>
      </c>
      <c r="Q167" s="32">
        <f>IF(O167="both",TRIM(IF(I167&lt;&gt;"","price ","")&amp;IF(K167&lt;&gt;"","xp ","")&amp;IF(G167="differs","time","")),"")</f>
        <v/>
      </c>
      <c r="R167" s="32" t="inlineStr">
        <is>
          <t>hayday.info (primary values) + Fandom (times, cross-check)</t>
        </is>
      </c>
      <c r="S167" s="32" t="inlineStr">
        <is>
          <t>https://hayday.fandom.com/wiki/Ice_Cream_Maker</t>
        </is>
      </c>
    </row>
    <row r="168" ht="15" customHeight="1" s="29">
      <c r="A168" s="32" t="inlineStr">
        <is>
          <t>Orange Sorbet</t>
        </is>
      </c>
      <c r="B168" s="32" t="inlineStr">
        <is>
          <t>Ice Cream Maker</t>
        </is>
      </c>
      <c r="C168" s="33" t="n">
        <v>78</v>
      </c>
      <c r="D168" s="34" t="n">
        <v>210</v>
      </c>
      <c r="E168" s="34" t="n">
        <v>178</v>
      </c>
      <c r="F168" s="34" t="n">
        <v>178</v>
      </c>
      <c r="G168" s="32">
        <f>IF(OR(F168="",AND(D168="",E168="")),"n/a",IF(F168=E168,"mastered",IF(F168=D168,"normal","differs")))</f>
        <v/>
      </c>
      <c r="H168" s="35" t="n">
        <v>399</v>
      </c>
      <c r="I168" s="35" t="n"/>
      <c r="J168" s="33" t="n">
        <v>48</v>
      </c>
      <c r="K168" s="33" t="n"/>
      <c r="L168" s="36" t="n">
        <v>17.14285714</v>
      </c>
      <c r="M168" s="37" t="n">
        <v>16.13445378</v>
      </c>
      <c r="N168" s="32">
        <f>IF(L168="","",IF(L168&lt;0,"negative profit",IF(L168&gt;Notes!$B$4,"unusually high - verify","")))</f>
        <v/>
      </c>
      <c r="O168" s="32" t="inlineStr">
        <is>
          <t>both</t>
        </is>
      </c>
      <c r="P168" s="32">
        <f>IF(O168&lt;&gt;"both",O168&amp;" only",IF(Q168="","agree","conflict"))</f>
        <v/>
      </c>
      <c r="Q168" s="32">
        <f>IF(O168="both",TRIM(IF(I168&lt;&gt;"","price ","")&amp;IF(K168&lt;&gt;"","xp ","")&amp;IF(G168="differs","time","")),"")</f>
        <v/>
      </c>
      <c r="R168" s="32" t="inlineStr">
        <is>
          <t>hayday.info (primary values) + Fandom (times, cross-check)</t>
        </is>
      </c>
      <c r="S168" s="32" t="inlineStr">
        <is>
          <t>https://hayday.fandom.com/wiki/Ice_Cream_Maker</t>
        </is>
      </c>
    </row>
    <row r="169" ht="15" customHeight="1" s="29">
      <c r="A169" s="32" t="inlineStr">
        <is>
          <t>Peach Ice Cream</t>
        </is>
      </c>
      <c r="B169" s="32" t="inlineStr">
        <is>
          <t>Ice Cream Maker</t>
        </is>
      </c>
      <c r="C169" s="33" t="n">
        <v>83</v>
      </c>
      <c r="D169" s="34" t="n">
        <v>180</v>
      </c>
      <c r="E169" s="34" t="n">
        <v>153</v>
      </c>
      <c r="F169" s="34" t="n">
        <v>153</v>
      </c>
      <c r="G169" s="32">
        <f>IF(OR(F169="",AND(D169="",E169="")),"n/a",IF(F169=E169,"mastered",IF(F169=D169,"normal","differs")))</f>
        <v/>
      </c>
      <c r="H169" s="35" t="n">
        <v>450</v>
      </c>
      <c r="I169" s="35" t="n"/>
      <c r="J169" s="33" t="n">
        <v>54</v>
      </c>
      <c r="K169" s="33" t="n"/>
      <c r="L169" s="36" t="n">
        <v>18.03921569</v>
      </c>
      <c r="M169" s="37" t="n">
        <v>21.17647059</v>
      </c>
      <c r="N169" s="32">
        <f>IF(L169="","",IF(L169&lt;0,"negative profit",IF(L169&gt;Notes!$B$4,"unusually high - verify","")))</f>
        <v/>
      </c>
      <c r="O169" s="32" t="inlineStr">
        <is>
          <t>both</t>
        </is>
      </c>
      <c r="P169" s="32">
        <f>IF(O169&lt;&gt;"both",O169&amp;" only",IF(Q169="","agree","conflict"))</f>
        <v/>
      </c>
      <c r="Q169" s="32">
        <f>IF(O169="both",TRIM(IF(I169&lt;&gt;"","price ","")&amp;IF(K169&lt;&gt;"","xp ","")&amp;IF(G169="differs","time","")),"")</f>
        <v/>
      </c>
      <c r="R169" s="32" t="inlineStr">
        <is>
          <t>hayday.info (primary values) + Fandom (times, cross-check)</t>
        </is>
      </c>
      <c r="S169" s="32" t="inlineStr">
        <is>
          <t>https://hayday.fandom.com/wiki/Ice_Cream_Maker</t>
        </is>
      </c>
    </row>
    <row r="170" ht="15" customHeight="1" s="29">
      <c r="A170" s="32" t="inlineStr">
        <is>
          <t>Mint Ice Cream</t>
        </is>
      </c>
      <c r="B170" s="32" t="inlineStr">
        <is>
          <t>Ice Cream Maker</t>
        </is>
      </c>
      <c r="C170" s="33" t="n">
        <v>85</v>
      </c>
      <c r="D170" s="34" t="n">
        <v>135</v>
      </c>
      <c r="E170" s="34" t="n">
        <v>114</v>
      </c>
      <c r="F170" s="34" t="n">
        <v>114</v>
      </c>
      <c r="G170" s="32">
        <f>IF(OR(F170="",AND(D170="",E170="")),"n/a",IF(F170=E170,"mastered",IF(F170=D170,"normal","differs")))</f>
        <v/>
      </c>
      <c r="H170" s="35" t="n">
        <v>288</v>
      </c>
      <c r="I170" s="35" t="n"/>
      <c r="J170" s="33" t="n">
        <v>34</v>
      </c>
      <c r="K170" s="33" t="n"/>
      <c r="L170" s="36" t="n">
        <v>19.86928105</v>
      </c>
      <c r="M170" s="37" t="n">
        <v>17.77777778</v>
      </c>
      <c r="N170" s="32">
        <f>IF(L170="","",IF(L170&lt;0,"negative profit",IF(L170&gt;Notes!$B$4,"unusually high - verify","")))</f>
        <v/>
      </c>
      <c r="O170" s="32" t="inlineStr">
        <is>
          <t>both</t>
        </is>
      </c>
      <c r="P170" s="32">
        <f>IF(O170&lt;&gt;"both",O170&amp;" only",IF(Q170="","agree","conflict"))</f>
        <v/>
      </c>
      <c r="Q170" s="32">
        <f>IF(O170="both",TRIM(IF(I170&lt;&gt;"","price ","")&amp;IF(K170&lt;&gt;"","xp ","")&amp;IF(G170="differs","time","")),"")</f>
        <v/>
      </c>
      <c r="R170" s="32" t="inlineStr">
        <is>
          <t>hayday.info (primary values) + Fandom (times, cross-check)</t>
        </is>
      </c>
      <c r="S170" s="32" t="inlineStr">
        <is>
          <t>https://hayday.fandom.com/wiki/Ice_Cream_Maker</t>
        </is>
      </c>
    </row>
    <row r="171" ht="15" customHeight="1" s="29">
      <c r="A171" s="32" t="inlineStr">
        <is>
          <t>Banana Split</t>
        </is>
      </c>
      <c r="B171" s="32" t="inlineStr">
        <is>
          <t>Ice Cream Maker</t>
        </is>
      </c>
      <c r="C171" s="33" t="n">
        <v>96</v>
      </c>
      <c r="D171" s="34" t="n">
        <v>210</v>
      </c>
      <c r="E171" s="34" t="n">
        <v>178</v>
      </c>
      <c r="F171" s="34" t="n">
        <v>178</v>
      </c>
      <c r="G171" s="32">
        <f>IF(OR(F171="",AND(D171="",E171="")),"n/a",IF(F171=E171,"mastered",IF(F171=D171,"normal","differs")))</f>
        <v/>
      </c>
      <c r="H171" s="35" t="n">
        <v>403</v>
      </c>
      <c r="I171" s="35" t="n"/>
      <c r="J171" s="33" t="n">
        <v>48</v>
      </c>
      <c r="K171" s="33" t="n"/>
      <c r="L171" s="36" t="n">
        <v>15.12605042</v>
      </c>
      <c r="M171" s="37" t="n">
        <v>16.13445378</v>
      </c>
      <c r="N171" s="32">
        <f>IF(L171="","",IF(L171&lt;0,"negative profit",IF(L171&gt;Notes!$B$4,"unusually high - verify","")))</f>
        <v/>
      </c>
      <c r="O171" s="32" t="inlineStr">
        <is>
          <t>both</t>
        </is>
      </c>
      <c r="P171" s="32">
        <f>IF(O171&lt;&gt;"both",O171&amp;" only",IF(Q171="","agree","conflict"))</f>
        <v/>
      </c>
      <c r="Q171" s="32">
        <f>IF(O171="both",TRIM(IF(I171&lt;&gt;"","price ","")&amp;IF(K171&lt;&gt;"","xp ","")&amp;IF(G171="differs","time","")),"")</f>
        <v/>
      </c>
      <c r="R171" s="32" t="inlineStr">
        <is>
          <t>hayday.info (primary values) + Fandom (times, cross-check)</t>
        </is>
      </c>
      <c r="S171" s="32" t="inlineStr">
        <is>
          <t>https://hayday.fandom.com/wiki/Ice_Cream_Maker</t>
        </is>
      </c>
    </row>
    <row r="172" ht="15" customHeight="1" s="29">
      <c r="A172" s="32" t="inlineStr">
        <is>
          <t>Coconut Ice Cream</t>
        </is>
      </c>
      <c r="B172" s="32" t="inlineStr">
        <is>
          <t>Ice Cream Maker</t>
        </is>
      </c>
      <c r="C172" s="33" t="n">
        <v>102</v>
      </c>
      <c r="D172" s="34" t="n"/>
      <c r="E172" s="34" t="n"/>
      <c r="F172" s="34" t="n">
        <v>15</v>
      </c>
      <c r="G172" s="32">
        <f>IF(OR(F172="",AND(D172="",E172="")),"n/a",IF(F172=E172,"mastered",IF(F172=D172,"normal","differs")))</f>
        <v/>
      </c>
      <c r="H172" s="35" t="n">
        <v>320</v>
      </c>
      <c r="I172" s="35" t="n"/>
      <c r="J172" s="33" t="n">
        <v>38</v>
      </c>
      <c r="K172" s="33" t="n"/>
      <c r="L172" s="36" t="n">
        <v>56</v>
      </c>
      <c r="M172" s="37" t="n">
        <v>152</v>
      </c>
      <c r="N172" s="32">
        <f>IF(L172="","",IF(L172&lt;0,"negative profit",IF(L172&gt;Notes!$B$4,"unusually high - verify","")))</f>
        <v/>
      </c>
      <c r="O172" s="32" t="inlineStr">
        <is>
          <t>hayday.info</t>
        </is>
      </c>
      <c r="P172" s="32">
        <f>IF(O172&lt;&gt;"both",O172&amp;" only",IF(Q172="","agree","conflict"))</f>
        <v/>
      </c>
      <c r="Q172" s="32">
        <f>IF(O172="both",TRIM(IF(I172&lt;&gt;"","price ","")&amp;IF(K172&lt;&gt;"","xp ","")&amp;IF(G172="differs","time","")),"")</f>
        <v/>
      </c>
      <c r="R172" s="32" t="inlineStr">
        <is>
          <t>hayday.info /api/production-data only</t>
        </is>
      </c>
      <c r="S172" s="32" t="n"/>
    </row>
    <row r="173" ht="15" customHeight="1" s="29">
      <c r="A173" s="32" t="inlineStr">
        <is>
          <t>Fruit Sorbet</t>
        </is>
      </c>
      <c r="B173" s="32" t="inlineStr">
        <is>
          <t>Ice Cream Maker</t>
        </is>
      </c>
      <c r="C173" s="33" t="n">
        <v>106</v>
      </c>
      <c r="D173" s="34" t="n"/>
      <c r="E173" s="34" t="n"/>
      <c r="F173" s="34" t="n">
        <v>60</v>
      </c>
      <c r="G173" s="32">
        <f>IF(OR(F173="",AND(D173="",E173="")),"n/a",IF(F173=E173,"mastered",IF(F173=D173,"normal","differs")))</f>
        <v/>
      </c>
      <c r="H173" s="35" t="n">
        <v>518</v>
      </c>
      <c r="I173" s="35" t="n"/>
      <c r="J173" s="33" t="n">
        <v>62</v>
      </c>
      <c r="K173" s="33" t="n"/>
      <c r="L173" s="36" t="n">
        <v>139</v>
      </c>
      <c r="M173" s="37" t="n">
        <v>62</v>
      </c>
      <c r="N173" s="32">
        <f>IF(L173="","",IF(L173&lt;0,"negative profit",IF(L173&gt;Notes!$B$4,"unusually high - verify","")))</f>
        <v/>
      </c>
      <c r="O173" s="32" t="inlineStr">
        <is>
          <t>hayday.info</t>
        </is>
      </c>
      <c r="P173" s="32">
        <f>IF(O173&lt;&gt;"both",O173&amp;" only",IF(Q173="","agree","conflict"))</f>
        <v/>
      </c>
      <c r="Q173" s="32">
        <f>IF(O173="both",TRIM(IF(I173&lt;&gt;"","price ","")&amp;IF(K173&lt;&gt;"","xp ","")&amp;IF(G173="differs","time","")),"")</f>
        <v/>
      </c>
      <c r="R173" s="32" t="inlineStr">
        <is>
          <t>hayday.info /api/production-data only</t>
        </is>
      </c>
      <c r="S173" s="32" t="n"/>
    </row>
    <row r="174" ht="15" customHeight="1" s="29">
      <c r="A174" s="32" t="inlineStr">
        <is>
          <t>Apple Jam</t>
        </is>
      </c>
      <c r="B174" s="32" t="inlineStr">
        <is>
          <t>Jam Maker</t>
        </is>
      </c>
      <c r="C174" s="33" t="n">
        <v>35</v>
      </c>
      <c r="D174" s="34" t="n">
        <v>360</v>
      </c>
      <c r="E174" s="34" t="n">
        <v>306</v>
      </c>
      <c r="F174" s="34" t="n">
        <v>306</v>
      </c>
      <c r="G174" s="32">
        <f>IF(OR(F174="",AND(D174="",E174="")),"n/a",IF(F174=E174,"mastered",IF(F174=D174,"normal","differs")))</f>
        <v/>
      </c>
      <c r="H174" s="35" t="n">
        <v>219</v>
      </c>
      <c r="I174" s="35" t="n"/>
      <c r="J174" s="33" t="n">
        <v>26</v>
      </c>
      <c r="K174" s="33" t="n"/>
      <c r="L174" s="36" t="n">
        <v>20</v>
      </c>
      <c r="M174" s="37" t="n">
        <v>5.098039216</v>
      </c>
      <c r="N174" s="32">
        <f>IF(L174="","",IF(L174&lt;0,"negative profit",IF(L174&gt;Notes!$B$4,"unusually high - verify","")))</f>
        <v/>
      </c>
      <c r="O174" s="32" t="inlineStr">
        <is>
          <t>both</t>
        </is>
      </c>
      <c r="P174" s="32">
        <f>IF(O174&lt;&gt;"both",O174&amp;" only",IF(Q174="","agree","conflict"))</f>
        <v/>
      </c>
      <c r="Q174" s="32">
        <f>IF(O174="both",TRIM(IF(I174&lt;&gt;"","price ","")&amp;IF(K174&lt;&gt;"","xp ","")&amp;IF(G174="differs","time","")),"")</f>
        <v/>
      </c>
      <c r="R174" s="32" t="inlineStr">
        <is>
          <t>hayday.info (primary values) + Fandom (times, cross-check)</t>
        </is>
      </c>
      <c r="S174" s="32" t="inlineStr">
        <is>
          <t>https://hayday.fandom.com/wiki/Jam_Maker</t>
        </is>
      </c>
    </row>
    <row r="175" ht="15" customHeight="1" s="29">
      <c r="A175" s="32" t="inlineStr">
        <is>
          <t>Raspberry Jam</t>
        </is>
      </c>
      <c r="B175" s="32" t="inlineStr">
        <is>
          <t>Jam Maker</t>
        </is>
      </c>
      <c r="C175" s="33" t="n">
        <v>36</v>
      </c>
      <c r="D175" s="34" t="n">
        <v>420</v>
      </c>
      <c r="E175" s="34" t="n">
        <v>357</v>
      </c>
      <c r="F175" s="34" t="n">
        <v>357</v>
      </c>
      <c r="G175" s="32">
        <f>IF(OR(F175="",AND(D175="",E175="")),"n/a",IF(F175=E175,"mastered",IF(F175=D175,"normal","differs")))</f>
        <v/>
      </c>
      <c r="H175" s="35" t="n">
        <v>252</v>
      </c>
      <c r="I175" s="35" t="n"/>
      <c r="J175" s="33" t="n">
        <v>30</v>
      </c>
      <c r="K175" s="33" t="n">
        <v>29</v>
      </c>
      <c r="L175" s="36" t="n">
        <v>19.15966387</v>
      </c>
      <c r="M175" s="37" t="n">
        <v>5.042016807</v>
      </c>
      <c r="N175" s="32">
        <f>IF(L175="","",IF(L175&lt;0,"negative profit",IF(L175&gt;Notes!$B$4,"unusually high - verify","")))</f>
        <v/>
      </c>
      <c r="O175" s="32" t="inlineStr">
        <is>
          <t>both</t>
        </is>
      </c>
      <c r="P175" s="32">
        <f>IF(O175&lt;&gt;"both",O175&amp;" only",IF(Q175="","agree","conflict"))</f>
        <v/>
      </c>
      <c r="Q175" s="32">
        <f>IF(O175="both",TRIM(IF(I175&lt;&gt;"","price ","")&amp;IF(K175&lt;&gt;"","xp ","")&amp;IF(G175="differs","time","")),"")</f>
        <v/>
      </c>
      <c r="R175" s="32" t="inlineStr">
        <is>
          <t>hayday.info (primary values) + Fandom (times, cross-check)</t>
        </is>
      </c>
      <c r="S175" s="32" t="inlineStr">
        <is>
          <t>https://hayday.fandom.com/wiki/Jam_Maker</t>
        </is>
      </c>
    </row>
    <row r="176" ht="15" customHeight="1" s="29">
      <c r="A176" s="32" t="inlineStr">
        <is>
          <t>Blackberry Jam</t>
        </is>
      </c>
      <c r="B176" s="32" t="inlineStr">
        <is>
          <t>Jam Maker</t>
        </is>
      </c>
      <c r="C176" s="33" t="n">
        <v>37</v>
      </c>
      <c r="D176" s="34" t="n">
        <v>480</v>
      </c>
      <c r="E176" s="34" t="n">
        <v>408</v>
      </c>
      <c r="F176" s="34" t="n">
        <v>408</v>
      </c>
      <c r="G176" s="32">
        <f>IF(OR(F176="",AND(D176="",E176="")),"n/a",IF(F176=E176,"mastered",IF(F176=D176,"normal","differs")))</f>
        <v/>
      </c>
      <c r="H176" s="35" t="n">
        <v>388</v>
      </c>
      <c r="I176" s="35" t="n"/>
      <c r="J176" s="33" t="n">
        <v>46</v>
      </c>
      <c r="K176" s="33" t="n"/>
      <c r="L176" s="36" t="n">
        <v>20.88235294</v>
      </c>
      <c r="M176" s="37" t="n">
        <v>6.764705882</v>
      </c>
      <c r="N176" s="32">
        <f>IF(L176="","",IF(L176&lt;0,"negative profit",IF(L176&gt;Notes!$B$4,"unusually high - verify","")))</f>
        <v/>
      </c>
      <c r="O176" s="32" t="inlineStr">
        <is>
          <t>both</t>
        </is>
      </c>
      <c r="P176" s="32">
        <f>IF(O176&lt;&gt;"both",O176&amp;" only",IF(Q176="","agree","conflict"))</f>
        <v/>
      </c>
      <c r="Q176" s="32">
        <f>IF(O176="both",TRIM(IF(I176&lt;&gt;"","price ","")&amp;IF(K176&lt;&gt;"","xp ","")&amp;IF(G176="differs","time","")),"")</f>
        <v/>
      </c>
      <c r="R176" s="32" t="inlineStr">
        <is>
          <t>hayday.info (primary values) + Fandom (times, cross-check)</t>
        </is>
      </c>
      <c r="S176" s="32" t="inlineStr">
        <is>
          <t>https://hayday.fandom.com/wiki/Jam_Maker</t>
        </is>
      </c>
    </row>
    <row r="177" ht="15" customHeight="1" s="29">
      <c r="A177" s="32" t="inlineStr">
        <is>
          <t>Cherry Jam</t>
        </is>
      </c>
      <c r="B177" s="32" t="inlineStr">
        <is>
          <t>Jam Maker</t>
        </is>
      </c>
      <c r="C177" s="33" t="n">
        <v>38</v>
      </c>
      <c r="D177" s="34" t="n">
        <v>420</v>
      </c>
      <c r="E177" s="34" t="n">
        <v>357</v>
      </c>
      <c r="F177" s="34" t="n">
        <v>357</v>
      </c>
      <c r="G177" s="32">
        <f>IF(OR(F177="",AND(D177="",E177="")),"n/a",IF(F177=E177,"mastered",IF(F177=D177,"normal","differs")))</f>
        <v/>
      </c>
      <c r="H177" s="35" t="n">
        <v>334</v>
      </c>
      <c r="I177" s="35" t="n"/>
      <c r="J177" s="33" t="n">
        <v>40</v>
      </c>
      <c r="K177" s="33" t="n"/>
      <c r="L177" s="36" t="n">
        <v>21.8487395</v>
      </c>
      <c r="M177" s="37" t="n">
        <v>6.722689076</v>
      </c>
      <c r="N177" s="32">
        <f>IF(L177="","",IF(L177&lt;0,"negative profit",IF(L177&gt;Notes!$B$4,"unusually high - verify","")))</f>
        <v/>
      </c>
      <c r="O177" s="32" t="inlineStr">
        <is>
          <t>both</t>
        </is>
      </c>
      <c r="P177" s="32">
        <f>IF(O177&lt;&gt;"both",O177&amp;" only",IF(Q177="","agree","conflict"))</f>
        <v/>
      </c>
      <c r="Q177" s="32">
        <f>IF(O177="both",TRIM(IF(I177&lt;&gt;"","price ","")&amp;IF(K177&lt;&gt;"","xp ","")&amp;IF(G177="differs","time","")),"")</f>
        <v/>
      </c>
      <c r="R177" s="32" t="inlineStr">
        <is>
          <t>hayday.info (primary values) + Fandom (times, cross-check)</t>
        </is>
      </c>
      <c r="S177" s="32" t="inlineStr">
        <is>
          <t>https://hayday.fandom.com/wiki/Jam_Maker</t>
        </is>
      </c>
    </row>
    <row r="178" ht="15" customHeight="1" s="29">
      <c r="A178" s="32" t="inlineStr">
        <is>
          <t>Strawberry Jam</t>
        </is>
      </c>
      <c r="B178" s="32" t="inlineStr">
        <is>
          <t>Jam Maker</t>
        </is>
      </c>
      <c r="C178" s="33" t="n">
        <v>50</v>
      </c>
      <c r="D178" s="34" t="n">
        <v>450</v>
      </c>
      <c r="E178" s="34" t="n">
        <v>382</v>
      </c>
      <c r="F178" s="34" t="n">
        <v>382</v>
      </c>
      <c r="G178" s="32">
        <f>IF(OR(F178="",AND(D178="",E178="")),"n/a",IF(F178=E178,"mastered",IF(F178=D178,"normal","differs")))</f>
        <v/>
      </c>
      <c r="H178" s="35" t="n">
        <v>270</v>
      </c>
      <c r="I178" s="35" t="n"/>
      <c r="J178" s="33" t="n">
        <v>32</v>
      </c>
      <c r="K178" s="33" t="n"/>
      <c r="L178" s="36" t="n">
        <v>18.82352941</v>
      </c>
      <c r="M178" s="37" t="n">
        <v>5.019607843</v>
      </c>
      <c r="N178" s="32">
        <f>IF(L178="","",IF(L178&lt;0,"negative profit",IF(L178&gt;Notes!$B$4,"unusually high - verify","")))</f>
        <v/>
      </c>
      <c r="O178" s="32" t="inlineStr">
        <is>
          <t>both</t>
        </is>
      </c>
      <c r="P178" s="32">
        <f>IF(O178&lt;&gt;"both",O178&amp;" only",IF(Q178="","agree","conflict"))</f>
        <v/>
      </c>
      <c r="Q178" s="32">
        <f>IF(O178="both",TRIM(IF(I178&lt;&gt;"","price ","")&amp;IF(K178&lt;&gt;"","xp ","")&amp;IF(G178="differs","time","")),"")</f>
        <v/>
      </c>
      <c r="R178" s="32" t="inlineStr">
        <is>
          <t>hayday.info (primary values) + Fandom (times, cross-check)</t>
        </is>
      </c>
      <c r="S178" s="32" t="inlineStr">
        <is>
          <t>https://hayday.fandom.com/wiki/Jam_Maker</t>
        </is>
      </c>
    </row>
    <row r="179" ht="15" customHeight="1" s="29">
      <c r="A179" s="32" t="inlineStr">
        <is>
          <t>Marmalade</t>
        </is>
      </c>
      <c r="B179" s="32" t="inlineStr">
        <is>
          <t>Jam Maker</t>
        </is>
      </c>
      <c r="C179" s="33" t="n">
        <v>74</v>
      </c>
      <c r="D179" s="34" t="n">
        <v>510</v>
      </c>
      <c r="E179" s="34" t="n">
        <v>433</v>
      </c>
      <c r="F179" s="34" t="n">
        <v>433</v>
      </c>
      <c r="G179" s="32">
        <f>IF(OR(F179="",AND(D179="",E179="")),"n/a",IF(F179=E179,"mastered",IF(F179=D179,"normal","differs")))</f>
        <v/>
      </c>
      <c r="H179" s="35" t="n">
        <v>457</v>
      </c>
      <c r="I179" s="35" t="n"/>
      <c r="J179" s="33" t="n">
        <v>54</v>
      </c>
      <c r="K179" s="33" t="n"/>
      <c r="L179" s="36" t="n">
        <v>22.97577855</v>
      </c>
      <c r="M179" s="37" t="n">
        <v>7.474048443</v>
      </c>
      <c r="N179" s="32">
        <f>IF(L179="","",IF(L179&lt;0,"negative profit",IF(L179&gt;Notes!$B$4,"unusually high - verify","")))</f>
        <v/>
      </c>
      <c r="O179" s="32" t="inlineStr">
        <is>
          <t>both</t>
        </is>
      </c>
      <c r="P179" s="32">
        <f>IF(O179&lt;&gt;"both",O179&amp;" only",IF(Q179="","agree","conflict"))</f>
        <v/>
      </c>
      <c r="Q179" s="32">
        <f>IF(O179="both",TRIM(IF(I179&lt;&gt;"","price ","")&amp;IF(K179&lt;&gt;"","xp ","")&amp;IF(G179="differs","time","")),"")</f>
        <v/>
      </c>
      <c r="R179" s="32" t="inlineStr">
        <is>
          <t>hayday.info (primary values) + Fandom (times, cross-check)</t>
        </is>
      </c>
      <c r="S179" s="32" t="inlineStr">
        <is>
          <t>https://hayday.fandom.com/wiki/Jam_Maker</t>
        </is>
      </c>
    </row>
    <row r="180" ht="15" customHeight="1" s="29">
      <c r="A180" s="32" t="inlineStr">
        <is>
          <t>Peach Jam</t>
        </is>
      </c>
      <c r="B180" s="32" t="inlineStr">
        <is>
          <t>Jam Maker</t>
        </is>
      </c>
      <c r="C180" s="33" t="n">
        <v>79</v>
      </c>
      <c r="D180" s="34" t="n">
        <v>480</v>
      </c>
      <c r="E180" s="34" t="n">
        <v>408</v>
      </c>
      <c r="F180" s="34" t="n">
        <v>408</v>
      </c>
      <c r="G180" s="32">
        <f>IF(OR(F180="",AND(D180="",E180="")),"n/a",IF(F180=E180,"mastered",IF(F180=D180,"normal","differs")))</f>
        <v/>
      </c>
      <c r="H180" s="35" t="n">
        <v>464</v>
      </c>
      <c r="I180" s="35" t="n"/>
      <c r="J180" s="33" t="n">
        <v>55</v>
      </c>
      <c r="K180" s="33" t="n"/>
      <c r="L180" s="36" t="n">
        <v>24.11764706</v>
      </c>
      <c r="M180" s="37" t="n">
        <v>8.088235294</v>
      </c>
      <c r="N180" s="32">
        <f>IF(L180="","",IF(L180&lt;0,"negative profit",IF(L180&gt;Notes!$B$4,"unusually high - verify","")))</f>
        <v/>
      </c>
      <c r="O180" s="32" t="inlineStr">
        <is>
          <t>both</t>
        </is>
      </c>
      <c r="P180" s="32">
        <f>IF(O180&lt;&gt;"both",O180&amp;" only",IF(Q180="","agree","conflict"))</f>
        <v/>
      </c>
      <c r="Q180" s="32">
        <f>IF(O180="both",TRIM(IF(I180&lt;&gt;"","price ","")&amp;IF(K180&lt;&gt;"","xp ","")&amp;IF(G180="differs","time","")),"")</f>
        <v/>
      </c>
      <c r="R180" s="32" t="inlineStr">
        <is>
          <t>hayday.info (primary values) + Fandom (times, cross-check)</t>
        </is>
      </c>
      <c r="S180" s="32" t="inlineStr">
        <is>
          <t>https://hayday.fandom.com/wiki/Jam_Maker</t>
        </is>
      </c>
    </row>
    <row r="181" ht="15" customHeight="1" s="29">
      <c r="A181" s="32" t="inlineStr">
        <is>
          <t>Grape Jam</t>
        </is>
      </c>
      <c r="B181" s="32" t="inlineStr">
        <is>
          <t>Jam Maker</t>
        </is>
      </c>
      <c r="C181" s="33" t="n">
        <v>85</v>
      </c>
      <c r="D181" s="34" t="n">
        <v>390</v>
      </c>
      <c r="E181" s="34" t="n">
        <v>330</v>
      </c>
      <c r="F181" s="34" t="n">
        <v>331</v>
      </c>
      <c r="G181" s="32">
        <f>IF(OR(F181="",AND(D181="",E181="")),"n/a",IF(F181=E181,"mastered",IF(F181=D181,"normal","differs")))</f>
        <v/>
      </c>
      <c r="H181" s="35" t="n">
        <v>162</v>
      </c>
      <c r="I181" s="35" t="n"/>
      <c r="J181" s="33" t="n">
        <v>19</v>
      </c>
      <c r="K181" s="33" t="n"/>
      <c r="L181" s="36" t="n">
        <v>11.94570136</v>
      </c>
      <c r="M181" s="37" t="n">
        <v>3.438914027</v>
      </c>
      <c r="N181" s="32">
        <f>IF(L181="","",IF(L181&lt;0,"negative profit",IF(L181&gt;Notes!$B$4,"unusually high - verify","")))</f>
        <v/>
      </c>
      <c r="O181" s="32" t="inlineStr">
        <is>
          <t>both</t>
        </is>
      </c>
      <c r="P181" s="32">
        <f>IF(O181&lt;&gt;"both",O181&amp;" only",IF(Q181="","agree","conflict"))</f>
        <v/>
      </c>
      <c r="Q181" s="32">
        <f>IF(O181="both",TRIM(IF(I181&lt;&gt;"","price ","")&amp;IF(K181&lt;&gt;"","xp ","")&amp;IF(G181="differs","time","")),"")</f>
        <v/>
      </c>
      <c r="R181" s="32" t="inlineStr">
        <is>
          <t>hayday.info (primary values) + Fandom (times, cross-check)</t>
        </is>
      </c>
      <c r="S181" s="32" t="inlineStr">
        <is>
          <t>https://hayday.fandom.com/wiki/Jam_Maker</t>
        </is>
      </c>
    </row>
    <row r="182" ht="15" customHeight="1" s="29">
      <c r="A182" s="32" t="inlineStr">
        <is>
          <t>Plum Jam</t>
        </is>
      </c>
      <c r="B182" s="32" t="inlineStr">
        <is>
          <t>Jam Maker</t>
        </is>
      </c>
      <c r="C182" s="33" t="n">
        <v>94</v>
      </c>
      <c r="D182" s="34" t="n">
        <v>300</v>
      </c>
      <c r="E182" s="34" t="n">
        <v>255</v>
      </c>
      <c r="F182" s="34" t="n">
        <v>255</v>
      </c>
      <c r="G182" s="32">
        <f>IF(OR(F182="",AND(D182="",E182="")),"n/a",IF(F182=E182,"mastered",IF(F182=D182,"normal","differs")))</f>
        <v/>
      </c>
      <c r="H182" s="35" t="n">
        <v>385</v>
      </c>
      <c r="I182" s="35" t="n"/>
      <c r="J182" s="33" t="n">
        <v>46</v>
      </c>
      <c r="K182" s="33" t="n"/>
      <c r="L182" s="36" t="n">
        <v>32.70588235</v>
      </c>
      <c r="M182" s="37" t="n">
        <v>10.82352941</v>
      </c>
      <c r="N182" s="32">
        <f>IF(L182="","",IF(L182&lt;0,"negative profit",IF(L182&gt;Notes!$B$4,"unusually high - verify","")))</f>
        <v/>
      </c>
      <c r="O182" s="32" t="inlineStr">
        <is>
          <t>both</t>
        </is>
      </c>
      <c r="P182" s="32">
        <f>IF(O182&lt;&gt;"both",O182&amp;" only",IF(Q182="","agree","conflict"))</f>
        <v/>
      </c>
      <c r="Q182" s="32">
        <f>IF(O182="both",TRIM(IF(I182&lt;&gt;"","price ","")&amp;IF(K182&lt;&gt;"","xp ","")&amp;IF(G182="differs","time","")),"")</f>
        <v/>
      </c>
      <c r="R182" s="32" t="inlineStr">
        <is>
          <t>hayday.info (primary values) + Fandom (times, cross-check)</t>
        </is>
      </c>
      <c r="S182" s="32" t="inlineStr">
        <is>
          <t>https://hayday.fandom.com/wiki/Jam_Maker</t>
        </is>
      </c>
    </row>
    <row r="183" ht="15" customHeight="1" s="29">
      <c r="A183" s="32" t="inlineStr">
        <is>
          <t>Passion Fruit Jam</t>
        </is>
      </c>
      <c r="B183" s="32" t="inlineStr">
        <is>
          <t>Jam Maker</t>
        </is>
      </c>
      <c r="C183" s="33" t="n">
        <v>96</v>
      </c>
      <c r="D183" s="34" t="n"/>
      <c r="E183" s="34" t="n"/>
      <c r="F183" s="34" t="n">
        <v>272</v>
      </c>
      <c r="G183" s="32">
        <f>IF(OR(F183="",AND(D183="",E183="")),"n/a",IF(F183=E183,"mastered",IF(F183=D183,"normal","differs")))</f>
        <v/>
      </c>
      <c r="H183" s="35" t="n">
        <v>118</v>
      </c>
      <c r="I183" s="35" t="n"/>
      <c r="J183" s="33" t="n">
        <v>14</v>
      </c>
      <c r="K183" s="33" t="n"/>
      <c r="L183" s="36" t="n">
        <v>14.11764706</v>
      </c>
      <c r="M183" s="37" t="n">
        <v>3.088235294</v>
      </c>
      <c r="N183" s="32">
        <f>IF(L183="","",IF(L183&lt;0,"negative profit",IF(L183&gt;Notes!$B$4,"unusually high - verify","")))</f>
        <v/>
      </c>
      <c r="O183" s="32" t="inlineStr">
        <is>
          <t>hayday.info</t>
        </is>
      </c>
      <c r="P183" s="32">
        <f>IF(O183&lt;&gt;"both",O183&amp;" only",IF(Q183="","agree","conflict"))</f>
        <v/>
      </c>
      <c r="Q183" s="32">
        <f>IF(O183="both",TRIM(IF(I183&lt;&gt;"","price ","")&amp;IF(K183&lt;&gt;"","xp ","")&amp;IF(G183="differs","time","")),"")</f>
        <v/>
      </c>
      <c r="R183" s="32" t="inlineStr">
        <is>
          <t>hayday.info /api/production-data only</t>
        </is>
      </c>
      <c r="S183" s="32" t="n"/>
    </row>
    <row r="184" ht="15" customHeight="1" s="29">
      <c r="A184" s="32" t="inlineStr">
        <is>
          <t>Bracelet</t>
        </is>
      </c>
      <c r="B184" s="32" t="inlineStr">
        <is>
          <t>Jeweler</t>
        </is>
      </c>
      <c r="C184" s="33" t="n">
        <v>38</v>
      </c>
      <c r="D184" s="34" t="n">
        <v>120</v>
      </c>
      <c r="E184" s="34" t="n">
        <v>102</v>
      </c>
      <c r="F184" s="34" t="n">
        <v>102</v>
      </c>
      <c r="G184" s="32">
        <f>IF(OR(F184="",AND(D184="",E184="")),"n/a",IF(F184=E184,"mastered",IF(F184=D184,"normal","differs")))</f>
        <v/>
      </c>
      <c r="H184" s="35" t="n">
        <v>514</v>
      </c>
      <c r="I184" s="35" t="n"/>
      <c r="J184" s="33" t="n">
        <v>61</v>
      </c>
      <c r="K184" s="33" t="n"/>
      <c r="L184" s="36" t="n">
        <v>23.52941176</v>
      </c>
      <c r="M184" s="37" t="n">
        <v>35.88235294</v>
      </c>
      <c r="N184" s="32">
        <f>IF(L184="","",IF(L184&lt;0,"negative profit",IF(L184&gt;Notes!$B$4,"unusually high - verify","")))</f>
        <v/>
      </c>
      <c r="O184" s="32" t="inlineStr">
        <is>
          <t>both</t>
        </is>
      </c>
      <c r="P184" s="32">
        <f>IF(O184&lt;&gt;"both",O184&amp;" only",IF(Q184="","agree","conflict"))</f>
        <v/>
      </c>
      <c r="Q184" s="32">
        <f>IF(O184="both",TRIM(IF(I184&lt;&gt;"","price ","")&amp;IF(K184&lt;&gt;"","xp ","")&amp;IF(G184="differs","time","")),"")</f>
        <v/>
      </c>
      <c r="R184" s="32" t="inlineStr">
        <is>
          <t>hayday.info (primary values) + Fandom (times, cross-check)</t>
        </is>
      </c>
      <c r="S184" s="32" t="inlineStr">
        <is>
          <t>https://hayday.fandom.com/wiki/Jeweler</t>
        </is>
      </c>
    </row>
    <row r="185" ht="15" customHeight="1" s="29">
      <c r="A185" s="32" t="inlineStr">
        <is>
          <t>Necklace</t>
        </is>
      </c>
      <c r="B185" s="32" t="inlineStr">
        <is>
          <t>Jeweler</t>
        </is>
      </c>
      <c r="C185" s="33" t="n">
        <v>39</v>
      </c>
      <c r="D185" s="34" t="n">
        <v>180</v>
      </c>
      <c r="E185" s="34" t="n">
        <v>153</v>
      </c>
      <c r="F185" s="34" t="n">
        <v>153</v>
      </c>
      <c r="G185" s="32">
        <f>IF(OR(F185="",AND(D185="",E185="")),"n/a",IF(F185=E185,"mastered",IF(F185=D185,"normal","differs")))</f>
        <v/>
      </c>
      <c r="H185" s="35" t="n">
        <v>727</v>
      </c>
      <c r="I185" s="35" t="n"/>
      <c r="J185" s="33" t="n">
        <v>87</v>
      </c>
      <c r="K185" s="33" t="n"/>
      <c r="L185" s="36" t="n">
        <v>18.82352941</v>
      </c>
      <c r="M185" s="37" t="n">
        <v>34.11764706</v>
      </c>
      <c r="N185" s="32">
        <f>IF(L185="","",IF(L185&lt;0,"negative profit",IF(L185&gt;Notes!$B$4,"unusually high - verify","")))</f>
        <v/>
      </c>
      <c r="O185" s="32" t="inlineStr">
        <is>
          <t>both</t>
        </is>
      </c>
      <c r="P185" s="32">
        <f>IF(O185&lt;&gt;"both",O185&amp;" only",IF(Q185="","agree","conflict"))</f>
        <v/>
      </c>
      <c r="Q185" s="32">
        <f>IF(O185="both",TRIM(IF(I185&lt;&gt;"","price ","")&amp;IF(K185&lt;&gt;"","xp ","")&amp;IF(G185="differs","time","")),"")</f>
        <v/>
      </c>
      <c r="R185" s="32" t="inlineStr">
        <is>
          <t>hayday.info (primary values) + Fandom (times, cross-check)</t>
        </is>
      </c>
      <c r="S185" s="32" t="inlineStr">
        <is>
          <t>https://hayday.fandom.com/wiki/Jeweler</t>
        </is>
      </c>
    </row>
    <row r="186" ht="15" customHeight="1" s="29">
      <c r="A186" s="32" t="inlineStr">
        <is>
          <t>Diamond Ring</t>
        </is>
      </c>
      <c r="B186" s="32" t="inlineStr">
        <is>
          <t>Jeweler</t>
        </is>
      </c>
      <c r="C186" s="33" t="n">
        <v>40</v>
      </c>
      <c r="D186" s="34" t="n">
        <v>240</v>
      </c>
      <c r="E186" s="34" t="n">
        <v>204</v>
      </c>
      <c r="F186" s="34" t="n">
        <v>204</v>
      </c>
      <c r="G186" s="32">
        <f>IF(OR(F186="",AND(D186="",E186="")),"n/a",IF(F186=E186,"mastered",IF(F186=D186,"normal","differs")))</f>
        <v/>
      </c>
      <c r="H186" s="35" t="n">
        <v>824</v>
      </c>
      <c r="I186" s="35" t="n"/>
      <c r="J186" s="33" t="n">
        <v>98</v>
      </c>
      <c r="K186" s="33" t="n"/>
      <c r="L186" s="36" t="n">
        <v>15.88235294</v>
      </c>
      <c r="M186" s="37" t="n">
        <v>28.82352941</v>
      </c>
      <c r="N186" s="32">
        <f>IF(L186="","",IF(L186&lt;0,"negative profit",IF(L186&gt;Notes!$B$4,"unusually high - verify","")))</f>
        <v/>
      </c>
      <c r="O186" s="32" t="inlineStr">
        <is>
          <t>both</t>
        </is>
      </c>
      <c r="P186" s="32">
        <f>IF(O186&lt;&gt;"both",O186&amp;" only",IF(Q186="","agree","conflict"))</f>
        <v/>
      </c>
      <c r="Q186" s="32">
        <f>IF(O186="both",TRIM(IF(I186&lt;&gt;"","price ","")&amp;IF(K186&lt;&gt;"","xp ","")&amp;IF(G186="differs","time","")),"")</f>
        <v/>
      </c>
      <c r="R186" s="32" t="inlineStr">
        <is>
          <t>hayday.info (primary values) + Fandom (times, cross-check)</t>
        </is>
      </c>
      <c r="S186" s="32" t="inlineStr">
        <is>
          <t>https://hayday.fandom.com/wiki/Jeweler</t>
        </is>
      </c>
    </row>
    <row r="187" ht="15" customHeight="1" s="29">
      <c r="A187" s="32" t="inlineStr">
        <is>
          <t>Iron Bracelet</t>
        </is>
      </c>
      <c r="B187" s="32" t="inlineStr">
        <is>
          <t>Jeweler</t>
        </is>
      </c>
      <c r="C187" s="33" t="n">
        <v>41</v>
      </c>
      <c r="D187" s="34" t="n">
        <v>90</v>
      </c>
      <c r="E187" s="34" t="n">
        <v>76</v>
      </c>
      <c r="F187" s="34" t="n">
        <v>76</v>
      </c>
      <c r="G187" s="32">
        <f>IF(OR(F187="",AND(D187="",E187="")),"n/a",IF(F187=E187,"mastered",IF(F187=D187,"normal","differs")))</f>
        <v/>
      </c>
      <c r="H187" s="35" t="n">
        <v>658</v>
      </c>
      <c r="I187" s="35" t="n"/>
      <c r="J187" s="33" t="n">
        <v>79</v>
      </c>
      <c r="K187" s="33" t="n">
        <v>78</v>
      </c>
      <c r="L187" s="36" t="n">
        <v>29.01960784</v>
      </c>
      <c r="M187" s="37" t="n">
        <v>61.96078431</v>
      </c>
      <c r="N187" s="32">
        <f>IF(L187="","",IF(L187&lt;0,"negative profit",IF(L187&gt;Notes!$B$4,"unusually high - verify","")))</f>
        <v/>
      </c>
      <c r="O187" s="32" t="inlineStr">
        <is>
          <t>both</t>
        </is>
      </c>
      <c r="P187" s="32">
        <f>IF(O187&lt;&gt;"both",O187&amp;" only",IF(Q187="","agree","conflict"))</f>
        <v/>
      </c>
      <c r="Q187" s="32">
        <f>IF(O187="both",TRIM(IF(I187&lt;&gt;"","price ","")&amp;IF(K187&lt;&gt;"","xp ","")&amp;IF(G187="differs","time","")),"")</f>
        <v/>
      </c>
      <c r="R187" s="32" t="inlineStr">
        <is>
          <t>hayday.info (primary values) + Fandom (times, cross-check)</t>
        </is>
      </c>
      <c r="S187" s="32" t="inlineStr">
        <is>
          <t>https://hayday.fandom.com/wiki/Jeweler</t>
        </is>
      </c>
    </row>
    <row r="188" ht="15" customHeight="1" s="29">
      <c r="A188" s="32" t="inlineStr">
        <is>
          <t>Flower Pendant</t>
        </is>
      </c>
      <c r="B188" s="32" t="inlineStr">
        <is>
          <t>Jeweler</t>
        </is>
      </c>
      <c r="C188" s="33" t="n">
        <v>98</v>
      </c>
      <c r="D188" s="34" t="n">
        <v>60</v>
      </c>
      <c r="E188" s="34" t="n">
        <v>51</v>
      </c>
      <c r="F188" s="34" t="n">
        <v>51</v>
      </c>
      <c r="G188" s="32">
        <f>IF(OR(F188="",AND(D188="",E188="")),"n/a",IF(F188=E188,"mastered",IF(F188=D188,"normal","differs")))</f>
        <v/>
      </c>
      <c r="H188" s="35" t="n">
        <v>698</v>
      </c>
      <c r="I188" s="35" t="n"/>
      <c r="J188" s="33" t="n">
        <v>83</v>
      </c>
      <c r="K188" s="33" t="n"/>
      <c r="L188" s="36" t="n">
        <v>29.41176471</v>
      </c>
      <c r="M188" s="37" t="n">
        <v>97.64705882</v>
      </c>
      <c r="N188" s="32">
        <f>IF(L188="","",IF(L188&lt;0,"negative profit",IF(L188&gt;Notes!$B$4,"unusually high - verify","")))</f>
        <v/>
      </c>
      <c r="O188" s="32" t="inlineStr">
        <is>
          <t>both</t>
        </is>
      </c>
      <c r="P188" s="32">
        <f>IF(O188&lt;&gt;"both",O188&amp;" only",IF(Q188="","agree","conflict"))</f>
        <v/>
      </c>
      <c r="Q188" s="32">
        <f>IF(O188="both",TRIM(IF(I188&lt;&gt;"","price ","")&amp;IF(K188&lt;&gt;"","xp ","")&amp;IF(G188="differs","time","")),"")</f>
        <v/>
      </c>
      <c r="R188" s="32" t="inlineStr">
        <is>
          <t>hayday.info (primary values) + Fandom (times, cross-check)</t>
        </is>
      </c>
      <c r="S188" s="32" t="inlineStr">
        <is>
          <t>https://hayday.fandom.com/wiki/Jeweler</t>
        </is>
      </c>
    </row>
    <row r="189" ht="15" customHeight="1" s="29">
      <c r="A189" s="32" t="inlineStr">
        <is>
          <t>Carrot Juice</t>
        </is>
      </c>
      <c r="B189" s="32" t="inlineStr">
        <is>
          <t>Juice Press</t>
        </is>
      </c>
      <c r="C189" s="33" t="n">
        <v>26</v>
      </c>
      <c r="D189" s="34" t="n">
        <v>30</v>
      </c>
      <c r="E189" s="34" t="n">
        <v>25</v>
      </c>
      <c r="F189" s="34" t="n">
        <v>25</v>
      </c>
      <c r="G189" s="32">
        <f>IF(OR(F189="",AND(D189="",E189="")),"n/a",IF(F189=E189,"mastered",IF(F189=D189,"normal","differs")))</f>
        <v/>
      </c>
      <c r="H189" s="35" t="n">
        <v>46</v>
      </c>
      <c r="I189" s="35" t="n"/>
      <c r="J189" s="33" t="n">
        <v>6</v>
      </c>
      <c r="K189" s="33" t="n"/>
      <c r="L189" s="36" t="n">
        <v>58.82352941</v>
      </c>
      <c r="M189" s="37" t="n">
        <v>14.11764706</v>
      </c>
      <c r="N189" s="32">
        <f>IF(L189="","",IF(L189&lt;0,"negative profit",IF(L189&gt;Notes!$B$4,"unusually high - verify","")))</f>
        <v/>
      </c>
      <c r="O189" s="32" t="inlineStr">
        <is>
          <t>both</t>
        </is>
      </c>
      <c r="P189" s="32">
        <f>IF(O189&lt;&gt;"both",O189&amp;" only",IF(Q189="","agree","conflict"))</f>
        <v/>
      </c>
      <c r="Q189" s="32">
        <f>IF(O189="both",TRIM(IF(I189&lt;&gt;"","price ","")&amp;IF(K189&lt;&gt;"","xp ","")&amp;IF(G189="differs","time","")),"")</f>
        <v/>
      </c>
      <c r="R189" s="32" t="inlineStr">
        <is>
          <t>hayday.info (primary values) + Fandom (times, cross-check)</t>
        </is>
      </c>
      <c r="S189" s="32" t="inlineStr">
        <is>
          <t>https://hayday.fandom.com/wiki/Juice_Press</t>
        </is>
      </c>
    </row>
    <row r="190" ht="15" customHeight="1" s="29">
      <c r="A190" s="32" t="inlineStr">
        <is>
          <t>Apple Juice</t>
        </is>
      </c>
      <c r="B190" s="32" t="inlineStr">
        <is>
          <t>Juice Press</t>
        </is>
      </c>
      <c r="C190" s="33" t="n">
        <v>28</v>
      </c>
      <c r="D190" s="34" t="n">
        <v>120</v>
      </c>
      <c r="E190" s="34" t="n">
        <v>102</v>
      </c>
      <c r="F190" s="34" t="n">
        <v>102</v>
      </c>
      <c r="G190" s="32">
        <f>IF(OR(F190="",AND(D190="",E190="")),"n/a",IF(F190=E190,"mastered",IF(F190=D190,"normal","differs")))</f>
        <v/>
      </c>
      <c r="H190" s="35" t="n">
        <v>129</v>
      </c>
      <c r="I190" s="35" t="n"/>
      <c r="J190" s="33" t="n">
        <v>15</v>
      </c>
      <c r="K190" s="33" t="n"/>
      <c r="L190" s="36" t="n">
        <v>30</v>
      </c>
      <c r="M190" s="37" t="n">
        <v>8.823529411999999</v>
      </c>
      <c r="N190" s="32">
        <f>IF(L190="","",IF(L190&lt;0,"negative profit",IF(L190&gt;Notes!$B$4,"unusually high - verify","")))</f>
        <v/>
      </c>
      <c r="O190" s="32" t="inlineStr">
        <is>
          <t>both</t>
        </is>
      </c>
      <c r="P190" s="32">
        <f>IF(O190&lt;&gt;"both",O190&amp;" only",IF(Q190="","agree","conflict"))</f>
        <v/>
      </c>
      <c r="Q190" s="32">
        <f>IF(O190="both",TRIM(IF(I190&lt;&gt;"","price ","")&amp;IF(K190&lt;&gt;"","xp ","")&amp;IF(G190="differs","time","")),"")</f>
        <v/>
      </c>
      <c r="R190" s="32" t="inlineStr">
        <is>
          <t>hayday.info (primary values) + Fandom (times, cross-check)</t>
        </is>
      </c>
      <c r="S190" s="32" t="inlineStr">
        <is>
          <t>https://hayday.fandom.com/wiki/Juice_Press</t>
        </is>
      </c>
    </row>
    <row r="191" ht="15" customHeight="1" s="29">
      <c r="A191" s="32" t="inlineStr">
        <is>
          <t>Cherry Juice</t>
        </is>
      </c>
      <c r="B191" s="32" t="inlineStr">
        <is>
          <t>Juice Press</t>
        </is>
      </c>
      <c r="C191" s="33" t="n">
        <v>30</v>
      </c>
      <c r="D191" s="34" t="n">
        <v>150</v>
      </c>
      <c r="E191" s="34" t="n">
        <v>127</v>
      </c>
      <c r="F191" s="34" t="n">
        <v>127</v>
      </c>
      <c r="G191" s="32">
        <f>IF(OR(F191="",AND(D191="",E191="")),"n/a",IF(F191=E191,"mastered",IF(F191=D191,"normal","differs")))</f>
        <v/>
      </c>
      <c r="H191" s="35" t="n">
        <v>216</v>
      </c>
      <c r="I191" s="35" t="n"/>
      <c r="J191" s="33" t="n">
        <v>26</v>
      </c>
      <c r="K191" s="33" t="n"/>
      <c r="L191" s="36" t="n">
        <v>37.64705882</v>
      </c>
      <c r="M191" s="37" t="n">
        <v>12.23529412</v>
      </c>
      <c r="N191" s="32">
        <f>IF(L191="","",IF(L191&lt;0,"negative profit",IF(L191&gt;Notes!$B$4,"unusually high - verify","")))</f>
        <v/>
      </c>
      <c r="O191" s="32" t="inlineStr">
        <is>
          <t>both</t>
        </is>
      </c>
      <c r="P191" s="32">
        <f>IF(O191&lt;&gt;"both",O191&amp;" only",IF(Q191="","agree","conflict"))</f>
        <v/>
      </c>
      <c r="Q191" s="32">
        <f>IF(O191="both",TRIM(IF(I191&lt;&gt;"","price ","")&amp;IF(K191&lt;&gt;"","xp ","")&amp;IF(G191="differs","time","")),"")</f>
        <v/>
      </c>
      <c r="R191" s="32" t="inlineStr">
        <is>
          <t>hayday.info (primary values) + Fandom (times, cross-check)</t>
        </is>
      </c>
      <c r="S191" s="32" t="inlineStr">
        <is>
          <t>https://hayday.fandom.com/wiki/Juice_Press</t>
        </is>
      </c>
    </row>
    <row r="192" ht="15" customHeight="1" s="29">
      <c r="A192" s="32" t="inlineStr">
        <is>
          <t>Berry Juice</t>
        </is>
      </c>
      <c r="B192" s="32" t="inlineStr">
        <is>
          <t>Juice Press</t>
        </is>
      </c>
      <c r="C192" s="33" t="n">
        <v>31</v>
      </c>
      <c r="D192" s="34" t="n">
        <v>180</v>
      </c>
      <c r="E192" s="34" t="n">
        <v>153</v>
      </c>
      <c r="F192" s="34" t="n">
        <v>153</v>
      </c>
      <c r="G192" s="32">
        <f>IF(OR(F192="",AND(D192="",E192="")),"n/a",IF(F192=E192,"mastered",IF(F192=D192,"normal","differs")))</f>
        <v/>
      </c>
      <c r="H192" s="35" t="n">
        <v>205</v>
      </c>
      <c r="I192" s="35" t="n"/>
      <c r="J192" s="33" t="n">
        <v>24</v>
      </c>
      <c r="K192" s="33" t="n"/>
      <c r="L192" s="36" t="n">
        <v>30.19607843</v>
      </c>
      <c r="M192" s="37" t="n">
        <v>9.411764706</v>
      </c>
      <c r="N192" s="32">
        <f>IF(L192="","",IF(L192&lt;0,"negative profit",IF(L192&gt;Notes!$B$4,"unusually high - verify","")))</f>
        <v/>
      </c>
      <c r="O192" s="32" t="inlineStr">
        <is>
          <t>both</t>
        </is>
      </c>
      <c r="P192" s="32">
        <f>IF(O192&lt;&gt;"both",O192&amp;" only",IF(Q192="","agree","conflict"))</f>
        <v/>
      </c>
      <c r="Q192" s="32">
        <f>IF(O192="both",TRIM(IF(I192&lt;&gt;"","price ","")&amp;IF(K192&lt;&gt;"","xp ","")&amp;IF(G192="differs","time","")),"")</f>
        <v/>
      </c>
      <c r="R192" s="32" t="inlineStr">
        <is>
          <t>hayday.info (primary values) + Fandom (times, cross-check)</t>
        </is>
      </c>
      <c r="S192" s="32" t="inlineStr">
        <is>
          <t>https://hayday.fandom.com/wiki/Juice_Press</t>
        </is>
      </c>
    </row>
    <row r="193" ht="15" customHeight="1" s="29">
      <c r="A193" s="32" t="inlineStr">
        <is>
          <t>Tomato Juice</t>
        </is>
      </c>
      <c r="B193" s="32" t="inlineStr">
        <is>
          <t>Juice Press</t>
        </is>
      </c>
      <c r="C193" s="33" t="n">
        <v>31</v>
      </c>
      <c r="D193" s="34" t="n">
        <v>90</v>
      </c>
      <c r="E193" s="34" t="n">
        <v>76</v>
      </c>
      <c r="F193" s="34" t="n">
        <v>76</v>
      </c>
      <c r="G193" s="32">
        <f>IF(OR(F193="",AND(D193="",E193="")),"n/a",IF(F193=E193,"mastered",IF(F193=D193,"normal","differs")))</f>
        <v/>
      </c>
      <c r="H193" s="35" t="n">
        <v>162</v>
      </c>
      <c r="I193" s="35" t="n"/>
      <c r="J193" s="33" t="n">
        <v>19</v>
      </c>
      <c r="K193" s="33" t="n"/>
      <c r="L193" s="36" t="n">
        <v>25.88235294</v>
      </c>
      <c r="M193" s="37" t="n">
        <v>14.90196078</v>
      </c>
      <c r="N193" s="32">
        <f>IF(L193="","",IF(L193&lt;0,"negative profit",IF(L193&gt;Notes!$B$4,"unusually high - verify","")))</f>
        <v/>
      </c>
      <c r="O193" s="32" t="inlineStr">
        <is>
          <t>both</t>
        </is>
      </c>
      <c r="P193" s="32">
        <f>IF(O193&lt;&gt;"both",O193&amp;" only",IF(Q193="","agree","conflict"))</f>
        <v/>
      </c>
      <c r="Q193" s="32">
        <f>IF(O193="both",TRIM(IF(I193&lt;&gt;"","price ","")&amp;IF(K193&lt;&gt;"","xp ","")&amp;IF(G193="differs","time","")),"")</f>
        <v/>
      </c>
      <c r="R193" s="32" t="inlineStr">
        <is>
          <t>hayday.info (primary values) + Fandom (times, cross-check)</t>
        </is>
      </c>
      <c r="S193" s="32" t="inlineStr">
        <is>
          <t>https://hayday.fandom.com/wiki/Juice_Press</t>
        </is>
      </c>
    </row>
    <row r="194" ht="15" customHeight="1" s="29">
      <c r="A194" s="32" t="inlineStr">
        <is>
          <t>Pineapple Juice</t>
        </is>
      </c>
      <c r="B194" s="32" t="inlineStr">
        <is>
          <t>Juice Press</t>
        </is>
      </c>
      <c r="C194" s="33" t="n">
        <v>52</v>
      </c>
      <c r="D194" s="34" t="n">
        <v>45</v>
      </c>
      <c r="E194" s="34" t="n">
        <v>38</v>
      </c>
      <c r="F194" s="34" t="n">
        <v>38</v>
      </c>
      <c r="G194" s="32">
        <f>IF(OR(F194="",AND(D194="",E194="")),"n/a",IF(F194=E194,"mastered",IF(F194=D194,"normal","differs")))</f>
        <v/>
      </c>
      <c r="H194" s="35" t="n">
        <v>68</v>
      </c>
      <c r="I194" s="35" t="n"/>
      <c r="J194" s="33" t="n">
        <v>8</v>
      </c>
      <c r="K194" s="33" t="n"/>
      <c r="L194" s="36" t="n">
        <v>40.78431373</v>
      </c>
      <c r="M194" s="37" t="n">
        <v>12.54901961</v>
      </c>
      <c r="N194" s="32">
        <f>IF(L194="","",IF(L194&lt;0,"negative profit",IF(L194&gt;Notes!$B$4,"unusually high - verify","")))</f>
        <v/>
      </c>
      <c r="O194" s="32" t="inlineStr">
        <is>
          <t>both</t>
        </is>
      </c>
      <c r="P194" s="32">
        <f>IF(O194&lt;&gt;"both",O194&amp;" only",IF(Q194="","agree","conflict"))</f>
        <v/>
      </c>
      <c r="Q194" s="32">
        <f>IF(O194="both",TRIM(IF(I194&lt;&gt;"","price ","")&amp;IF(K194&lt;&gt;"","xp ","")&amp;IF(G194="differs","time","")),"")</f>
        <v/>
      </c>
      <c r="R194" s="32" t="inlineStr">
        <is>
          <t>hayday.info (primary values) + Fandom (times, cross-check)</t>
        </is>
      </c>
      <c r="S194" s="32" t="inlineStr">
        <is>
          <t>https://hayday.fandom.com/wiki/Juice_Press</t>
        </is>
      </c>
    </row>
    <row r="195" ht="15" customHeight="1" s="29">
      <c r="A195" s="32" t="inlineStr">
        <is>
          <t>Orange Juice</t>
        </is>
      </c>
      <c r="B195" s="32" t="inlineStr">
        <is>
          <t>Juice Press</t>
        </is>
      </c>
      <c r="C195" s="33" t="n">
        <v>71</v>
      </c>
      <c r="D195" s="34" t="n">
        <v>120</v>
      </c>
      <c r="E195" s="34" t="n">
        <v>102</v>
      </c>
      <c r="F195" s="34" t="n">
        <v>102</v>
      </c>
      <c r="G195" s="32">
        <f>IF(OR(F195="",AND(D195="",E195="")),"n/a",IF(F195=E195,"mastered",IF(F195=D195,"normal","differs")))</f>
        <v/>
      </c>
      <c r="H195" s="35" t="n">
        <v>234</v>
      </c>
      <c r="I195" s="35" t="n"/>
      <c r="J195" s="33" t="n">
        <v>28</v>
      </c>
      <c r="K195" s="33" t="n"/>
      <c r="L195" s="36" t="n">
        <v>23.52941176</v>
      </c>
      <c r="M195" s="37" t="n">
        <v>16.47058824</v>
      </c>
      <c r="N195" s="32">
        <f>IF(L195="","",IF(L195&lt;0,"negative profit",IF(L195&gt;Notes!$B$4,"unusually high - verify","")))</f>
        <v/>
      </c>
      <c r="O195" s="32" t="inlineStr">
        <is>
          <t>both</t>
        </is>
      </c>
      <c r="P195" s="32">
        <f>IF(O195&lt;&gt;"both",O195&amp;" only",IF(Q195="","agree","conflict"))</f>
        <v/>
      </c>
      <c r="Q195" s="32">
        <f>IF(O195="both",TRIM(IF(I195&lt;&gt;"","price ","")&amp;IF(K195&lt;&gt;"","xp ","")&amp;IF(G195="differs","time","")),"")</f>
        <v/>
      </c>
      <c r="R195" s="32" t="inlineStr">
        <is>
          <t>hayday.info (primary values) + Fandom (times, cross-check)</t>
        </is>
      </c>
      <c r="S195" s="32" t="inlineStr">
        <is>
          <t>https://hayday.fandom.com/wiki/Juice_Press</t>
        </is>
      </c>
    </row>
    <row r="196" ht="15" customHeight="1" s="29">
      <c r="A196" s="32" t="inlineStr">
        <is>
          <t>Grape Juice</t>
        </is>
      </c>
      <c r="B196" s="32" t="inlineStr">
        <is>
          <t>Juice Press</t>
        </is>
      </c>
      <c r="C196" s="33" t="n">
        <v>84</v>
      </c>
      <c r="D196" s="34" t="n">
        <v>150</v>
      </c>
      <c r="E196" s="34" t="n">
        <v>127</v>
      </c>
      <c r="F196" s="34" t="n">
        <v>127</v>
      </c>
      <c r="G196" s="32">
        <f>IF(OR(F196="",AND(D196="",E196="")),"n/a",IF(F196=E196,"mastered",IF(F196=D196,"normal","differs")))</f>
        <v/>
      </c>
      <c r="H196" s="35" t="n">
        <v>104</v>
      </c>
      <c r="I196" s="35" t="n"/>
      <c r="J196" s="33" t="n">
        <v>13</v>
      </c>
      <c r="K196" s="33" t="n"/>
      <c r="L196" s="36" t="n">
        <v>18.82352941</v>
      </c>
      <c r="M196" s="37" t="n">
        <v>6.117647059</v>
      </c>
      <c r="N196" s="32">
        <f>IF(L196="","",IF(L196&lt;0,"negative profit",IF(L196&gt;Notes!$B$4,"unusually high - verify","")))</f>
        <v/>
      </c>
      <c r="O196" s="32" t="inlineStr">
        <is>
          <t>both</t>
        </is>
      </c>
      <c r="P196" s="32">
        <f>IF(O196&lt;&gt;"both",O196&amp;" only",IF(Q196="","agree","conflict"))</f>
        <v/>
      </c>
      <c r="Q196" s="32">
        <f>IF(O196="both",TRIM(IF(I196&lt;&gt;"","price ","")&amp;IF(K196&lt;&gt;"","xp ","")&amp;IF(G196="differs","time","")),"")</f>
        <v/>
      </c>
      <c r="R196" s="32" t="inlineStr">
        <is>
          <t>hayday.info (primary values) + Fandom (times, cross-check)</t>
        </is>
      </c>
      <c r="S196" s="32" t="inlineStr">
        <is>
          <t>https://hayday.fandom.com/wiki/Juice_Press</t>
        </is>
      </c>
    </row>
    <row r="197" ht="15" customHeight="1" s="29">
      <c r="A197" s="32" t="inlineStr">
        <is>
          <t>Passion Fruit Juice</t>
        </is>
      </c>
      <c r="B197" s="32" t="inlineStr">
        <is>
          <t>Juice Press</t>
        </is>
      </c>
      <c r="C197" s="33" t="n">
        <v>88</v>
      </c>
      <c r="D197" s="34" t="n"/>
      <c r="E197" s="34" t="n"/>
      <c r="F197" s="34" t="n">
        <v>38</v>
      </c>
      <c r="G197" s="32">
        <f>IF(OR(F197="",AND(D197="",E197="")),"n/a",IF(F197=E197,"mastered",IF(F197=D197,"normal","differs")))</f>
        <v/>
      </c>
      <c r="H197" s="35" t="n">
        <v>64</v>
      </c>
      <c r="I197" s="35" t="n"/>
      <c r="J197" s="33" t="n">
        <v>8</v>
      </c>
      <c r="K197" s="33" t="n"/>
      <c r="L197" s="36" t="n">
        <v>43.92156863</v>
      </c>
      <c r="M197" s="37" t="n">
        <v>12.54901961</v>
      </c>
      <c r="N197" s="32">
        <f>IF(L197="","",IF(L197&lt;0,"negative profit",IF(L197&gt;Notes!$B$4,"unusually high - verify","")))</f>
        <v/>
      </c>
      <c r="O197" s="32" t="inlineStr">
        <is>
          <t>hayday.info</t>
        </is>
      </c>
      <c r="P197" s="32">
        <f>IF(O197&lt;&gt;"both",O197&amp;" only",IF(Q197="","agree","conflict"))</f>
        <v/>
      </c>
      <c r="Q197" s="32">
        <f>IF(O197="both",TRIM(IF(I197&lt;&gt;"","price ","")&amp;IF(K197&lt;&gt;"","xp ","")&amp;IF(G197="differs","time","")),"")</f>
        <v/>
      </c>
      <c r="R197" s="32" t="inlineStr">
        <is>
          <t>hayday.info /api/production-data only</t>
        </is>
      </c>
      <c r="S197" s="32" t="n"/>
    </row>
    <row r="198" ht="15" customHeight="1" s="29">
      <c r="A198" s="32" t="inlineStr">
        <is>
          <t>Watermelon Juice</t>
        </is>
      </c>
      <c r="B198" s="32" t="inlineStr">
        <is>
          <t>Juice Press</t>
        </is>
      </c>
      <c r="C198" s="33" t="n">
        <v>92</v>
      </c>
      <c r="D198" s="34" t="n">
        <v>60</v>
      </c>
      <c r="E198" s="34" t="n">
        <v>51</v>
      </c>
      <c r="F198" s="34" t="n">
        <v>51</v>
      </c>
      <c r="G198" s="32">
        <f>IF(OR(F198="",AND(D198="",E198="")),"n/a",IF(F198=E198,"mastered",IF(F198=D198,"normal","differs")))</f>
        <v/>
      </c>
      <c r="H198" s="35" t="n">
        <v>108</v>
      </c>
      <c r="I198" s="35" t="n"/>
      <c r="J198" s="33" t="n">
        <v>13</v>
      </c>
      <c r="K198" s="33" t="n"/>
      <c r="L198" s="36" t="n">
        <v>35.29411765</v>
      </c>
      <c r="M198" s="37" t="n">
        <v>15.29411765</v>
      </c>
      <c r="N198" s="32">
        <f>IF(L198="","",IF(L198&lt;0,"negative profit",IF(L198&gt;Notes!$B$4,"unusually high - verify","")))</f>
        <v/>
      </c>
      <c r="O198" s="32" t="inlineStr">
        <is>
          <t>both</t>
        </is>
      </c>
      <c r="P198" s="32">
        <f>IF(O198&lt;&gt;"both",O198&amp;" only",IF(Q198="","agree","conflict"))</f>
        <v/>
      </c>
      <c r="Q198" s="32">
        <f>IF(O198="both",TRIM(IF(I198&lt;&gt;"","price ","")&amp;IF(K198&lt;&gt;"","xp ","")&amp;IF(G198="differs","time","")),"")</f>
        <v/>
      </c>
      <c r="R198" s="32" t="inlineStr">
        <is>
          <t>hayday.info (primary values) + Fandom (times, cross-check)</t>
        </is>
      </c>
      <c r="S198" s="32" t="inlineStr">
        <is>
          <t>https://hayday.fandom.com/wiki/Juice_Press</t>
        </is>
      </c>
    </row>
    <row r="199" ht="15" customHeight="1" s="29">
      <c r="A199" s="32" t="inlineStr">
        <is>
          <t>Mango Juice</t>
        </is>
      </c>
      <c r="B199" s="32" t="inlineStr">
        <is>
          <t>Juice Press</t>
        </is>
      </c>
      <c r="C199" s="33" t="n">
        <v>97</v>
      </c>
      <c r="D199" s="34" t="n"/>
      <c r="E199" s="34" t="n"/>
      <c r="F199" s="34" t="n">
        <v>42</v>
      </c>
      <c r="G199" s="32">
        <f>IF(OR(F199="",AND(D199="",E199="")),"n/a",IF(F199=E199,"mastered",IF(F199=D199,"normal","differs")))</f>
        <v/>
      </c>
      <c r="H199" s="35" t="n">
        <v>230</v>
      </c>
      <c r="I199" s="35" t="n"/>
      <c r="J199" s="33" t="n">
        <v>27</v>
      </c>
      <c r="K199" s="33" t="n"/>
      <c r="L199" s="36" t="n">
        <v>42.35294118</v>
      </c>
      <c r="M199" s="37" t="n">
        <v>38.11764706</v>
      </c>
      <c r="N199" s="32">
        <f>IF(L199="","",IF(L199&lt;0,"negative profit",IF(L199&gt;Notes!$B$4,"unusually high - verify","")))</f>
        <v/>
      </c>
      <c r="O199" s="32" t="inlineStr">
        <is>
          <t>hayday.info</t>
        </is>
      </c>
      <c r="P199" s="32">
        <f>IF(O199&lt;&gt;"both",O199&amp;" only",IF(Q199="","agree","conflict"))</f>
        <v/>
      </c>
      <c r="Q199" s="32">
        <f>IF(O199="both",TRIM(IF(I199&lt;&gt;"","price ","")&amp;IF(K199&lt;&gt;"","xp ","")&amp;IF(G199="differs","time","")),"")</f>
        <v/>
      </c>
      <c r="R199" s="32" t="inlineStr">
        <is>
          <t>hayday.info /api/production-data only</t>
        </is>
      </c>
      <c r="S199" s="32" t="n"/>
    </row>
    <row r="200" ht="15" customHeight="1" s="29">
      <c r="A200" s="32" t="inlineStr">
        <is>
          <t>Guava Juice</t>
        </is>
      </c>
      <c r="B200" s="32" t="inlineStr">
        <is>
          <t>Juice Press</t>
        </is>
      </c>
      <c r="C200" s="33" t="n">
        <v>104</v>
      </c>
      <c r="D200" s="34" t="n"/>
      <c r="E200" s="34" t="n"/>
      <c r="F200" s="34" t="n">
        <v>55</v>
      </c>
      <c r="G200" s="32">
        <f>IF(OR(F200="",AND(D200="",E200="")),"n/a",IF(F200=E200,"mastered",IF(F200=D200,"normal","differs")))</f>
        <v/>
      </c>
      <c r="H200" s="35" t="n">
        <v>252</v>
      </c>
      <c r="I200" s="35" t="n"/>
      <c r="J200" s="33" t="n">
        <v>30</v>
      </c>
      <c r="K200" s="33" t="n"/>
      <c r="L200" s="36" t="n">
        <v>31.41818182</v>
      </c>
      <c r="M200" s="37" t="n">
        <v>32.72727273</v>
      </c>
      <c r="N200" s="32">
        <f>IF(L200="","",IF(L200&lt;0,"negative profit",IF(L200&gt;Notes!$B$4,"unusually high - verify","")))</f>
        <v/>
      </c>
      <c r="O200" s="32" t="inlineStr">
        <is>
          <t>hayday.info</t>
        </is>
      </c>
      <c r="P200" s="32">
        <f>IF(O200&lt;&gt;"both",O200&amp;" only",IF(Q200="","agree","conflict"))</f>
        <v/>
      </c>
      <c r="Q200" s="32">
        <f>IF(O200="both",TRIM(IF(I200&lt;&gt;"","price ","")&amp;IF(K200&lt;&gt;"","xp ","")&amp;IF(G200="differs","time","")),"")</f>
        <v/>
      </c>
      <c r="R200" s="32" t="inlineStr">
        <is>
          <t>hayday.info /api/production-data only</t>
        </is>
      </c>
      <c r="S200" s="32" t="n"/>
    </row>
    <row r="201" ht="15" customHeight="1" s="29">
      <c r="A201" s="32" t="inlineStr">
        <is>
          <t>Lobster Tail</t>
        </is>
      </c>
      <c r="B201" s="32" t="inlineStr">
        <is>
          <t>Lobster Pool</t>
        </is>
      </c>
      <c r="C201" s="33" t="n">
        <v>44</v>
      </c>
      <c r="D201" s="34" t="n">
        <v>360</v>
      </c>
      <c r="E201" s="34" t="n"/>
      <c r="F201" s="34" t="n">
        <v>360</v>
      </c>
      <c r="G201" s="32">
        <f>IF(OR(F201="",AND(D201="",E201="")),"n/a",IF(F201=E201,"mastered",IF(F201=D201,"normal","differs")))</f>
        <v/>
      </c>
      <c r="H201" s="35" t="n">
        <v>201</v>
      </c>
      <c r="I201" s="35" t="n"/>
      <c r="J201" s="33" t="n">
        <v>24</v>
      </c>
      <c r="K201" s="33" t="n"/>
      <c r="L201" s="36" t="n">
        <v>33.5</v>
      </c>
      <c r="M201" s="37" t="n">
        <v>4</v>
      </c>
      <c r="N201" s="32">
        <f>IF(L201="","",IF(L201&lt;0,"negative profit",IF(L201&gt;Notes!$B$4,"unusually high - verify","")))</f>
        <v/>
      </c>
      <c r="O201" s="32" t="inlineStr">
        <is>
          <t>both</t>
        </is>
      </c>
      <c r="P201" s="32">
        <f>IF(O201&lt;&gt;"both",O201&amp;" only",IF(Q201="","agree","conflict"))</f>
        <v/>
      </c>
      <c r="Q201" s="32">
        <f>IF(O201="both",TRIM(IF(I201&lt;&gt;"","price ","")&amp;IF(K201&lt;&gt;"","xp ","")&amp;IF(G201="differs","time","")),"")</f>
        <v/>
      </c>
      <c r="R201" s="32" t="inlineStr">
        <is>
          <t>hayday.info (primary values) + Fandom (times, cross-check)</t>
        </is>
      </c>
      <c r="S201" s="32" t="inlineStr">
        <is>
          <t>https://hayday.fandom.com/wiki/Lobster_Pool</t>
        </is>
      </c>
    </row>
    <row r="202" ht="15" customHeight="1" s="29">
      <c r="A202" s="32" t="inlineStr">
        <is>
          <t>Sweater</t>
        </is>
      </c>
      <c r="B202" s="32" t="inlineStr">
        <is>
          <t>Loom</t>
        </is>
      </c>
      <c r="C202" s="33" t="n">
        <v>17</v>
      </c>
      <c r="D202" s="34" t="n">
        <v>120</v>
      </c>
      <c r="E202" s="34" t="n">
        <v>102</v>
      </c>
      <c r="F202" s="34" t="n">
        <v>102</v>
      </c>
      <c r="G202" s="32">
        <f>IF(OR(F202="",AND(D202="",E202="")),"n/a",IF(F202=E202,"mastered",IF(F202=D202,"normal","differs")))</f>
        <v/>
      </c>
      <c r="H202" s="35" t="n">
        <v>151</v>
      </c>
      <c r="I202" s="35" t="n"/>
      <c r="J202" s="33" t="n">
        <v>18</v>
      </c>
      <c r="K202" s="33" t="n"/>
      <c r="L202" s="36" t="n">
        <v>25.29411765</v>
      </c>
      <c r="M202" s="37" t="n">
        <v>10.58823529</v>
      </c>
      <c r="N202" s="32">
        <f>IF(L202="","",IF(L202&lt;0,"negative profit",IF(L202&gt;Notes!$B$4,"unusually high - verify","")))</f>
        <v/>
      </c>
      <c r="O202" s="32" t="inlineStr">
        <is>
          <t>both</t>
        </is>
      </c>
      <c r="P202" s="32">
        <f>IF(O202&lt;&gt;"both",O202&amp;" only",IF(Q202="","agree","conflict"))</f>
        <v/>
      </c>
      <c r="Q202" s="32">
        <f>IF(O202="both",TRIM(IF(I202&lt;&gt;"","price ","")&amp;IF(K202&lt;&gt;"","xp ","")&amp;IF(G202="differs","time","")),"")</f>
        <v/>
      </c>
      <c r="R202" s="32" t="inlineStr">
        <is>
          <t>hayday.info (primary values) + Fandom (times, cross-check)</t>
        </is>
      </c>
      <c r="S202" s="32" t="inlineStr">
        <is>
          <t>https://hayday.fandom.com/wiki/Loom</t>
        </is>
      </c>
    </row>
    <row r="203" ht="15" customHeight="1" s="29">
      <c r="A203" s="32" t="inlineStr">
        <is>
          <t>Cotton Fabric</t>
        </is>
      </c>
      <c r="B203" s="32" t="inlineStr">
        <is>
          <t>Loom</t>
        </is>
      </c>
      <c r="C203" s="33" t="n">
        <v>18</v>
      </c>
      <c r="D203" s="34" t="n">
        <v>30</v>
      </c>
      <c r="E203" s="34" t="n">
        <v>25</v>
      </c>
      <c r="F203" s="34" t="n">
        <v>25</v>
      </c>
      <c r="G203" s="32">
        <f>IF(OR(F203="",AND(D203="",E203="")),"n/a",IF(F203=E203,"mastered",IF(F203=D203,"normal","differs")))</f>
        <v/>
      </c>
      <c r="H203" s="35" t="n">
        <v>108</v>
      </c>
      <c r="I203" s="35" t="n"/>
      <c r="J203" s="33" t="n">
        <v>13</v>
      </c>
      <c r="K203" s="33" t="n"/>
      <c r="L203" s="36" t="n">
        <v>56.47058824</v>
      </c>
      <c r="M203" s="37" t="n">
        <v>30.58823529</v>
      </c>
      <c r="N203" s="32">
        <f>IF(L203="","",IF(L203&lt;0,"negative profit",IF(L203&gt;Notes!$B$4,"unusually high - verify","")))</f>
        <v/>
      </c>
      <c r="O203" s="32" t="inlineStr">
        <is>
          <t>both</t>
        </is>
      </c>
      <c r="P203" s="32">
        <f>IF(O203&lt;&gt;"both",O203&amp;" only",IF(Q203="","agree","conflict"))</f>
        <v/>
      </c>
      <c r="Q203" s="32">
        <f>IF(O203="both",TRIM(IF(I203&lt;&gt;"","price ","")&amp;IF(K203&lt;&gt;"","xp ","")&amp;IF(G203="differs","time","")),"")</f>
        <v/>
      </c>
      <c r="R203" s="32" t="inlineStr">
        <is>
          <t>hayday.info (primary values) + Fandom (times, cross-check)</t>
        </is>
      </c>
      <c r="S203" s="32" t="inlineStr">
        <is>
          <t>https://hayday.fandom.com/wiki/Loom</t>
        </is>
      </c>
    </row>
    <row r="204" ht="15" customHeight="1" s="29">
      <c r="A204" s="32" t="inlineStr">
        <is>
          <t>Blue Woolly Hat</t>
        </is>
      </c>
      <c r="B204" s="32" t="inlineStr">
        <is>
          <t>Loom</t>
        </is>
      </c>
      <c r="C204" s="33" t="n">
        <v>19</v>
      </c>
      <c r="D204" s="34" t="n">
        <v>60</v>
      </c>
      <c r="E204" s="34" t="n">
        <v>51</v>
      </c>
      <c r="F204" s="34" t="n">
        <v>51</v>
      </c>
      <c r="G204" s="32">
        <f>IF(OR(F204="",AND(D204="",E204="")),"n/a",IF(F204=E204,"mastered",IF(F204=D204,"normal","differs")))</f>
        <v/>
      </c>
      <c r="H204" s="35" t="n">
        <v>111</v>
      </c>
      <c r="I204" s="35" t="n"/>
      <c r="J204" s="33" t="n">
        <v>13</v>
      </c>
      <c r="K204" s="33" t="n"/>
      <c r="L204" s="36" t="n">
        <v>37.64705882</v>
      </c>
      <c r="M204" s="37" t="n">
        <v>15.29411765</v>
      </c>
      <c r="N204" s="32">
        <f>IF(L204="","",IF(L204&lt;0,"negative profit",IF(L204&gt;Notes!$B$4,"unusually high - verify","")))</f>
        <v/>
      </c>
      <c r="O204" s="32" t="inlineStr">
        <is>
          <t>both</t>
        </is>
      </c>
      <c r="P204" s="32">
        <f>IF(O204&lt;&gt;"both",O204&amp;" only",IF(Q204="","agree","conflict"))</f>
        <v/>
      </c>
      <c r="Q204" s="32">
        <f>IF(O204="both",TRIM(IF(I204&lt;&gt;"","price ","")&amp;IF(K204&lt;&gt;"","xp ","")&amp;IF(G204="differs","time","")),"")</f>
        <v/>
      </c>
      <c r="R204" s="32" t="inlineStr">
        <is>
          <t>hayday.info (primary values) + Fandom (times, cross-check)</t>
        </is>
      </c>
      <c r="S204" s="32" t="inlineStr">
        <is>
          <t>https://hayday.fandom.com/wiki/Loom</t>
        </is>
      </c>
    </row>
    <row r="205" ht="15" customHeight="1" s="29">
      <c r="A205" s="32" t="inlineStr">
        <is>
          <t>Blue Sweater</t>
        </is>
      </c>
      <c r="B205" s="32" t="inlineStr">
        <is>
          <t>Loom</t>
        </is>
      </c>
      <c r="C205" s="33" t="n">
        <v>20</v>
      </c>
      <c r="D205" s="34" t="n">
        <v>180</v>
      </c>
      <c r="E205" s="34" t="n">
        <v>153</v>
      </c>
      <c r="F205" s="34" t="n">
        <v>153</v>
      </c>
      <c r="G205" s="32">
        <f>IF(OR(F205="",AND(D205="",E205="")),"n/a",IF(F205=E205,"mastered",IF(F205=D205,"normal","differs")))</f>
        <v/>
      </c>
      <c r="H205" s="35" t="n">
        <v>208</v>
      </c>
      <c r="I205" s="35" t="n"/>
      <c r="J205" s="33" t="n">
        <v>25</v>
      </c>
      <c r="K205" s="33" t="n"/>
      <c r="L205" s="36" t="n">
        <v>19.60784314</v>
      </c>
      <c r="M205" s="37" t="n">
        <v>9.803921569</v>
      </c>
      <c r="N205" s="32">
        <f>IF(L205="","",IF(L205&lt;0,"negative profit",IF(L205&gt;Notes!$B$4,"unusually high - verify","")))</f>
        <v/>
      </c>
      <c r="O205" s="32" t="inlineStr">
        <is>
          <t>both</t>
        </is>
      </c>
      <c r="P205" s="32">
        <f>IF(O205&lt;&gt;"both",O205&amp;" only",IF(Q205="","agree","conflict"))</f>
        <v/>
      </c>
      <c r="Q205" s="32">
        <f>IF(O205="both",TRIM(IF(I205&lt;&gt;"","price ","")&amp;IF(K205&lt;&gt;"","xp ","")&amp;IF(G205="differs","time","")),"")</f>
        <v/>
      </c>
      <c r="R205" s="32" t="inlineStr">
        <is>
          <t>hayday.info (primary values) + Fandom (times, cross-check)</t>
        </is>
      </c>
      <c r="S205" s="32" t="inlineStr">
        <is>
          <t>https://hayday.fandom.com/wiki/Loom</t>
        </is>
      </c>
    </row>
    <row r="206" ht="15" customHeight="1" s="29">
      <c r="A206" s="32" t="inlineStr">
        <is>
          <t>Red Scarf</t>
        </is>
      </c>
      <c r="B206" s="32" t="inlineStr">
        <is>
          <t>Loom</t>
        </is>
      </c>
      <c r="C206" s="33" t="n">
        <v>48</v>
      </c>
      <c r="D206" s="34" t="n">
        <v>150</v>
      </c>
      <c r="E206" s="34" t="n">
        <v>127</v>
      </c>
      <c r="F206" s="34" t="n">
        <v>127</v>
      </c>
      <c r="G206" s="32">
        <f>IF(OR(F206="",AND(D206="",E206="")),"n/a",IF(F206=E206,"mastered",IF(F206=D206,"normal","differs")))</f>
        <v/>
      </c>
      <c r="H206" s="35" t="n">
        <v>288</v>
      </c>
      <c r="I206" s="35" t="n"/>
      <c r="J206" s="33" t="n">
        <v>34</v>
      </c>
      <c r="K206" s="33" t="n"/>
      <c r="L206" s="36" t="n">
        <v>37.64705882</v>
      </c>
      <c r="M206" s="37" t="n">
        <v>16</v>
      </c>
      <c r="N206" s="32">
        <f>IF(L206="","",IF(L206&lt;0,"negative profit",IF(L206&gt;Notes!$B$4,"unusually high - verify","")))</f>
        <v/>
      </c>
      <c r="O206" s="32" t="inlineStr">
        <is>
          <t>both</t>
        </is>
      </c>
      <c r="P206" s="32">
        <f>IF(O206&lt;&gt;"both",O206&amp;" only",IF(Q206="","agree","conflict"))</f>
        <v/>
      </c>
      <c r="Q206" s="32">
        <f>IF(O206="both",TRIM(IF(I206&lt;&gt;"","price ","")&amp;IF(K206&lt;&gt;"","xp ","")&amp;IF(G206="differs","time","")),"")</f>
        <v/>
      </c>
      <c r="R206" s="32" t="inlineStr">
        <is>
          <t>hayday.info (primary values) + Fandom (times, cross-check)</t>
        </is>
      </c>
      <c r="S206" s="32" t="inlineStr">
        <is>
          <t>https://hayday.fandom.com/wiki/Loom</t>
        </is>
      </c>
    </row>
    <row r="207" ht="15" customHeight="1" s="29">
      <c r="A207" s="32" t="inlineStr">
        <is>
          <t>Flower Shawl</t>
        </is>
      </c>
      <c r="B207" s="32" t="inlineStr">
        <is>
          <t>Loom</t>
        </is>
      </c>
      <c r="C207" s="33" t="n">
        <v>71</v>
      </c>
      <c r="D207" s="34" t="n">
        <v>90</v>
      </c>
      <c r="E207" s="34" t="n">
        <v>76</v>
      </c>
      <c r="F207" s="34" t="n">
        <v>76</v>
      </c>
      <c r="G207" s="32">
        <f>IF(OR(F207="",AND(D207="",E207="")),"n/a",IF(F207=E207,"mastered",IF(F207=D207,"normal","differs")))</f>
        <v/>
      </c>
      <c r="H207" s="35" t="n">
        <v>295</v>
      </c>
      <c r="I207" s="35" t="n"/>
      <c r="J207" s="33" t="n">
        <v>35</v>
      </c>
      <c r="K207" s="33" t="n"/>
      <c r="L207" s="36" t="n">
        <v>32.94117647</v>
      </c>
      <c r="M207" s="37" t="n">
        <v>27.45098039</v>
      </c>
      <c r="N207" s="32">
        <f>IF(L207="","",IF(L207&lt;0,"negative profit",IF(L207&gt;Notes!$B$4,"unusually high - verify","")))</f>
        <v/>
      </c>
      <c r="O207" s="32" t="inlineStr">
        <is>
          <t>both</t>
        </is>
      </c>
      <c r="P207" s="32">
        <f>IF(O207&lt;&gt;"both",O207&amp;" only",IF(Q207="","agree","conflict"))</f>
        <v/>
      </c>
      <c r="Q207" s="32">
        <f>IF(O207="both",TRIM(IF(I207&lt;&gt;"","price ","")&amp;IF(K207&lt;&gt;"","xp ","")&amp;IF(G207="differs","time","")),"")</f>
        <v/>
      </c>
      <c r="R207" s="32" t="inlineStr">
        <is>
          <t>hayday.info (primary values) + Fandom (times, cross-check)</t>
        </is>
      </c>
      <c r="S207" s="32" t="inlineStr">
        <is>
          <t>https://hayday.fandom.com/wiki/Loom</t>
        </is>
      </c>
    </row>
    <row r="208" ht="15" customHeight="1" s="29">
      <c r="A208" s="32" t="inlineStr">
        <is>
          <t>Gnocchi</t>
        </is>
      </c>
      <c r="B208" s="32" t="inlineStr">
        <is>
          <t>Pasta Kitchen</t>
        </is>
      </c>
      <c r="C208" s="33" t="n">
        <v>72</v>
      </c>
      <c r="D208" s="34" t="n">
        <v>80</v>
      </c>
      <c r="E208" s="34" t="n">
        <v>68</v>
      </c>
      <c r="F208" s="34" t="n">
        <v>68</v>
      </c>
      <c r="G208" s="32">
        <f>IF(OR(F208="",AND(D208="",E208="")),"n/a",IF(F208=E208,"mastered",IF(F208=D208,"normal","differs")))</f>
        <v/>
      </c>
      <c r="H208" s="35" t="n">
        <v>475</v>
      </c>
      <c r="I208" s="35" t="n"/>
      <c r="J208" s="33" t="n">
        <v>57</v>
      </c>
      <c r="K208" s="33" t="n"/>
      <c r="L208" s="36" t="n">
        <v>28.23529412</v>
      </c>
      <c r="M208" s="37" t="n">
        <v>50.29411765</v>
      </c>
      <c r="N208" s="32">
        <f>IF(L208="","",IF(L208&lt;0,"negative profit",IF(L208&gt;Notes!$B$4,"unusually high - verify","")))</f>
        <v/>
      </c>
      <c r="O208" s="32" t="inlineStr">
        <is>
          <t>both</t>
        </is>
      </c>
      <c r="P208" s="32">
        <f>IF(O208&lt;&gt;"both",O208&amp;" only",IF(Q208="","agree","conflict"))</f>
        <v/>
      </c>
      <c r="Q208" s="32">
        <f>IF(O208="both",TRIM(IF(I208&lt;&gt;"","price ","")&amp;IF(K208&lt;&gt;"","xp ","")&amp;IF(G208="differs","time","")),"")</f>
        <v/>
      </c>
      <c r="R208" s="32" t="inlineStr">
        <is>
          <t>hayday.info (primary values) + Fandom (times, cross-check)</t>
        </is>
      </c>
      <c r="S208" s="32" t="inlineStr">
        <is>
          <t>https://hayday.fandom.com/wiki/Pasta_Kitchen</t>
        </is>
      </c>
    </row>
    <row r="209" ht="15" customHeight="1" s="29">
      <c r="A209" s="32" t="inlineStr">
        <is>
          <t>Veggie Lasagna</t>
        </is>
      </c>
      <c r="B209" s="32" t="inlineStr">
        <is>
          <t>Pasta Kitchen</t>
        </is>
      </c>
      <c r="C209" s="33" t="n">
        <v>74</v>
      </c>
      <c r="D209" s="34" t="n">
        <v>100</v>
      </c>
      <c r="E209" s="34" t="n">
        <v>85</v>
      </c>
      <c r="F209" s="34" t="n">
        <v>85</v>
      </c>
      <c r="G209" s="32">
        <f>IF(OR(F209="",AND(D209="",E209="")),"n/a",IF(F209=E209,"mastered",IF(F209=D209,"normal","differs")))</f>
        <v/>
      </c>
      <c r="H209" s="35" t="n">
        <v>532</v>
      </c>
      <c r="I209" s="35" t="n"/>
      <c r="J209" s="33" t="n">
        <v>63</v>
      </c>
      <c r="K209" s="33" t="n"/>
      <c r="L209" s="36" t="n">
        <v>31.05882353</v>
      </c>
      <c r="M209" s="37" t="n">
        <v>44.47058824</v>
      </c>
      <c r="N209" s="32">
        <f>IF(L209="","",IF(L209&lt;0,"negative profit",IF(L209&gt;Notes!$B$4,"unusually high - verify","")))</f>
        <v/>
      </c>
      <c r="O209" s="32" t="inlineStr">
        <is>
          <t>both</t>
        </is>
      </c>
      <c r="P209" s="32">
        <f>IF(O209&lt;&gt;"both",O209&amp;" only",IF(Q209="","agree","conflict"))</f>
        <v/>
      </c>
      <c r="Q209" s="32">
        <f>IF(O209="both",TRIM(IF(I209&lt;&gt;"","price ","")&amp;IF(K209&lt;&gt;"","xp ","")&amp;IF(G209="differs","time","")),"")</f>
        <v/>
      </c>
      <c r="R209" s="32" t="inlineStr">
        <is>
          <t>hayday.info (primary values) + Fandom (times, cross-check)</t>
        </is>
      </c>
      <c r="S209" s="32" t="inlineStr">
        <is>
          <t>https://hayday.fandom.com/wiki/Pasta_Kitchen</t>
        </is>
      </c>
    </row>
    <row r="210" ht="15" customHeight="1" s="29">
      <c r="A210" s="32" t="inlineStr">
        <is>
          <t>Lobster Pasta</t>
        </is>
      </c>
      <c r="B210" s="32" t="inlineStr">
        <is>
          <t>Pasta Kitchen</t>
        </is>
      </c>
      <c r="C210" s="33" t="n">
        <v>79</v>
      </c>
      <c r="D210" s="34" t="n">
        <v>120</v>
      </c>
      <c r="E210" s="34" t="n">
        <v>102</v>
      </c>
      <c r="F210" s="34" t="n">
        <v>102</v>
      </c>
      <c r="G210" s="32">
        <f>IF(OR(F210="",AND(D210="",E210="")),"n/a",IF(F210=E210,"mastered",IF(F210=D210,"normal","differs")))</f>
        <v/>
      </c>
      <c r="H210" s="35" t="n">
        <v>637</v>
      </c>
      <c r="I210" s="35" t="n"/>
      <c r="J210" s="33" t="n">
        <v>76</v>
      </c>
      <c r="K210" s="33" t="n"/>
      <c r="L210" s="36" t="n">
        <v>20.58823529</v>
      </c>
      <c r="M210" s="37" t="n">
        <v>44.70588235</v>
      </c>
      <c r="N210" s="32">
        <f>IF(L210="","",IF(L210&lt;0,"negative profit",IF(L210&gt;Notes!$B$4,"unusually high - verify","")))</f>
        <v/>
      </c>
      <c r="O210" s="32" t="inlineStr">
        <is>
          <t>both</t>
        </is>
      </c>
      <c r="P210" s="32">
        <f>IF(O210&lt;&gt;"both",O210&amp;" only",IF(Q210="","agree","conflict"))</f>
        <v/>
      </c>
      <c r="Q210" s="32">
        <f>IF(O210="both",TRIM(IF(I210&lt;&gt;"","price ","")&amp;IF(K210&lt;&gt;"","xp ","")&amp;IF(G210="differs","time","")),"")</f>
        <v/>
      </c>
      <c r="R210" s="32" t="inlineStr">
        <is>
          <t>hayday.info (primary values) + Fandom (times, cross-check)</t>
        </is>
      </c>
      <c r="S210" s="32" t="inlineStr">
        <is>
          <t>https://hayday.fandom.com/wiki/Pasta_Kitchen</t>
        </is>
      </c>
    </row>
    <row r="211" ht="15" customHeight="1" s="29">
      <c r="A211" s="32" t="inlineStr">
        <is>
          <t>Broccoli Pasta</t>
        </is>
      </c>
      <c r="B211" s="32" t="inlineStr">
        <is>
          <t>Pasta Kitchen</t>
        </is>
      </c>
      <c r="C211" s="33" t="n">
        <v>83</v>
      </c>
      <c r="D211" s="34" t="n">
        <v>60</v>
      </c>
      <c r="E211" s="34" t="n">
        <v>51</v>
      </c>
      <c r="F211" s="34" t="n">
        <v>51</v>
      </c>
      <c r="G211" s="32">
        <f>IF(OR(F211="",AND(D211="",E211="")),"n/a",IF(F211=E211,"mastered",IF(F211=D211,"normal","differs")))</f>
        <v/>
      </c>
      <c r="H211" s="35" t="n">
        <v>345</v>
      </c>
      <c r="I211" s="35" t="n"/>
      <c r="J211" s="33" t="n">
        <v>41</v>
      </c>
      <c r="K211" s="33" t="n"/>
      <c r="L211" s="36" t="n">
        <v>36.47058824</v>
      </c>
      <c r="M211" s="37" t="n">
        <v>48.23529412</v>
      </c>
      <c r="N211" s="32">
        <f>IF(L211="","",IF(L211&lt;0,"negative profit",IF(L211&gt;Notes!$B$4,"unusually high - verify","")))</f>
        <v/>
      </c>
      <c r="O211" s="32" t="inlineStr">
        <is>
          <t>both</t>
        </is>
      </c>
      <c r="P211" s="32">
        <f>IF(O211&lt;&gt;"both",O211&amp;" only",IF(Q211="","agree","conflict"))</f>
        <v/>
      </c>
      <c r="Q211" s="32">
        <f>IF(O211="both",TRIM(IF(I211&lt;&gt;"","price ","")&amp;IF(K211&lt;&gt;"","xp ","")&amp;IF(G211="differs","time","")),"")</f>
        <v/>
      </c>
      <c r="R211" s="32" t="inlineStr">
        <is>
          <t>hayday.info (primary values) + Fandom (times, cross-check)</t>
        </is>
      </c>
      <c r="S211" s="32" t="inlineStr">
        <is>
          <t>https://hayday.fandom.com/wiki/Pasta_Kitchen</t>
        </is>
      </c>
    </row>
    <row r="212" ht="15" customHeight="1" s="29">
      <c r="A212" s="32" t="inlineStr">
        <is>
          <t>Pasta Carbonara</t>
        </is>
      </c>
      <c r="B212" s="32" t="inlineStr">
        <is>
          <t>Pasta Kitchen</t>
        </is>
      </c>
      <c r="C212" s="33" t="n">
        <v>83</v>
      </c>
      <c r="D212" s="34" t="n">
        <v>150</v>
      </c>
      <c r="E212" s="34" t="n">
        <v>127</v>
      </c>
      <c r="F212" s="34" t="n">
        <v>127</v>
      </c>
      <c r="G212" s="32">
        <f>IF(OR(F212="",AND(D212="",E212="")),"n/a",IF(F212=E212,"mastered",IF(F212=D212,"normal","differs")))</f>
        <v/>
      </c>
      <c r="H212" s="35" t="n">
        <v>410</v>
      </c>
      <c r="I212" s="35" t="n"/>
      <c r="J212" s="33" t="n">
        <v>49</v>
      </c>
      <c r="K212" s="33" t="n"/>
      <c r="L212" s="36" t="n">
        <v>19.29411765</v>
      </c>
      <c r="M212" s="37" t="n">
        <v>23.05882353</v>
      </c>
      <c r="N212" s="32">
        <f>IF(L212="","",IF(L212&lt;0,"negative profit",IF(L212&gt;Notes!$B$4,"unusually high - verify","")))</f>
        <v/>
      </c>
      <c r="O212" s="32" t="inlineStr">
        <is>
          <t>both</t>
        </is>
      </c>
      <c r="P212" s="32">
        <f>IF(O212&lt;&gt;"both",O212&amp;" only",IF(Q212="","agree","conflict"))</f>
        <v/>
      </c>
      <c r="Q212" s="32">
        <f>IF(O212="both",TRIM(IF(I212&lt;&gt;"","price ","")&amp;IF(K212&lt;&gt;"","xp ","")&amp;IF(G212="differs","time","")),"")</f>
        <v/>
      </c>
      <c r="R212" s="32" t="inlineStr">
        <is>
          <t>hayday.info (primary values) + Fandom (times, cross-check)</t>
        </is>
      </c>
      <c r="S212" s="32" t="inlineStr">
        <is>
          <t>https://hayday.fandom.com/wiki/Pasta_Kitchen</t>
        </is>
      </c>
    </row>
    <row r="213" ht="15" customHeight="1" s="29">
      <c r="A213" s="32" t="inlineStr">
        <is>
          <t>Spicy Pasta</t>
        </is>
      </c>
      <c r="B213" s="32" t="inlineStr">
        <is>
          <t>Pasta Kitchen</t>
        </is>
      </c>
      <c r="C213" s="33" t="n">
        <v>87</v>
      </c>
      <c r="D213" s="34" t="n">
        <v>90</v>
      </c>
      <c r="E213" s="34" t="n">
        <v>76</v>
      </c>
      <c r="F213" s="34" t="n">
        <v>76</v>
      </c>
      <c r="G213" s="32">
        <f>IF(OR(F213="",AND(D213="",E213="")),"n/a",IF(F213=E213,"mastered",IF(F213=D213,"normal","differs")))</f>
        <v/>
      </c>
      <c r="H213" s="35" t="n">
        <v>576</v>
      </c>
      <c r="I213" s="35" t="n"/>
      <c r="J213" s="33" t="n">
        <v>69</v>
      </c>
      <c r="K213" s="33" t="n"/>
      <c r="L213" s="36" t="n">
        <v>24.31372549</v>
      </c>
      <c r="M213" s="37" t="n">
        <v>54.11764706</v>
      </c>
      <c r="N213" s="32">
        <f>IF(L213="","",IF(L213&lt;0,"negative profit",IF(L213&gt;Notes!$B$4,"unusually high - verify","")))</f>
        <v/>
      </c>
      <c r="O213" s="32" t="inlineStr">
        <is>
          <t>both</t>
        </is>
      </c>
      <c r="P213" s="32">
        <f>IF(O213&lt;&gt;"both",O213&amp;" only",IF(Q213="","agree","conflict"))</f>
        <v/>
      </c>
      <c r="Q213" s="32">
        <f>IF(O213="both",TRIM(IF(I213&lt;&gt;"","price ","")&amp;IF(K213&lt;&gt;"","xp ","")&amp;IF(G213="differs","time","")),"")</f>
        <v/>
      </c>
      <c r="R213" s="32" t="inlineStr">
        <is>
          <t>hayday.info (primary values) + Fandom (times, cross-check)</t>
        </is>
      </c>
      <c r="S213" s="32" t="inlineStr">
        <is>
          <t>https://hayday.fandom.com/wiki/Pasta_Kitchen</t>
        </is>
      </c>
    </row>
    <row r="214" ht="15" customHeight="1" s="29">
      <c r="A214" s="32" t="inlineStr">
        <is>
          <t>Mushroom Pasta</t>
        </is>
      </c>
      <c r="B214" s="32" t="inlineStr">
        <is>
          <t>Pasta Kitchen</t>
        </is>
      </c>
      <c r="C214" s="33" t="n">
        <v>101</v>
      </c>
      <c r="D214" s="34" t="n"/>
      <c r="E214" s="34" t="n"/>
      <c r="F214" s="34" t="n">
        <v>63</v>
      </c>
      <c r="G214" s="32">
        <f>IF(OR(F214="",AND(D214="",E214="")),"n/a",IF(F214=E214,"mastered",IF(F214=D214,"normal","differs")))</f>
        <v/>
      </c>
      <c r="H214" s="35" t="n">
        <v>280</v>
      </c>
      <c r="I214" s="35" t="n"/>
      <c r="J214" s="33" t="n">
        <v>33</v>
      </c>
      <c r="K214" s="33" t="n"/>
      <c r="L214" s="36" t="n">
        <v>34.82352941</v>
      </c>
      <c r="M214" s="37" t="n">
        <v>31.05882353</v>
      </c>
      <c r="N214" s="32">
        <f>IF(L214="","",IF(L214&lt;0,"negative profit",IF(L214&gt;Notes!$B$4,"unusually high - verify","")))</f>
        <v/>
      </c>
      <c r="O214" s="32" t="inlineStr">
        <is>
          <t>hayday.info</t>
        </is>
      </c>
      <c r="P214" s="32">
        <f>IF(O214&lt;&gt;"both",O214&amp;" only",IF(Q214="","agree","conflict"))</f>
        <v/>
      </c>
      <c r="Q214" s="32">
        <f>IF(O214="both",TRIM(IF(I214&lt;&gt;"","price ","")&amp;IF(K214&lt;&gt;"","xp ","")&amp;IF(G214="differs","time","")),"")</f>
        <v/>
      </c>
      <c r="R214" s="32" t="inlineStr">
        <is>
          <t>hayday.info /api/production-data only</t>
        </is>
      </c>
      <c r="S214" s="32" t="n"/>
    </row>
    <row r="215" ht="15" customHeight="1" s="29">
      <c r="A215" s="32" t="inlineStr">
        <is>
          <t>Fresh Pasta</t>
        </is>
      </c>
      <c r="B215" s="32" t="inlineStr">
        <is>
          <t>Pasta Maker</t>
        </is>
      </c>
      <c r="C215" s="33" t="n">
        <v>67</v>
      </c>
      <c r="D215" s="34" t="n">
        <v>15</v>
      </c>
      <c r="E215" s="34" t="n">
        <v>12</v>
      </c>
      <c r="F215" s="34" t="n">
        <v>12</v>
      </c>
      <c r="G215" s="32">
        <f>IF(OR(F215="",AND(D215="",E215="")),"n/a",IF(F215=E215,"mastered",IF(F215=D215,"normal","differs")))</f>
        <v/>
      </c>
      <c r="H215" s="35" t="n">
        <v>43</v>
      </c>
      <c r="I215" s="35" t="n"/>
      <c r="J215" s="33" t="n">
        <v>5</v>
      </c>
      <c r="K215" s="33" t="n"/>
      <c r="L215" s="36" t="n">
        <v>89.41176471</v>
      </c>
      <c r="M215" s="37" t="n">
        <v>23.52941176</v>
      </c>
      <c r="N215" s="32">
        <f>IF(L215="","",IF(L215&lt;0,"negative profit",IF(L215&gt;Notes!$B$4,"unusually high - verify","")))</f>
        <v/>
      </c>
      <c r="O215" s="32" t="inlineStr">
        <is>
          <t>both</t>
        </is>
      </c>
      <c r="P215" s="32">
        <f>IF(O215&lt;&gt;"both",O215&amp;" only",IF(Q215="","agree","conflict"))</f>
        <v/>
      </c>
      <c r="Q215" s="32">
        <f>IF(O215="both",TRIM(IF(I215&lt;&gt;"","price ","")&amp;IF(K215&lt;&gt;"","xp ","")&amp;IF(G215="differs","time","")),"")</f>
        <v/>
      </c>
      <c r="R215" s="32" t="inlineStr">
        <is>
          <t>hayday.info (primary values) + Fandom (times, cross-check)</t>
        </is>
      </c>
      <c r="S215" s="32" t="inlineStr">
        <is>
          <t>https://hayday.fandom.com/wiki/Pasta_Maker</t>
        </is>
      </c>
    </row>
    <row r="216" ht="15" customHeight="1" s="29">
      <c r="A216" s="32" t="inlineStr">
        <is>
          <t>Rice Noodles</t>
        </is>
      </c>
      <c r="B216" s="32" t="inlineStr">
        <is>
          <t>Pasta Maker</t>
        </is>
      </c>
      <c r="C216" s="33" t="n">
        <v>73</v>
      </c>
      <c r="D216" s="34" t="n">
        <v>20</v>
      </c>
      <c r="E216" s="34" t="n">
        <v>17</v>
      </c>
      <c r="F216" s="34" t="n">
        <v>17</v>
      </c>
      <c r="G216" s="32">
        <f>IF(OR(F216="",AND(D216="",E216="")),"n/a",IF(F216=E216,"mastered",IF(F216=D216,"normal","differs")))</f>
        <v/>
      </c>
      <c r="H216" s="35" t="n">
        <v>100</v>
      </c>
      <c r="I216" s="35" t="n"/>
      <c r="J216" s="33" t="n">
        <v>12</v>
      </c>
      <c r="K216" s="33" t="n"/>
      <c r="L216" s="36" t="n">
        <v>35.29411765</v>
      </c>
      <c r="M216" s="37" t="n">
        <v>42.35294118</v>
      </c>
      <c r="N216" s="32">
        <f>IF(L216="","",IF(L216&lt;0,"negative profit",IF(L216&gt;Notes!$B$4,"unusually high - verify","")))</f>
        <v/>
      </c>
      <c r="O216" s="32" t="inlineStr">
        <is>
          <t>both</t>
        </is>
      </c>
      <c r="P216" s="32">
        <f>IF(O216&lt;&gt;"both",O216&amp;" only",IF(Q216="","agree","conflict"))</f>
        <v/>
      </c>
      <c r="Q216" s="32">
        <f>IF(O216="both",TRIM(IF(I216&lt;&gt;"","price ","")&amp;IF(K216&lt;&gt;"","xp ","")&amp;IF(G216="differs","time","")),"")</f>
        <v/>
      </c>
      <c r="R216" s="32" t="inlineStr">
        <is>
          <t>hayday.info (primary values) + Fandom (times, cross-check)</t>
        </is>
      </c>
      <c r="S216" s="32" t="inlineStr">
        <is>
          <t>https://hayday.fandom.com/wiki/Pasta_Maker</t>
        </is>
      </c>
    </row>
    <row r="217" ht="15" customHeight="1" s="29">
      <c r="A217" s="32" t="inlineStr">
        <is>
          <t>Carrot Pie</t>
        </is>
      </c>
      <c r="B217" s="32" t="inlineStr">
        <is>
          <t>Pie Oven</t>
        </is>
      </c>
      <c r="C217" s="33" t="n">
        <v>14</v>
      </c>
      <c r="D217" s="34" t="n">
        <v>60</v>
      </c>
      <c r="E217" s="34" t="n">
        <v>51</v>
      </c>
      <c r="F217" s="34" t="n">
        <v>51</v>
      </c>
      <c r="G217" s="32">
        <f>IF(OR(F217="",AND(D217="",E217="")),"n/a",IF(F217=E217,"mastered",IF(F217=D217,"normal","differs")))</f>
        <v/>
      </c>
      <c r="H217" s="35" t="n">
        <v>82</v>
      </c>
      <c r="I217" s="35" t="n"/>
      <c r="J217" s="33" t="n">
        <v>10</v>
      </c>
      <c r="K217" s="33" t="n"/>
      <c r="L217" s="36" t="n">
        <v>43.52941176</v>
      </c>
      <c r="M217" s="37" t="n">
        <v>11.76470588</v>
      </c>
      <c r="N217" s="32">
        <f>IF(L217="","",IF(L217&lt;0,"negative profit",IF(L217&gt;Notes!$B$4,"unusually high - verify","")))</f>
        <v/>
      </c>
      <c r="O217" s="32" t="inlineStr">
        <is>
          <t>both</t>
        </is>
      </c>
      <c r="P217" s="32">
        <f>IF(O217&lt;&gt;"both",O217&amp;" only",IF(Q217="","agree","conflict"))</f>
        <v/>
      </c>
      <c r="Q217" s="32">
        <f>IF(O217="both",TRIM(IF(I217&lt;&gt;"","price ","")&amp;IF(K217&lt;&gt;"","xp ","")&amp;IF(G217="differs","time","")),"")</f>
        <v/>
      </c>
      <c r="R217" s="32" t="inlineStr">
        <is>
          <t>hayday.info (primary values) + Fandom (times, cross-check)</t>
        </is>
      </c>
      <c r="S217" s="32" t="inlineStr">
        <is>
          <t>https://hayday.fandom.com/wiki/Pie_Oven</t>
        </is>
      </c>
    </row>
    <row r="218" ht="15" customHeight="1" s="29">
      <c r="A218" s="32" t="inlineStr">
        <is>
          <t>Pumpkin Pie</t>
        </is>
      </c>
      <c r="B218" s="32" t="inlineStr">
        <is>
          <t>Pie Oven</t>
        </is>
      </c>
      <c r="C218" s="33" t="n">
        <v>15</v>
      </c>
      <c r="D218" s="34" t="n">
        <v>120</v>
      </c>
      <c r="E218" s="34" t="n">
        <v>102</v>
      </c>
      <c r="F218" s="34" t="n">
        <v>102</v>
      </c>
      <c r="G218" s="32">
        <f>IF(OR(F218="",AND(D218="",E218="")),"n/a",IF(F218=E218,"mastered",IF(F218=D218,"normal","differs")))</f>
        <v/>
      </c>
      <c r="H218" s="35" t="n">
        <v>158</v>
      </c>
      <c r="I218" s="35" t="n"/>
      <c r="J218" s="33" t="n">
        <v>19</v>
      </c>
      <c r="K218" s="33" t="n"/>
      <c r="L218" s="36" t="n">
        <v>22.35294118</v>
      </c>
      <c r="M218" s="37" t="n">
        <v>11.17647059</v>
      </c>
      <c r="N218" s="32">
        <f>IF(L218="","",IF(L218&lt;0,"negative profit",IF(L218&gt;Notes!$B$4,"unusually high - verify","")))</f>
        <v/>
      </c>
      <c r="O218" s="32" t="inlineStr">
        <is>
          <t>both</t>
        </is>
      </c>
      <c r="P218" s="32">
        <f>IF(O218&lt;&gt;"both",O218&amp;" only",IF(Q218="","agree","conflict"))</f>
        <v/>
      </c>
      <c r="Q218" s="32">
        <f>IF(O218="both",TRIM(IF(I218&lt;&gt;"","price ","")&amp;IF(K218&lt;&gt;"","xp ","")&amp;IF(G218="differs","time","")),"")</f>
        <v/>
      </c>
      <c r="R218" s="32" t="inlineStr">
        <is>
          <t>hayday.info (primary values) + Fandom (times, cross-check)</t>
        </is>
      </c>
      <c r="S218" s="32" t="inlineStr">
        <is>
          <t>https://hayday.fandom.com/wiki/Pie_Oven</t>
        </is>
      </c>
    </row>
    <row r="219" ht="15" customHeight="1" s="29">
      <c r="A219" s="32" t="inlineStr">
        <is>
          <t>Bacon Pie</t>
        </is>
      </c>
      <c r="B219" s="32" t="inlineStr">
        <is>
          <t>Pie Oven</t>
        </is>
      </c>
      <c r="C219" s="33" t="n">
        <v>18</v>
      </c>
      <c r="D219" s="34" t="n">
        <v>180</v>
      </c>
      <c r="E219" s="34" t="n">
        <v>153</v>
      </c>
      <c r="F219" s="34" t="n">
        <v>153</v>
      </c>
      <c r="G219" s="32">
        <f>IF(OR(F219="",AND(D219="",E219="")),"n/a",IF(F219=E219,"mastered",IF(F219=D219,"normal","differs")))</f>
        <v/>
      </c>
      <c r="H219" s="35" t="n">
        <v>219</v>
      </c>
      <c r="I219" s="35" t="n"/>
      <c r="J219" s="33" t="n">
        <v>26</v>
      </c>
      <c r="K219" s="33" t="n"/>
      <c r="L219" s="36" t="n">
        <v>17.64705882</v>
      </c>
      <c r="M219" s="37" t="n">
        <v>10.19607843</v>
      </c>
      <c r="N219" s="32">
        <f>IF(L219="","",IF(L219&lt;0,"negative profit",IF(L219&gt;Notes!$B$4,"unusually high - verify","")))</f>
        <v/>
      </c>
      <c r="O219" s="32" t="inlineStr">
        <is>
          <t>both</t>
        </is>
      </c>
      <c r="P219" s="32">
        <f>IF(O219&lt;&gt;"both",O219&amp;" only",IF(Q219="","agree","conflict"))</f>
        <v/>
      </c>
      <c r="Q219" s="32">
        <f>IF(O219="both",TRIM(IF(I219&lt;&gt;"","price ","")&amp;IF(K219&lt;&gt;"","xp ","")&amp;IF(G219="differs","time","")),"")</f>
        <v/>
      </c>
      <c r="R219" s="32" t="inlineStr">
        <is>
          <t>hayday.info (primary values) + Fandom (times, cross-check)</t>
        </is>
      </c>
      <c r="S219" s="32" t="inlineStr">
        <is>
          <t>https://hayday.fandom.com/wiki/Pie_Oven</t>
        </is>
      </c>
    </row>
    <row r="220" ht="15" customHeight="1" s="29">
      <c r="A220" s="32" t="inlineStr">
        <is>
          <t>Apple Pie</t>
        </is>
      </c>
      <c r="B220" s="32" t="inlineStr">
        <is>
          <t>Pie Oven</t>
        </is>
      </c>
      <c r="C220" s="33" t="n">
        <v>28</v>
      </c>
      <c r="D220" s="34" t="n">
        <v>150</v>
      </c>
      <c r="E220" s="34" t="n">
        <v>127</v>
      </c>
      <c r="F220" s="34" t="n">
        <v>127</v>
      </c>
      <c r="G220" s="32">
        <f>IF(OR(F220="",AND(D220="",E220="")),"n/a",IF(F220=E220,"mastered",IF(F220=D220,"normal","differs")))</f>
        <v/>
      </c>
      <c r="H220" s="35" t="n">
        <v>270</v>
      </c>
      <c r="I220" s="35" t="n"/>
      <c r="J220" s="33" t="n">
        <v>32</v>
      </c>
      <c r="K220" s="33" t="n"/>
      <c r="L220" s="36" t="n">
        <v>18.35294118</v>
      </c>
      <c r="M220" s="37" t="n">
        <v>15.05882353</v>
      </c>
      <c r="N220" s="32">
        <f>IF(L220="","",IF(L220&lt;0,"negative profit",IF(L220&gt;Notes!$B$4,"unusually high - verify","")))</f>
        <v/>
      </c>
      <c r="O220" s="32" t="inlineStr">
        <is>
          <t>both</t>
        </is>
      </c>
      <c r="P220" s="32">
        <f>IF(O220&lt;&gt;"both",O220&amp;" only",IF(Q220="","agree","conflict"))</f>
        <v/>
      </c>
      <c r="Q220" s="32">
        <f>IF(O220="both",TRIM(IF(I220&lt;&gt;"","price ","")&amp;IF(K220&lt;&gt;"","xp ","")&amp;IF(G220="differs","time","")),"")</f>
        <v/>
      </c>
      <c r="R220" s="32" t="inlineStr">
        <is>
          <t>hayday.info (primary values) + Fandom (times, cross-check)</t>
        </is>
      </c>
      <c r="S220" s="32" t="inlineStr">
        <is>
          <t>https://hayday.fandom.com/wiki/Pie_Oven</t>
        </is>
      </c>
    </row>
    <row r="221" ht="15" customHeight="1" s="29">
      <c r="A221" s="32" t="inlineStr">
        <is>
          <t>Fish Pie</t>
        </is>
      </c>
      <c r="B221" s="32" t="inlineStr">
        <is>
          <t>Pie Oven</t>
        </is>
      </c>
      <c r="C221" s="33" t="n">
        <v>28</v>
      </c>
      <c r="D221" s="34" t="n">
        <v>120</v>
      </c>
      <c r="E221" s="34" t="n">
        <v>102</v>
      </c>
      <c r="F221" s="34" t="n">
        <v>102</v>
      </c>
      <c r="G221" s="32">
        <f>IF(OR(F221="",AND(D221="",E221="")),"n/a",IF(F221=E221,"mastered",IF(F221=D221,"normal","differs")))</f>
        <v/>
      </c>
      <c r="H221" s="35" t="n">
        <v>226</v>
      </c>
      <c r="I221" s="35" t="n"/>
      <c r="J221" s="33" t="n">
        <v>27</v>
      </c>
      <c r="K221" s="33" t="n"/>
      <c r="L221" s="36" t="n">
        <v>23.52941176</v>
      </c>
      <c r="M221" s="37" t="n">
        <v>15.88235294</v>
      </c>
      <c r="N221" s="32">
        <f>IF(L221="","",IF(L221&lt;0,"negative profit",IF(L221&gt;Notes!$B$4,"unusually high - verify","")))</f>
        <v/>
      </c>
      <c r="O221" s="32" t="inlineStr">
        <is>
          <t>both</t>
        </is>
      </c>
      <c r="P221" s="32">
        <f>IF(O221&lt;&gt;"both",O221&amp;" only",IF(Q221="","agree","conflict"))</f>
        <v/>
      </c>
      <c r="Q221" s="32">
        <f>IF(O221="both",TRIM(IF(I221&lt;&gt;"","price ","")&amp;IF(K221&lt;&gt;"","xp ","")&amp;IF(G221="differs","time","")),"")</f>
        <v/>
      </c>
      <c r="R221" s="32" t="inlineStr">
        <is>
          <t>hayday.info (primary values) + Fandom (times, cross-check)</t>
        </is>
      </c>
      <c r="S221" s="32" t="inlineStr">
        <is>
          <t>https://hayday.fandom.com/wiki/Pie_Oven</t>
        </is>
      </c>
    </row>
    <row r="222" ht="15" customHeight="1" s="29">
      <c r="A222" s="32" t="inlineStr">
        <is>
          <t>Feta Pie</t>
        </is>
      </c>
      <c r="B222" s="32" t="inlineStr">
        <is>
          <t>Pie Oven</t>
        </is>
      </c>
      <c r="C222" s="33" t="n">
        <v>34</v>
      </c>
      <c r="D222" s="34" t="n">
        <v>90</v>
      </c>
      <c r="E222" s="34" t="n">
        <v>76</v>
      </c>
      <c r="F222" s="34" t="n">
        <v>76</v>
      </c>
      <c r="G222" s="32">
        <f>IF(OR(F222="",AND(D222="",E222="")),"n/a",IF(F222=E222,"mastered",IF(F222=D222,"normal","differs")))</f>
        <v/>
      </c>
      <c r="H222" s="35" t="n">
        <v>223</v>
      </c>
      <c r="I222" s="35" t="n"/>
      <c r="J222" s="33" t="n">
        <v>26</v>
      </c>
      <c r="K222" s="33" t="n"/>
      <c r="L222" s="36" t="n">
        <v>29.01960784</v>
      </c>
      <c r="M222" s="37" t="n">
        <v>20.39215686</v>
      </c>
      <c r="N222" s="32">
        <f>IF(L222="","",IF(L222&lt;0,"negative profit",IF(L222&gt;Notes!$B$4,"unusually high - verify","")))</f>
        <v/>
      </c>
      <c r="O222" s="32" t="inlineStr">
        <is>
          <t>both</t>
        </is>
      </c>
      <c r="P222" s="32">
        <f>IF(O222&lt;&gt;"both",O222&amp;" only",IF(Q222="","agree","conflict"))</f>
        <v/>
      </c>
      <c r="Q222" s="32">
        <f>IF(O222="both",TRIM(IF(I222&lt;&gt;"","price ","")&amp;IF(K222&lt;&gt;"","xp ","")&amp;IF(G222="differs","time","")),"")</f>
        <v/>
      </c>
      <c r="R222" s="32" t="inlineStr">
        <is>
          <t>hayday.info (primary values) + Fandom (times, cross-check)</t>
        </is>
      </c>
      <c r="S222" s="32" t="inlineStr">
        <is>
          <t>https://hayday.fandom.com/wiki/Pie_Oven</t>
        </is>
      </c>
    </row>
    <row r="223" ht="15" customHeight="1" s="29">
      <c r="A223" s="32" t="inlineStr">
        <is>
          <t>Casserole</t>
        </is>
      </c>
      <c r="B223" s="32" t="inlineStr">
        <is>
          <t>Pie Oven</t>
        </is>
      </c>
      <c r="C223" s="33" t="n">
        <v>36</v>
      </c>
      <c r="D223" s="34" t="n">
        <v>120</v>
      </c>
      <c r="E223" s="34" t="n">
        <v>102</v>
      </c>
      <c r="F223" s="34" t="n">
        <v>102</v>
      </c>
      <c r="G223" s="32">
        <f>IF(OR(F223="",AND(D223="",E223="")),"n/a",IF(F223=E223,"mastered",IF(F223=D223,"normal","differs")))</f>
        <v/>
      </c>
      <c r="H223" s="35" t="n">
        <v>367</v>
      </c>
      <c r="I223" s="35" t="n"/>
      <c r="J223" s="33" t="n">
        <v>44</v>
      </c>
      <c r="K223" s="33" t="n"/>
      <c r="L223" s="36" t="n">
        <v>21.76470588</v>
      </c>
      <c r="M223" s="37" t="n">
        <v>25.88235294</v>
      </c>
      <c r="N223" s="32">
        <f>IF(L223="","",IF(L223&lt;0,"negative profit",IF(L223&gt;Notes!$B$4,"unusually high - verify","")))</f>
        <v/>
      </c>
      <c r="O223" s="32" t="inlineStr">
        <is>
          <t>both</t>
        </is>
      </c>
      <c r="P223" s="32">
        <f>IF(O223&lt;&gt;"both",O223&amp;" only",IF(Q223="","agree","conflict"))</f>
        <v/>
      </c>
      <c r="Q223" s="32">
        <f>IF(O223="both",TRIM(IF(I223&lt;&gt;"","price ","")&amp;IF(K223&lt;&gt;"","xp ","")&amp;IF(G223="differs","time","")),"")</f>
        <v/>
      </c>
      <c r="R223" s="32" t="inlineStr">
        <is>
          <t>hayday.info (primary values) + Fandom (times, cross-check)</t>
        </is>
      </c>
      <c r="S223" s="32" t="inlineStr">
        <is>
          <t>https://hayday.fandom.com/wiki/Pie_Oven</t>
        </is>
      </c>
    </row>
    <row r="224" ht="15" customHeight="1" s="29">
      <c r="A224" s="32" t="inlineStr">
        <is>
          <t>Shepherd's Pie</t>
        </is>
      </c>
      <c r="B224" s="32" t="inlineStr">
        <is>
          <t>Pie Oven</t>
        </is>
      </c>
      <c r="C224" s="33" t="n">
        <v>39</v>
      </c>
      <c r="D224" s="34" t="n">
        <v>100</v>
      </c>
      <c r="E224" s="34" t="n">
        <v>85</v>
      </c>
      <c r="F224" s="34" t="n">
        <v>85</v>
      </c>
      <c r="G224" s="32">
        <f>IF(OR(F224="",AND(D224="",E224="")),"n/a",IF(F224=E224,"mastered",IF(F224=D224,"normal","differs")))</f>
        <v/>
      </c>
      <c r="H224" s="35" t="n">
        <v>280</v>
      </c>
      <c r="I224" s="35" t="n"/>
      <c r="J224" s="33" t="n">
        <v>34</v>
      </c>
      <c r="K224" s="33" t="n"/>
      <c r="L224" s="36" t="n">
        <v>21.17647059</v>
      </c>
      <c r="M224" s="37" t="n">
        <v>24</v>
      </c>
      <c r="N224" s="32">
        <f>IF(L224="","",IF(L224&lt;0,"negative profit",IF(L224&gt;Notes!$B$4,"unusually high - verify","")))</f>
        <v/>
      </c>
      <c r="O224" s="32" t="inlineStr">
        <is>
          <t>both</t>
        </is>
      </c>
      <c r="P224" s="32">
        <f>IF(O224&lt;&gt;"both",O224&amp;" only",IF(Q224="","agree","conflict"))</f>
        <v/>
      </c>
      <c r="Q224" s="32">
        <f>IF(O224="both",TRIM(IF(I224&lt;&gt;"","price ","")&amp;IF(K224&lt;&gt;"","xp ","")&amp;IF(G224="differs","time","")),"")</f>
        <v/>
      </c>
      <c r="R224" s="32" t="inlineStr">
        <is>
          <t>hayday.info (primary values) + Fandom (times, cross-check)</t>
        </is>
      </c>
      <c r="S224" s="32" t="inlineStr">
        <is>
          <t>https://hayday.fandom.com/wiki/Pie_Oven</t>
        </is>
      </c>
    </row>
    <row r="225" ht="15" customHeight="1" s="29">
      <c r="A225" s="32" t="inlineStr">
        <is>
          <t>Chocolate Pie</t>
        </is>
      </c>
      <c r="B225" s="32" t="inlineStr">
        <is>
          <t>Pie Oven</t>
        </is>
      </c>
      <c r="C225" s="33" t="n">
        <v>65</v>
      </c>
      <c r="D225" s="34" t="n"/>
      <c r="E225" s="34" t="n"/>
      <c r="F225" s="34" t="n">
        <v>63</v>
      </c>
      <c r="G225" s="32">
        <f>IF(OR(F225="",AND(D225="",E225="")),"n/a",IF(F225=E225,"mastered",IF(F225=D225,"normal","differs")))</f>
        <v/>
      </c>
      <c r="H225" s="35" t="n">
        <v>514</v>
      </c>
      <c r="I225" s="35" t="n"/>
      <c r="J225" s="33" t="n">
        <v>70</v>
      </c>
      <c r="K225" s="33" t="n"/>
      <c r="L225" s="36" t="n">
        <v>76.23529412000001</v>
      </c>
      <c r="M225" s="37" t="n">
        <v>65.88235294</v>
      </c>
      <c r="N225" s="32">
        <f>IF(L225="","",IF(L225&lt;0,"negative profit",IF(L225&gt;Notes!$B$4,"unusually high - verify","")))</f>
        <v/>
      </c>
      <c r="O225" s="32" t="inlineStr">
        <is>
          <t>hayday.info</t>
        </is>
      </c>
      <c r="P225" s="32">
        <f>IF(O225&lt;&gt;"both",O225&amp;" only",IF(Q225="","agree","conflict"))</f>
        <v/>
      </c>
      <c r="Q225" s="32">
        <f>IF(O225="both",TRIM(IF(I225&lt;&gt;"","price ","")&amp;IF(K225&lt;&gt;"","xp ","")&amp;IF(G225="differs","time","")),"")</f>
        <v/>
      </c>
      <c r="R225" s="32" t="inlineStr">
        <is>
          <t>hayday.info /api/production-data only</t>
        </is>
      </c>
      <c r="S225" s="32" t="n"/>
    </row>
    <row r="226" ht="15" customHeight="1" s="29">
      <c r="A226" s="32" t="inlineStr">
        <is>
          <t>Lemon Pie</t>
        </is>
      </c>
      <c r="B226" s="32" t="inlineStr">
        <is>
          <t>Pie Oven</t>
        </is>
      </c>
      <c r="C226" s="33" t="n">
        <v>67</v>
      </c>
      <c r="D226" s="34" t="n">
        <v>135</v>
      </c>
      <c r="E226" s="34" t="n">
        <v>114</v>
      </c>
      <c r="F226" s="34" t="n">
        <v>114</v>
      </c>
      <c r="G226" s="32">
        <f>IF(OR(F226="",AND(D226="",E226="")),"n/a",IF(F226=E226,"mastered",IF(F226=D226,"normal","differs")))</f>
        <v/>
      </c>
      <c r="H226" s="35" t="n">
        <v>446</v>
      </c>
      <c r="I226" s="35" t="n"/>
      <c r="J226" s="33" t="n">
        <v>53</v>
      </c>
      <c r="K226" s="33" t="n"/>
      <c r="L226" s="36" t="n">
        <v>23.00653595</v>
      </c>
      <c r="M226" s="37" t="n">
        <v>27.7124183</v>
      </c>
      <c r="N226" s="32">
        <f>IF(L226="","",IF(L226&lt;0,"negative profit",IF(L226&gt;Notes!$B$4,"unusually high - verify","")))</f>
        <v/>
      </c>
      <c r="O226" s="32" t="inlineStr">
        <is>
          <t>both</t>
        </is>
      </c>
      <c r="P226" s="32">
        <f>IF(O226&lt;&gt;"both",O226&amp;" only",IF(Q226="","agree","conflict"))</f>
        <v/>
      </c>
      <c r="Q226" s="32">
        <f>IF(O226="both",TRIM(IF(I226&lt;&gt;"","price ","")&amp;IF(K226&lt;&gt;"","xp ","")&amp;IF(G226="differs","time","")),"")</f>
        <v/>
      </c>
      <c r="R226" s="32" t="inlineStr">
        <is>
          <t>hayday.info (primary values) + Fandom (times, cross-check)</t>
        </is>
      </c>
      <c r="S226" s="32" t="inlineStr">
        <is>
          <t>https://hayday.fandom.com/wiki/Pie_Oven</t>
        </is>
      </c>
    </row>
    <row r="227" ht="15" customHeight="1" s="29">
      <c r="A227" s="32" t="inlineStr">
        <is>
          <t>Peach Tart</t>
        </is>
      </c>
      <c r="B227" s="32" t="inlineStr">
        <is>
          <t>Pie Oven</t>
        </is>
      </c>
      <c r="C227" s="33" t="n">
        <v>76</v>
      </c>
      <c r="D227" s="34" t="n">
        <v>150</v>
      </c>
      <c r="E227" s="34" t="n">
        <v>127</v>
      </c>
      <c r="F227" s="34" t="n">
        <v>127</v>
      </c>
      <c r="G227" s="32">
        <f>IF(OR(F227="",AND(D227="",E227="")),"n/a",IF(F227=E227,"mastered",IF(F227=D227,"normal","differs")))</f>
        <v/>
      </c>
      <c r="H227" s="35" t="n">
        <v>435</v>
      </c>
      <c r="I227" s="35" t="n"/>
      <c r="J227" s="33" t="n">
        <v>52</v>
      </c>
      <c r="K227" s="33" t="n"/>
      <c r="L227" s="36" t="n">
        <v>20.23529412</v>
      </c>
      <c r="M227" s="37" t="n">
        <v>24.47058824</v>
      </c>
      <c r="N227" s="32">
        <f>IF(L227="","",IF(L227&lt;0,"negative profit",IF(L227&gt;Notes!$B$4,"unusually high - verify","")))</f>
        <v/>
      </c>
      <c r="O227" s="32" t="inlineStr">
        <is>
          <t>both</t>
        </is>
      </c>
      <c r="P227" s="32">
        <f>IF(O227&lt;&gt;"both",O227&amp;" only",IF(Q227="","agree","conflict"))</f>
        <v/>
      </c>
      <c r="Q227" s="32">
        <f>IF(O227="both",TRIM(IF(I227&lt;&gt;"","price ","")&amp;IF(K227&lt;&gt;"","xp ","")&amp;IF(G227="differs","time","")),"")</f>
        <v/>
      </c>
      <c r="R227" s="32" t="inlineStr">
        <is>
          <t>hayday.info (primary values) + Fandom (times, cross-check)</t>
        </is>
      </c>
      <c r="S227" s="32" t="inlineStr">
        <is>
          <t>https://hayday.fandom.com/wiki/Pie_Oven</t>
        </is>
      </c>
    </row>
    <row r="228" ht="15" customHeight="1" s="29">
      <c r="A228" s="32" t="inlineStr">
        <is>
          <t>Passion Fruit Pie</t>
        </is>
      </c>
      <c r="B228" s="32" t="inlineStr">
        <is>
          <t>Pie Oven</t>
        </is>
      </c>
      <c r="C228" s="33" t="n">
        <v>92</v>
      </c>
      <c r="D228" s="34" t="n"/>
      <c r="E228" s="34" t="n"/>
      <c r="F228" s="34" t="n">
        <v>42</v>
      </c>
      <c r="G228" s="32">
        <f>IF(OR(F228="",AND(D228="",E228="")),"n/a",IF(F228=E228,"mastered",IF(F228=D228,"normal","differs")))</f>
        <v/>
      </c>
      <c r="H228" s="35" t="n">
        <v>111</v>
      </c>
      <c r="I228" s="35" t="n"/>
      <c r="J228" s="33" t="n">
        <v>13</v>
      </c>
      <c r="K228" s="33" t="n"/>
      <c r="L228" s="36" t="n">
        <v>46.58823529</v>
      </c>
      <c r="M228" s="37" t="n">
        <v>18.35294118</v>
      </c>
      <c r="N228" s="32">
        <f>IF(L228="","",IF(L228&lt;0,"negative profit",IF(L228&gt;Notes!$B$4,"unusually high - verify","")))</f>
        <v/>
      </c>
      <c r="O228" s="32" t="inlineStr">
        <is>
          <t>hayday.info</t>
        </is>
      </c>
      <c r="P228" s="32">
        <f>IF(O228&lt;&gt;"both",O228&amp;" only",IF(Q228="","agree","conflict"))</f>
        <v/>
      </c>
      <c r="Q228" s="32">
        <f>IF(O228="both",TRIM(IF(I228&lt;&gt;"","price ","")&amp;IF(K228&lt;&gt;"","xp ","")&amp;IF(G228="differs","time","")),"")</f>
        <v/>
      </c>
      <c r="R228" s="32" t="inlineStr">
        <is>
          <t>hayday.info /api/production-data only</t>
        </is>
      </c>
      <c r="S228" s="32" t="n"/>
    </row>
    <row r="229" ht="15" customHeight="1" s="29">
      <c r="A229" s="32" t="inlineStr">
        <is>
          <t>Mushroom Pot Pie</t>
        </is>
      </c>
      <c r="B229" s="32" t="inlineStr">
        <is>
          <t>Pie Oven</t>
        </is>
      </c>
      <c r="C229" s="33" t="n">
        <v>97</v>
      </c>
      <c r="D229" s="34" t="n"/>
      <c r="E229" s="34" t="n"/>
      <c r="F229" s="34" t="n">
        <v>51</v>
      </c>
      <c r="G229" s="32">
        <f>IF(OR(F229="",AND(D229="",E229="")),"n/a",IF(F229=E229,"mastered",IF(F229=D229,"normal","differs")))</f>
        <v/>
      </c>
      <c r="H229" s="35" t="n">
        <v>162</v>
      </c>
      <c r="I229" s="35" t="n"/>
      <c r="J229" s="33" t="n">
        <v>19</v>
      </c>
      <c r="K229" s="33" t="n"/>
      <c r="L229" s="36" t="n">
        <v>38.82352941</v>
      </c>
      <c r="M229" s="37" t="n">
        <v>22.35294118</v>
      </c>
      <c r="N229" s="32">
        <f>IF(L229="","",IF(L229&lt;0,"negative profit",IF(L229&gt;Notes!$B$4,"unusually high - verify","")))</f>
        <v/>
      </c>
      <c r="O229" s="32" t="inlineStr">
        <is>
          <t>hayday.info</t>
        </is>
      </c>
      <c r="P229" s="32">
        <f>IF(O229&lt;&gt;"both",O229&amp;" only",IF(Q229="","agree","conflict"))</f>
        <v/>
      </c>
      <c r="Q229" s="32">
        <f>IF(O229="both",TRIM(IF(I229&lt;&gt;"","price ","")&amp;IF(K229&lt;&gt;"","xp ","")&amp;IF(G229="differs","time","")),"")</f>
        <v/>
      </c>
      <c r="R229" s="32" t="inlineStr">
        <is>
          <t>hayday.info /api/production-data only</t>
        </is>
      </c>
      <c r="S229" s="32" t="n"/>
    </row>
    <row r="230" ht="15" customHeight="1" s="29">
      <c r="A230" s="32" t="inlineStr">
        <is>
          <t>Eggplant Parmesan</t>
        </is>
      </c>
      <c r="B230" s="32" t="inlineStr">
        <is>
          <t>Pie Oven</t>
        </is>
      </c>
      <c r="C230" s="33" t="n">
        <v>99</v>
      </c>
      <c r="D230" s="34" t="n">
        <v>45</v>
      </c>
      <c r="E230" s="34" t="n">
        <v>38</v>
      </c>
      <c r="F230" s="34" t="n">
        <v>38</v>
      </c>
      <c r="G230" s="32">
        <f>IF(OR(F230="",AND(D230="",E230="")),"n/a",IF(F230=E230,"mastered",IF(F230=D230,"normal","differs")))</f>
        <v/>
      </c>
      <c r="H230" s="35" t="n">
        <v>442</v>
      </c>
      <c r="I230" s="35" t="n"/>
      <c r="J230" s="33" t="n">
        <v>53</v>
      </c>
      <c r="K230" s="33" t="n"/>
      <c r="L230" s="36" t="n">
        <v>75.29411765</v>
      </c>
      <c r="M230" s="37" t="n">
        <v>83.1372549</v>
      </c>
      <c r="N230" s="32">
        <f>IF(L230="","",IF(L230&lt;0,"negative profit",IF(L230&gt;Notes!$B$4,"unusually high - verify","")))</f>
        <v/>
      </c>
      <c r="O230" s="32" t="inlineStr">
        <is>
          <t>both</t>
        </is>
      </c>
      <c r="P230" s="32">
        <f>IF(O230&lt;&gt;"both",O230&amp;" only",IF(Q230="","agree","conflict"))</f>
        <v/>
      </c>
      <c r="Q230" s="32">
        <f>IF(O230="both",TRIM(IF(I230&lt;&gt;"","price ","")&amp;IF(K230&lt;&gt;"","xp ","")&amp;IF(G230="differs","time","")),"")</f>
        <v/>
      </c>
      <c r="R230" s="32" t="inlineStr">
        <is>
          <t>hayday.info (primary values) + Fandom (times, cross-check)</t>
        </is>
      </c>
      <c r="S230" s="32" t="inlineStr">
        <is>
          <t>https://hayday.fandom.com/wiki/Pie_Oven</t>
        </is>
      </c>
    </row>
    <row r="231" ht="15" customHeight="1" s="29">
      <c r="A231" s="32" t="inlineStr">
        <is>
          <t>Popcorn</t>
        </is>
      </c>
      <c r="B231" s="32" t="inlineStr">
        <is>
          <t>Popcorn Pot</t>
        </is>
      </c>
      <c r="C231" s="33" t="n">
        <v>8</v>
      </c>
      <c r="D231" s="34" t="n">
        <v>30</v>
      </c>
      <c r="E231" s="34" t="n">
        <v>25</v>
      </c>
      <c r="F231" s="34" t="n">
        <v>25</v>
      </c>
      <c r="G231" s="32">
        <f>IF(OR(F231="",AND(D231="",E231="")),"n/a",IF(F231=E231,"mastered",IF(F231=D231,"normal","differs")))</f>
        <v/>
      </c>
      <c r="H231" s="35" t="n">
        <v>32</v>
      </c>
      <c r="I231" s="35" t="n"/>
      <c r="J231" s="33" t="n">
        <v>4</v>
      </c>
      <c r="K231" s="33" t="n"/>
      <c r="L231" s="36" t="n">
        <v>42.35294118</v>
      </c>
      <c r="M231" s="37" t="n">
        <v>9.411764706</v>
      </c>
      <c r="N231" s="32">
        <f>IF(L231="","",IF(L231&lt;0,"negative profit",IF(L231&gt;Notes!$B$4,"unusually high - verify","")))</f>
        <v/>
      </c>
      <c r="O231" s="32" t="inlineStr">
        <is>
          <t>both</t>
        </is>
      </c>
      <c r="P231" s="32">
        <f>IF(O231&lt;&gt;"both",O231&amp;" only",IF(Q231="","agree","conflict"))</f>
        <v/>
      </c>
      <c r="Q231" s="32">
        <f>IF(O231="both",TRIM(IF(I231&lt;&gt;"","price ","")&amp;IF(K231&lt;&gt;"","xp ","")&amp;IF(G231="differs","time","")),"")</f>
        <v/>
      </c>
      <c r="R231" s="32" t="inlineStr">
        <is>
          <t>hayday.info (primary values) + Fandom (times, cross-check)</t>
        </is>
      </c>
      <c r="S231" s="32" t="inlineStr">
        <is>
          <t>https://hayday.fandom.com/wiki/Popcorn_Pot</t>
        </is>
      </c>
    </row>
    <row r="232" ht="15" customHeight="1" s="29">
      <c r="A232" s="32" t="inlineStr">
        <is>
          <t>Buttered Popcorn</t>
        </is>
      </c>
      <c r="B232" s="32" t="inlineStr">
        <is>
          <t>Popcorn Pot</t>
        </is>
      </c>
      <c r="C232" s="33" t="n">
        <v>16</v>
      </c>
      <c r="D232" s="34" t="n">
        <v>60</v>
      </c>
      <c r="E232" s="34" t="n">
        <v>51</v>
      </c>
      <c r="F232" s="34" t="n">
        <v>51</v>
      </c>
      <c r="G232" s="32">
        <f>IF(OR(F232="",AND(D232="",E232="")),"n/a",IF(F232=E232,"mastered",IF(F232=D232,"normal","differs")))</f>
        <v/>
      </c>
      <c r="H232" s="35" t="n">
        <v>126</v>
      </c>
      <c r="I232" s="35" t="n"/>
      <c r="J232" s="33" t="n">
        <v>15</v>
      </c>
      <c r="K232" s="33" t="n"/>
      <c r="L232" s="36" t="n">
        <v>35.29411765</v>
      </c>
      <c r="M232" s="37" t="n">
        <v>17.64705882</v>
      </c>
      <c r="N232" s="32">
        <f>IF(L232="","",IF(L232&lt;0,"negative profit",IF(L232&gt;Notes!$B$4,"unusually high - verify","")))</f>
        <v/>
      </c>
      <c r="O232" s="32" t="inlineStr">
        <is>
          <t>both</t>
        </is>
      </c>
      <c r="P232" s="32">
        <f>IF(O232&lt;&gt;"both",O232&amp;" only",IF(Q232="","agree","conflict"))</f>
        <v/>
      </c>
      <c r="Q232" s="32">
        <f>IF(O232="both",TRIM(IF(I232&lt;&gt;"","price ","")&amp;IF(K232&lt;&gt;"","xp ","")&amp;IF(G232="differs","time","")),"")</f>
        <v/>
      </c>
      <c r="R232" s="32" t="inlineStr">
        <is>
          <t>hayday.info (primary values) + Fandom (times, cross-check)</t>
        </is>
      </c>
      <c r="S232" s="32" t="inlineStr">
        <is>
          <t>https://hayday.fandom.com/wiki/Popcorn_Pot</t>
        </is>
      </c>
    </row>
    <row r="233" ht="15" customHeight="1" s="29">
      <c r="A233" s="32" t="inlineStr">
        <is>
          <t>Chili Popcorn</t>
        </is>
      </c>
      <c r="B233" s="32" t="inlineStr">
        <is>
          <t>Popcorn Pot</t>
        </is>
      </c>
      <c r="C233" s="33" t="n">
        <v>25</v>
      </c>
      <c r="D233" s="34" t="n">
        <v>120</v>
      </c>
      <c r="E233" s="34" t="n">
        <v>102</v>
      </c>
      <c r="F233" s="34" t="n">
        <v>102</v>
      </c>
      <c r="G233" s="32">
        <f>IF(OR(F233="",AND(D233="",E233="")),"n/a",IF(F233=E233,"mastered",IF(F233=D233,"normal","differs")))</f>
        <v/>
      </c>
      <c r="H233" s="35" t="n">
        <v>122</v>
      </c>
      <c r="I233" s="35" t="n"/>
      <c r="J233" s="33" t="n">
        <v>15</v>
      </c>
      <c r="K233" s="33" t="n"/>
      <c r="L233" s="36" t="n">
        <v>21.17647059</v>
      </c>
      <c r="M233" s="37" t="n">
        <v>8.823529411999999</v>
      </c>
      <c r="N233" s="32">
        <f>IF(L233="","",IF(L233&lt;0,"negative profit",IF(L233&gt;Notes!$B$4,"unusually high - verify","")))</f>
        <v/>
      </c>
      <c r="O233" s="32" t="inlineStr">
        <is>
          <t>both</t>
        </is>
      </c>
      <c r="P233" s="32">
        <f>IF(O233&lt;&gt;"both",O233&amp;" only",IF(Q233="","agree","conflict"))</f>
        <v/>
      </c>
      <c r="Q233" s="32">
        <f>IF(O233="both",TRIM(IF(I233&lt;&gt;"","price ","")&amp;IF(K233&lt;&gt;"","xp ","")&amp;IF(G233="differs","time","")),"")</f>
        <v/>
      </c>
      <c r="R233" s="32" t="inlineStr">
        <is>
          <t>hayday.info (primary values) + Fandom (times, cross-check)</t>
        </is>
      </c>
      <c r="S233" s="32" t="inlineStr">
        <is>
          <t>https://hayday.fandom.com/wiki/Popcorn_Pot</t>
        </is>
      </c>
    </row>
    <row r="234" ht="15" customHeight="1" s="29">
      <c r="A234" s="32" t="inlineStr">
        <is>
          <t>Honey Popcorn</t>
        </is>
      </c>
      <c r="B234" s="32" t="inlineStr">
        <is>
          <t>Popcorn Pot</t>
        </is>
      </c>
      <c r="C234" s="33" t="n">
        <v>40</v>
      </c>
      <c r="D234" s="34" t="n">
        <v>90</v>
      </c>
      <c r="E234" s="34" t="n">
        <v>76</v>
      </c>
      <c r="F234" s="34" t="n">
        <v>76</v>
      </c>
      <c r="G234" s="32">
        <f>IF(OR(F234="",AND(D234="",E234="")),"n/a",IF(F234=E234,"mastered",IF(F234=D234,"normal","differs")))</f>
        <v/>
      </c>
      <c r="H234" s="35" t="n">
        <v>360</v>
      </c>
      <c r="I234" s="35" t="n"/>
      <c r="J234" s="33" t="n">
        <v>43</v>
      </c>
      <c r="K234" s="33" t="n"/>
      <c r="L234" s="36" t="n">
        <v>29.80392157</v>
      </c>
      <c r="M234" s="37" t="n">
        <v>33.7254902</v>
      </c>
      <c r="N234" s="32">
        <f>IF(L234="","",IF(L234&lt;0,"negative profit",IF(L234&gt;Notes!$B$4,"unusually high - verify","")))</f>
        <v/>
      </c>
      <c r="O234" s="32" t="inlineStr">
        <is>
          <t>both</t>
        </is>
      </c>
      <c r="P234" s="32">
        <f>IF(O234&lt;&gt;"both",O234&amp;" only",IF(Q234="","agree","conflict"))</f>
        <v/>
      </c>
      <c r="Q234" s="32">
        <f>IF(O234="both",TRIM(IF(I234&lt;&gt;"","price ","")&amp;IF(K234&lt;&gt;"","xp ","")&amp;IF(G234="differs","time","")),"")</f>
        <v/>
      </c>
      <c r="R234" s="32" t="inlineStr">
        <is>
          <t>hayday.info (primary values) + Fandom (times, cross-check)</t>
        </is>
      </c>
      <c r="S234" s="32" t="inlineStr">
        <is>
          <t>https://hayday.fandom.com/wiki/Popcorn_Pot</t>
        </is>
      </c>
    </row>
    <row r="235" ht="15" customHeight="1" s="29">
      <c r="A235" s="32" t="inlineStr">
        <is>
          <t>Chocolate Popcorn</t>
        </is>
      </c>
      <c r="B235" s="32" t="inlineStr">
        <is>
          <t>Popcorn Pot</t>
        </is>
      </c>
      <c r="C235" s="33" t="n">
        <v>44</v>
      </c>
      <c r="D235" s="34" t="n">
        <v>150</v>
      </c>
      <c r="E235" s="34" t="n">
        <v>127</v>
      </c>
      <c r="F235" s="34" t="n">
        <v>127</v>
      </c>
      <c r="G235" s="32">
        <f>IF(OR(F235="",AND(D235="",E235="")),"n/a",IF(F235=E235,"mastered",IF(F235=D235,"normal","differs")))</f>
        <v/>
      </c>
      <c r="H235" s="35" t="n">
        <v>248</v>
      </c>
      <c r="I235" s="35" t="n"/>
      <c r="J235" s="33" t="n">
        <v>29</v>
      </c>
      <c r="K235" s="33" t="n"/>
      <c r="L235" s="36" t="n">
        <v>29.17647059</v>
      </c>
      <c r="M235" s="37" t="n">
        <v>13.64705882</v>
      </c>
      <c r="N235" s="32">
        <f>IF(L235="","",IF(L235&lt;0,"negative profit",IF(L235&gt;Notes!$B$4,"unusually high - verify","")))</f>
        <v/>
      </c>
      <c r="O235" s="32" t="inlineStr">
        <is>
          <t>both</t>
        </is>
      </c>
      <c r="P235" s="32">
        <f>IF(O235&lt;&gt;"both",O235&amp;" only",IF(Q235="","agree","conflict"))</f>
        <v/>
      </c>
      <c r="Q235" s="32">
        <f>IF(O235="both",TRIM(IF(I235&lt;&gt;"","price ","")&amp;IF(K235&lt;&gt;"","xp ","")&amp;IF(G235="differs","time","")),"")</f>
        <v/>
      </c>
      <c r="R235" s="32" t="inlineStr">
        <is>
          <t>hayday.info (primary values) + Fandom (times, cross-check)</t>
        </is>
      </c>
      <c r="S235" s="32" t="inlineStr">
        <is>
          <t>https://hayday.fandom.com/wiki/Popcorn_Pot</t>
        </is>
      </c>
    </row>
    <row r="236" ht="15" customHeight="1" s="29">
      <c r="A236" s="32" t="inlineStr">
        <is>
          <t>Snack Mix</t>
        </is>
      </c>
      <c r="B236" s="32" t="inlineStr">
        <is>
          <t>Popcorn Pot</t>
        </is>
      </c>
      <c r="C236" s="33" t="n">
        <v>64</v>
      </c>
      <c r="D236" s="34" t="n"/>
      <c r="E236" s="34" t="n"/>
      <c r="F236" s="34" t="n">
        <v>38</v>
      </c>
      <c r="G236" s="32">
        <f>IF(OR(F236="",AND(D236="",E236="")),"n/a",IF(F236=E236,"mastered",IF(F236=D236,"normal","differs")))</f>
        <v/>
      </c>
      <c r="H236" s="35" t="n">
        <v>309</v>
      </c>
      <c r="I236" s="35" t="n"/>
      <c r="J236" s="33" t="n">
        <v>50</v>
      </c>
      <c r="K236" s="33" t="n"/>
      <c r="L236" s="36" t="n">
        <v>67.45098039</v>
      </c>
      <c r="M236" s="37" t="n">
        <v>78.43137255000001</v>
      </c>
      <c r="N236" s="32">
        <f>IF(L236="","",IF(L236&lt;0,"negative profit",IF(L236&gt;Notes!$B$4,"unusually high - verify","")))</f>
        <v/>
      </c>
      <c r="O236" s="32" t="inlineStr">
        <is>
          <t>hayday.info</t>
        </is>
      </c>
      <c r="P236" s="32">
        <f>IF(O236&lt;&gt;"both",O236&amp;" only",IF(Q236="","agree","conflict"))</f>
        <v/>
      </c>
      <c r="Q236" s="32">
        <f>IF(O236="both",TRIM(IF(I236&lt;&gt;"","price ","")&amp;IF(K236&lt;&gt;"","xp ","")&amp;IF(G236="differs","time","")),"")</f>
        <v/>
      </c>
      <c r="R236" s="32" t="inlineStr">
        <is>
          <t>hayday.info /api/production-data only</t>
        </is>
      </c>
      <c r="S236" s="32" t="n"/>
    </row>
    <row r="237" ht="15" customHeight="1" s="29">
      <c r="A237" s="32" t="inlineStr">
        <is>
          <t>Tea Pot</t>
        </is>
      </c>
      <c r="B237" s="32" t="inlineStr">
        <is>
          <t>Pottery Studio</t>
        </is>
      </c>
      <c r="C237" s="33" t="n">
        <v>94</v>
      </c>
      <c r="D237" s="34" t="n">
        <v>240</v>
      </c>
      <c r="E237" s="34" t="n">
        <v>204</v>
      </c>
      <c r="F237" s="34" t="n">
        <v>187</v>
      </c>
      <c r="G237" s="32">
        <f>IF(OR(F237="",AND(D237="",E237="")),"n/a",IF(F237=E237,"mastered",IF(F237=D237,"normal","differs")))</f>
        <v/>
      </c>
      <c r="H237" s="35" t="n">
        <v>219</v>
      </c>
      <c r="I237" s="35" t="n"/>
      <c r="J237" s="33" t="n">
        <v>26</v>
      </c>
      <c r="K237" s="33" t="n"/>
      <c r="L237" s="36" t="n">
        <v>25.6684492</v>
      </c>
      <c r="M237" s="37" t="n">
        <v>8.342245989</v>
      </c>
      <c r="N237" s="32">
        <f>IF(L237="","",IF(L237&lt;0,"negative profit",IF(L237&gt;Notes!$B$4,"unusually high - verify","")))</f>
        <v/>
      </c>
      <c r="O237" s="32" t="inlineStr">
        <is>
          <t>both</t>
        </is>
      </c>
      <c r="P237" s="32">
        <f>IF(O237&lt;&gt;"both",O237&amp;" only",IF(Q237="","agree","conflict"))</f>
        <v/>
      </c>
      <c r="Q237" s="32">
        <f>IF(O237="both",TRIM(IF(I237&lt;&gt;"","price ","")&amp;IF(K237&lt;&gt;"","xp ","")&amp;IF(G237="differs","time","")),"")</f>
        <v/>
      </c>
      <c r="R237" s="32" t="inlineStr">
        <is>
          <t>hayday.info (primary values) + Fandom (times, cross-check)</t>
        </is>
      </c>
      <c r="S237" s="32" t="inlineStr">
        <is>
          <t>https://hayday.fandom.com/wiki/Pottery_Studio</t>
        </is>
      </c>
    </row>
    <row r="238" ht="15" customHeight="1" s="29">
      <c r="A238" s="32" t="inlineStr">
        <is>
          <t>Potted Plant</t>
        </is>
      </c>
      <c r="B238" s="32" t="inlineStr">
        <is>
          <t>Pottery Studio</t>
        </is>
      </c>
      <c r="C238" s="33" t="n">
        <v>96</v>
      </c>
      <c r="D238" s="34" t="n">
        <v>220</v>
      </c>
      <c r="E238" s="34" t="n">
        <v>187</v>
      </c>
      <c r="F238" s="34" t="n">
        <v>187</v>
      </c>
      <c r="G238" s="32">
        <f>IF(OR(F238="",AND(D238="",E238="")),"n/a",IF(F238=E238,"mastered",IF(F238=D238,"normal","differs")))</f>
        <v/>
      </c>
      <c r="H238" s="35" t="n">
        <v>151</v>
      </c>
      <c r="I238" s="35" t="n"/>
      <c r="J238" s="33" t="n">
        <v>26</v>
      </c>
      <c r="K238" s="33" t="n"/>
      <c r="L238" s="36" t="n">
        <v>24.38502674</v>
      </c>
      <c r="M238" s="37" t="n">
        <v>8.342245989</v>
      </c>
      <c r="N238" s="32">
        <f>IF(L238="","",IF(L238&lt;0,"negative profit",IF(L238&gt;Notes!$B$4,"unusually high - verify","")))</f>
        <v/>
      </c>
      <c r="O238" s="32" t="inlineStr">
        <is>
          <t>both</t>
        </is>
      </c>
      <c r="P238" s="32">
        <f>IF(O238&lt;&gt;"both",O238&amp;" only",IF(Q238="","agree","conflict"))</f>
        <v/>
      </c>
      <c r="Q238" s="32">
        <f>IF(O238="both",TRIM(IF(I238&lt;&gt;"","price ","")&amp;IF(K238&lt;&gt;"","xp ","")&amp;IF(G238="differs","time","")),"")</f>
        <v/>
      </c>
      <c r="R238" s="32" t="inlineStr">
        <is>
          <t>hayday.info (primary values) + Fandom (times, cross-check)</t>
        </is>
      </c>
      <c r="S238" s="32" t="inlineStr">
        <is>
          <t>https://hayday.fandom.com/wiki/Pottery_Studio</t>
        </is>
      </c>
    </row>
    <row r="239" ht="15" customHeight="1" s="29">
      <c r="A239" s="32" t="inlineStr">
        <is>
          <t>Clay Mug</t>
        </is>
      </c>
      <c r="B239" s="32" t="inlineStr">
        <is>
          <t>Pottery Studio</t>
        </is>
      </c>
      <c r="C239" s="33" t="n">
        <v>99</v>
      </c>
      <c r="D239" s="34" t="n">
        <v>200</v>
      </c>
      <c r="E239" s="34" t="n">
        <v>170</v>
      </c>
      <c r="F239" s="34" t="n">
        <v>170</v>
      </c>
      <c r="G239" s="32">
        <f>IF(OR(F239="",AND(D239="",E239="")),"n/a",IF(F239=E239,"mastered",IF(F239=D239,"normal","differs")))</f>
        <v/>
      </c>
      <c r="H239" s="35" t="n">
        <v>212</v>
      </c>
      <c r="I239" s="35" t="n"/>
      <c r="J239" s="33" t="n">
        <v>25</v>
      </c>
      <c r="K239" s="33" t="n"/>
      <c r="L239" s="36" t="n">
        <v>25.41176471</v>
      </c>
      <c r="M239" s="37" t="n">
        <v>8.823529411999999</v>
      </c>
      <c r="N239" s="32">
        <f>IF(L239="","",IF(L239&lt;0,"negative profit",IF(L239&gt;Notes!$B$4,"unusually high - verify","")))</f>
        <v/>
      </c>
      <c r="O239" s="32" t="inlineStr">
        <is>
          <t>both</t>
        </is>
      </c>
      <c r="P239" s="32">
        <f>IF(O239&lt;&gt;"both",O239&amp;" only",IF(Q239="","agree","conflict"))</f>
        <v/>
      </c>
      <c r="Q239" s="32">
        <f>IF(O239="both",TRIM(IF(I239&lt;&gt;"","price ","")&amp;IF(K239&lt;&gt;"","xp ","")&amp;IF(G239="differs","time","")),"")</f>
        <v/>
      </c>
      <c r="R239" s="32" t="inlineStr">
        <is>
          <t>hayday.info (primary values) + Fandom (times, cross-check)</t>
        </is>
      </c>
      <c r="S239" s="32" t="inlineStr">
        <is>
          <t>https://hayday.fandom.com/wiki/Pottery_Studio</t>
        </is>
      </c>
    </row>
    <row r="240" ht="15" customHeight="1" s="29">
      <c r="A240" s="32" t="inlineStr">
        <is>
          <t>Pickles</t>
        </is>
      </c>
      <c r="B240" s="32" t="inlineStr">
        <is>
          <t>Preservation Station</t>
        </is>
      </c>
      <c r="C240" s="33" t="n">
        <v>91</v>
      </c>
      <c r="D240" s="34" t="n">
        <v>240</v>
      </c>
      <c r="E240" s="34" t="n">
        <v>204</v>
      </c>
      <c r="F240" s="34" t="n">
        <v>204</v>
      </c>
      <c r="G240" s="32">
        <f>IF(OR(F240="",AND(D240="",E240="")),"n/a",IF(F240=E240,"mastered",IF(F240=D240,"normal","differs")))</f>
        <v/>
      </c>
      <c r="H240" s="35" t="n">
        <v>270</v>
      </c>
      <c r="I240" s="35" t="n"/>
      <c r="J240" s="33" t="n">
        <v>32</v>
      </c>
      <c r="K240" s="33" t="n"/>
      <c r="L240" s="36" t="n">
        <v>16.76470588</v>
      </c>
      <c r="M240" s="37" t="n">
        <v>9.411764706</v>
      </c>
      <c r="N240" s="32">
        <f>IF(L240="","",IF(L240&lt;0,"negative profit",IF(L240&gt;Notes!$B$4,"unusually high - verify","")))</f>
        <v/>
      </c>
      <c r="O240" s="32" t="inlineStr">
        <is>
          <t>both</t>
        </is>
      </c>
      <c r="P240" s="32">
        <f>IF(O240&lt;&gt;"both",O240&amp;" only",IF(Q240="","agree","conflict"))</f>
        <v/>
      </c>
      <c r="Q240" s="32">
        <f>IF(O240="both",TRIM(IF(I240&lt;&gt;"","price ","")&amp;IF(K240&lt;&gt;"","xp ","")&amp;IF(G240="differs","time","")),"")</f>
        <v/>
      </c>
      <c r="R240" s="32" t="inlineStr">
        <is>
          <t>hayday.info (primary values) + Fandom (times, cross-check)</t>
        </is>
      </c>
      <c r="S240" s="32" t="inlineStr">
        <is>
          <t>https://hayday.fandom.com/wiki/Preservation_Station</t>
        </is>
      </c>
    </row>
    <row r="241" ht="15" customHeight="1" s="29">
      <c r="A241" s="32" t="inlineStr">
        <is>
          <t>Canned Fish</t>
        </is>
      </c>
      <c r="B241" s="32" t="inlineStr">
        <is>
          <t>Preservation Station</t>
        </is>
      </c>
      <c r="C241" s="33" t="n">
        <v>95</v>
      </c>
      <c r="D241" s="34" t="n">
        <v>220</v>
      </c>
      <c r="E241" s="34" t="n">
        <v>187</v>
      </c>
      <c r="F241" s="34" t="n">
        <v>187</v>
      </c>
      <c r="G241" s="32">
        <f>IF(OR(F241="",AND(D241="",E241="")),"n/a",IF(F241=E241,"mastered",IF(F241=D241,"normal","differs")))</f>
        <v/>
      </c>
      <c r="H241" s="35" t="n">
        <v>471</v>
      </c>
      <c r="I241" s="35" t="n"/>
      <c r="J241" s="33" t="n">
        <v>56</v>
      </c>
      <c r="K241" s="33" t="n"/>
      <c r="L241" s="36" t="n">
        <v>16.04278075</v>
      </c>
      <c r="M241" s="37" t="n">
        <v>17.96791444</v>
      </c>
      <c r="N241" s="32">
        <f>IF(L241="","",IF(L241&lt;0,"negative profit",IF(L241&gt;Notes!$B$4,"unusually high - verify","")))</f>
        <v/>
      </c>
      <c r="O241" s="32" t="inlineStr">
        <is>
          <t>both</t>
        </is>
      </c>
      <c r="P241" s="32">
        <f>IF(O241&lt;&gt;"both",O241&amp;" only",IF(Q241="","agree","conflict"))</f>
        <v/>
      </c>
      <c r="Q241" s="32">
        <f>IF(O241="both",TRIM(IF(I241&lt;&gt;"","price ","")&amp;IF(K241&lt;&gt;"","xp ","")&amp;IF(G241="differs","time","")),"")</f>
        <v/>
      </c>
      <c r="R241" s="32" t="inlineStr">
        <is>
          <t>hayday.info (primary values) + Fandom (times, cross-check)</t>
        </is>
      </c>
      <c r="S241" s="32" t="inlineStr">
        <is>
          <t>https://hayday.fandom.com/wiki/Preservation_Station</t>
        </is>
      </c>
    </row>
    <row r="242" ht="15" customHeight="1" s="29">
      <c r="A242" s="32" t="inlineStr">
        <is>
          <t>Kimchi</t>
        </is>
      </c>
      <c r="B242" s="32" t="inlineStr">
        <is>
          <t>Preservation Station</t>
        </is>
      </c>
      <c r="C242" s="33" t="n">
        <v>98</v>
      </c>
      <c r="D242" s="34" t="n">
        <v>300</v>
      </c>
      <c r="E242" s="34" t="n">
        <v>255</v>
      </c>
      <c r="F242" s="34" t="n">
        <v>255</v>
      </c>
      <c r="G242" s="32">
        <f>IF(OR(F242="",AND(D242="",E242="")),"n/a",IF(F242=E242,"mastered",IF(F242=D242,"normal","differs")))</f>
        <v/>
      </c>
      <c r="H242" s="35" t="n">
        <v>219</v>
      </c>
      <c r="I242" s="35" t="n"/>
      <c r="J242" s="33" t="n">
        <v>26</v>
      </c>
      <c r="K242" s="33" t="n"/>
      <c r="L242" s="36" t="n">
        <v>12</v>
      </c>
      <c r="M242" s="37" t="n">
        <v>6.117647059</v>
      </c>
      <c r="N242" s="32">
        <f>IF(L242="","",IF(L242&lt;0,"negative profit",IF(L242&gt;Notes!$B$4,"unusually high - verify","")))</f>
        <v/>
      </c>
      <c r="O242" s="32" t="inlineStr">
        <is>
          <t>both</t>
        </is>
      </c>
      <c r="P242" s="32">
        <f>IF(O242&lt;&gt;"both",O242&amp;" only",IF(Q242="","agree","conflict"))</f>
        <v/>
      </c>
      <c r="Q242" s="32">
        <f>IF(O242="both",TRIM(IF(I242&lt;&gt;"","price ","")&amp;IF(K242&lt;&gt;"","xp ","")&amp;IF(G242="differs","time","")),"")</f>
        <v/>
      </c>
      <c r="R242" s="32" t="inlineStr">
        <is>
          <t>hayday.info (primary values) + Fandom (times, cross-check)</t>
        </is>
      </c>
      <c r="S242" s="32" t="inlineStr">
        <is>
          <t>https://hayday.fandom.com/wiki/Preservation_Station</t>
        </is>
      </c>
    </row>
    <row r="243" ht="15" customHeight="1" s="29">
      <c r="A243" s="32" t="inlineStr">
        <is>
          <t>Dried Fruit</t>
        </is>
      </c>
      <c r="B243" s="32" t="inlineStr">
        <is>
          <t>Preservation Station</t>
        </is>
      </c>
      <c r="C243" s="33" t="n">
        <v>102</v>
      </c>
      <c r="D243" s="34" t="n">
        <v>180</v>
      </c>
      <c r="E243" s="34" t="n">
        <v>153</v>
      </c>
      <c r="F243" s="34" t="n">
        <v>153</v>
      </c>
      <c r="G243" s="32">
        <f>IF(OR(F243="",AND(D243="",E243="")),"n/a",IF(F243=E243,"mastered",IF(F243=D243,"normal","differs")))</f>
        <v/>
      </c>
      <c r="H243" s="35" t="n">
        <v>266</v>
      </c>
      <c r="I243" s="35" t="n"/>
      <c r="J243" s="33" t="n">
        <v>32</v>
      </c>
      <c r="K243" s="33" t="n"/>
      <c r="L243" s="36" t="n">
        <v>16.07843137</v>
      </c>
      <c r="M243" s="37" t="n">
        <v>12.54901961</v>
      </c>
      <c r="N243" s="32">
        <f>IF(L243="","",IF(L243&lt;0,"negative profit",IF(L243&gt;Notes!$B$4,"unusually high - verify","")))</f>
        <v/>
      </c>
      <c r="O243" s="32" t="inlineStr">
        <is>
          <t>both</t>
        </is>
      </c>
      <c r="P243" s="32">
        <f>IF(O243&lt;&gt;"both",O243&amp;" only",IF(Q243="","agree","conflict"))</f>
        <v/>
      </c>
      <c r="Q243" s="32">
        <f>IF(O243="both",TRIM(IF(I243&lt;&gt;"","price ","")&amp;IF(K243&lt;&gt;"","xp ","")&amp;IF(G243="differs","time","")),"")</f>
        <v/>
      </c>
      <c r="R243" s="32" t="inlineStr">
        <is>
          <t>hayday.info (primary values) + Fandom (times, cross-check)</t>
        </is>
      </c>
      <c r="S243" s="32" t="inlineStr">
        <is>
          <t>https://hayday.fandom.com/wiki/Preservation_Station</t>
        </is>
      </c>
    </row>
    <row r="244" ht="15" customHeight="1" s="29">
      <c r="A244" s="32" t="inlineStr">
        <is>
          <t>Guava Compote</t>
        </is>
      </c>
      <c r="B244" s="32" t="inlineStr">
        <is>
          <t>Preservation Station</t>
        </is>
      </c>
      <c r="C244" s="33" t="n">
        <v>104</v>
      </c>
      <c r="D244" s="34" t="n">
        <v>260</v>
      </c>
      <c r="E244" s="34" t="n">
        <v>221</v>
      </c>
      <c r="F244" s="34" t="n">
        <v>260</v>
      </c>
      <c r="G244" s="32">
        <f>IF(OR(F244="",AND(D244="",E244="")),"n/a",IF(F244=E244,"mastered",IF(F244=D244,"normal","differs")))</f>
        <v/>
      </c>
      <c r="H244" s="35" t="n">
        <v>421</v>
      </c>
      <c r="I244" s="35" t="n"/>
      <c r="J244" s="33" t="n">
        <v>50</v>
      </c>
      <c r="K244" s="33" t="n"/>
      <c r="L244" s="36" t="n">
        <v>12.92307692</v>
      </c>
      <c r="M244" s="37" t="n">
        <v>11.53846154</v>
      </c>
      <c r="N244" s="32">
        <f>IF(L244="","",IF(L244&lt;0,"negative profit",IF(L244&gt;Notes!$B$4,"unusually high - verify","")))</f>
        <v/>
      </c>
      <c r="O244" s="32" t="inlineStr">
        <is>
          <t>both</t>
        </is>
      </c>
      <c r="P244" s="32">
        <f>IF(O244&lt;&gt;"both",O244&amp;" only",IF(Q244="","agree","conflict"))</f>
        <v/>
      </c>
      <c r="Q244" s="32">
        <f>IF(O244="both",TRIM(IF(I244&lt;&gt;"","price ","")&amp;IF(K244&lt;&gt;"","xp ","")&amp;IF(G244="differs","time","")),"")</f>
        <v/>
      </c>
      <c r="R244" s="32" t="inlineStr">
        <is>
          <t>hayday.info (primary values) + Fandom (times, cross-check)</t>
        </is>
      </c>
      <c r="S244" s="32" t="inlineStr">
        <is>
          <t>https://hayday.fandom.com/wiki/Preservation_Station</t>
        </is>
      </c>
    </row>
    <row r="245" ht="15" customHeight="1" s="29">
      <c r="A245" s="32" t="inlineStr">
        <is>
          <t>Feta Salad</t>
        </is>
      </c>
      <c r="B245" s="32" t="inlineStr">
        <is>
          <t>Salad Bar</t>
        </is>
      </c>
      <c r="C245" s="33" t="n">
        <v>58</v>
      </c>
      <c r="D245" s="34" t="n"/>
      <c r="E245" s="34" t="n"/>
      <c r="F245" s="34" t="n">
        <v>76</v>
      </c>
      <c r="G245" s="32">
        <f>IF(OR(F245="",AND(D245="",E245="")),"n/a",IF(F245=E245,"mastered",IF(F245=D245,"normal","differs")))</f>
        <v/>
      </c>
      <c r="H245" s="35" t="n">
        <v>745</v>
      </c>
      <c r="I245" s="35" t="n"/>
      <c r="J245" s="33" t="n">
        <v>89</v>
      </c>
      <c r="K245" s="33" t="n"/>
      <c r="L245" s="36" t="n">
        <v>33.7254902</v>
      </c>
      <c r="M245" s="37" t="n">
        <v>69.80392157</v>
      </c>
      <c r="N245" s="32">
        <f>IF(L245="","",IF(L245&lt;0,"negative profit",IF(L245&gt;Notes!$B$4,"unusually high - verify","")))</f>
        <v/>
      </c>
      <c r="O245" s="32" t="inlineStr">
        <is>
          <t>hayday.info</t>
        </is>
      </c>
      <c r="P245" s="32">
        <f>IF(O245&lt;&gt;"both",O245&amp;" only",IF(Q245="","agree","conflict"))</f>
        <v/>
      </c>
      <c r="Q245" s="32">
        <f>IF(O245="both",TRIM(IF(I245&lt;&gt;"","price ","")&amp;IF(K245&lt;&gt;"","xp ","")&amp;IF(G245="differs","time","")),"")</f>
        <v/>
      </c>
      <c r="R245" s="32" t="inlineStr">
        <is>
          <t>hayday.info /api/production-data only</t>
        </is>
      </c>
      <c r="S245" s="32" t="n"/>
    </row>
    <row r="246" ht="15" customHeight="1" s="29">
      <c r="A246" s="32" t="inlineStr">
        <is>
          <t>BLT Salad</t>
        </is>
      </c>
      <c r="B246" s="32" t="inlineStr">
        <is>
          <t>Salad Bar</t>
        </is>
      </c>
      <c r="C246" s="33" t="n">
        <v>62</v>
      </c>
      <c r="D246" s="34" t="n"/>
      <c r="E246" s="34" t="n"/>
      <c r="F246" s="34" t="n">
        <v>89</v>
      </c>
      <c r="G246" s="32">
        <f>IF(OR(F246="",AND(D246="",E246="")),"n/a",IF(F246=E246,"mastered",IF(F246=D246,"normal","differs")))</f>
        <v/>
      </c>
      <c r="H246" s="35" t="n">
        <v>723</v>
      </c>
      <c r="I246" s="35" t="n"/>
      <c r="J246" s="33" t="n">
        <v>86</v>
      </c>
      <c r="K246" s="33" t="n"/>
      <c r="L246" s="36" t="n">
        <v>28.23529412</v>
      </c>
      <c r="M246" s="37" t="n">
        <v>57.81512605</v>
      </c>
      <c r="N246" s="32">
        <f>IF(L246="","",IF(L246&lt;0,"negative profit",IF(L246&gt;Notes!$B$4,"unusually high - verify","")))</f>
        <v/>
      </c>
      <c r="O246" s="32" t="inlineStr">
        <is>
          <t>hayday.info</t>
        </is>
      </c>
      <c r="P246" s="32">
        <f>IF(O246&lt;&gt;"both",O246&amp;" only",IF(Q246="","agree","conflict"))</f>
        <v/>
      </c>
      <c r="Q246" s="32">
        <f>IF(O246="both",TRIM(IF(I246&lt;&gt;"","price ","")&amp;IF(K246&lt;&gt;"","xp ","")&amp;IF(G246="differs","time","")),"")</f>
        <v/>
      </c>
      <c r="R246" s="32" t="inlineStr">
        <is>
          <t>hayday.info /api/production-data only</t>
        </is>
      </c>
      <c r="S246" s="32" t="n"/>
    </row>
    <row r="247" ht="15" customHeight="1" s="29">
      <c r="A247" s="32" t="inlineStr">
        <is>
          <t>Seafood Salad</t>
        </is>
      </c>
      <c r="B247" s="32" t="inlineStr">
        <is>
          <t>Salad Bar</t>
        </is>
      </c>
      <c r="C247" s="33" t="n">
        <v>64</v>
      </c>
      <c r="D247" s="34" t="n"/>
      <c r="E247" s="34" t="n"/>
      <c r="F247" s="34" t="n">
        <v>102</v>
      </c>
      <c r="G247" s="32">
        <f>IF(OR(F247="",AND(D247="",E247="")),"n/a",IF(F247=E247,"mastered",IF(F247=D247,"normal","differs")))</f>
        <v/>
      </c>
      <c r="H247" s="35" t="n">
        <v>763</v>
      </c>
      <c r="I247" s="35" t="n"/>
      <c r="J247" s="33" t="n">
        <v>91</v>
      </c>
      <c r="K247" s="33" t="n"/>
      <c r="L247" s="36" t="n">
        <v>26.47058824</v>
      </c>
      <c r="M247" s="37" t="n">
        <v>53.52941176</v>
      </c>
      <c r="N247" s="32">
        <f>IF(L247="","",IF(L247&lt;0,"negative profit",IF(L247&gt;Notes!$B$4,"unusually high - verify","")))</f>
        <v/>
      </c>
      <c r="O247" s="32" t="inlineStr">
        <is>
          <t>hayday.info</t>
        </is>
      </c>
      <c r="P247" s="32">
        <f>IF(O247&lt;&gt;"both",O247&amp;" only",IF(Q247="","agree","conflict"))</f>
        <v/>
      </c>
      <c r="Q247" s="32">
        <f>IF(O247="both",TRIM(IF(I247&lt;&gt;"","price ","")&amp;IF(K247&lt;&gt;"","xp ","")&amp;IF(G247="differs","time","")),"")</f>
        <v/>
      </c>
      <c r="R247" s="32" t="inlineStr">
        <is>
          <t>hayday.info /api/production-data only</t>
        </is>
      </c>
      <c r="S247" s="32" t="n"/>
    </row>
    <row r="248" ht="15" customHeight="1" s="29">
      <c r="A248" s="32" t="inlineStr">
        <is>
          <t>Pasta Salad</t>
        </is>
      </c>
      <c r="B248" s="32" t="inlineStr">
        <is>
          <t>Salad Bar</t>
        </is>
      </c>
      <c r="C248" s="33" t="n">
        <v>67</v>
      </c>
      <c r="D248" s="34" t="n"/>
      <c r="E248" s="34" t="n"/>
      <c r="F248" s="34" t="n">
        <v>127</v>
      </c>
      <c r="G248" s="32">
        <f>IF(OR(F248="",AND(D248="",E248="")),"n/a",IF(F248=E248,"mastered",IF(F248=D248,"normal","differs")))</f>
        <v/>
      </c>
      <c r="H248" s="35" t="n">
        <v>759</v>
      </c>
      <c r="I248" s="35" t="n"/>
      <c r="J248" s="33" t="n">
        <v>90</v>
      </c>
      <c r="K248" s="33" t="n"/>
      <c r="L248" s="36" t="n">
        <v>17.88235294</v>
      </c>
      <c r="M248" s="37" t="n">
        <v>42.35294118</v>
      </c>
      <c r="N248" s="32">
        <f>IF(L248="","",IF(L248&lt;0,"negative profit",IF(L248&gt;Notes!$B$4,"unusually high - verify","")))</f>
        <v/>
      </c>
      <c r="O248" s="32" t="inlineStr">
        <is>
          <t>hayday.info</t>
        </is>
      </c>
      <c r="P248" s="32">
        <f>IF(O248&lt;&gt;"both",O248&amp;" only",IF(Q248="","agree","conflict"))</f>
        <v/>
      </c>
      <c r="Q248" s="32">
        <f>IF(O248="both",TRIM(IF(I248&lt;&gt;"","price ","")&amp;IF(K248&lt;&gt;"","xp ","")&amp;IF(G248="differs","time","")),"")</f>
        <v/>
      </c>
      <c r="R248" s="32" t="inlineStr">
        <is>
          <t>hayday.info /api/production-data only</t>
        </is>
      </c>
      <c r="S248" s="32" t="n"/>
    </row>
    <row r="249" ht="15" customHeight="1" s="29">
      <c r="A249" s="32" t="inlineStr">
        <is>
          <t>Veggie Platter</t>
        </is>
      </c>
      <c r="B249" s="32" t="inlineStr">
        <is>
          <t>Salad Bar</t>
        </is>
      </c>
      <c r="C249" s="33" t="n">
        <v>74</v>
      </c>
      <c r="D249" s="34" t="n"/>
      <c r="E249" s="34" t="n"/>
      <c r="F249" s="34" t="n">
        <v>102</v>
      </c>
      <c r="G249" s="32">
        <f>IF(OR(F249="",AND(D249="",E249="")),"n/a",IF(F249=E249,"mastered",IF(F249=D249,"normal","differs")))</f>
        <v/>
      </c>
      <c r="H249" s="35" t="n">
        <v>266</v>
      </c>
      <c r="I249" s="35" t="n"/>
      <c r="J249" s="33" t="n">
        <v>32</v>
      </c>
      <c r="K249" s="33" t="n"/>
      <c r="L249" s="36" t="n">
        <v>25.88235294</v>
      </c>
      <c r="M249" s="37" t="n">
        <v>18.82352941</v>
      </c>
      <c r="N249" s="32">
        <f>IF(L249="","",IF(L249&lt;0,"negative profit",IF(L249&gt;Notes!$B$4,"unusually high - verify","")))</f>
        <v/>
      </c>
      <c r="O249" s="32" t="inlineStr">
        <is>
          <t>hayday.info</t>
        </is>
      </c>
      <c r="P249" s="32">
        <f>IF(O249&lt;&gt;"both",O249&amp;" only",IF(Q249="","agree","conflict"))</f>
        <v/>
      </c>
      <c r="Q249" s="32">
        <f>IF(O249="both",TRIM(IF(I249&lt;&gt;"","price ","")&amp;IF(K249&lt;&gt;"","xp ","")&amp;IF(G249="differs","time","")),"")</f>
        <v/>
      </c>
      <c r="R249" s="32" t="inlineStr">
        <is>
          <t>hayday.info /api/production-data only</t>
        </is>
      </c>
      <c r="S249" s="32" t="n"/>
    </row>
    <row r="250" ht="15" customHeight="1" s="29">
      <c r="A250" s="32" t="inlineStr">
        <is>
          <t>Coleslaw</t>
        </is>
      </c>
      <c r="B250" s="32" t="inlineStr">
        <is>
          <t>Salad Bar</t>
        </is>
      </c>
      <c r="C250" s="33" t="n">
        <v>75</v>
      </c>
      <c r="D250" s="34" t="n"/>
      <c r="E250" s="34" t="n"/>
      <c r="F250" s="34" t="n">
        <v>63</v>
      </c>
      <c r="G250" s="32">
        <f>IF(OR(F250="",AND(D250="",E250="")),"n/a",IF(F250=E250,"mastered",IF(F250=D250,"normal","differs")))</f>
        <v/>
      </c>
      <c r="H250" s="35" t="n">
        <v>468</v>
      </c>
      <c r="I250" s="35" t="n"/>
      <c r="J250" s="33" t="n">
        <v>56</v>
      </c>
      <c r="K250" s="33" t="n"/>
      <c r="L250" s="36" t="n">
        <v>31.05882353</v>
      </c>
      <c r="M250" s="37" t="n">
        <v>52.70588235</v>
      </c>
      <c r="N250" s="32">
        <f>IF(L250="","",IF(L250&lt;0,"negative profit",IF(L250&gt;Notes!$B$4,"unusually high - verify","")))</f>
        <v/>
      </c>
      <c r="O250" s="32" t="inlineStr">
        <is>
          <t>hayday.info</t>
        </is>
      </c>
      <c r="P250" s="32">
        <f>IF(O250&lt;&gt;"both",O250&amp;" only",IF(Q250="","agree","conflict"))</f>
        <v/>
      </c>
      <c r="Q250" s="32">
        <f>IF(O250="both",TRIM(IF(I250&lt;&gt;"","price ","")&amp;IF(K250&lt;&gt;"","xp ","")&amp;IF(G250="differs","time","")),"")</f>
        <v/>
      </c>
      <c r="R250" s="32" t="inlineStr">
        <is>
          <t>hayday.info /api/production-data only</t>
        </is>
      </c>
      <c r="S250" s="32" t="n"/>
    </row>
    <row r="251" ht="15" customHeight="1" s="29">
      <c r="A251" s="32" t="inlineStr">
        <is>
          <t>Beetroot Salad</t>
        </is>
      </c>
      <c r="B251" s="32" t="inlineStr">
        <is>
          <t>Salad Bar</t>
        </is>
      </c>
      <c r="C251" s="33" t="n">
        <v>76</v>
      </c>
      <c r="D251" s="34" t="n"/>
      <c r="E251" s="34" t="n"/>
      <c r="F251" s="34" t="n">
        <v>38</v>
      </c>
      <c r="G251" s="32">
        <f>IF(OR(F251="",AND(D251="",E251="")),"n/a",IF(F251=E251,"mastered",IF(F251=D251,"normal","differs")))</f>
        <v/>
      </c>
      <c r="H251" s="35" t="n">
        <v>234</v>
      </c>
      <c r="I251" s="35" t="n"/>
      <c r="J251" s="33" t="n">
        <v>28</v>
      </c>
      <c r="K251" s="33" t="n"/>
      <c r="L251" s="36" t="n">
        <v>47.05882353</v>
      </c>
      <c r="M251" s="37" t="n">
        <v>43.92156863</v>
      </c>
      <c r="N251" s="32">
        <f>IF(L251="","",IF(L251&lt;0,"negative profit",IF(L251&gt;Notes!$B$4,"unusually high - verify","")))</f>
        <v/>
      </c>
      <c r="O251" s="32" t="inlineStr">
        <is>
          <t>hayday.info</t>
        </is>
      </c>
      <c r="P251" s="32">
        <f>IF(O251&lt;&gt;"both",O251&amp;" only",IF(Q251="","agree","conflict"))</f>
        <v/>
      </c>
      <c r="Q251" s="32">
        <f>IF(O251="both",TRIM(IF(I251&lt;&gt;"","price ","")&amp;IF(K251&lt;&gt;"","xp ","")&amp;IF(G251="differs","time","")),"")</f>
        <v/>
      </c>
      <c r="R251" s="32" t="inlineStr">
        <is>
          <t>hayday.info /api/production-data only</t>
        </is>
      </c>
      <c r="S251" s="32" t="n"/>
    </row>
    <row r="252" ht="15" customHeight="1" s="29">
      <c r="A252" s="32" t="inlineStr">
        <is>
          <t>Summer Rolls</t>
        </is>
      </c>
      <c r="B252" s="32" t="inlineStr">
        <is>
          <t>Salad Bar</t>
        </is>
      </c>
      <c r="C252" s="33" t="n">
        <v>78</v>
      </c>
      <c r="D252" s="34" t="n"/>
      <c r="E252" s="34" t="n"/>
      <c r="F252" s="34" t="n">
        <v>51</v>
      </c>
      <c r="G252" s="32">
        <f>IF(OR(F252="",AND(D252="",E252="")),"n/a",IF(F252=E252,"mastered",IF(F252=D252,"normal","differs")))</f>
        <v/>
      </c>
      <c r="H252" s="35" t="n">
        <v>316</v>
      </c>
      <c r="I252" s="35" t="n"/>
      <c r="J252" s="33" t="n">
        <v>38</v>
      </c>
      <c r="K252" s="33" t="n"/>
      <c r="L252" s="36" t="n">
        <v>40</v>
      </c>
      <c r="M252" s="37" t="n">
        <v>44.70588235</v>
      </c>
      <c r="N252" s="32">
        <f>IF(L252="","",IF(L252&lt;0,"negative profit",IF(L252&gt;Notes!$B$4,"unusually high - verify","")))</f>
        <v/>
      </c>
      <c r="O252" s="32" t="inlineStr">
        <is>
          <t>hayday.info</t>
        </is>
      </c>
      <c r="P252" s="32">
        <f>IF(O252&lt;&gt;"both",O252&amp;" only",IF(Q252="","agree","conflict"))</f>
        <v/>
      </c>
      <c r="Q252" s="32">
        <f>IF(O252="both",TRIM(IF(I252&lt;&gt;"","price ","")&amp;IF(K252&lt;&gt;"","xp ","")&amp;IF(G252="differs","time","")),"")</f>
        <v/>
      </c>
      <c r="R252" s="32" t="inlineStr">
        <is>
          <t>hayday.info /api/production-data only</t>
        </is>
      </c>
      <c r="S252" s="32" t="n"/>
    </row>
    <row r="253" ht="15" customHeight="1" s="29">
      <c r="A253" s="32" t="inlineStr">
        <is>
          <t>Fruit Salad</t>
        </is>
      </c>
      <c r="B253" s="32" t="inlineStr">
        <is>
          <t>Salad Bar</t>
        </is>
      </c>
      <c r="C253" s="33" t="n">
        <v>82</v>
      </c>
      <c r="D253" s="34" t="n"/>
      <c r="E253" s="34" t="n"/>
      <c r="F253" s="34" t="n">
        <v>102</v>
      </c>
      <c r="G253" s="32">
        <f>IF(OR(F253="",AND(D253="",E253="")),"n/a",IF(F253=E253,"mastered",IF(F253=D253,"normal","differs")))</f>
        <v/>
      </c>
      <c r="H253" s="35" t="n">
        <v>597</v>
      </c>
      <c r="I253" s="35" t="n"/>
      <c r="J253" s="33" t="n">
        <v>71</v>
      </c>
      <c r="K253" s="33" t="n"/>
      <c r="L253" s="36" t="n">
        <v>18.82352941</v>
      </c>
      <c r="M253" s="37" t="n">
        <v>41.76470588</v>
      </c>
      <c r="N253" s="32">
        <f>IF(L253="","",IF(L253&lt;0,"negative profit",IF(L253&gt;Notes!$B$4,"unusually high - verify","")))</f>
        <v/>
      </c>
      <c r="O253" s="32" t="inlineStr">
        <is>
          <t>hayday.info</t>
        </is>
      </c>
      <c r="P253" s="32">
        <f>IF(O253&lt;&gt;"both",O253&amp;" only",IF(Q253="","agree","conflict"))</f>
        <v/>
      </c>
      <c r="Q253" s="32">
        <f>IF(O253="both",TRIM(IF(I253&lt;&gt;"","price ","")&amp;IF(K253&lt;&gt;"","xp ","")&amp;IF(G253="differs","time","")),"")</f>
        <v/>
      </c>
      <c r="R253" s="32" t="inlineStr">
        <is>
          <t>hayday.info /api/production-data only</t>
        </is>
      </c>
      <c r="S253" s="32" t="n"/>
    </row>
    <row r="254" ht="15" customHeight="1" s="29">
      <c r="A254" s="32" t="inlineStr">
        <is>
          <t>Summer Salad</t>
        </is>
      </c>
      <c r="B254" s="32" t="inlineStr">
        <is>
          <t>Salad Bar</t>
        </is>
      </c>
      <c r="C254" s="33" t="n">
        <v>84</v>
      </c>
      <c r="D254" s="34" t="n"/>
      <c r="E254" s="34" t="n"/>
      <c r="F254" s="34" t="n">
        <v>153</v>
      </c>
      <c r="G254" s="32">
        <f>IF(OR(F254="",AND(D254="",E254="")),"n/a",IF(F254=E254,"mastered",IF(F254=D254,"normal","differs")))</f>
        <v/>
      </c>
      <c r="H254" s="35" t="n">
        <v>554</v>
      </c>
      <c r="I254" s="35" t="n"/>
      <c r="J254" s="33" t="n">
        <v>66</v>
      </c>
      <c r="K254" s="33" t="n"/>
      <c r="L254" s="36" t="n">
        <v>18.03921569</v>
      </c>
      <c r="M254" s="37" t="n">
        <v>25.88235294</v>
      </c>
      <c r="N254" s="32">
        <f>IF(L254="","",IF(L254&lt;0,"negative profit",IF(L254&gt;Notes!$B$4,"unusually high - verify","")))</f>
        <v/>
      </c>
      <c r="O254" s="32" t="inlineStr">
        <is>
          <t>hayday.info</t>
        </is>
      </c>
      <c r="P254" s="32">
        <f>IF(O254&lt;&gt;"both",O254&amp;" only",IF(Q254="","agree","conflict"))</f>
        <v/>
      </c>
      <c r="Q254" s="32">
        <f>IF(O254="both",TRIM(IF(I254&lt;&gt;"","price ","")&amp;IF(K254&lt;&gt;"","xp ","")&amp;IF(G254="differs","time","")),"")</f>
        <v/>
      </c>
      <c r="R254" s="32" t="inlineStr">
        <is>
          <t>hayday.info /api/production-data only</t>
        </is>
      </c>
      <c r="S254" s="32" t="n"/>
    </row>
    <row r="255" ht="15" customHeight="1" s="29">
      <c r="A255" s="32" t="inlineStr">
        <is>
          <t>Mushroom Salad</t>
        </is>
      </c>
      <c r="B255" s="32" t="inlineStr">
        <is>
          <t>Salad Bar</t>
        </is>
      </c>
      <c r="C255" s="33" t="n">
        <v>89</v>
      </c>
      <c r="D255" s="34" t="n"/>
      <c r="E255" s="34" t="n"/>
      <c r="F255" s="34" t="n">
        <v>51</v>
      </c>
      <c r="G255" s="32">
        <f>IF(OR(F255="",AND(D255="",E255="")),"n/a",IF(F255=E255,"mastered",IF(F255=D255,"normal","differs")))</f>
        <v/>
      </c>
      <c r="H255" s="35" t="n">
        <v>216</v>
      </c>
      <c r="I255" s="35" t="n"/>
      <c r="J255" s="33" t="n">
        <v>26</v>
      </c>
      <c r="K255" s="33" t="n"/>
      <c r="L255" s="36" t="n">
        <v>37.64705882</v>
      </c>
      <c r="M255" s="37" t="n">
        <v>30.58823529</v>
      </c>
      <c r="N255" s="32">
        <f>IF(L255="","",IF(L255&lt;0,"negative profit",IF(L255&gt;Notes!$B$4,"unusually high - verify","")))</f>
        <v/>
      </c>
      <c r="O255" s="32" t="inlineStr">
        <is>
          <t>hayday.info</t>
        </is>
      </c>
      <c r="P255" s="32">
        <f>IF(O255&lt;&gt;"both",O255&amp;" only",IF(Q255="","agree","conflict"))</f>
        <v/>
      </c>
      <c r="Q255" s="32">
        <f>IF(O255="both",TRIM(IF(I255&lt;&gt;"","price ","")&amp;IF(K255&lt;&gt;"","xp ","")&amp;IF(G255="differs","time","")),"")</f>
        <v/>
      </c>
      <c r="R255" s="32" t="inlineStr">
        <is>
          <t>hayday.info /api/production-data only</t>
        </is>
      </c>
      <c r="S255" s="32" t="n"/>
    </row>
    <row r="256" ht="15" customHeight="1" s="29">
      <c r="A256" s="32" t="inlineStr">
        <is>
          <t>Veggie Bagel</t>
        </is>
      </c>
      <c r="B256" s="32" t="inlineStr">
        <is>
          <t>Sandwich Bar</t>
        </is>
      </c>
      <c r="C256" s="33" t="n">
        <v>61</v>
      </c>
      <c r="D256" s="34" t="n">
        <v>40</v>
      </c>
      <c r="E256" s="34" t="n">
        <v>34</v>
      </c>
      <c r="F256" s="34" t="n">
        <v>34</v>
      </c>
      <c r="G256" s="32">
        <f>IF(OR(F256="",AND(D256="",E256="")),"n/a",IF(F256=E256,"mastered",IF(F256=D256,"normal","differs")))</f>
        <v/>
      </c>
      <c r="H256" s="35" t="n">
        <v>532</v>
      </c>
      <c r="I256" s="35" t="n"/>
      <c r="J256" s="33" t="n">
        <v>63</v>
      </c>
      <c r="K256" s="33" t="n"/>
      <c r="L256" s="36" t="n">
        <v>54.70588235</v>
      </c>
      <c r="M256" s="37" t="n">
        <v>111.1764706</v>
      </c>
      <c r="N256" s="32">
        <f>IF(L256="","",IF(L256&lt;0,"negative profit",IF(L256&gt;Notes!$B$4,"unusually high - verify","")))</f>
        <v/>
      </c>
      <c r="O256" s="32" t="inlineStr">
        <is>
          <t>both</t>
        </is>
      </c>
      <c r="P256" s="32">
        <f>IF(O256&lt;&gt;"both",O256&amp;" only",IF(Q256="","agree","conflict"))</f>
        <v/>
      </c>
      <c r="Q256" s="32">
        <f>IF(O256="both",TRIM(IF(I256&lt;&gt;"","price ","")&amp;IF(K256&lt;&gt;"","xp ","")&amp;IF(G256="differs","time","")),"")</f>
        <v/>
      </c>
      <c r="R256" s="32" t="inlineStr">
        <is>
          <t>hayday.info (primary values) + Fandom (times, cross-check)</t>
        </is>
      </c>
      <c r="S256" s="32" t="inlineStr">
        <is>
          <t>https://hayday.fandom.com/wiki/Sandwich_Bar</t>
        </is>
      </c>
    </row>
    <row r="257" ht="15" customHeight="1" s="29">
      <c r="A257" s="32" t="inlineStr">
        <is>
          <t>Bacon Toast</t>
        </is>
      </c>
      <c r="B257" s="32" t="inlineStr">
        <is>
          <t>Sandwich Bar</t>
        </is>
      </c>
      <c r="C257" s="33" t="n">
        <v>65</v>
      </c>
      <c r="D257" s="34" t="n">
        <v>100</v>
      </c>
      <c r="E257" s="34" t="n">
        <v>85</v>
      </c>
      <c r="F257" s="34" t="n">
        <v>85</v>
      </c>
      <c r="G257" s="32">
        <f>IF(OR(F257="",AND(D257="",E257="")),"n/a",IF(F257=E257,"mastered",IF(F257=D257,"normal","differs")))</f>
        <v/>
      </c>
      <c r="H257" s="35" t="n">
        <v>648</v>
      </c>
      <c r="I257" s="35" t="n"/>
      <c r="J257" s="33" t="n">
        <v>77</v>
      </c>
      <c r="K257" s="33" t="n"/>
      <c r="L257" s="36" t="n">
        <v>30.35294118</v>
      </c>
      <c r="M257" s="37" t="n">
        <v>54.35294118</v>
      </c>
      <c r="N257" s="32">
        <f>IF(L257="","",IF(L257&lt;0,"negative profit",IF(L257&gt;Notes!$B$4,"unusually high - verify","")))</f>
        <v/>
      </c>
      <c r="O257" s="32" t="inlineStr">
        <is>
          <t>both</t>
        </is>
      </c>
      <c r="P257" s="32">
        <f>IF(O257&lt;&gt;"both",O257&amp;" only",IF(Q257="","agree","conflict"))</f>
        <v/>
      </c>
      <c r="Q257" s="32">
        <f>IF(O257="both",TRIM(IF(I257&lt;&gt;"","price ","")&amp;IF(K257&lt;&gt;"","xp ","")&amp;IF(G257="differs","time","")),"")</f>
        <v/>
      </c>
      <c r="R257" s="32" t="inlineStr">
        <is>
          <t>hayday.info (primary values) + Fandom (times, cross-check)</t>
        </is>
      </c>
      <c r="S257" s="32" t="inlineStr">
        <is>
          <t>https://hayday.fandom.com/wiki/Sandwich_Bar</t>
        </is>
      </c>
    </row>
    <row r="258" ht="15" customHeight="1" s="29">
      <c r="A258" s="32" t="inlineStr">
        <is>
          <t>Egg Sandwich</t>
        </is>
      </c>
      <c r="B258" s="32" t="inlineStr">
        <is>
          <t>Sandwich Bar</t>
        </is>
      </c>
      <c r="C258" s="33" t="n">
        <v>66</v>
      </c>
      <c r="D258" s="34" t="n">
        <v>80</v>
      </c>
      <c r="E258" s="34" t="n">
        <v>68</v>
      </c>
      <c r="F258" s="34" t="n">
        <v>68</v>
      </c>
      <c r="G258" s="32">
        <f>IF(OR(F258="",AND(D258="",E258="")),"n/a",IF(F258=E258,"mastered",IF(F258=D258,"normal","differs")))</f>
        <v/>
      </c>
      <c r="H258" s="35" t="n">
        <v>583</v>
      </c>
      <c r="I258" s="35" t="n"/>
      <c r="J258" s="33" t="n">
        <v>69</v>
      </c>
      <c r="K258" s="33" t="n"/>
      <c r="L258" s="36" t="n">
        <v>37.05882353</v>
      </c>
      <c r="M258" s="37" t="n">
        <v>60.88235294</v>
      </c>
      <c r="N258" s="32">
        <f>IF(L258="","",IF(L258&lt;0,"negative profit",IF(L258&gt;Notes!$B$4,"unusually high - verify","")))</f>
        <v/>
      </c>
      <c r="O258" s="32" t="inlineStr">
        <is>
          <t>both</t>
        </is>
      </c>
      <c r="P258" s="32">
        <f>IF(O258&lt;&gt;"both",O258&amp;" only",IF(Q258="","agree","conflict"))</f>
        <v/>
      </c>
      <c r="Q258" s="32">
        <f>IF(O258="both",TRIM(IF(I258&lt;&gt;"","price ","")&amp;IF(K258&lt;&gt;"","xp ","")&amp;IF(G258="differs","time","")),"")</f>
        <v/>
      </c>
      <c r="R258" s="32" t="inlineStr">
        <is>
          <t>hayday.info (primary values) + Fandom (times, cross-check)</t>
        </is>
      </c>
      <c r="S258" s="32" t="inlineStr">
        <is>
          <t>https://hayday.fandom.com/wiki/Sandwich_Bar</t>
        </is>
      </c>
    </row>
    <row r="259" ht="15" customHeight="1" s="29">
      <c r="A259" s="32" t="inlineStr">
        <is>
          <t>Honey Toast</t>
        </is>
      </c>
      <c r="B259" s="32" t="inlineStr">
        <is>
          <t>Sandwich Bar</t>
        </is>
      </c>
      <c r="C259" s="33" t="n">
        <v>69</v>
      </c>
      <c r="D259" s="34" t="n">
        <v>60</v>
      </c>
      <c r="E259" s="34" t="n">
        <v>51</v>
      </c>
      <c r="F259" s="34" t="n">
        <v>51</v>
      </c>
      <c r="G259" s="32">
        <f>IF(OR(F259="",AND(D259="",E259="")),"n/a",IF(F259=E259,"mastered",IF(F259=D259,"normal","differs")))</f>
        <v/>
      </c>
      <c r="H259" s="35" t="n">
        <v>255</v>
      </c>
      <c r="I259" s="35" t="n"/>
      <c r="J259" s="33" t="n">
        <v>31</v>
      </c>
      <c r="K259" s="33" t="n"/>
      <c r="L259" s="36" t="n">
        <v>35.29411765</v>
      </c>
      <c r="M259" s="37" t="n">
        <v>36.47058824</v>
      </c>
      <c r="N259" s="32">
        <f>IF(L259="","",IF(L259&lt;0,"negative profit",IF(L259&gt;Notes!$B$4,"unusually high - verify","")))</f>
        <v/>
      </c>
      <c r="O259" s="32" t="inlineStr">
        <is>
          <t>both</t>
        </is>
      </c>
      <c r="P259" s="32">
        <f>IF(O259&lt;&gt;"both",O259&amp;" only",IF(Q259="","agree","conflict"))</f>
        <v/>
      </c>
      <c r="Q259" s="32">
        <f>IF(O259="both",TRIM(IF(I259&lt;&gt;"","price ","")&amp;IF(K259&lt;&gt;"","xp ","")&amp;IF(G259="differs","time","")),"")</f>
        <v/>
      </c>
      <c r="R259" s="32" t="inlineStr">
        <is>
          <t>hayday.info (primary values) + Fandom (times, cross-check)</t>
        </is>
      </c>
      <c r="S259" s="32" t="inlineStr">
        <is>
          <t>https://hayday.fandom.com/wiki/Sandwich_Bar</t>
        </is>
      </c>
    </row>
    <row r="260" ht="15" customHeight="1" s="29">
      <c r="A260" s="32" t="inlineStr">
        <is>
          <t>Peanut Butter and Jelly Sandwich</t>
        </is>
      </c>
      <c r="B260" s="32" t="inlineStr">
        <is>
          <t>Sandwich Bar</t>
        </is>
      </c>
      <c r="C260" s="33" t="n">
        <v>71</v>
      </c>
      <c r="D260" s="34" t="n">
        <v>25</v>
      </c>
      <c r="E260" s="34" t="n">
        <v>21</v>
      </c>
      <c r="F260" s="34" t="n">
        <v>21</v>
      </c>
      <c r="G260" s="32">
        <f>IF(OR(F260="",AND(D260="",E260="")),"n/a",IF(F260=E260,"mastered",IF(F260=D260,"normal","differs")))</f>
        <v/>
      </c>
      <c r="H260" s="35" t="n">
        <v>673</v>
      </c>
      <c r="I260" s="35" t="n">
        <v>601</v>
      </c>
      <c r="J260" s="33" t="n">
        <v>80</v>
      </c>
      <c r="K260" s="33" t="n"/>
      <c r="L260" s="36" t="n">
        <v>409.4117647</v>
      </c>
      <c r="M260" s="37" t="n">
        <v>225.8823529</v>
      </c>
      <c r="N260" s="32">
        <f>IF(L260="","",IF(L260&lt;0,"negative profit",IF(L260&gt;Notes!$B$4,"unusually high - verify","")))</f>
        <v/>
      </c>
      <c r="O260" s="32" t="inlineStr">
        <is>
          <t>both</t>
        </is>
      </c>
      <c r="P260" s="32">
        <f>IF(O260&lt;&gt;"both",O260&amp;" only",IF(Q260="","agree","conflict"))</f>
        <v/>
      </c>
      <c r="Q260" s="32">
        <f>IF(O260="both",TRIM(IF(I260&lt;&gt;"","price ","")&amp;IF(K260&lt;&gt;"","xp ","")&amp;IF(G260="differs","time","")),"")</f>
        <v/>
      </c>
      <c r="R260" s="32" t="inlineStr">
        <is>
          <t>hayday.info (primary values) + Fandom (times, cross-check)</t>
        </is>
      </c>
      <c r="S260" s="32" t="inlineStr">
        <is>
          <t>https://hayday.fandom.com/wiki/Sandwich_Bar</t>
        </is>
      </c>
    </row>
    <row r="261" ht="15" customHeight="1" s="29">
      <c r="A261" s="32" t="inlineStr">
        <is>
          <t>Cucumber Sandwich</t>
        </is>
      </c>
      <c r="B261" s="32" t="inlineStr">
        <is>
          <t>Sandwich Bar</t>
        </is>
      </c>
      <c r="C261" s="33" t="n">
        <v>79</v>
      </c>
      <c r="D261" s="34" t="n">
        <v>35</v>
      </c>
      <c r="E261" s="34" t="n">
        <v>29</v>
      </c>
      <c r="F261" s="34" t="n">
        <v>29</v>
      </c>
      <c r="G261" s="32">
        <f>IF(OR(F261="",AND(D261="",E261="")),"n/a",IF(F261=E261,"mastered",IF(F261=D261,"normal","differs")))</f>
        <v/>
      </c>
      <c r="H261" s="35" t="n">
        <v>464</v>
      </c>
      <c r="I261" s="35" t="n"/>
      <c r="J261" s="33" t="n">
        <v>55</v>
      </c>
      <c r="K261" s="33" t="n"/>
      <c r="L261" s="36" t="n">
        <v>54.45378151</v>
      </c>
      <c r="M261" s="37" t="n">
        <v>110.9243697</v>
      </c>
      <c r="N261" s="32">
        <f>IF(L261="","",IF(L261&lt;0,"negative profit",IF(L261&gt;Notes!$B$4,"unusually high - verify","")))</f>
        <v/>
      </c>
      <c r="O261" s="32" t="inlineStr">
        <is>
          <t>both</t>
        </is>
      </c>
      <c r="P261" s="32">
        <f>IF(O261&lt;&gt;"both",O261&amp;" only",IF(Q261="","agree","conflict"))</f>
        <v/>
      </c>
      <c r="Q261" s="32">
        <f>IF(O261="both",TRIM(IF(I261&lt;&gt;"","price ","")&amp;IF(K261&lt;&gt;"","xp ","")&amp;IF(G261="differs","time","")),"")</f>
        <v/>
      </c>
      <c r="R261" s="32" t="inlineStr">
        <is>
          <t>hayday.info (primary values) + Fandom (times, cross-check)</t>
        </is>
      </c>
      <c r="S261" s="32" t="inlineStr">
        <is>
          <t>https://hayday.fandom.com/wiki/Sandwich_Bar</t>
        </is>
      </c>
    </row>
    <row r="262" ht="15" customHeight="1" s="29">
      <c r="A262" s="32" t="inlineStr">
        <is>
          <t>Onion Melt</t>
        </is>
      </c>
      <c r="B262" s="32" t="inlineStr">
        <is>
          <t>Sandwich Bar</t>
        </is>
      </c>
      <c r="C262" s="33" t="n">
        <v>84</v>
      </c>
      <c r="D262" s="34" t="n">
        <v>90</v>
      </c>
      <c r="E262" s="34" t="n">
        <v>76</v>
      </c>
      <c r="F262" s="34" t="n">
        <v>76</v>
      </c>
      <c r="G262" s="32">
        <f>IF(OR(F262="",AND(D262="",E262="")),"n/a",IF(F262=E262,"mastered",IF(F262=D262,"normal","differs")))</f>
        <v/>
      </c>
      <c r="H262" s="35" t="n">
        <v>471</v>
      </c>
      <c r="I262" s="35" t="n">
        <v>417</v>
      </c>
      <c r="J262" s="33" t="n">
        <v>50</v>
      </c>
      <c r="K262" s="33" t="n"/>
      <c r="L262" s="36" t="n">
        <v>69.01960784000001</v>
      </c>
      <c r="M262" s="37" t="n">
        <v>39.21568627</v>
      </c>
      <c r="N262" s="32">
        <f>IF(L262="","",IF(L262&lt;0,"negative profit",IF(L262&gt;Notes!$B$4,"unusually high - verify","")))</f>
        <v/>
      </c>
      <c r="O262" s="32" t="inlineStr">
        <is>
          <t>both</t>
        </is>
      </c>
      <c r="P262" s="32">
        <f>IF(O262&lt;&gt;"both",O262&amp;" only",IF(Q262="","agree","conflict"))</f>
        <v/>
      </c>
      <c r="Q262" s="32">
        <f>IF(O262="both",TRIM(IF(I262&lt;&gt;"","price ","")&amp;IF(K262&lt;&gt;"","xp ","")&amp;IF(G262="differs","time","")),"")</f>
        <v/>
      </c>
      <c r="R262" s="32" t="inlineStr">
        <is>
          <t>hayday.info (primary values) + Fandom (times, cross-check)</t>
        </is>
      </c>
      <c r="S262" s="32" t="inlineStr">
        <is>
          <t>https://hayday.fandom.com/wiki/Sandwich_Bar</t>
        </is>
      </c>
    </row>
    <row r="263" ht="15" customHeight="1" s="29">
      <c r="A263" s="32" t="inlineStr">
        <is>
          <t>Goat Cheese Toast</t>
        </is>
      </c>
      <c r="B263" s="32" t="inlineStr">
        <is>
          <t>Sandwich Bar</t>
        </is>
      </c>
      <c r="C263" s="33" t="n">
        <v>92</v>
      </c>
      <c r="D263" s="34" t="n">
        <v>50</v>
      </c>
      <c r="E263" s="34" t="n">
        <v>42</v>
      </c>
      <c r="F263" s="34" t="n">
        <v>42</v>
      </c>
      <c r="G263" s="32">
        <f>IF(OR(F263="",AND(D263="",E263="")),"n/a",IF(F263=E263,"mastered",IF(F263=D263,"normal","differs")))</f>
        <v/>
      </c>
      <c r="H263" s="35" t="n">
        <v>302</v>
      </c>
      <c r="I263" s="35" t="n"/>
      <c r="J263" s="33" t="n">
        <v>36</v>
      </c>
      <c r="K263" s="33" t="n"/>
      <c r="L263" s="36" t="n">
        <v>32.47058824</v>
      </c>
      <c r="M263" s="37" t="n">
        <v>50.82352941</v>
      </c>
      <c r="N263" s="32">
        <f>IF(L263="","",IF(L263&lt;0,"negative profit",IF(L263&gt;Notes!$B$4,"unusually high - verify","")))</f>
        <v/>
      </c>
      <c r="O263" s="32" t="inlineStr">
        <is>
          <t>both</t>
        </is>
      </c>
      <c r="P263" s="32">
        <f>IF(O263&lt;&gt;"both",O263&amp;" only",IF(Q263="","agree","conflict"))</f>
        <v/>
      </c>
      <c r="Q263" s="32">
        <f>IF(O263="both",TRIM(IF(I263&lt;&gt;"","price ","")&amp;IF(K263&lt;&gt;"","xp ","")&amp;IF(G263="differs","time","")),"")</f>
        <v/>
      </c>
      <c r="R263" s="32" t="inlineStr">
        <is>
          <t>hayday.info (primary values) + Fandom (times, cross-check)</t>
        </is>
      </c>
      <c r="S263" s="32" t="inlineStr">
        <is>
          <t>https://hayday.fandom.com/wiki/Sandwich_Bar</t>
        </is>
      </c>
    </row>
    <row r="264" ht="15" customHeight="1" s="29">
      <c r="A264" s="32" t="inlineStr">
        <is>
          <t>Hummus Wrap</t>
        </is>
      </c>
      <c r="B264" s="32" t="inlineStr">
        <is>
          <t>Sandwich Bar</t>
        </is>
      </c>
      <c r="C264" s="33" t="n">
        <v>109</v>
      </c>
      <c r="D264" s="34" t="n">
        <v>25</v>
      </c>
      <c r="E264" s="34" t="n">
        <v>21</v>
      </c>
      <c r="F264" s="34" t="n">
        <v>25</v>
      </c>
      <c r="G264" s="32">
        <f>IF(OR(F264="",AND(D264="",E264="")),"n/a",IF(F264=E264,"mastered",IF(F264=D264,"normal","differs")))</f>
        <v/>
      </c>
      <c r="H264" s="35" t="n">
        <v>374</v>
      </c>
      <c r="I264" s="35" t="n"/>
      <c r="J264" s="33" t="n">
        <v>45</v>
      </c>
      <c r="K264" s="33" t="n"/>
      <c r="L264" s="36" t="n">
        <v>54.11764706</v>
      </c>
      <c r="M264" s="37" t="n">
        <v>105.8823529</v>
      </c>
      <c r="N264" s="32">
        <f>IF(L264="","",IF(L264&lt;0,"negative profit",IF(L264&gt;Notes!$B$4,"unusually high - verify","")))</f>
        <v/>
      </c>
      <c r="O264" s="32" t="inlineStr">
        <is>
          <t>both</t>
        </is>
      </c>
      <c r="P264" s="32">
        <f>IF(O264&lt;&gt;"both",O264&amp;" only",IF(Q264="","agree","conflict"))</f>
        <v/>
      </c>
      <c r="Q264" s="32">
        <f>IF(O264="both",TRIM(IF(I264&lt;&gt;"","price ","")&amp;IF(K264&lt;&gt;"","xp ","")&amp;IF(G264="differs","time","")),"")</f>
        <v/>
      </c>
      <c r="R264" s="32" t="inlineStr">
        <is>
          <t>hayday.info (primary values) + Fandom (times, cross-check)</t>
        </is>
      </c>
      <c r="S264" s="32" t="inlineStr">
        <is>
          <t>https://hayday.fandom.com/wiki/Sandwich_Bar</t>
        </is>
      </c>
    </row>
    <row r="265" ht="15" customHeight="1" s="29">
      <c r="A265" s="32" t="inlineStr">
        <is>
          <t>Soy Sauce</t>
        </is>
      </c>
      <c r="B265" s="32" t="inlineStr">
        <is>
          <t>Sauce Maker</t>
        </is>
      </c>
      <c r="C265" s="33" t="n">
        <v>54</v>
      </c>
      <c r="D265" s="34" t="n">
        <v>180</v>
      </c>
      <c r="E265" s="34" t="n">
        <v>153</v>
      </c>
      <c r="F265" s="34" t="n">
        <v>153</v>
      </c>
      <c r="G265" s="32">
        <f>IF(OR(F265="",AND(D265="",E265="")),"n/a",IF(F265=E265,"mastered",IF(F265=D265,"normal","differs")))</f>
        <v/>
      </c>
      <c r="H265" s="35" t="n">
        <v>154</v>
      </c>
      <c r="I265" s="35" t="n"/>
      <c r="J265" s="33" t="n">
        <v>19</v>
      </c>
      <c r="K265" s="33" t="n"/>
      <c r="L265" s="36" t="n">
        <v>23.92156863</v>
      </c>
      <c r="M265" s="37" t="n">
        <v>7.450980392</v>
      </c>
      <c r="N265" s="32">
        <f>IF(L265="","",IF(L265&lt;0,"negative profit",IF(L265&gt;Notes!$B$4,"unusually high - verify","")))</f>
        <v/>
      </c>
      <c r="O265" s="32" t="inlineStr">
        <is>
          <t>both</t>
        </is>
      </c>
      <c r="P265" s="32">
        <f>IF(O265&lt;&gt;"both",O265&amp;" only",IF(Q265="","agree","conflict"))</f>
        <v/>
      </c>
      <c r="Q265" s="32">
        <f>IF(O265="both",TRIM(IF(I265&lt;&gt;"","price ","")&amp;IF(K265&lt;&gt;"","xp ","")&amp;IF(G265="differs","time","")),"")</f>
        <v/>
      </c>
      <c r="R265" s="32" t="inlineStr">
        <is>
          <t>hayday.info (primary values) + Fandom (times, cross-check)</t>
        </is>
      </c>
      <c r="S265" s="32" t="inlineStr">
        <is>
          <t>https://hayday.fandom.com/wiki/Sauce_Maker</t>
        </is>
      </c>
    </row>
    <row r="266" ht="15" customHeight="1" s="29">
      <c r="A266" s="32" t="inlineStr">
        <is>
          <t>Olive Oil</t>
        </is>
      </c>
      <c r="B266" s="32" t="inlineStr">
        <is>
          <t>Sauce Maker</t>
        </is>
      </c>
      <c r="C266" s="33" t="n">
        <v>60</v>
      </c>
      <c r="D266" s="34" t="n">
        <v>45</v>
      </c>
      <c r="E266" s="34" t="n">
        <v>38</v>
      </c>
      <c r="F266" s="34" t="n">
        <v>38</v>
      </c>
      <c r="G266" s="32">
        <f>IF(OR(F266="",AND(D266="",E266="")),"n/a",IF(F266=E266,"mastered",IF(F266=D266,"normal","differs")))</f>
        <v/>
      </c>
      <c r="H266" s="35" t="n">
        <v>277</v>
      </c>
      <c r="I266" s="35" t="n"/>
      <c r="J266" s="33" t="n">
        <v>33</v>
      </c>
      <c r="K266" s="33" t="n"/>
      <c r="L266" s="36" t="n">
        <v>48.62745098</v>
      </c>
      <c r="M266" s="37" t="n">
        <v>51.76470588</v>
      </c>
      <c r="N266" s="32">
        <f>IF(L266="","",IF(L266&lt;0,"negative profit",IF(L266&gt;Notes!$B$4,"unusually high - verify","")))</f>
        <v/>
      </c>
      <c r="O266" s="32" t="inlineStr">
        <is>
          <t>both</t>
        </is>
      </c>
      <c r="P266" s="32">
        <f>IF(O266&lt;&gt;"both",O266&amp;" only",IF(Q266="","agree","conflict"))</f>
        <v/>
      </c>
      <c r="Q266" s="32">
        <f>IF(O266="both",TRIM(IF(I266&lt;&gt;"","price ","")&amp;IF(K266&lt;&gt;"","xp ","")&amp;IF(G266="differs","time","")),"")</f>
        <v/>
      </c>
      <c r="R266" s="32" t="inlineStr">
        <is>
          <t>hayday.info (primary values) + Fandom (times, cross-check)</t>
        </is>
      </c>
      <c r="S266" s="32" t="inlineStr">
        <is>
          <t>https://hayday.fandom.com/wiki/Sauce_Maker</t>
        </is>
      </c>
    </row>
    <row r="267" ht="15" customHeight="1" s="29">
      <c r="A267" s="32" t="inlineStr">
        <is>
          <t>Mayonnaise</t>
        </is>
      </c>
      <c r="B267" s="32" t="inlineStr">
        <is>
          <t>Sauce Maker</t>
        </is>
      </c>
      <c r="C267" s="33" t="n">
        <v>62</v>
      </c>
      <c r="D267" s="34" t="n">
        <v>15</v>
      </c>
      <c r="E267" s="34" t="n">
        <v>12</v>
      </c>
      <c r="F267" s="34" t="n">
        <v>12</v>
      </c>
      <c r="G267" s="32">
        <f>IF(OR(F267="",AND(D267="",E267="")),"n/a",IF(F267=E267,"mastered",IF(F267=D267,"normal","differs")))</f>
        <v/>
      </c>
      <c r="H267" s="35" t="n">
        <v>367</v>
      </c>
      <c r="I267" s="35" t="n"/>
      <c r="J267" s="33" t="n">
        <v>44</v>
      </c>
      <c r="K267" s="33" t="n"/>
      <c r="L267" s="36" t="n">
        <v>84.70588235</v>
      </c>
      <c r="M267" s="37" t="n">
        <v>207.0588235</v>
      </c>
      <c r="N267" s="32">
        <f>IF(L267="","",IF(L267&lt;0,"negative profit",IF(L267&gt;Notes!$B$4,"unusually high - verify","")))</f>
        <v/>
      </c>
      <c r="O267" s="32" t="inlineStr">
        <is>
          <t>both</t>
        </is>
      </c>
      <c r="P267" s="32">
        <f>IF(O267&lt;&gt;"both",O267&amp;" only",IF(Q267="","agree","conflict"))</f>
        <v/>
      </c>
      <c r="Q267" s="32">
        <f>IF(O267="both",TRIM(IF(I267&lt;&gt;"","price ","")&amp;IF(K267&lt;&gt;"","xp ","")&amp;IF(G267="differs","time","")),"")</f>
        <v/>
      </c>
      <c r="R267" s="32" t="inlineStr">
        <is>
          <t>hayday.info (primary values) + Fandom (times, cross-check)</t>
        </is>
      </c>
      <c r="S267" s="32" t="inlineStr">
        <is>
          <t>https://hayday.fandom.com/wiki/Sauce_Maker</t>
        </is>
      </c>
    </row>
    <row r="268" ht="15" customHeight="1" s="29">
      <c r="A268" s="32" t="inlineStr">
        <is>
          <t>Lemon Curd</t>
        </is>
      </c>
      <c r="B268" s="32" t="inlineStr">
        <is>
          <t>Sauce Maker</t>
        </is>
      </c>
      <c r="C268" s="33" t="n">
        <v>66</v>
      </c>
      <c r="D268" s="34" t="n">
        <v>25</v>
      </c>
      <c r="E268" s="34" t="n">
        <v>21</v>
      </c>
      <c r="F268" s="34" t="n">
        <v>21</v>
      </c>
      <c r="G268" s="32">
        <f>IF(OR(F268="",AND(D268="",E268="")),"n/a",IF(F268=E268,"mastered",IF(F268=D268,"normal","differs")))</f>
        <v/>
      </c>
      <c r="H268" s="35" t="n">
        <v>378</v>
      </c>
      <c r="I268" s="35" t="n"/>
      <c r="J268" s="33" t="n">
        <v>45</v>
      </c>
      <c r="K268" s="33" t="n"/>
      <c r="L268" s="36" t="n">
        <v>67.76470587999999</v>
      </c>
      <c r="M268" s="37" t="n">
        <v>127.0588235</v>
      </c>
      <c r="N268" s="32">
        <f>IF(L268="","",IF(L268&lt;0,"negative profit",IF(L268&gt;Notes!$B$4,"unusually high - verify","")))</f>
        <v/>
      </c>
      <c r="O268" s="32" t="inlineStr">
        <is>
          <t>both</t>
        </is>
      </c>
      <c r="P268" s="32">
        <f>IF(O268&lt;&gt;"both",O268&amp;" only",IF(Q268="","agree","conflict"))</f>
        <v/>
      </c>
      <c r="Q268" s="32">
        <f>IF(O268="both",TRIM(IF(I268&lt;&gt;"","price ","")&amp;IF(K268&lt;&gt;"","xp ","")&amp;IF(G268="differs","time","")),"")</f>
        <v/>
      </c>
      <c r="R268" s="32" t="inlineStr">
        <is>
          <t>hayday.info (primary values) + Fandom (times, cross-check)</t>
        </is>
      </c>
      <c r="S268" s="32" t="inlineStr">
        <is>
          <t>https://hayday.fandom.com/wiki/Sauce_Maker</t>
        </is>
      </c>
    </row>
    <row r="269" ht="15" customHeight="1" s="29">
      <c r="A269" s="32" t="inlineStr">
        <is>
          <t>Olive Dip</t>
        </is>
      </c>
      <c r="B269" s="32" t="inlineStr">
        <is>
          <t>Sauce Maker</t>
        </is>
      </c>
      <c r="C269" s="33" t="n">
        <v>66</v>
      </c>
      <c r="D269" s="34" t="n">
        <v>45</v>
      </c>
      <c r="E269" s="34" t="n">
        <v>38</v>
      </c>
      <c r="F269" s="34" t="n">
        <v>38</v>
      </c>
      <c r="G269" s="32">
        <f>IF(OR(F269="",AND(D269="",E269="")),"n/a",IF(F269=E269,"mastered",IF(F269=D269,"normal","differs")))</f>
        <v/>
      </c>
      <c r="H269" s="35" t="n">
        <v>468</v>
      </c>
      <c r="I269" s="35" t="n"/>
      <c r="J269" s="33" t="n">
        <v>56</v>
      </c>
      <c r="K269" s="33" t="n"/>
      <c r="L269" s="36" t="n">
        <v>51.76470588</v>
      </c>
      <c r="M269" s="37" t="n">
        <v>87.84313725</v>
      </c>
      <c r="N269" s="32">
        <f>IF(L269="","",IF(L269&lt;0,"negative profit",IF(L269&gt;Notes!$B$4,"unusually high - verify","")))</f>
        <v/>
      </c>
      <c r="O269" s="32" t="inlineStr">
        <is>
          <t>both</t>
        </is>
      </c>
      <c r="P269" s="32">
        <f>IF(O269&lt;&gt;"both",O269&amp;" only",IF(Q269="","agree","conflict"))</f>
        <v/>
      </c>
      <c r="Q269" s="32">
        <f>IF(O269="both",TRIM(IF(I269&lt;&gt;"","price ","")&amp;IF(K269&lt;&gt;"","xp ","")&amp;IF(G269="differs","time","")),"")</f>
        <v/>
      </c>
      <c r="R269" s="32" t="inlineStr">
        <is>
          <t>hayday.info (primary values) + Fandom (times, cross-check)</t>
        </is>
      </c>
      <c r="S269" s="32" t="inlineStr">
        <is>
          <t>https://hayday.fandom.com/wiki/Sauce_Maker</t>
        </is>
      </c>
    </row>
    <row r="270" ht="15" customHeight="1" s="29">
      <c r="A270" s="32" t="inlineStr">
        <is>
          <t>Tomato Sauce</t>
        </is>
      </c>
      <c r="B270" s="32" t="inlineStr">
        <is>
          <t>Sauce Maker</t>
        </is>
      </c>
      <c r="C270" s="33" t="n">
        <v>69</v>
      </c>
      <c r="D270" s="34" t="n">
        <v>30</v>
      </c>
      <c r="E270" s="34" t="n">
        <v>25</v>
      </c>
      <c r="F270" s="34" t="n">
        <v>25</v>
      </c>
      <c r="G270" s="32">
        <f>IF(OR(F270="",AND(D270="",E270="")),"n/a",IF(F270=E270,"mastered",IF(F270=D270,"normal","differs")))</f>
        <v/>
      </c>
      <c r="H270" s="35" t="n">
        <v>230</v>
      </c>
      <c r="I270" s="35" t="n"/>
      <c r="J270" s="33" t="n">
        <v>27</v>
      </c>
      <c r="K270" s="33" t="n"/>
      <c r="L270" s="36" t="n">
        <v>44.70588235</v>
      </c>
      <c r="M270" s="37" t="n">
        <v>63.52941176</v>
      </c>
      <c r="N270" s="32">
        <f>IF(L270="","",IF(L270&lt;0,"negative profit",IF(L270&gt;Notes!$B$4,"unusually high - verify","")))</f>
        <v/>
      </c>
      <c r="O270" s="32" t="inlineStr">
        <is>
          <t>both</t>
        </is>
      </c>
      <c r="P270" s="32">
        <f>IF(O270&lt;&gt;"both",O270&amp;" only",IF(Q270="","agree","conflict"))</f>
        <v/>
      </c>
      <c r="Q270" s="32">
        <f>IF(O270="both",TRIM(IF(I270&lt;&gt;"","price ","")&amp;IF(K270&lt;&gt;"","xp ","")&amp;IF(G270="differs","time","")),"")</f>
        <v/>
      </c>
      <c r="R270" s="32" t="inlineStr">
        <is>
          <t>hayday.info (primary values) + Fandom (times, cross-check)</t>
        </is>
      </c>
      <c r="S270" s="32" t="inlineStr">
        <is>
          <t>https://hayday.fandom.com/wiki/Sauce_Maker</t>
        </is>
      </c>
    </row>
    <row r="271" ht="15" customHeight="1" s="29">
      <c r="A271" s="32" t="inlineStr">
        <is>
          <t>Salsa</t>
        </is>
      </c>
      <c r="B271" s="32" t="inlineStr">
        <is>
          <t>Sauce Maker</t>
        </is>
      </c>
      <c r="C271" s="33" t="n">
        <v>77</v>
      </c>
      <c r="D271" s="34" t="n">
        <v>20</v>
      </c>
      <c r="E271" s="34" t="n">
        <v>17</v>
      </c>
      <c r="F271" s="34" t="n">
        <v>17</v>
      </c>
      <c r="G271" s="32">
        <f>IF(OR(F271="",AND(D271="",E271="")),"n/a",IF(F271=E271,"mastered",IF(F271=D271,"normal","differs")))</f>
        <v/>
      </c>
      <c r="H271" s="35" t="n">
        <v>252</v>
      </c>
      <c r="I271" s="35" t="n"/>
      <c r="J271" s="33" t="n">
        <v>30</v>
      </c>
      <c r="K271" s="33" t="n"/>
      <c r="L271" s="36" t="n">
        <v>56.47058824</v>
      </c>
      <c r="M271" s="37" t="n">
        <v>105.8823529</v>
      </c>
      <c r="N271" s="32">
        <f>IF(L271="","",IF(L271&lt;0,"negative profit",IF(L271&gt;Notes!$B$4,"unusually high - verify","")))</f>
        <v/>
      </c>
      <c r="O271" s="32" t="inlineStr">
        <is>
          <t>both</t>
        </is>
      </c>
      <c r="P271" s="32">
        <f>IF(O271&lt;&gt;"both",O271&amp;" only",IF(Q271="","agree","conflict"))</f>
        <v/>
      </c>
      <c r="Q271" s="32">
        <f>IF(O271="both",TRIM(IF(I271&lt;&gt;"","price ","")&amp;IF(K271&lt;&gt;"","xp ","")&amp;IF(G271="differs","time","")),"")</f>
        <v/>
      </c>
      <c r="R271" s="32" t="inlineStr">
        <is>
          <t>hayday.info (primary values) + Fandom (times, cross-check)</t>
        </is>
      </c>
      <c r="S271" s="32" t="inlineStr">
        <is>
          <t>https://hayday.fandom.com/wiki/Sauce_Maker</t>
        </is>
      </c>
    </row>
    <row r="272" ht="15" customHeight="1" s="29">
      <c r="A272" s="32" t="inlineStr">
        <is>
          <t>Hummus</t>
        </is>
      </c>
      <c r="B272" s="32" t="inlineStr">
        <is>
          <t>Sauce Maker</t>
        </is>
      </c>
      <c r="C272" s="33" t="n">
        <v>95</v>
      </c>
      <c r="D272" s="34" t="n"/>
      <c r="E272" s="34" t="n"/>
      <c r="F272" s="34" t="n">
        <v>25</v>
      </c>
      <c r="G272" s="32">
        <f>IF(OR(F272="",AND(D272="",E272="")),"n/a",IF(F272=E272,"mastered",IF(F272=D272,"normal","differs")))</f>
        <v/>
      </c>
      <c r="H272" s="35" t="n">
        <v>277</v>
      </c>
      <c r="I272" s="35" t="n"/>
      <c r="J272" s="33" t="n">
        <v>33</v>
      </c>
      <c r="K272" s="33" t="n"/>
      <c r="L272" s="36" t="n">
        <v>54.11764706</v>
      </c>
      <c r="M272" s="37" t="n">
        <v>77.64705882</v>
      </c>
      <c r="N272" s="32">
        <f>IF(L272="","",IF(L272&lt;0,"negative profit",IF(L272&gt;Notes!$B$4,"unusually high - verify","")))</f>
        <v/>
      </c>
      <c r="O272" s="32" t="inlineStr">
        <is>
          <t>hayday.info</t>
        </is>
      </c>
      <c r="P272" s="32">
        <f>IF(O272&lt;&gt;"both",O272&amp;" only",IF(Q272="","agree","conflict"))</f>
        <v/>
      </c>
      <c r="Q272" s="32">
        <f>IF(O272="both",TRIM(IF(I272&lt;&gt;"","price ","")&amp;IF(K272&lt;&gt;"","xp ","")&amp;IF(G272="differs","time","")),"")</f>
        <v/>
      </c>
      <c r="R272" s="32" t="inlineStr">
        <is>
          <t>hayday.info /api/production-data only</t>
        </is>
      </c>
      <c r="S272" s="32" t="n"/>
    </row>
    <row r="273" ht="15" customHeight="1" s="29">
      <c r="A273" s="32" t="inlineStr">
        <is>
          <t>Tart Dressing</t>
        </is>
      </c>
      <c r="B273" s="32" t="inlineStr">
        <is>
          <t>Sauce Maker</t>
        </is>
      </c>
      <c r="C273" s="33" t="n">
        <v>100</v>
      </c>
      <c r="D273" s="34" t="n"/>
      <c r="E273" s="34" t="n"/>
      <c r="F273" s="34" t="n">
        <v>25</v>
      </c>
      <c r="G273" s="32">
        <f>IF(OR(F273="",AND(D273="",E273="")),"n/a",IF(F273=E273,"mastered",IF(F273=D273,"normal","differs")))</f>
        <v/>
      </c>
      <c r="H273" s="35" t="n">
        <v>288</v>
      </c>
      <c r="I273" s="35" t="n"/>
      <c r="J273" s="33" t="n">
        <v>34</v>
      </c>
      <c r="K273" s="33" t="n"/>
      <c r="L273" s="36" t="n">
        <v>61.17647059</v>
      </c>
      <c r="M273" s="37" t="n">
        <v>80</v>
      </c>
      <c r="N273" s="32">
        <f>IF(L273="","",IF(L273&lt;0,"negative profit",IF(L273&gt;Notes!$B$4,"unusually high - verify","")))</f>
        <v/>
      </c>
      <c r="O273" s="32" t="inlineStr">
        <is>
          <t>hayday.info</t>
        </is>
      </c>
      <c r="P273" s="32">
        <f>IF(O273&lt;&gt;"both",O273&amp;" only",IF(Q273="","agree","conflict"))</f>
        <v/>
      </c>
      <c r="Q273" s="32">
        <f>IF(O273="both",TRIM(IF(I273&lt;&gt;"","price ","")&amp;IF(K273&lt;&gt;"","xp ","")&amp;IF(G273="differs","time","")),"")</f>
        <v/>
      </c>
      <c r="R273" s="32" t="inlineStr">
        <is>
          <t>hayday.info /api/production-data only</t>
        </is>
      </c>
      <c r="S273" s="32" t="n"/>
    </row>
    <row r="274" ht="15" customHeight="1" s="29">
      <c r="A274" s="32" t="inlineStr">
        <is>
          <t>Cotton Shirt</t>
        </is>
      </c>
      <c r="B274" s="32" t="inlineStr">
        <is>
          <t>Sewing Machine</t>
        </is>
      </c>
      <c r="C274" s="33" t="n">
        <v>19</v>
      </c>
      <c r="D274" s="34" t="n">
        <v>45</v>
      </c>
      <c r="E274" s="34" t="n">
        <v>38</v>
      </c>
      <c r="F274" s="34" t="n">
        <v>38</v>
      </c>
      <c r="G274" s="32">
        <f>IF(OR(F274="",AND(D274="",E274="")),"n/a",IF(F274=E274,"mastered",IF(F274=D274,"normal","differs")))</f>
        <v/>
      </c>
      <c r="H274" s="35" t="n">
        <v>241</v>
      </c>
      <c r="I274" s="35" t="n"/>
      <c r="J274" s="33" t="n">
        <v>29</v>
      </c>
      <c r="K274" s="33" t="n"/>
      <c r="L274" s="36" t="n">
        <v>39.21568627</v>
      </c>
      <c r="M274" s="37" t="n">
        <v>45.49019608</v>
      </c>
      <c r="N274" s="32">
        <f>IF(L274="","",IF(L274&lt;0,"negative profit",IF(L274&gt;Notes!$B$4,"unusually high - verify","")))</f>
        <v/>
      </c>
      <c r="O274" s="32" t="inlineStr">
        <is>
          <t>both</t>
        </is>
      </c>
      <c r="P274" s="32">
        <f>IF(O274&lt;&gt;"both",O274&amp;" only",IF(Q274="","agree","conflict"))</f>
        <v/>
      </c>
      <c r="Q274" s="32">
        <f>IF(O274="both",TRIM(IF(I274&lt;&gt;"","price ","")&amp;IF(K274&lt;&gt;"","xp ","")&amp;IF(G274="differs","time","")),"")</f>
        <v/>
      </c>
      <c r="R274" s="32" t="inlineStr">
        <is>
          <t>hayday.info (primary values) + Fandom (times, cross-check)</t>
        </is>
      </c>
      <c r="S274" s="32" t="inlineStr">
        <is>
          <t>https://hayday.fandom.com/wiki/Sewing_Machine</t>
        </is>
      </c>
    </row>
    <row r="275" ht="15" customHeight="1" s="29">
      <c r="A275" s="32" t="inlineStr">
        <is>
          <t>Wooly Chaps</t>
        </is>
      </c>
      <c r="B275" s="32" t="inlineStr">
        <is>
          <t>Sewing Machine</t>
        </is>
      </c>
      <c r="C275" s="33" t="n">
        <v>21</v>
      </c>
      <c r="D275" s="34" t="n">
        <v>90</v>
      </c>
      <c r="E275" s="34" t="n">
        <v>76</v>
      </c>
      <c r="F275" s="34" t="n">
        <v>76</v>
      </c>
      <c r="G275" s="32">
        <f>IF(OR(F275="",AND(D275="",E275="")),"n/a",IF(F275=E275,"mastered",IF(F275=D275,"normal","differs")))</f>
        <v/>
      </c>
      <c r="H275" s="35" t="n">
        <v>309</v>
      </c>
      <c r="I275" s="35" t="n"/>
      <c r="J275" s="33" t="n">
        <v>37</v>
      </c>
      <c r="K275" s="33" t="n"/>
      <c r="L275" s="36" t="n">
        <v>30.58823529</v>
      </c>
      <c r="M275" s="37" t="n">
        <v>29.01960784</v>
      </c>
      <c r="N275" s="32">
        <f>IF(L275="","",IF(L275&lt;0,"negative profit",IF(L275&gt;Notes!$B$4,"unusually high - verify","")))</f>
        <v/>
      </c>
      <c r="O275" s="32" t="inlineStr">
        <is>
          <t>both</t>
        </is>
      </c>
      <c r="P275" s="32">
        <f>IF(O275&lt;&gt;"both",O275&amp;" only",IF(Q275="","agree","conflict"))</f>
        <v/>
      </c>
      <c r="Q275" s="32">
        <f>IF(O275="both",TRIM(IF(I275&lt;&gt;"","price ","")&amp;IF(K275&lt;&gt;"","xp ","")&amp;IF(G275="differs","time","")),"")</f>
        <v/>
      </c>
      <c r="R275" s="32" t="inlineStr">
        <is>
          <t>hayday.info (primary values) + Fandom (times, cross-check)</t>
        </is>
      </c>
      <c r="S275" s="32" t="inlineStr">
        <is>
          <t>https://hayday.fandom.com/wiki/Sewing_Machine</t>
        </is>
      </c>
    </row>
    <row r="276" ht="15" customHeight="1" s="29">
      <c r="A276" s="32" t="inlineStr">
        <is>
          <t>Violet Dress</t>
        </is>
      </c>
      <c r="B276" s="32" t="inlineStr">
        <is>
          <t>Sewing Machine</t>
        </is>
      </c>
      <c r="C276" s="33" t="n">
        <v>25</v>
      </c>
      <c r="D276" s="34" t="n">
        <v>135</v>
      </c>
      <c r="E276" s="34" t="n">
        <v>114</v>
      </c>
      <c r="F276" s="34" t="n">
        <v>114</v>
      </c>
      <c r="G276" s="32">
        <f>IF(OR(F276="",AND(D276="",E276="")),"n/a",IF(F276=E276,"mastered",IF(F276=D276,"normal","differs")))</f>
        <v/>
      </c>
      <c r="H276" s="35" t="n">
        <v>327</v>
      </c>
      <c r="I276" s="35" t="n"/>
      <c r="J276" s="33" t="n">
        <v>39</v>
      </c>
      <c r="K276" s="33" t="n"/>
      <c r="L276" s="36" t="n">
        <v>20.91503268</v>
      </c>
      <c r="M276" s="37" t="n">
        <v>20.39215686</v>
      </c>
      <c r="N276" s="32">
        <f>IF(L276="","",IF(L276&lt;0,"negative profit",IF(L276&gt;Notes!$B$4,"unusually high - verify","")))</f>
        <v/>
      </c>
      <c r="O276" s="32" t="inlineStr">
        <is>
          <t>both</t>
        </is>
      </c>
      <c r="P276" s="32">
        <f>IF(O276&lt;&gt;"both",O276&amp;" only",IF(Q276="","agree","conflict"))</f>
        <v/>
      </c>
      <c r="Q276" s="32">
        <f>IF(O276="both",TRIM(IF(I276&lt;&gt;"","price ","")&amp;IF(K276&lt;&gt;"","xp ","")&amp;IF(G276="differs","time","")),"")</f>
        <v/>
      </c>
      <c r="R276" s="32" t="inlineStr">
        <is>
          <t>hayday.info (primary values) + Fandom (times, cross-check)</t>
        </is>
      </c>
      <c r="S276" s="32" t="inlineStr">
        <is>
          <t>https://hayday.fandom.com/wiki/Sewing_Machine</t>
        </is>
      </c>
    </row>
    <row r="277" ht="15" customHeight="1" s="29">
      <c r="A277" s="32" t="inlineStr">
        <is>
          <t>Pillow</t>
        </is>
      </c>
      <c r="B277" s="32" t="inlineStr">
        <is>
          <t>Sewing Machine</t>
        </is>
      </c>
      <c r="C277" s="33" t="n">
        <v>51</v>
      </c>
      <c r="D277" s="34" t="n">
        <v>180</v>
      </c>
      <c r="E277" s="34" t="n">
        <v>153</v>
      </c>
      <c r="F277" s="34" t="n">
        <v>153</v>
      </c>
      <c r="G277" s="32">
        <f>IF(OR(F277="",AND(D277="",E277="")),"n/a",IF(F277=E277,"mastered",IF(F277=D277,"normal","differs")))</f>
        <v/>
      </c>
      <c r="H277" s="35" t="n">
        <v>676</v>
      </c>
      <c r="I277" s="35" t="n"/>
      <c r="J277" s="33" t="n">
        <v>81</v>
      </c>
      <c r="K277" s="33" t="n"/>
      <c r="L277" s="36" t="n">
        <v>15.68627451</v>
      </c>
      <c r="M277" s="37" t="n">
        <v>31.76470588</v>
      </c>
      <c r="N277" s="32">
        <f>IF(L277="","",IF(L277&lt;0,"negative profit",IF(L277&gt;Notes!$B$4,"unusually high - verify","")))</f>
        <v/>
      </c>
      <c r="O277" s="32" t="inlineStr">
        <is>
          <t>both</t>
        </is>
      </c>
      <c r="P277" s="32">
        <f>IF(O277&lt;&gt;"both",O277&amp;" only",IF(Q277="","agree","conflict"))</f>
        <v/>
      </c>
      <c r="Q277" s="32">
        <f>IF(O277="both",TRIM(IF(I277&lt;&gt;"","price ","")&amp;IF(K277&lt;&gt;"","xp ","")&amp;IF(G277="differs","time","")),"")</f>
        <v/>
      </c>
      <c r="R277" s="32" t="inlineStr">
        <is>
          <t>hayday.info (primary values) + Fandom (times, cross-check)</t>
        </is>
      </c>
      <c r="S277" s="32" t="inlineStr">
        <is>
          <t>https://hayday.fandom.com/wiki/Sewing_Machine</t>
        </is>
      </c>
    </row>
    <row r="278" ht="15" customHeight="1" s="29">
      <c r="A278" s="32" t="inlineStr">
        <is>
          <t>Blanket</t>
        </is>
      </c>
      <c r="B278" s="32" t="inlineStr">
        <is>
          <t>Sewing Machine</t>
        </is>
      </c>
      <c r="C278" s="33" t="n">
        <v>59</v>
      </c>
      <c r="D278" s="34" t="n">
        <v>210</v>
      </c>
      <c r="E278" s="34" t="n">
        <v>178</v>
      </c>
      <c r="F278" s="34" t="n">
        <v>178</v>
      </c>
      <c r="G278" s="32">
        <f>IF(OR(F278="",AND(D278="",E278="")),"n/a",IF(F278=E278,"mastered",IF(F278=D278,"normal","differs")))</f>
        <v/>
      </c>
      <c r="H278" s="35" t="n">
        <v>1098</v>
      </c>
      <c r="I278" s="35" t="n"/>
      <c r="J278" s="33" t="n">
        <v>131</v>
      </c>
      <c r="K278" s="33" t="n"/>
      <c r="L278" s="36" t="n">
        <v>14.11764706</v>
      </c>
      <c r="M278" s="37" t="n">
        <v>44.03361345</v>
      </c>
      <c r="N278" s="32">
        <f>IF(L278="","",IF(L278&lt;0,"negative profit",IF(L278&gt;Notes!$B$4,"unusually high - verify","")))</f>
        <v/>
      </c>
      <c r="O278" s="32" t="inlineStr">
        <is>
          <t>both</t>
        </is>
      </c>
      <c r="P278" s="32">
        <f>IF(O278&lt;&gt;"both",O278&amp;" only",IF(Q278="","agree","conflict"))</f>
        <v/>
      </c>
      <c r="Q278" s="32">
        <f>IF(O278="both",TRIM(IF(I278&lt;&gt;"","price ","")&amp;IF(K278&lt;&gt;"","xp ","")&amp;IF(G278="differs","time","")),"")</f>
        <v/>
      </c>
      <c r="R278" s="32" t="inlineStr">
        <is>
          <t>hayday.info (primary values) + Fandom (times, cross-check)</t>
        </is>
      </c>
      <c r="S278" s="32" t="inlineStr">
        <is>
          <t>https://hayday.fandom.com/wiki/Sewing_Machine</t>
        </is>
      </c>
    </row>
    <row r="279" ht="15" customHeight="1" s="29">
      <c r="A279" s="32" t="inlineStr">
        <is>
          <t>Silver Bar</t>
        </is>
      </c>
      <c r="B279" s="32" t="inlineStr">
        <is>
          <t>Smelter</t>
        </is>
      </c>
      <c r="C279" s="33" t="n">
        <v>24</v>
      </c>
      <c r="D279" s="34" t="n">
        <v>480</v>
      </c>
      <c r="E279" s="34" t="n">
        <v>408</v>
      </c>
      <c r="F279" s="34" t="n">
        <v>408</v>
      </c>
      <c r="G279" s="32">
        <f>IF(OR(F279="",AND(D279="",E279="")),"n/a",IF(F279=E279,"mastered",IF(F279=D279,"normal","differs")))</f>
        <v/>
      </c>
      <c r="H279" s="35" t="n">
        <v>147</v>
      </c>
      <c r="I279" s="35" t="n"/>
      <c r="J279" s="33" t="n">
        <v>14</v>
      </c>
      <c r="K279" s="33" t="n">
        <v>18</v>
      </c>
      <c r="L279" s="36" t="n">
        <v>13.67647059</v>
      </c>
      <c r="M279" s="37" t="n">
        <v>2.058823529</v>
      </c>
      <c r="N279" s="32">
        <f>IF(L279="","",IF(L279&lt;0,"negative profit",IF(L279&gt;Notes!$B$4,"unusually high - verify","")))</f>
        <v/>
      </c>
      <c r="O279" s="32" t="inlineStr">
        <is>
          <t>both</t>
        </is>
      </c>
      <c r="P279" s="32">
        <f>IF(O279&lt;&gt;"both",O279&amp;" only",IF(Q279="","agree","conflict"))</f>
        <v/>
      </c>
      <c r="Q279" s="32">
        <f>IF(O279="both",TRIM(IF(I279&lt;&gt;"","price ","")&amp;IF(K279&lt;&gt;"","xp ","")&amp;IF(G279="differs","time","")),"")</f>
        <v/>
      </c>
      <c r="R279" s="32" t="inlineStr">
        <is>
          <t>hayday.info (primary values) + Fandom (times, cross-check)</t>
        </is>
      </c>
      <c r="S279" s="32" t="inlineStr">
        <is>
          <t>https://hayday.fandom.com/wiki/Smelter</t>
        </is>
      </c>
    </row>
    <row r="280" ht="15" customHeight="1" s="29">
      <c r="A280" s="32" t="inlineStr">
        <is>
          <t>Gold Bar</t>
        </is>
      </c>
      <c r="B280" s="32" t="inlineStr">
        <is>
          <t>Smelter</t>
        </is>
      </c>
      <c r="C280" s="33" t="n">
        <v>25</v>
      </c>
      <c r="D280" s="34" t="n">
        <v>720</v>
      </c>
      <c r="E280" s="34" t="n">
        <v>612</v>
      </c>
      <c r="F280" s="34" t="n">
        <v>612</v>
      </c>
      <c r="G280" s="32">
        <f>IF(OR(F280="",AND(D280="",E280="")),"n/a",IF(F280=E280,"mastered",IF(F280=D280,"normal","differs")))</f>
        <v/>
      </c>
      <c r="H280" s="35" t="n">
        <v>180</v>
      </c>
      <c r="I280" s="35" t="n"/>
      <c r="J280" s="33" t="n">
        <v>18</v>
      </c>
      <c r="K280" s="33" t="n">
        <v>21</v>
      </c>
      <c r="L280" s="36" t="n">
        <v>11.47058824</v>
      </c>
      <c r="M280" s="37" t="n">
        <v>1.764705882</v>
      </c>
      <c r="N280" s="32">
        <f>IF(L280="","",IF(L280&lt;0,"negative profit",IF(L280&gt;Notes!$B$4,"unusually high - verify","")))</f>
        <v/>
      </c>
      <c r="O280" s="32" t="inlineStr">
        <is>
          <t>both</t>
        </is>
      </c>
      <c r="P280" s="32">
        <f>IF(O280&lt;&gt;"both",O280&amp;" only",IF(Q280="","agree","conflict"))</f>
        <v/>
      </c>
      <c r="Q280" s="32">
        <f>IF(O280="both",TRIM(IF(I280&lt;&gt;"","price ","")&amp;IF(K280&lt;&gt;"","xp ","")&amp;IF(G280="differs","time","")),"")</f>
        <v/>
      </c>
      <c r="R280" s="32" t="inlineStr">
        <is>
          <t>hayday.info (primary values) + Fandom (times, cross-check)</t>
        </is>
      </c>
      <c r="S280" s="32" t="inlineStr">
        <is>
          <t>https://hayday.fandom.com/wiki/Smelter</t>
        </is>
      </c>
    </row>
    <row r="281" ht="15" customHeight="1" s="29">
      <c r="A281" s="32" t="inlineStr">
        <is>
          <t>Platinum Bar</t>
        </is>
      </c>
      <c r="B281" s="32" t="inlineStr">
        <is>
          <t>Smelter</t>
        </is>
      </c>
      <c r="C281" s="33" t="n">
        <v>25</v>
      </c>
      <c r="D281" s="34" t="n">
        <v>960</v>
      </c>
      <c r="E281" s="34" t="n">
        <v>816</v>
      </c>
      <c r="F281" s="34" t="n">
        <v>816</v>
      </c>
      <c r="G281" s="32">
        <f>IF(OR(F281="",AND(D281="",E281="")),"n/a",IF(F281=E281,"mastered",IF(F281=D281,"normal","differs")))</f>
        <v/>
      </c>
      <c r="H281" s="35" t="n">
        <v>205</v>
      </c>
      <c r="I281" s="35" t="n"/>
      <c r="J281" s="33" t="n">
        <v>21</v>
      </c>
      <c r="K281" s="33" t="n">
        <v>24</v>
      </c>
      <c r="L281" s="36" t="n">
        <v>8.014705881999999</v>
      </c>
      <c r="M281" s="37" t="n">
        <v>1.544117647</v>
      </c>
      <c r="N281" s="32">
        <f>IF(L281="","",IF(L281&lt;0,"negative profit",IF(L281&gt;Notes!$B$4,"unusually high - verify","")))</f>
        <v/>
      </c>
      <c r="O281" s="32" t="inlineStr">
        <is>
          <t>both</t>
        </is>
      </c>
      <c r="P281" s="32">
        <f>IF(O281&lt;&gt;"both",O281&amp;" only",IF(Q281="","agree","conflict"))</f>
        <v/>
      </c>
      <c r="Q281" s="32">
        <f>IF(O281="both",TRIM(IF(I281&lt;&gt;"","price ","")&amp;IF(K281&lt;&gt;"","xp ","")&amp;IF(G281="differs","time","")),"")</f>
        <v/>
      </c>
      <c r="R281" s="32" t="inlineStr">
        <is>
          <t>hayday.info (primary values) + Fandom (times, cross-check)</t>
        </is>
      </c>
      <c r="S281" s="32" t="inlineStr">
        <is>
          <t>https://hayday.fandom.com/wiki/Smelter</t>
        </is>
      </c>
    </row>
    <row r="282" ht="15" customHeight="1" s="29">
      <c r="A282" s="32" t="inlineStr">
        <is>
          <t>Refined Coal</t>
        </is>
      </c>
      <c r="B282" s="32" t="inlineStr">
        <is>
          <t>Smelter</t>
        </is>
      </c>
      <c r="C282" s="33" t="n">
        <v>33</v>
      </c>
      <c r="D282" s="34" t="n">
        <v>360</v>
      </c>
      <c r="E282" s="34" t="n">
        <v>306</v>
      </c>
      <c r="F282" s="34" t="n">
        <v>306</v>
      </c>
      <c r="G282" s="32">
        <f>IF(OR(F282="",AND(D282="",E282="")),"n/a",IF(F282=E282,"mastered",IF(F282=D282,"normal","differs")))</f>
        <v/>
      </c>
      <c r="H282" s="35" t="n">
        <v>108</v>
      </c>
      <c r="I282" s="35" t="n"/>
      <c r="J282" s="33" t="n">
        <v>13</v>
      </c>
      <c r="K282" s="33" t="n"/>
      <c r="L282" s="36" t="n">
        <v>15.29411765</v>
      </c>
      <c r="M282" s="37" t="n">
        <v>2.549019608</v>
      </c>
      <c r="N282" s="32">
        <f>IF(L282="","",IF(L282&lt;0,"negative profit",IF(L282&gt;Notes!$B$4,"unusually high - verify","")))</f>
        <v/>
      </c>
      <c r="O282" s="32" t="inlineStr">
        <is>
          <t>both</t>
        </is>
      </c>
      <c r="P282" s="32">
        <f>IF(O282&lt;&gt;"both",O282&amp;" only",IF(Q282="","agree","conflict"))</f>
        <v/>
      </c>
      <c r="Q282" s="32">
        <f>IF(O282="both",TRIM(IF(I282&lt;&gt;"","price ","")&amp;IF(K282&lt;&gt;"","xp ","")&amp;IF(G282="differs","time","")),"")</f>
        <v/>
      </c>
      <c r="R282" s="32" t="inlineStr">
        <is>
          <t>hayday.info (primary values) + Fandom (times, cross-check)</t>
        </is>
      </c>
      <c r="S282" s="32" t="inlineStr">
        <is>
          <t>https://hayday.fandom.com/wiki/Smelter</t>
        </is>
      </c>
    </row>
    <row r="283" ht="15" customHeight="1" s="29">
      <c r="A283" s="32" t="inlineStr">
        <is>
          <t>Iron Bar</t>
        </is>
      </c>
      <c r="B283" s="32" t="inlineStr">
        <is>
          <t>Smelter</t>
        </is>
      </c>
      <c r="C283" s="33" t="n">
        <v>34</v>
      </c>
      <c r="D283" s="34" t="n">
        <v>420</v>
      </c>
      <c r="E283" s="34" t="n">
        <v>357</v>
      </c>
      <c r="F283" s="34" t="n">
        <v>357</v>
      </c>
      <c r="G283" s="32">
        <f>IF(OR(F283="",AND(D283="",E283="")),"n/a",IF(F283=E283,"mastered",IF(F283=D283,"normal","differs")))</f>
        <v/>
      </c>
      <c r="H283" s="35" t="n">
        <v>129</v>
      </c>
      <c r="I283" s="35" t="n"/>
      <c r="J283" s="33" t="n">
        <v>15</v>
      </c>
      <c r="K283" s="33" t="n"/>
      <c r="L283" s="36" t="n">
        <v>14.62184874</v>
      </c>
      <c r="M283" s="37" t="n">
        <v>2.521008403</v>
      </c>
      <c r="N283" s="32">
        <f>IF(L283="","",IF(L283&lt;0,"negative profit",IF(L283&gt;Notes!$B$4,"unusually high - verify","")))</f>
        <v/>
      </c>
      <c r="O283" s="32" t="inlineStr">
        <is>
          <t>both</t>
        </is>
      </c>
      <c r="P283" s="32">
        <f>IF(O283&lt;&gt;"both",O283&amp;" only",IF(Q283="","agree","conflict"))</f>
        <v/>
      </c>
      <c r="Q283" s="32">
        <f>IF(O283="both",TRIM(IF(I283&lt;&gt;"","price ","")&amp;IF(K283&lt;&gt;"","xp ","")&amp;IF(G283="differs","time","")),"")</f>
        <v/>
      </c>
      <c r="R283" s="32" t="inlineStr">
        <is>
          <t>hayday.info (primary values) + Fandom (times, cross-check)</t>
        </is>
      </c>
      <c r="S283" s="32" t="inlineStr">
        <is>
          <t>https://hayday.fandom.com/wiki/Smelter</t>
        </is>
      </c>
    </row>
    <row r="284" ht="15" customHeight="1" s="29">
      <c r="A284" s="32" t="inlineStr">
        <is>
          <t>Berry Smoothie</t>
        </is>
      </c>
      <c r="B284" s="32" t="inlineStr">
        <is>
          <t>Smoothie Mixer</t>
        </is>
      </c>
      <c r="C284" s="33" t="n">
        <v>64</v>
      </c>
      <c r="D284" s="34" t="n">
        <v>75</v>
      </c>
      <c r="E284" s="34" t="n">
        <v>63</v>
      </c>
      <c r="F284" s="34" t="n">
        <v>63</v>
      </c>
      <c r="G284" s="32">
        <f>IF(OR(F284="",AND(D284="",E284="")),"n/a",IF(F284=E284,"mastered",IF(F284=D284,"normal","differs")))</f>
        <v/>
      </c>
      <c r="H284" s="35" t="n">
        <v>547</v>
      </c>
      <c r="I284" s="35" t="n"/>
      <c r="J284" s="33" t="n">
        <v>65</v>
      </c>
      <c r="K284" s="33" t="n"/>
      <c r="L284" s="36" t="n">
        <v>12.23529412</v>
      </c>
      <c r="M284" s="37" t="n">
        <v>61.17647059</v>
      </c>
      <c r="N284" s="32">
        <f>IF(L284="","",IF(L284&lt;0,"negative profit",IF(L284&gt;Notes!$B$4,"unusually high - verify","")))</f>
        <v/>
      </c>
      <c r="O284" s="32" t="inlineStr">
        <is>
          <t>both</t>
        </is>
      </c>
      <c r="P284" s="32">
        <f>IF(O284&lt;&gt;"both",O284&amp;" only",IF(Q284="","agree","conflict"))</f>
        <v/>
      </c>
      <c r="Q284" s="32">
        <f>IF(O284="both",TRIM(IF(I284&lt;&gt;"","price ","")&amp;IF(K284&lt;&gt;"","xp ","")&amp;IF(G284="differs","time","")),"")</f>
        <v/>
      </c>
      <c r="R284" s="32" t="inlineStr">
        <is>
          <t>hayday.info (primary values) + Fandom (times, cross-check)</t>
        </is>
      </c>
      <c r="S284" s="32" t="inlineStr">
        <is>
          <t>https://hayday.fandom.com/wiki/Smoothie_Mixer</t>
        </is>
      </c>
    </row>
    <row r="285" ht="15" customHeight="1" s="29">
      <c r="A285" s="32" t="inlineStr">
        <is>
          <t>Green Smoothie</t>
        </is>
      </c>
      <c r="B285" s="32" t="inlineStr">
        <is>
          <t>Smoothie Mixer</t>
        </is>
      </c>
      <c r="C285" s="33" t="n">
        <v>66</v>
      </c>
      <c r="D285" s="34" t="n">
        <v>45</v>
      </c>
      <c r="E285" s="34" t="n">
        <v>38</v>
      </c>
      <c r="F285" s="34" t="n">
        <v>38</v>
      </c>
      <c r="G285" s="32">
        <f>IF(OR(F285="",AND(D285="",E285="")),"n/a",IF(F285=E285,"mastered",IF(F285=D285,"normal","differs")))</f>
        <v/>
      </c>
      <c r="H285" s="35" t="n">
        <v>320</v>
      </c>
      <c r="I285" s="35" t="n"/>
      <c r="J285" s="33" t="n">
        <v>38</v>
      </c>
      <c r="K285" s="33" t="n"/>
      <c r="L285" s="36" t="n">
        <v>43.92156863</v>
      </c>
      <c r="M285" s="37" t="n">
        <v>59.60784314</v>
      </c>
      <c r="N285" s="32">
        <f>IF(L285="","",IF(L285&lt;0,"negative profit",IF(L285&gt;Notes!$B$4,"unusually high - verify","")))</f>
        <v/>
      </c>
      <c r="O285" s="32" t="inlineStr">
        <is>
          <t>both</t>
        </is>
      </c>
      <c r="P285" s="32">
        <f>IF(O285&lt;&gt;"both",O285&amp;" only",IF(Q285="","agree","conflict"))</f>
        <v/>
      </c>
      <c r="Q285" s="32">
        <f>IF(O285="both",TRIM(IF(I285&lt;&gt;"","price ","")&amp;IF(K285&lt;&gt;"","xp ","")&amp;IF(G285="differs","time","")),"")</f>
        <v/>
      </c>
      <c r="R285" s="32" t="inlineStr">
        <is>
          <t>hayday.info (primary values) + Fandom (times, cross-check)</t>
        </is>
      </c>
      <c r="S285" s="32" t="inlineStr">
        <is>
          <t>https://hayday.fandom.com/wiki/Smoothie_Mixer</t>
        </is>
      </c>
    </row>
    <row r="286" ht="15" customHeight="1" s="29">
      <c r="A286" s="32" t="inlineStr">
        <is>
          <t>Cucumber Smoothie</t>
        </is>
      </c>
      <c r="B286" s="32" t="inlineStr">
        <is>
          <t>Smoothie Mixer</t>
        </is>
      </c>
      <c r="C286" s="33" t="n">
        <v>70</v>
      </c>
      <c r="D286" s="34" t="n">
        <v>40</v>
      </c>
      <c r="E286" s="34" t="n">
        <v>34</v>
      </c>
      <c r="F286" s="34" t="n">
        <v>34</v>
      </c>
      <c r="G286" s="32">
        <f>IF(OR(F286="",AND(D286="",E286="")),"n/a",IF(F286=E286,"mastered",IF(F286=D286,"normal","differs")))</f>
        <v/>
      </c>
      <c r="H286" s="35" t="n">
        <v>266</v>
      </c>
      <c r="I286" s="35" t="n"/>
      <c r="J286" s="33" t="n">
        <v>32</v>
      </c>
      <c r="K286" s="33" t="n"/>
      <c r="L286" s="36" t="n">
        <v>49.41176471</v>
      </c>
      <c r="M286" s="37" t="n">
        <v>56.47058824</v>
      </c>
      <c r="N286" s="32">
        <f>IF(L286="","",IF(L286&lt;0,"negative profit",IF(L286&gt;Notes!$B$4,"unusually high - verify","")))</f>
        <v/>
      </c>
      <c r="O286" s="32" t="inlineStr">
        <is>
          <t>both</t>
        </is>
      </c>
      <c r="P286" s="32">
        <f>IF(O286&lt;&gt;"both",O286&amp;" only",IF(Q286="","agree","conflict"))</f>
        <v/>
      </c>
      <c r="Q286" s="32">
        <f>IF(O286="both",TRIM(IF(I286&lt;&gt;"","price ","")&amp;IF(K286&lt;&gt;"","xp ","")&amp;IF(G286="differs","time","")),"")</f>
        <v/>
      </c>
      <c r="R286" s="32" t="inlineStr">
        <is>
          <t>hayday.info (primary values) + Fandom (times, cross-check)</t>
        </is>
      </c>
      <c r="S286" s="32" t="inlineStr">
        <is>
          <t>https://hayday.fandom.com/wiki/Smoothie_Mixer</t>
        </is>
      </c>
    </row>
    <row r="287" ht="15" customHeight="1" s="29">
      <c r="A287" s="32" t="inlineStr">
        <is>
          <t>Yogurt Smoothie</t>
        </is>
      </c>
      <c r="B287" s="32" t="inlineStr">
        <is>
          <t>Smoothie Mixer</t>
        </is>
      </c>
      <c r="C287" s="33" t="n">
        <v>70</v>
      </c>
      <c r="D287" s="34" t="n">
        <v>60</v>
      </c>
      <c r="E287" s="34" t="n">
        <v>51</v>
      </c>
      <c r="F287" s="34" t="n">
        <v>51</v>
      </c>
      <c r="G287" s="32">
        <f>IF(OR(F287="",AND(D287="",E287="")),"n/a",IF(F287=E287,"mastered",IF(F287=D287,"normal","differs")))</f>
        <v/>
      </c>
      <c r="H287" s="35" t="n">
        <v>349</v>
      </c>
      <c r="I287" s="35" t="n"/>
      <c r="J287" s="33" t="n">
        <v>42</v>
      </c>
      <c r="K287" s="33" t="n">
        <v>60</v>
      </c>
      <c r="L287" s="36" t="n">
        <v>104.7058824</v>
      </c>
      <c r="M287" s="37" t="n">
        <v>49.41176471</v>
      </c>
      <c r="N287" s="32">
        <f>IF(L287="","",IF(L287&lt;0,"negative profit",IF(L287&gt;Notes!$B$4,"unusually high - verify","")))</f>
        <v/>
      </c>
      <c r="O287" s="32" t="inlineStr">
        <is>
          <t>both</t>
        </is>
      </c>
      <c r="P287" s="32">
        <f>IF(O287&lt;&gt;"both",O287&amp;" only",IF(Q287="","agree","conflict"))</f>
        <v/>
      </c>
      <c r="Q287" s="32">
        <f>IF(O287="both",TRIM(IF(I287&lt;&gt;"","price ","")&amp;IF(K287&lt;&gt;"","xp ","")&amp;IF(G287="differs","time","")),"")</f>
        <v/>
      </c>
      <c r="R287" s="32" t="inlineStr">
        <is>
          <t>hayday.info (primary values) + Fandom (times, cross-check)</t>
        </is>
      </c>
      <c r="S287" s="32" t="inlineStr">
        <is>
          <t>https://hayday.fandom.com/wiki/Smoothie_Mixer</t>
        </is>
      </c>
    </row>
    <row r="288" ht="15" customHeight="1" s="29">
      <c r="A288" s="32" t="inlineStr">
        <is>
          <t>Mixed Smoothie</t>
        </is>
      </c>
      <c r="B288" s="32" t="inlineStr">
        <is>
          <t>Smoothie Mixer</t>
        </is>
      </c>
      <c r="C288" s="33" t="n">
        <v>88</v>
      </c>
      <c r="D288" s="34" t="n">
        <v>30</v>
      </c>
      <c r="E288" s="34" t="n">
        <v>25</v>
      </c>
      <c r="F288" s="34" t="n">
        <v>25</v>
      </c>
      <c r="G288" s="32">
        <f>IF(OR(F288="",AND(D288="",E288="")),"n/a",IF(F288=E288,"mastered",IF(F288=D288,"normal","differs")))</f>
        <v/>
      </c>
      <c r="H288" s="35" t="n">
        <v>504</v>
      </c>
      <c r="I288" s="35" t="n"/>
      <c r="J288" s="33" t="n">
        <v>60</v>
      </c>
      <c r="K288" s="33" t="n"/>
      <c r="L288" s="36" t="n">
        <v>40</v>
      </c>
      <c r="M288" s="37" t="n">
        <v>141.1764706</v>
      </c>
      <c r="N288" s="32">
        <f>IF(L288="","",IF(L288&lt;0,"negative profit",IF(L288&gt;Notes!$B$4,"unusually high - verify","")))</f>
        <v/>
      </c>
      <c r="O288" s="32" t="inlineStr">
        <is>
          <t>both</t>
        </is>
      </c>
      <c r="P288" s="32">
        <f>IF(O288&lt;&gt;"both",O288&amp;" only",IF(Q288="","agree","conflict"))</f>
        <v/>
      </c>
      <c r="Q288" s="32">
        <f>IF(O288="both",TRIM(IF(I288&lt;&gt;"","price ","")&amp;IF(K288&lt;&gt;"","xp ","")&amp;IF(G288="differs","time","")),"")</f>
        <v/>
      </c>
      <c r="R288" s="32" t="inlineStr">
        <is>
          <t>hayday.info (primary values) + Fandom (times, cross-check)</t>
        </is>
      </c>
      <c r="S288" s="32" t="inlineStr">
        <is>
          <t>https://hayday.fandom.com/wiki/Smoothie_Mixer</t>
        </is>
      </c>
    </row>
    <row r="289" ht="15" customHeight="1" s="29">
      <c r="A289" s="32" t="inlineStr">
        <is>
          <t>Black Sesame Smoothie</t>
        </is>
      </c>
      <c r="B289" s="32" t="inlineStr">
        <is>
          <t>Smoothie Mixer</t>
        </is>
      </c>
      <c r="C289" s="33" t="n">
        <v>93</v>
      </c>
      <c r="D289" s="34" t="n">
        <v>45</v>
      </c>
      <c r="E289" s="34" t="n">
        <v>38</v>
      </c>
      <c r="F289" s="34" t="n">
        <v>38</v>
      </c>
      <c r="G289" s="32">
        <f>IF(OR(F289="",AND(D289="",E289="")),"n/a",IF(F289=E289,"mastered",IF(F289=D289,"normal","differs")))</f>
        <v/>
      </c>
      <c r="H289" s="35" t="n">
        <v>313</v>
      </c>
      <c r="I289" s="35" t="n"/>
      <c r="J289" s="33" t="n">
        <v>37</v>
      </c>
      <c r="K289" s="33" t="n"/>
      <c r="L289" s="36" t="n">
        <v>42.35294118</v>
      </c>
      <c r="M289" s="37" t="n">
        <v>58.03921569</v>
      </c>
      <c r="N289" s="32">
        <f>IF(L289="","",IF(L289&lt;0,"negative profit",IF(L289&gt;Notes!$B$4,"unusually high - verify","")))</f>
        <v/>
      </c>
      <c r="O289" s="32" t="inlineStr">
        <is>
          <t>both</t>
        </is>
      </c>
      <c r="P289" s="32">
        <f>IF(O289&lt;&gt;"both",O289&amp;" only",IF(Q289="","agree","conflict"))</f>
        <v/>
      </c>
      <c r="Q289" s="32">
        <f>IF(O289="both",TRIM(IF(I289&lt;&gt;"","price ","")&amp;IF(K289&lt;&gt;"","xp ","")&amp;IF(G289="differs","time","")),"")</f>
        <v/>
      </c>
      <c r="R289" s="32" t="inlineStr">
        <is>
          <t>hayday.info (primary values) + Fandom (times, cross-check)</t>
        </is>
      </c>
      <c r="S289" s="32" t="inlineStr">
        <is>
          <t>https://hayday.fandom.com/wiki/Smoothie_Mixer</t>
        </is>
      </c>
    </row>
    <row r="290" ht="15" customHeight="1" s="29">
      <c r="A290" s="32" t="inlineStr">
        <is>
          <t>Cocoa Smoothie</t>
        </is>
      </c>
      <c r="B290" s="32" t="inlineStr">
        <is>
          <t>Smoothie Mixer</t>
        </is>
      </c>
      <c r="C290" s="33" t="n">
        <v>100</v>
      </c>
      <c r="D290" s="34" t="n">
        <v>40</v>
      </c>
      <c r="E290" s="34" t="n">
        <v>34</v>
      </c>
      <c r="F290" s="34" t="n">
        <v>34</v>
      </c>
      <c r="G290" s="32">
        <f>IF(OR(F290="",AND(D290="",E290="")),"n/a",IF(F290=E290,"mastered",IF(F290=D290,"normal","differs")))</f>
        <v/>
      </c>
      <c r="H290" s="35" t="n">
        <v>511</v>
      </c>
      <c r="I290" s="35" t="n"/>
      <c r="J290" s="33" t="n">
        <v>61</v>
      </c>
      <c r="K290" s="33" t="n"/>
      <c r="L290" s="36" t="n">
        <v>22.94117647</v>
      </c>
      <c r="M290" s="37" t="n">
        <v>107.6470588</v>
      </c>
      <c r="N290" s="32">
        <f>IF(L290="","",IF(L290&lt;0,"negative profit",IF(L290&gt;Notes!$B$4,"unusually high - verify","")))</f>
        <v/>
      </c>
      <c r="O290" s="32" t="inlineStr">
        <is>
          <t>both</t>
        </is>
      </c>
      <c r="P290" s="32">
        <f>IF(O290&lt;&gt;"both",O290&amp;" only",IF(Q290="","agree","conflict"))</f>
        <v/>
      </c>
      <c r="Q290" s="32">
        <f>IF(O290="both",TRIM(IF(I290&lt;&gt;"","price ","")&amp;IF(K290&lt;&gt;"","xp ","")&amp;IF(G290="differs","time","")),"")</f>
        <v/>
      </c>
      <c r="R290" s="32" t="inlineStr">
        <is>
          <t>hayday.info (primary values) + Fandom (times, cross-check)</t>
        </is>
      </c>
      <c r="S290" s="32" t="inlineStr">
        <is>
          <t>https://hayday.fandom.com/wiki/Smoothie_Mixer</t>
        </is>
      </c>
    </row>
    <row r="291" ht="15" customHeight="1" s="29">
      <c r="A291" s="32" t="inlineStr">
        <is>
          <t>Plum Smoothie</t>
        </is>
      </c>
      <c r="B291" s="32" t="inlineStr">
        <is>
          <t>Smoothie Mixer</t>
        </is>
      </c>
      <c r="C291" s="33" t="n">
        <v>102</v>
      </c>
      <c r="D291" s="34" t="n">
        <v>35</v>
      </c>
      <c r="E291" s="34" t="n">
        <v>29</v>
      </c>
      <c r="F291" s="34" t="n">
        <v>29</v>
      </c>
      <c r="G291" s="32">
        <f>IF(OR(F291="",AND(D291="",E291="")),"n/a",IF(F291=E291,"mastered",IF(F291=D291,"normal","differs")))</f>
        <v/>
      </c>
      <c r="H291" s="35" t="n">
        <v>522</v>
      </c>
      <c r="I291" s="35" t="n"/>
      <c r="J291" s="33" t="n">
        <v>62</v>
      </c>
      <c r="K291" s="33" t="n"/>
      <c r="L291" s="36" t="n">
        <v>116.9747899</v>
      </c>
      <c r="M291" s="37" t="n">
        <v>125.0420168</v>
      </c>
      <c r="N291" s="32">
        <f>IF(L291="","",IF(L291&lt;0,"negative profit",IF(L291&gt;Notes!$B$4,"unusually high - verify","")))</f>
        <v/>
      </c>
      <c r="O291" s="32" t="inlineStr">
        <is>
          <t>both</t>
        </is>
      </c>
      <c r="P291" s="32">
        <f>IF(O291&lt;&gt;"both",O291&amp;" only",IF(Q291="","agree","conflict"))</f>
        <v/>
      </c>
      <c r="Q291" s="32">
        <f>IF(O291="both",TRIM(IF(I291&lt;&gt;"","price ","")&amp;IF(K291&lt;&gt;"","xp ","")&amp;IF(G291="differs","time","")),"")</f>
        <v/>
      </c>
      <c r="R291" s="32" t="inlineStr">
        <is>
          <t>hayday.info (primary values) + Fandom (times, cross-check)</t>
        </is>
      </c>
      <c r="S291" s="32" t="inlineStr">
        <is>
          <t>https://hayday.fandom.com/wiki/Smoothie_Mixer</t>
        </is>
      </c>
    </row>
    <row r="292" ht="15" customHeight="1" s="29">
      <c r="A292" s="32" t="inlineStr">
        <is>
          <t>Tropical Smoothie</t>
        </is>
      </c>
      <c r="B292" s="32" t="inlineStr">
        <is>
          <t>Smoothie Mixer</t>
        </is>
      </c>
      <c r="C292" s="33" t="n">
        <v>104</v>
      </c>
      <c r="D292" s="34" t="n"/>
      <c r="E292" s="34" t="n"/>
      <c r="F292" s="34" t="n">
        <v>40</v>
      </c>
      <c r="G292" s="32">
        <f>IF(OR(F292="",AND(D292="",E292="")),"n/a",IF(F292=E292,"mastered",IF(F292=D292,"normal","differs")))</f>
        <v/>
      </c>
      <c r="H292" s="35" t="n">
        <v>475</v>
      </c>
      <c r="I292" s="35" t="n"/>
      <c r="J292" s="33" t="n">
        <v>57</v>
      </c>
      <c r="K292" s="33" t="n"/>
      <c r="L292" s="36" t="n">
        <v>40.5</v>
      </c>
      <c r="M292" s="37" t="n">
        <v>85.5</v>
      </c>
      <c r="N292" s="32">
        <f>IF(L292="","",IF(L292&lt;0,"negative profit",IF(L292&gt;Notes!$B$4,"unusually high - verify","")))</f>
        <v/>
      </c>
      <c r="O292" s="32" t="inlineStr">
        <is>
          <t>hayday.info</t>
        </is>
      </c>
      <c r="P292" s="32">
        <f>IF(O292&lt;&gt;"both",O292&amp;" only",IF(Q292="","agree","conflict"))</f>
        <v/>
      </c>
      <c r="Q292" s="32">
        <f>IF(O292="both",TRIM(IF(I292&lt;&gt;"","price ","")&amp;IF(K292&lt;&gt;"","xp ","")&amp;IF(G292="differs","time","")),"")</f>
        <v/>
      </c>
      <c r="R292" s="32" t="inlineStr">
        <is>
          <t>hayday.info /api/production-data only</t>
        </is>
      </c>
      <c r="S292" s="32" t="n"/>
    </row>
    <row r="293" ht="15" customHeight="1" s="29">
      <c r="A293" s="32" t="inlineStr">
        <is>
          <t>Lobster Soup</t>
        </is>
      </c>
      <c r="B293" s="32" t="inlineStr">
        <is>
          <t>Soup Kitchen</t>
        </is>
      </c>
      <c r="C293" s="33" t="n">
        <v>46</v>
      </c>
      <c r="D293" s="34" t="n">
        <v>150</v>
      </c>
      <c r="E293" s="34" t="n">
        <v>127</v>
      </c>
      <c r="F293" s="34" t="n">
        <v>127</v>
      </c>
      <c r="G293" s="32">
        <f>IF(OR(F293="",AND(D293="",E293="")),"n/a",IF(F293=E293,"mastered",IF(F293=D293,"normal","differs")))</f>
        <v/>
      </c>
      <c r="H293" s="35" t="n">
        <v>612</v>
      </c>
      <c r="I293" s="35" t="n"/>
      <c r="J293" s="33" t="n">
        <v>73</v>
      </c>
      <c r="K293" s="33" t="n"/>
      <c r="L293" s="36" t="n">
        <v>21.17647059</v>
      </c>
      <c r="M293" s="37" t="n">
        <v>34.35294118</v>
      </c>
      <c r="N293" s="32">
        <f>IF(L293="","",IF(L293&lt;0,"negative profit",IF(L293&gt;Notes!$B$4,"unusually high - verify","")))</f>
        <v/>
      </c>
      <c r="O293" s="32" t="inlineStr">
        <is>
          <t>both</t>
        </is>
      </c>
      <c r="P293" s="32">
        <f>IF(O293&lt;&gt;"both",O293&amp;" only",IF(Q293="","agree","conflict"))</f>
        <v/>
      </c>
      <c r="Q293" s="32">
        <f>IF(O293="both",TRIM(IF(I293&lt;&gt;"","price ","")&amp;IF(K293&lt;&gt;"","xp ","")&amp;IF(G293="differs","time","")),"")</f>
        <v/>
      </c>
      <c r="R293" s="32" t="inlineStr">
        <is>
          <t>hayday.info (primary values) + Fandom (times, cross-check)</t>
        </is>
      </c>
      <c r="S293" s="32" t="inlineStr">
        <is>
          <t>https://hayday.fandom.com/wiki/Soup_Kitchen</t>
        </is>
      </c>
    </row>
    <row r="294" ht="15" customHeight="1" s="29">
      <c r="A294" s="32" t="inlineStr">
        <is>
          <t>Tomato Soup</t>
        </is>
      </c>
      <c r="B294" s="32" t="inlineStr">
        <is>
          <t>Soup Kitchen</t>
        </is>
      </c>
      <c r="C294" s="33" t="n">
        <v>47</v>
      </c>
      <c r="D294" s="34" t="n">
        <v>90</v>
      </c>
      <c r="E294" s="34" t="n">
        <v>76</v>
      </c>
      <c r="F294" s="34" t="n">
        <v>76</v>
      </c>
      <c r="G294" s="32">
        <f>IF(OR(F294="",AND(D294="",E294="")),"n/a",IF(F294=E294,"mastered",IF(F294=D294,"normal","differs")))</f>
        <v/>
      </c>
      <c r="H294" s="35" t="n">
        <v>478</v>
      </c>
      <c r="I294" s="35" t="n"/>
      <c r="J294" s="33" t="n">
        <v>57</v>
      </c>
      <c r="K294" s="33" t="n"/>
      <c r="L294" s="36" t="n">
        <v>25.09803922</v>
      </c>
      <c r="M294" s="37" t="n">
        <v>44.70588235</v>
      </c>
      <c r="N294" s="32">
        <f>IF(L294="","",IF(L294&lt;0,"negative profit",IF(L294&gt;Notes!$B$4,"unusually high - verify","")))</f>
        <v/>
      </c>
      <c r="O294" s="32" t="inlineStr">
        <is>
          <t>both</t>
        </is>
      </c>
      <c r="P294" s="32">
        <f>IF(O294&lt;&gt;"both",O294&amp;" only",IF(Q294="","agree","conflict"))</f>
        <v/>
      </c>
      <c r="Q294" s="32">
        <f>IF(O294="both",TRIM(IF(I294&lt;&gt;"","price ","")&amp;IF(K294&lt;&gt;"","xp ","")&amp;IF(G294="differs","time","")),"")</f>
        <v/>
      </c>
      <c r="R294" s="32" t="inlineStr">
        <is>
          <t>hayday.info (primary values) + Fandom (times, cross-check)</t>
        </is>
      </c>
      <c r="S294" s="32" t="inlineStr">
        <is>
          <t>https://hayday.fandom.com/wiki/Soup_Kitchen</t>
        </is>
      </c>
    </row>
    <row r="295" ht="15" customHeight="1" s="29">
      <c r="A295" s="32" t="inlineStr">
        <is>
          <t>Pumpkin Soup</t>
        </is>
      </c>
      <c r="B295" s="32" t="inlineStr">
        <is>
          <t>Soup Kitchen</t>
        </is>
      </c>
      <c r="C295" s="33" t="n">
        <v>49</v>
      </c>
      <c r="D295" s="34" t="n">
        <v>120</v>
      </c>
      <c r="E295" s="34" t="n">
        <v>102</v>
      </c>
      <c r="F295" s="34" t="n">
        <v>102</v>
      </c>
      <c r="G295" s="32">
        <f>IF(OR(F295="",AND(D295="",E295="")),"n/a",IF(F295=E295,"mastered",IF(F295=D295,"normal","differs")))</f>
        <v/>
      </c>
      <c r="H295" s="35" t="n">
        <v>392</v>
      </c>
      <c r="I295" s="35" t="n"/>
      <c r="J295" s="33" t="n">
        <v>47</v>
      </c>
      <c r="K295" s="33" t="n"/>
      <c r="L295" s="36" t="n">
        <v>27.05882353</v>
      </c>
      <c r="M295" s="37" t="n">
        <v>27.64705882</v>
      </c>
      <c r="N295" s="32">
        <f>IF(L295="","",IF(L295&lt;0,"negative profit",IF(L295&gt;Notes!$B$4,"unusually high - verify","")))</f>
        <v/>
      </c>
      <c r="O295" s="32" t="inlineStr">
        <is>
          <t>both</t>
        </is>
      </c>
      <c r="P295" s="32">
        <f>IF(O295&lt;&gt;"both",O295&amp;" only",IF(Q295="","agree","conflict"))</f>
        <v/>
      </c>
      <c r="Q295" s="32">
        <f>IF(O295="both",TRIM(IF(I295&lt;&gt;"","price ","")&amp;IF(K295&lt;&gt;"","xp ","")&amp;IF(G295="differs","time","")),"")</f>
        <v/>
      </c>
      <c r="R295" s="32" t="inlineStr">
        <is>
          <t>hayday.info (primary values) + Fandom (times, cross-check)</t>
        </is>
      </c>
      <c r="S295" s="32" t="inlineStr">
        <is>
          <t>https://hayday.fandom.com/wiki/Soup_Kitchen</t>
        </is>
      </c>
    </row>
    <row r="296" ht="15" customHeight="1" s="29">
      <c r="A296" s="32" t="inlineStr">
        <is>
          <t>Fish Soup</t>
        </is>
      </c>
      <c r="B296" s="32" t="inlineStr">
        <is>
          <t>Soup Kitchen</t>
        </is>
      </c>
      <c r="C296" s="33" t="n">
        <v>53</v>
      </c>
      <c r="D296" s="34" t="n">
        <v>180</v>
      </c>
      <c r="E296" s="34" t="n">
        <v>153</v>
      </c>
      <c r="F296" s="34" t="n">
        <v>153</v>
      </c>
      <c r="G296" s="32">
        <f>IF(OR(F296="",AND(D296="",E296="")),"n/a",IF(F296=E296,"mastered",IF(F296=D296,"normal","differs")))</f>
        <v/>
      </c>
      <c r="H296" s="35" t="n">
        <v>298</v>
      </c>
      <c r="I296" s="35" t="n"/>
      <c r="J296" s="33" t="n">
        <v>35</v>
      </c>
      <c r="K296" s="33" t="n"/>
      <c r="L296" s="36" t="n">
        <v>16.8627451</v>
      </c>
      <c r="M296" s="37" t="n">
        <v>13.7254902</v>
      </c>
      <c r="N296" s="32">
        <f>IF(L296="","",IF(L296&lt;0,"negative profit",IF(L296&gt;Notes!$B$4,"unusually high - verify","")))</f>
        <v/>
      </c>
      <c r="O296" s="32" t="inlineStr">
        <is>
          <t>both</t>
        </is>
      </c>
      <c r="P296" s="32">
        <f>IF(O296&lt;&gt;"both",O296&amp;" only",IF(Q296="","agree","conflict"))</f>
        <v/>
      </c>
      <c r="Q296" s="32">
        <f>IF(O296="both",TRIM(IF(I296&lt;&gt;"","price ","")&amp;IF(K296&lt;&gt;"","xp ","")&amp;IF(G296="differs","time","")),"")</f>
        <v/>
      </c>
      <c r="R296" s="32" t="inlineStr">
        <is>
          <t>hayday.info (primary values) + Fandom (times, cross-check)</t>
        </is>
      </c>
      <c r="S296" s="32" t="inlineStr">
        <is>
          <t>https://hayday.fandom.com/wiki/Soup_Kitchen</t>
        </is>
      </c>
    </row>
    <row r="297" ht="15" customHeight="1" s="29">
      <c r="A297" s="32" t="inlineStr">
        <is>
          <t>Cabbage Soup</t>
        </is>
      </c>
      <c r="B297" s="32" t="inlineStr">
        <is>
          <t>Soup Kitchen</t>
        </is>
      </c>
      <c r="C297" s="33" t="n">
        <v>65</v>
      </c>
      <c r="D297" s="34" t="n"/>
      <c r="E297" s="34" t="n"/>
      <c r="F297" s="34" t="n">
        <v>76</v>
      </c>
      <c r="G297" s="32">
        <f>IF(OR(F297="",AND(D297="",E297="")),"n/a",IF(F297=E297,"mastered",IF(F297=D297,"normal","differs")))</f>
        <v/>
      </c>
      <c r="H297" s="35" t="n">
        <v>270</v>
      </c>
      <c r="I297" s="35" t="n"/>
      <c r="J297" s="33" t="n">
        <v>32</v>
      </c>
      <c r="K297" s="33" t="n"/>
      <c r="L297" s="36" t="n">
        <v>23.52941176</v>
      </c>
      <c r="M297" s="37" t="n">
        <v>25.09803922</v>
      </c>
      <c r="N297" s="32">
        <f>IF(L297="","",IF(L297&lt;0,"negative profit",IF(L297&gt;Notes!$B$4,"unusually high - verify","")))</f>
        <v/>
      </c>
      <c r="O297" s="32" t="inlineStr">
        <is>
          <t>hayday.info</t>
        </is>
      </c>
      <c r="P297" s="32">
        <f>IF(O297&lt;&gt;"both",O297&amp;" only",IF(Q297="","agree","conflict"))</f>
        <v/>
      </c>
      <c r="Q297" s="32">
        <f>IF(O297="both",TRIM(IF(I297&lt;&gt;"","price ","")&amp;IF(K297&lt;&gt;"","xp ","")&amp;IF(G297="differs","time","")),"")</f>
        <v/>
      </c>
      <c r="R297" s="32" t="inlineStr">
        <is>
          <t>hayday.info /api/production-data only</t>
        </is>
      </c>
      <c r="S297" s="32" t="n"/>
    </row>
    <row r="298" ht="15" customHeight="1" s="29">
      <c r="A298" s="32" t="inlineStr">
        <is>
          <t>Onion Soup</t>
        </is>
      </c>
      <c r="B298" s="32" t="inlineStr">
        <is>
          <t>Soup Kitchen</t>
        </is>
      </c>
      <c r="C298" s="33" t="n">
        <v>72</v>
      </c>
      <c r="D298" s="34" t="n">
        <v>150</v>
      </c>
      <c r="E298" s="34" t="n">
        <v>127</v>
      </c>
      <c r="F298" s="34" t="n">
        <v>127</v>
      </c>
      <c r="G298" s="32">
        <f>IF(OR(F298="",AND(D298="",E298="")),"n/a",IF(F298=E298,"mastered",IF(F298=D298,"normal","differs")))</f>
        <v/>
      </c>
      <c r="H298" s="35" t="n">
        <v>327</v>
      </c>
      <c r="I298" s="35" t="n"/>
      <c r="J298" s="33" t="n">
        <v>39</v>
      </c>
      <c r="K298" s="33" t="n">
        <v>36</v>
      </c>
      <c r="L298" s="36" t="n">
        <v>21.64705882</v>
      </c>
      <c r="M298" s="37" t="n">
        <v>18.35294118</v>
      </c>
      <c r="N298" s="32">
        <f>IF(L298="","",IF(L298&lt;0,"negative profit",IF(L298&gt;Notes!$B$4,"unusually high - verify","")))</f>
        <v/>
      </c>
      <c r="O298" s="32" t="inlineStr">
        <is>
          <t>both</t>
        </is>
      </c>
      <c r="P298" s="32">
        <f>IF(O298&lt;&gt;"both",O298&amp;" only",IF(Q298="","agree","conflict"))</f>
        <v/>
      </c>
      <c r="Q298" s="32">
        <f>IF(O298="both",TRIM(IF(I298&lt;&gt;"","price ","")&amp;IF(K298&lt;&gt;"","xp ","")&amp;IF(G298="differs","time","")),"")</f>
        <v/>
      </c>
      <c r="R298" s="32" t="inlineStr">
        <is>
          <t>hayday.info (primary values) + Fandom (times, cross-check)</t>
        </is>
      </c>
      <c r="S298" s="32" t="inlineStr">
        <is>
          <t>https://hayday.fandom.com/wiki/Soup_Kitchen</t>
        </is>
      </c>
    </row>
    <row r="299" ht="15" customHeight="1" s="29">
      <c r="A299" s="32" t="inlineStr">
        <is>
          <t>Noodle Soup</t>
        </is>
      </c>
      <c r="B299" s="32" t="inlineStr">
        <is>
          <t>Soup Kitchen</t>
        </is>
      </c>
      <c r="C299" s="33" t="n">
        <v>73</v>
      </c>
      <c r="D299" s="34" t="n">
        <v>120</v>
      </c>
      <c r="E299" s="34" t="n">
        <v>102</v>
      </c>
      <c r="F299" s="34" t="n">
        <v>102</v>
      </c>
      <c r="G299" s="32">
        <f>IF(OR(F299="",AND(D299="",E299="")),"n/a",IF(F299=E299,"mastered",IF(F299=D299,"normal","differs")))</f>
        <v/>
      </c>
      <c r="H299" s="35" t="n">
        <v>432</v>
      </c>
      <c r="I299" s="35" t="n"/>
      <c r="J299" s="33" t="n">
        <v>52</v>
      </c>
      <c r="K299" s="33" t="n"/>
      <c r="L299" s="36" t="n">
        <v>27.05882353</v>
      </c>
      <c r="M299" s="37" t="n">
        <v>30.58823529</v>
      </c>
      <c r="N299" s="32">
        <f>IF(L299="","",IF(L299&lt;0,"negative profit",IF(L299&gt;Notes!$B$4,"unusually high - verify","")))</f>
        <v/>
      </c>
      <c r="O299" s="32" t="inlineStr">
        <is>
          <t>both</t>
        </is>
      </c>
      <c r="P299" s="32">
        <f>IF(O299&lt;&gt;"both",O299&amp;" only",IF(Q299="","agree","conflict"))</f>
        <v/>
      </c>
      <c r="Q299" s="32">
        <f>IF(O299="both",TRIM(IF(I299&lt;&gt;"","price ","")&amp;IF(K299&lt;&gt;"","xp ","")&amp;IF(G299="differs","time","")),"")</f>
        <v/>
      </c>
      <c r="R299" s="32" t="inlineStr">
        <is>
          <t>hayday.info (primary values) + Fandom (times, cross-check)</t>
        </is>
      </c>
      <c r="S299" s="32" t="inlineStr">
        <is>
          <t>https://hayday.fandom.com/wiki/Soup_Kitchen</t>
        </is>
      </c>
    </row>
    <row r="300" ht="15" customHeight="1" s="29">
      <c r="A300" s="32" t="inlineStr">
        <is>
          <t>Potato Soup</t>
        </is>
      </c>
      <c r="B300" s="32" t="inlineStr">
        <is>
          <t>Soup Kitchen</t>
        </is>
      </c>
      <c r="C300" s="33" t="n">
        <v>78</v>
      </c>
      <c r="D300" s="34" t="n">
        <v>150</v>
      </c>
      <c r="E300" s="34" t="n">
        <v>127</v>
      </c>
      <c r="F300" s="34" t="n">
        <v>127</v>
      </c>
      <c r="G300" s="32">
        <f>IF(OR(F300="",AND(D300="",E300="")),"n/a",IF(F300=E300,"mastered",IF(F300=D300,"normal","differs")))</f>
        <v/>
      </c>
      <c r="H300" s="35" t="n">
        <v>255</v>
      </c>
      <c r="I300" s="35" t="n"/>
      <c r="J300" s="33" t="n">
        <v>31</v>
      </c>
      <c r="K300" s="33" t="n"/>
      <c r="L300" s="36" t="n">
        <v>17.41176471</v>
      </c>
      <c r="M300" s="37" t="n">
        <v>14.58823529</v>
      </c>
      <c r="N300" s="32">
        <f>IF(L300="","",IF(L300&lt;0,"negative profit",IF(L300&gt;Notes!$B$4,"unusually high - verify","")))</f>
        <v/>
      </c>
      <c r="O300" s="32" t="inlineStr">
        <is>
          <t>both</t>
        </is>
      </c>
      <c r="P300" s="32">
        <f>IF(O300&lt;&gt;"both",O300&amp;" only",IF(Q300="","agree","conflict"))</f>
        <v/>
      </c>
      <c r="Q300" s="32">
        <f>IF(O300="both",TRIM(IF(I300&lt;&gt;"","price ","")&amp;IF(K300&lt;&gt;"","xp ","")&amp;IF(G300="differs","time","")),"")</f>
        <v/>
      </c>
      <c r="R300" s="32" t="inlineStr">
        <is>
          <t>hayday.info (primary values) + Fandom (times, cross-check)</t>
        </is>
      </c>
      <c r="S300" s="32" t="inlineStr">
        <is>
          <t>https://hayday.fandom.com/wiki/Soup_Kitchen</t>
        </is>
      </c>
    </row>
    <row r="301" ht="15" customHeight="1" s="29">
      <c r="A301" s="32" t="inlineStr">
        <is>
          <t>Bell Pepper Soup</t>
        </is>
      </c>
      <c r="B301" s="32" t="inlineStr">
        <is>
          <t>Soup Kitchen</t>
        </is>
      </c>
      <c r="C301" s="33" t="n">
        <v>81</v>
      </c>
      <c r="D301" s="34" t="n">
        <v>60</v>
      </c>
      <c r="E301" s="34" t="n">
        <v>51</v>
      </c>
      <c r="F301" s="34" t="n">
        <v>51</v>
      </c>
      <c r="G301" s="32">
        <f>IF(OR(F301="",AND(D301="",E301="")),"n/a",IF(F301=E301,"mastered",IF(F301=D301,"normal","differs")))</f>
        <v/>
      </c>
      <c r="H301" s="35" t="n">
        <v>439</v>
      </c>
      <c r="I301" s="35" t="n"/>
      <c r="J301" s="33" t="n">
        <v>52</v>
      </c>
      <c r="K301" s="33" t="n"/>
      <c r="L301" s="36" t="n">
        <v>38.82352941</v>
      </c>
      <c r="M301" s="37" t="n">
        <v>61.17647059</v>
      </c>
      <c r="N301" s="32">
        <f>IF(L301="","",IF(L301&lt;0,"negative profit",IF(L301&gt;Notes!$B$4,"unusually high - verify","")))</f>
        <v/>
      </c>
      <c r="O301" s="32" t="inlineStr">
        <is>
          <t>both</t>
        </is>
      </c>
      <c r="P301" s="32">
        <f>IF(O301&lt;&gt;"both",O301&amp;" only",IF(Q301="","agree","conflict"))</f>
        <v/>
      </c>
      <c r="Q301" s="32">
        <f>IF(O301="both",TRIM(IF(I301&lt;&gt;"","price ","")&amp;IF(K301&lt;&gt;"","xp ","")&amp;IF(G301="differs","time","")),"")</f>
        <v/>
      </c>
      <c r="R301" s="32" t="inlineStr">
        <is>
          <t>hayday.info (primary values) + Fandom (times, cross-check)</t>
        </is>
      </c>
      <c r="S301" s="32" t="inlineStr">
        <is>
          <t>https://hayday.fandom.com/wiki/Soup_Kitchen</t>
        </is>
      </c>
    </row>
    <row r="302" ht="15" customHeight="1" s="29">
      <c r="A302" s="32" t="inlineStr">
        <is>
          <t>Broccoli Soup</t>
        </is>
      </c>
      <c r="B302" s="32" t="inlineStr">
        <is>
          <t>Soup Kitchen</t>
        </is>
      </c>
      <c r="C302" s="33" t="n">
        <v>87</v>
      </c>
      <c r="D302" s="34" t="n">
        <v>90</v>
      </c>
      <c r="E302" s="34" t="n">
        <v>76</v>
      </c>
      <c r="F302" s="34" t="n">
        <v>63</v>
      </c>
      <c r="G302" s="32">
        <f>IF(OR(F302="",AND(D302="",E302="")),"n/a",IF(F302=E302,"mastered",IF(F302=D302,"normal","differs")))</f>
        <v/>
      </c>
      <c r="H302" s="35" t="n">
        <v>237</v>
      </c>
      <c r="I302" s="35" t="n"/>
      <c r="J302" s="33" t="n">
        <v>28</v>
      </c>
      <c r="K302" s="33" t="n"/>
      <c r="L302" s="36" t="n">
        <v>25.41176471</v>
      </c>
      <c r="M302" s="37" t="n">
        <v>26.35294118</v>
      </c>
      <c r="N302" s="32">
        <f>IF(L302="","",IF(L302&lt;0,"negative profit",IF(L302&gt;Notes!$B$4,"unusually high - verify","")))</f>
        <v/>
      </c>
      <c r="O302" s="32" t="inlineStr">
        <is>
          <t>both</t>
        </is>
      </c>
      <c r="P302" s="32">
        <f>IF(O302&lt;&gt;"both",O302&amp;" only",IF(Q302="","agree","conflict"))</f>
        <v/>
      </c>
      <c r="Q302" s="32">
        <f>IF(O302="both",TRIM(IF(I302&lt;&gt;"","price ","")&amp;IF(K302&lt;&gt;"","xp ","")&amp;IF(G302="differs","time","")),"")</f>
        <v/>
      </c>
      <c r="R302" s="32" t="inlineStr">
        <is>
          <t>hayday.info (primary values) + Fandom (times, cross-check)</t>
        </is>
      </c>
      <c r="S302" s="32" t="inlineStr">
        <is>
          <t>https://hayday.fandom.com/wiki/Soup_Kitchen</t>
        </is>
      </c>
    </row>
    <row r="303" ht="15" customHeight="1" s="29">
      <c r="A303" s="32" t="inlineStr">
        <is>
          <t>Mushroom Soup</t>
        </is>
      </c>
      <c r="B303" s="32" t="inlineStr">
        <is>
          <t>Soup Kitchen</t>
        </is>
      </c>
      <c r="C303" s="33" t="n">
        <v>104</v>
      </c>
      <c r="D303" s="34" t="n">
        <v>80</v>
      </c>
      <c r="E303" s="34" t="n">
        <v>68</v>
      </c>
      <c r="F303" s="34" t="n">
        <v>68</v>
      </c>
      <c r="G303" s="32">
        <f>IF(OR(F303="",AND(D303="",E303="")),"n/a",IF(F303=E303,"mastered",IF(F303=D303,"normal","differs")))</f>
        <v/>
      </c>
      <c r="H303" s="35" t="n">
        <v>176</v>
      </c>
      <c r="I303" s="35" t="n"/>
      <c r="J303" s="33" t="n">
        <v>21</v>
      </c>
      <c r="K303" s="33" t="n"/>
      <c r="L303" s="36" t="n">
        <v>31.76470588</v>
      </c>
      <c r="M303" s="37" t="n">
        <v>18.52941176</v>
      </c>
      <c r="N303" s="32">
        <f>IF(L303="","",IF(L303&lt;0,"negative profit",IF(L303&gt;Notes!$B$4,"unusually high - verify","")))</f>
        <v/>
      </c>
      <c r="O303" s="32" t="inlineStr">
        <is>
          <t>both</t>
        </is>
      </c>
      <c r="P303" s="32">
        <f>IF(O303&lt;&gt;"both",O303&amp;" only",IF(Q303="","agree","conflict"))</f>
        <v/>
      </c>
      <c r="Q303" s="32">
        <f>IF(O303="both",TRIM(IF(I303&lt;&gt;"","price ","")&amp;IF(K303&lt;&gt;"","xp ","")&amp;IF(G303="differs","time","")),"")</f>
        <v/>
      </c>
      <c r="R303" s="32" t="inlineStr">
        <is>
          <t>hayday.info (primary values) + Fandom (times, cross-check)</t>
        </is>
      </c>
      <c r="S303" s="32" t="inlineStr">
        <is>
          <t>https://hayday.fandom.com/wiki/Soup_Kitchen</t>
        </is>
      </c>
    </row>
    <row r="304" ht="15" customHeight="1" s="29">
      <c r="A304" s="32" t="inlineStr">
        <is>
          <t>Chickpea Stew</t>
        </is>
      </c>
      <c r="B304" s="32" t="inlineStr">
        <is>
          <t>Stew Pot</t>
        </is>
      </c>
      <c r="C304" s="33" t="n">
        <v>106</v>
      </c>
      <c r="D304" s="34" t="n">
        <v>90</v>
      </c>
      <c r="E304" s="34" t="n">
        <v>76</v>
      </c>
      <c r="F304" s="34" t="n">
        <v>90</v>
      </c>
      <c r="G304" s="32">
        <f>IF(OR(F304="",AND(D304="",E304="")),"n/a",IF(F304=E304,"mastered",IF(F304=D304,"normal","differs")))</f>
        <v/>
      </c>
      <c r="H304" s="35" t="n">
        <v>284</v>
      </c>
      <c r="I304" s="35" t="n"/>
      <c r="J304" s="33" t="n">
        <v>34</v>
      </c>
      <c r="K304" s="33" t="n"/>
      <c r="L304" s="36" t="n">
        <v>24</v>
      </c>
      <c r="M304" s="37" t="n">
        <v>22.66666667</v>
      </c>
      <c r="N304" s="32">
        <f>IF(L304="","",IF(L304&lt;0,"negative profit",IF(L304&gt;Notes!$B$4,"unusually high - verify","")))</f>
        <v/>
      </c>
      <c r="O304" s="32" t="inlineStr">
        <is>
          <t>both</t>
        </is>
      </c>
      <c r="P304" s="32">
        <f>IF(O304&lt;&gt;"both",O304&amp;" only",IF(Q304="","agree","conflict"))</f>
        <v/>
      </c>
      <c r="Q304" s="32">
        <f>IF(O304="both",TRIM(IF(I304&lt;&gt;"","price ","")&amp;IF(K304&lt;&gt;"","xp ","")&amp;IF(G304="differs","time","")),"")</f>
        <v/>
      </c>
      <c r="R304" s="32" t="inlineStr">
        <is>
          <t>hayday.info (primary values) + Fandom (times, cross-check)</t>
        </is>
      </c>
      <c r="S304" s="32" t="inlineStr">
        <is>
          <t>https://hayday.fandom.com/wiki/Stew_Pot</t>
        </is>
      </c>
    </row>
    <row r="305" ht="15" customHeight="1" s="29">
      <c r="A305" s="32" t="inlineStr">
        <is>
          <t>Chili Stew</t>
        </is>
      </c>
      <c r="B305" s="32" t="inlineStr">
        <is>
          <t>Stew Pot</t>
        </is>
      </c>
      <c r="C305" s="33" t="n">
        <v>109</v>
      </c>
      <c r="D305" s="34" t="n">
        <v>120</v>
      </c>
      <c r="E305" s="34" t="n">
        <v>102</v>
      </c>
      <c r="F305" s="34" t="n">
        <v>120</v>
      </c>
      <c r="G305" s="32">
        <f>IF(OR(F305="",AND(D305="",E305="")),"n/a",IF(F305=E305,"mastered",IF(F305=D305,"normal","differs")))</f>
        <v/>
      </c>
      <c r="H305" s="35" t="n">
        <v>370</v>
      </c>
      <c r="I305" s="35" t="n"/>
      <c r="J305" s="33" t="n">
        <v>44</v>
      </c>
      <c r="K305" s="33" t="n"/>
      <c r="L305" s="36" t="n">
        <v>17</v>
      </c>
      <c r="M305" s="37" t="n">
        <v>22</v>
      </c>
      <c r="N305" s="32">
        <f>IF(L305="","",IF(L305&lt;0,"negative profit",IF(L305&gt;Notes!$B$4,"unusually high - verify","")))</f>
        <v/>
      </c>
      <c r="O305" s="32" t="inlineStr">
        <is>
          <t>both</t>
        </is>
      </c>
      <c r="P305" s="32">
        <f>IF(O305&lt;&gt;"both",O305&amp;" only",IF(Q305="","agree","conflict"))</f>
        <v/>
      </c>
      <c r="Q305" s="32">
        <f>IF(O305="both",TRIM(IF(I305&lt;&gt;"","price ","")&amp;IF(K305&lt;&gt;"","xp ","")&amp;IF(G305="differs","time","")),"")</f>
        <v/>
      </c>
      <c r="R305" s="32" t="inlineStr">
        <is>
          <t>hayday.info (primary values) + Fandom (times, cross-check)</t>
        </is>
      </c>
      <c r="S305" s="32" t="inlineStr">
        <is>
          <t>https://hayday.fandom.com/wiki/Stew_Pot</t>
        </is>
      </c>
    </row>
    <row r="306" ht="15" customHeight="1" s="29">
      <c r="A306" s="32" t="inlineStr">
        <is>
          <t>Winter Stew</t>
        </is>
      </c>
      <c r="B306" s="32" t="inlineStr">
        <is>
          <t>Stew Pot</t>
        </is>
      </c>
      <c r="C306" s="33" t="n">
        <v>112</v>
      </c>
      <c r="D306" s="34" t="n">
        <v>140</v>
      </c>
      <c r="E306" s="34" t="n">
        <v>119</v>
      </c>
      <c r="F306" s="34" t="n">
        <v>240</v>
      </c>
      <c r="G306" s="32">
        <f>IF(OR(F306="",AND(D306="",E306="")),"n/a",IF(F306=E306,"mastered",IF(F306=D306,"normal","differs")))</f>
        <v/>
      </c>
      <c r="H306" s="35" t="n">
        <v>295</v>
      </c>
      <c r="I306" s="35" t="n"/>
      <c r="J306" s="33" t="n">
        <v>35</v>
      </c>
      <c r="K306" s="33" t="n"/>
      <c r="L306" s="36" t="n">
        <v>9.75</v>
      </c>
      <c r="M306" s="37" t="n">
        <v>8.75</v>
      </c>
      <c r="N306" s="32">
        <f>IF(L306="","",IF(L306&lt;0,"negative profit",IF(L306&gt;Notes!$B$4,"unusually high - verify","")))</f>
        <v/>
      </c>
      <c r="O306" s="32" t="inlineStr">
        <is>
          <t>both</t>
        </is>
      </c>
      <c r="P306" s="32">
        <f>IF(O306&lt;&gt;"both",O306&amp;" only",IF(Q306="","agree","conflict"))</f>
        <v/>
      </c>
      <c r="Q306" s="32">
        <f>IF(O306="both",TRIM(IF(I306&lt;&gt;"","price ","")&amp;IF(K306&lt;&gt;"","xp ","")&amp;IF(G306="differs","time","")),"")</f>
        <v/>
      </c>
      <c r="R306" s="32" t="inlineStr">
        <is>
          <t>hayday.info (primary values) + Fandom (times, cross-check)</t>
        </is>
      </c>
      <c r="S306" s="32" t="inlineStr">
        <is>
          <t>https://hayday.fandom.com/wiki/Stew_Pot</t>
        </is>
      </c>
    </row>
    <row r="307" ht="15" customHeight="1" s="29">
      <c r="A307" s="32" t="inlineStr">
        <is>
          <t>Brown Sugar</t>
        </is>
      </c>
      <c r="B307" s="32" t="inlineStr">
        <is>
          <t>Sugar Mill</t>
        </is>
      </c>
      <c r="C307" s="33" t="n">
        <v>7</v>
      </c>
      <c r="D307" s="34" t="n">
        <v>20</v>
      </c>
      <c r="E307" s="34" t="n">
        <v>17</v>
      </c>
      <c r="F307" s="34" t="n">
        <v>17</v>
      </c>
      <c r="G307" s="32">
        <f>IF(OR(F307="",AND(D307="",E307="")),"n/a",IF(F307=E307,"mastered",IF(F307=D307,"normal","differs")))</f>
        <v/>
      </c>
      <c r="H307" s="35" t="n">
        <v>32</v>
      </c>
      <c r="I307" s="35" t="n"/>
      <c r="J307" s="33" t="n">
        <v>4</v>
      </c>
      <c r="K307" s="33" t="n"/>
      <c r="L307" s="36" t="n">
        <v>63.52941176</v>
      </c>
      <c r="M307" s="37" t="n">
        <v>14.11764706</v>
      </c>
      <c r="N307" s="32">
        <f>IF(L307="","",IF(L307&lt;0,"negative profit",IF(L307&gt;Notes!$B$4,"unusually high - verify","")))</f>
        <v/>
      </c>
      <c r="O307" s="32" t="inlineStr">
        <is>
          <t>both</t>
        </is>
      </c>
      <c r="P307" s="32">
        <f>IF(O307&lt;&gt;"both",O307&amp;" only",IF(Q307="","agree","conflict"))</f>
        <v/>
      </c>
      <c r="Q307" s="32">
        <f>IF(O307="both",TRIM(IF(I307&lt;&gt;"","price ","")&amp;IF(K307&lt;&gt;"","xp ","")&amp;IF(G307="differs","time","")),"")</f>
        <v/>
      </c>
      <c r="R307" s="32" t="inlineStr">
        <is>
          <t>hayday.info (primary values) + Fandom (times, cross-check)</t>
        </is>
      </c>
      <c r="S307" s="32" t="inlineStr">
        <is>
          <t>https://hayday.fandom.com/wiki/Sugar_Mill</t>
        </is>
      </c>
    </row>
    <row r="308" ht="15" customHeight="1" s="29">
      <c r="A308" s="32" t="inlineStr">
        <is>
          <t>White Sugar</t>
        </is>
      </c>
      <c r="B308" s="32" t="inlineStr">
        <is>
          <t>Sugar Mill</t>
        </is>
      </c>
      <c r="C308" s="33" t="n">
        <v>13</v>
      </c>
      <c r="D308" s="34" t="n">
        <v>40</v>
      </c>
      <c r="E308" s="34" t="n">
        <v>34</v>
      </c>
      <c r="F308" s="34" t="n">
        <v>34</v>
      </c>
      <c r="G308" s="32">
        <f>IF(OR(F308="",AND(D308="",E308="")),"n/a",IF(F308=E308,"mastered",IF(F308=D308,"normal","differs")))</f>
        <v/>
      </c>
      <c r="H308" s="35" t="n">
        <v>50</v>
      </c>
      <c r="I308" s="35" t="n"/>
      <c r="J308" s="33" t="n">
        <v>6</v>
      </c>
      <c r="K308" s="33" t="n"/>
      <c r="L308" s="36" t="n">
        <v>38.82352941</v>
      </c>
      <c r="M308" s="37" t="n">
        <v>10.58823529</v>
      </c>
      <c r="N308" s="32">
        <f>IF(L308="","",IF(L308&lt;0,"negative profit",IF(L308&gt;Notes!$B$4,"unusually high - verify","")))</f>
        <v/>
      </c>
      <c r="O308" s="32" t="inlineStr">
        <is>
          <t>both</t>
        </is>
      </c>
      <c r="P308" s="32">
        <f>IF(O308&lt;&gt;"both",O308&amp;" only",IF(Q308="","agree","conflict"))</f>
        <v/>
      </c>
      <c r="Q308" s="32">
        <f>IF(O308="both",TRIM(IF(I308&lt;&gt;"","price ","")&amp;IF(K308&lt;&gt;"","xp ","")&amp;IF(G308="differs","time","")),"")</f>
        <v/>
      </c>
      <c r="R308" s="32" t="inlineStr">
        <is>
          <t>hayday.info (primary values) + Fandom (times, cross-check)</t>
        </is>
      </c>
      <c r="S308" s="32" t="inlineStr">
        <is>
          <t>https://hayday.fandom.com/wiki/Sugar_Mill</t>
        </is>
      </c>
    </row>
    <row r="309" ht="15" customHeight="1" s="29">
      <c r="A309" s="32" t="inlineStr">
        <is>
          <t>Syrup</t>
        </is>
      </c>
      <c r="B309" s="32" t="inlineStr">
        <is>
          <t>Sugar Mill</t>
        </is>
      </c>
      <c r="C309" s="33" t="n">
        <v>18</v>
      </c>
      <c r="D309" s="34" t="n">
        <v>90</v>
      </c>
      <c r="E309" s="34" t="n">
        <v>76</v>
      </c>
      <c r="F309" s="34" t="n">
        <v>76</v>
      </c>
      <c r="G309" s="32">
        <f>IF(OR(F309="",AND(D309="",E309="")),"n/a",IF(F309=E309,"mastered",IF(F309=D309,"normal","differs")))</f>
        <v/>
      </c>
      <c r="H309" s="35" t="n">
        <v>90</v>
      </c>
      <c r="I309" s="35" t="n"/>
      <c r="J309" s="33" t="n">
        <v>11</v>
      </c>
      <c r="K309" s="33" t="n"/>
      <c r="L309" s="36" t="n">
        <v>26.66666667</v>
      </c>
      <c r="M309" s="37" t="n">
        <v>8.627450980000001</v>
      </c>
      <c r="N309" s="32">
        <f>IF(L309="","",IF(L309&lt;0,"negative profit",IF(L309&gt;Notes!$B$4,"unusually high - verify","")))</f>
        <v/>
      </c>
      <c r="O309" s="32" t="inlineStr">
        <is>
          <t>both</t>
        </is>
      </c>
      <c r="P309" s="32">
        <f>IF(O309&lt;&gt;"both",O309&amp;" only",IF(Q309="","agree","conflict"))</f>
        <v/>
      </c>
      <c r="Q309" s="32">
        <f>IF(O309="both",TRIM(IF(I309&lt;&gt;"","price ","")&amp;IF(K309&lt;&gt;"","xp ","")&amp;IF(G309="differs","time","")),"")</f>
        <v/>
      </c>
      <c r="R309" s="32" t="inlineStr">
        <is>
          <t>hayday.info (primary values) + Fandom (times, cross-check)</t>
        </is>
      </c>
      <c r="S309" s="32" t="inlineStr">
        <is>
          <t>https://hayday.fandom.com/wiki/Sugar_Mill</t>
        </is>
      </c>
    </row>
    <row r="310" ht="15" customHeight="1" s="29">
      <c r="A310" s="32" t="inlineStr">
        <is>
          <t>Sushi Roll</t>
        </is>
      </c>
      <c r="B310" s="32" t="inlineStr">
        <is>
          <t>Sushi Bar</t>
        </is>
      </c>
      <c r="C310" s="33" t="n">
        <v>56</v>
      </c>
      <c r="D310" s="34" t="n">
        <v>60</v>
      </c>
      <c r="E310" s="34" t="n">
        <v>51</v>
      </c>
      <c r="F310" s="34" t="n">
        <v>51</v>
      </c>
      <c r="G310" s="32">
        <f>IF(OR(F310="",AND(D310="",E310="")),"n/a",IF(F310=E310,"mastered",IF(F310=D310,"normal","differs")))</f>
        <v/>
      </c>
      <c r="H310" s="35" t="n">
        <v>489</v>
      </c>
      <c r="I310" s="35" t="n"/>
      <c r="J310" s="33" t="n">
        <v>58</v>
      </c>
      <c r="K310" s="33" t="n"/>
      <c r="L310" s="36" t="n">
        <v>12.94117647</v>
      </c>
      <c r="M310" s="37" t="n">
        <v>68.23529412000001</v>
      </c>
      <c r="N310" s="32">
        <f>IF(L310="","",IF(L310&lt;0,"negative profit",IF(L310&gt;Notes!$B$4,"unusually high - verify","")))</f>
        <v/>
      </c>
      <c r="O310" s="32" t="inlineStr">
        <is>
          <t>both</t>
        </is>
      </c>
      <c r="P310" s="32">
        <f>IF(O310&lt;&gt;"both",O310&amp;" only",IF(Q310="","agree","conflict"))</f>
        <v/>
      </c>
      <c r="Q310" s="32">
        <f>IF(O310="both",TRIM(IF(I310&lt;&gt;"","price ","")&amp;IF(K310&lt;&gt;"","xp ","")&amp;IF(G310="differs","time","")),"")</f>
        <v/>
      </c>
      <c r="R310" s="32" t="inlineStr">
        <is>
          <t>hayday.info (primary values) + Fandom (times, cross-check)</t>
        </is>
      </c>
      <c r="S310" s="32" t="inlineStr">
        <is>
          <t>https://hayday.fandom.com/wiki/Sushi_Bar</t>
        </is>
      </c>
    </row>
    <row r="311" ht="15" customHeight="1" s="29">
      <c r="A311" s="32" t="inlineStr">
        <is>
          <t>Lobster Sushi</t>
        </is>
      </c>
      <c r="B311" s="32" t="inlineStr">
        <is>
          <t>Sushi Bar</t>
        </is>
      </c>
      <c r="C311" s="33" t="n">
        <v>59</v>
      </c>
      <c r="D311" s="34" t="n">
        <v>60</v>
      </c>
      <c r="E311" s="34" t="n">
        <v>51</v>
      </c>
      <c r="F311" s="34" t="n">
        <v>51</v>
      </c>
      <c r="G311" s="32">
        <f>IF(OR(F311="",AND(D311="",E311="")),"n/a",IF(F311=E311,"mastered",IF(F311=D311,"normal","differs")))</f>
        <v/>
      </c>
      <c r="H311" s="35" t="n">
        <v>637</v>
      </c>
      <c r="I311" s="35" t="n"/>
      <c r="J311" s="33" t="n">
        <v>76</v>
      </c>
      <c r="K311" s="33" t="n"/>
      <c r="L311" s="36" t="n">
        <v>14.11764706</v>
      </c>
      <c r="M311" s="37" t="n">
        <v>89.41176471</v>
      </c>
      <c r="N311" s="32">
        <f>IF(L311="","",IF(L311&lt;0,"negative profit",IF(L311&gt;Notes!$B$4,"unusually high - verify","")))</f>
        <v/>
      </c>
      <c r="O311" s="32" t="inlineStr">
        <is>
          <t>both</t>
        </is>
      </c>
      <c r="P311" s="32">
        <f>IF(O311&lt;&gt;"both",O311&amp;" only",IF(Q311="","agree","conflict"))</f>
        <v/>
      </c>
      <c r="Q311" s="32">
        <f>IF(O311="both",TRIM(IF(I311&lt;&gt;"","price ","")&amp;IF(K311&lt;&gt;"","xp ","")&amp;IF(G311="differs","time","")),"")</f>
        <v/>
      </c>
      <c r="R311" s="32" t="inlineStr">
        <is>
          <t>hayday.info (primary values) + Fandom (times, cross-check)</t>
        </is>
      </c>
      <c r="S311" s="32" t="inlineStr">
        <is>
          <t>https://hayday.fandom.com/wiki/Sushi_Bar</t>
        </is>
      </c>
    </row>
    <row r="312" ht="15" customHeight="1" s="29">
      <c r="A312" s="32" t="inlineStr">
        <is>
          <t>Egg Sushi</t>
        </is>
      </c>
      <c r="B312" s="32" t="inlineStr">
        <is>
          <t>Sushi Bar</t>
        </is>
      </c>
      <c r="C312" s="33" t="n">
        <v>63</v>
      </c>
      <c r="D312" s="34" t="n">
        <v>120</v>
      </c>
      <c r="E312" s="34" t="n">
        <v>102</v>
      </c>
      <c r="F312" s="34" t="n">
        <v>102</v>
      </c>
      <c r="G312" s="32">
        <f>IF(OR(F312="",AND(D312="",E312="")),"n/a",IF(F312=E312,"mastered",IF(F312=D312,"normal","differs")))</f>
        <v/>
      </c>
      <c r="H312" s="35" t="n">
        <v>550</v>
      </c>
      <c r="I312" s="35" t="n"/>
      <c r="J312" s="33" t="n">
        <v>66</v>
      </c>
      <c r="K312" s="33" t="n"/>
      <c r="L312" s="36" t="n">
        <v>12.94117647</v>
      </c>
      <c r="M312" s="37" t="n">
        <v>38.82352941</v>
      </c>
      <c r="N312" s="32">
        <f>IF(L312="","",IF(L312&lt;0,"negative profit",IF(L312&gt;Notes!$B$4,"unusually high - verify","")))</f>
        <v/>
      </c>
      <c r="O312" s="32" t="inlineStr">
        <is>
          <t>both</t>
        </is>
      </c>
      <c r="P312" s="32">
        <f>IF(O312&lt;&gt;"both",O312&amp;" only",IF(Q312="","agree","conflict"))</f>
        <v/>
      </c>
      <c r="Q312" s="32">
        <f>IF(O312="both",TRIM(IF(I312&lt;&gt;"","price ","")&amp;IF(K312&lt;&gt;"","xp ","")&amp;IF(G312="differs","time","")),"")</f>
        <v/>
      </c>
      <c r="R312" s="32" t="inlineStr">
        <is>
          <t>hayday.info (primary values) + Fandom (times, cross-check)</t>
        </is>
      </c>
      <c r="S312" s="32" t="inlineStr">
        <is>
          <t>https://hayday.fandom.com/wiki/Sushi_Bar</t>
        </is>
      </c>
    </row>
    <row r="313" ht="15" customHeight="1" s="29">
      <c r="A313" s="32" t="inlineStr">
        <is>
          <t>Big Sushi Roll</t>
        </is>
      </c>
      <c r="B313" s="32" t="inlineStr">
        <is>
          <t>Sushi Bar</t>
        </is>
      </c>
      <c r="C313" s="33" t="n">
        <v>76</v>
      </c>
      <c r="D313" s="34" t="n">
        <v>90</v>
      </c>
      <c r="E313" s="34" t="n">
        <v>76</v>
      </c>
      <c r="F313" s="34" t="n">
        <v>76</v>
      </c>
      <c r="G313" s="32">
        <f>IF(OR(F313="",AND(D313="",E313="")),"n/a",IF(F313=E313,"mastered",IF(F313=D313,"normal","differs")))</f>
        <v/>
      </c>
      <c r="H313" s="35" t="n">
        <v>648</v>
      </c>
      <c r="I313" s="35" t="n">
        <v>550</v>
      </c>
      <c r="J313" s="33" t="n">
        <v>77</v>
      </c>
      <c r="K313" s="33" t="n"/>
      <c r="L313" s="36" t="n">
        <v>15.68627451</v>
      </c>
      <c r="M313" s="37" t="n">
        <v>60.39215686</v>
      </c>
      <c r="N313" s="32">
        <f>IF(L313="","",IF(L313&lt;0,"negative profit",IF(L313&gt;Notes!$B$4,"unusually high - verify","")))</f>
        <v/>
      </c>
      <c r="O313" s="32" t="inlineStr">
        <is>
          <t>both</t>
        </is>
      </c>
      <c r="P313" s="32">
        <f>IF(O313&lt;&gt;"both",O313&amp;" only",IF(Q313="","agree","conflict"))</f>
        <v/>
      </c>
      <c r="Q313" s="32">
        <f>IF(O313="both",TRIM(IF(I313&lt;&gt;"","price ","")&amp;IF(K313&lt;&gt;"","xp ","")&amp;IF(G313="differs","time","")),"")</f>
        <v/>
      </c>
      <c r="R313" s="32" t="inlineStr">
        <is>
          <t>hayday.info (primary values) + Fandom (times, cross-check)</t>
        </is>
      </c>
      <c r="S313" s="32" t="inlineStr">
        <is>
          <t>https://hayday.fandom.com/wiki/Sushi_Bar</t>
        </is>
      </c>
    </row>
    <row r="314" ht="15" customHeight="1" s="29">
      <c r="A314" s="32" t="inlineStr">
        <is>
          <t>Rice Ball</t>
        </is>
      </c>
      <c r="B314" s="32" t="inlineStr">
        <is>
          <t>Sushi Bar</t>
        </is>
      </c>
      <c r="C314" s="33" t="n">
        <v>110</v>
      </c>
      <c r="D314" s="34" t="n"/>
      <c r="E314" s="34" t="n"/>
      <c r="F314" s="34" t="n">
        <v>38</v>
      </c>
      <c r="G314" s="32">
        <f>IF(OR(F314="",AND(D314="",E314="")),"n/a",IF(F314=E314,"mastered",IF(F314=D314,"normal","differs")))</f>
        <v/>
      </c>
      <c r="H314" s="35" t="n">
        <v>464</v>
      </c>
      <c r="I314" s="35" t="n"/>
      <c r="J314" s="33" t="n">
        <v>55</v>
      </c>
      <c r="K314" s="33" t="n"/>
      <c r="L314" s="36" t="n">
        <v>6.274509804</v>
      </c>
      <c r="M314" s="37" t="n">
        <v>86.2745098</v>
      </c>
      <c r="N314" s="32">
        <f>IF(L314="","",IF(L314&lt;0,"negative profit",IF(L314&gt;Notes!$B$4,"unusually high - verify","")))</f>
        <v/>
      </c>
      <c r="O314" s="32" t="inlineStr">
        <is>
          <t>hayday.info</t>
        </is>
      </c>
      <c r="P314" s="32">
        <f>IF(O314&lt;&gt;"both",O314&amp;" only",IF(Q314="","agree","conflict"))</f>
        <v/>
      </c>
      <c r="Q314" s="32">
        <f>IF(O314="both",TRIM(IF(I314&lt;&gt;"","price ","")&amp;IF(K314&lt;&gt;"","xp ","")&amp;IF(G314="differs","time","")),"")</f>
        <v/>
      </c>
      <c r="R314" s="32" t="inlineStr">
        <is>
          <t>hayday.info /api/production-data only</t>
        </is>
      </c>
      <c r="S314" s="32" t="n"/>
    </row>
    <row r="315" ht="15" customHeight="1" s="29">
      <c r="A315" s="32" t="inlineStr">
        <is>
          <t>Taco</t>
        </is>
      </c>
      <c r="B315" s="32" t="inlineStr">
        <is>
          <t>Taco Kitchen</t>
        </is>
      </c>
      <c r="C315" s="33" t="n">
        <v>77</v>
      </c>
      <c r="D315" s="34" t="n">
        <v>45</v>
      </c>
      <c r="E315" s="34" t="n">
        <v>38</v>
      </c>
      <c r="F315" s="34" t="n">
        <v>38</v>
      </c>
      <c r="G315" s="32">
        <f>IF(OR(F315="",AND(D315="",E315="")),"n/a",IF(F315=E315,"mastered",IF(F315=D315,"normal","differs")))</f>
        <v/>
      </c>
      <c r="H315" s="35" t="n">
        <v>396</v>
      </c>
      <c r="I315" s="35" t="n"/>
      <c r="J315" s="33" t="n">
        <v>47</v>
      </c>
      <c r="K315" s="33" t="n"/>
      <c r="L315" s="36" t="n">
        <v>34.50980392</v>
      </c>
      <c r="M315" s="37" t="n">
        <v>73.7254902</v>
      </c>
      <c r="N315" s="32">
        <f>IF(L315="","",IF(L315&lt;0,"negative profit",IF(L315&gt;Notes!$B$4,"unusually high - verify","")))</f>
        <v/>
      </c>
      <c r="O315" s="32" t="inlineStr">
        <is>
          <t>both</t>
        </is>
      </c>
      <c r="P315" s="32">
        <f>IF(O315&lt;&gt;"both",O315&amp;" only",IF(Q315="","agree","conflict"))</f>
        <v/>
      </c>
      <c r="Q315" s="32">
        <f>IF(O315="both",TRIM(IF(I315&lt;&gt;"","price ","")&amp;IF(K315&lt;&gt;"","xp ","")&amp;IF(G315="differs","time","")),"")</f>
        <v/>
      </c>
      <c r="R315" s="32" t="inlineStr">
        <is>
          <t>hayday.info (primary values) + Fandom (times, cross-check)</t>
        </is>
      </c>
      <c r="S315" s="32" t="inlineStr">
        <is>
          <t>https://hayday.fandom.com/wiki/Taco_Kitchen</t>
        </is>
      </c>
    </row>
    <row r="316" ht="15" customHeight="1" s="29">
      <c r="A316" s="32" t="inlineStr">
        <is>
          <t>Fish Taco</t>
        </is>
      </c>
      <c r="B316" s="32" t="inlineStr">
        <is>
          <t>Taco Kitchen</t>
        </is>
      </c>
      <c r="C316" s="33" t="n">
        <v>79</v>
      </c>
      <c r="D316" s="34" t="n">
        <v>90</v>
      </c>
      <c r="E316" s="34" t="n">
        <v>76</v>
      </c>
      <c r="F316" s="34" t="n">
        <v>76</v>
      </c>
      <c r="G316" s="32">
        <f>IF(OR(F316="",AND(D316="",E316="")),"n/a",IF(F316=E316,"mastered",IF(F316=D316,"normal","differs")))</f>
        <v/>
      </c>
      <c r="H316" s="35" t="n">
        <v>392</v>
      </c>
      <c r="I316" s="35" t="n"/>
      <c r="J316" s="33" t="n">
        <v>47</v>
      </c>
      <c r="K316" s="33" t="n">
        <v>44</v>
      </c>
      <c r="L316" s="36" t="n">
        <v>22.74509804</v>
      </c>
      <c r="M316" s="37" t="n">
        <v>36.8627451</v>
      </c>
      <c r="N316" s="32">
        <f>IF(L316="","",IF(L316&lt;0,"negative profit",IF(L316&gt;Notes!$B$4,"unusually high - verify","")))</f>
        <v/>
      </c>
      <c r="O316" s="32" t="inlineStr">
        <is>
          <t>both</t>
        </is>
      </c>
      <c r="P316" s="32">
        <f>IF(O316&lt;&gt;"both",O316&amp;" only",IF(Q316="","agree","conflict"))</f>
        <v/>
      </c>
      <c r="Q316" s="32">
        <f>IF(O316="both",TRIM(IF(I316&lt;&gt;"","price ","")&amp;IF(K316&lt;&gt;"","xp ","")&amp;IF(G316="differs","time","")),"")</f>
        <v/>
      </c>
      <c r="R316" s="32" t="inlineStr">
        <is>
          <t>hayday.info (primary values) + Fandom (times, cross-check)</t>
        </is>
      </c>
      <c r="S316" s="32" t="inlineStr">
        <is>
          <t>https://hayday.fandom.com/wiki/Taco_Kitchen</t>
        </is>
      </c>
    </row>
    <row r="317" ht="15" customHeight="1" s="29">
      <c r="A317" s="32" t="inlineStr">
        <is>
          <t>Quesadilla</t>
        </is>
      </c>
      <c r="B317" s="32" t="inlineStr">
        <is>
          <t>Taco Kitchen</t>
        </is>
      </c>
      <c r="C317" s="33" t="n">
        <v>82</v>
      </c>
      <c r="D317" s="34" t="n">
        <v>60</v>
      </c>
      <c r="E317" s="34" t="n">
        <v>51</v>
      </c>
      <c r="F317" s="34" t="n">
        <v>51</v>
      </c>
      <c r="G317" s="32">
        <f>IF(OR(F317="",AND(D317="",E317="")),"n/a",IF(F317=E317,"mastered",IF(F317=D317,"normal","differs")))</f>
        <v/>
      </c>
      <c r="H317" s="35" t="n">
        <v>241</v>
      </c>
      <c r="I317" s="35" t="n"/>
      <c r="J317" s="33" t="n">
        <v>29</v>
      </c>
      <c r="K317" s="33" t="n"/>
      <c r="L317" s="36" t="n">
        <v>41.17647059</v>
      </c>
      <c r="M317" s="37" t="n">
        <v>34.11764706</v>
      </c>
      <c r="N317" s="32">
        <f>IF(L317="","",IF(L317&lt;0,"negative profit",IF(L317&gt;Notes!$B$4,"unusually high - verify","")))</f>
        <v/>
      </c>
      <c r="O317" s="32" t="inlineStr">
        <is>
          <t>both</t>
        </is>
      </c>
      <c r="P317" s="32">
        <f>IF(O317&lt;&gt;"both",O317&amp;" only",IF(Q317="","agree","conflict"))</f>
        <v/>
      </c>
      <c r="Q317" s="32">
        <f>IF(O317="both",TRIM(IF(I317&lt;&gt;"","price ","")&amp;IF(K317&lt;&gt;"","xp ","")&amp;IF(G317="differs","time","")),"")</f>
        <v/>
      </c>
      <c r="R317" s="32" t="inlineStr">
        <is>
          <t>hayday.info (primary values) + Fandom (times, cross-check)</t>
        </is>
      </c>
      <c r="S317" s="32" t="inlineStr">
        <is>
          <t>https://hayday.fandom.com/wiki/Taco_Kitchen</t>
        </is>
      </c>
    </row>
    <row r="318" ht="15" customHeight="1" s="29">
      <c r="A318" s="32" t="inlineStr">
        <is>
          <t>Nachos</t>
        </is>
      </c>
      <c r="B318" s="32" t="inlineStr">
        <is>
          <t>Taco Kitchen</t>
        </is>
      </c>
      <c r="C318" s="33" t="n">
        <v>87</v>
      </c>
      <c r="D318" s="34" t="n">
        <v>75</v>
      </c>
      <c r="E318" s="34" t="n">
        <v>63</v>
      </c>
      <c r="F318" s="34" t="n">
        <v>63</v>
      </c>
      <c r="G318" s="32">
        <f>IF(OR(F318="",AND(D318="",E318="")),"n/a",IF(F318=E318,"mastered",IF(F318=D318,"normal","differs")))</f>
        <v/>
      </c>
      <c r="H318" s="35" t="n">
        <v>432</v>
      </c>
      <c r="I318" s="35" t="n">
        <v>430</v>
      </c>
      <c r="J318" s="33" t="n">
        <v>52</v>
      </c>
      <c r="K318" s="33" t="n"/>
      <c r="L318" s="36" t="n">
        <v>28.23529412</v>
      </c>
      <c r="M318" s="37" t="n">
        <v>48.94117647</v>
      </c>
      <c r="N318" s="32">
        <f>IF(L318="","",IF(L318&lt;0,"negative profit",IF(L318&gt;Notes!$B$4,"unusually high - verify","")))</f>
        <v/>
      </c>
      <c r="O318" s="32" t="inlineStr">
        <is>
          <t>both</t>
        </is>
      </c>
      <c r="P318" s="32">
        <f>IF(O318&lt;&gt;"both",O318&amp;" only",IF(Q318="","agree","conflict"))</f>
        <v/>
      </c>
      <c r="Q318" s="32">
        <f>IF(O318="both",TRIM(IF(I318&lt;&gt;"","price ","")&amp;IF(K318&lt;&gt;"","xp ","")&amp;IF(G318="differs","time","")),"")</f>
        <v/>
      </c>
      <c r="R318" s="32" t="inlineStr">
        <is>
          <t>hayday.info (primary values) + Fandom (times, cross-check)</t>
        </is>
      </c>
      <c r="S318" s="32" t="inlineStr">
        <is>
          <t>https://hayday.fandom.com/wiki/Taco_Kitchen</t>
        </is>
      </c>
    </row>
    <row r="319" ht="15" customHeight="1" s="29">
      <c r="A319" s="32" t="inlineStr">
        <is>
          <t>Green Tea</t>
        </is>
      </c>
      <c r="B319" s="32" t="inlineStr">
        <is>
          <t>Tea Stand</t>
        </is>
      </c>
      <c r="C319" s="33" t="n">
        <v>80</v>
      </c>
      <c r="D319" s="34" t="n">
        <v>30</v>
      </c>
      <c r="E319" s="34" t="n">
        <v>25</v>
      </c>
      <c r="F319" s="34" t="n">
        <v>25</v>
      </c>
      <c r="G319" s="32">
        <f>IF(OR(F319="",AND(D319="",E319="")),"n/a",IF(F319=E319,"mastered",IF(F319=D319,"normal","differs")))</f>
        <v/>
      </c>
      <c r="H319" s="35" t="n">
        <v>241</v>
      </c>
      <c r="I319" s="35" t="n"/>
      <c r="J319" s="33" t="n">
        <v>29</v>
      </c>
      <c r="K319" s="33" t="n"/>
      <c r="L319" s="36" t="n">
        <v>61.17647059</v>
      </c>
      <c r="M319" s="37" t="n">
        <v>68.23529412000001</v>
      </c>
      <c r="N319" s="32">
        <f>IF(L319="","",IF(L319&lt;0,"negative profit",IF(L319&gt;Notes!$B$4,"unusually high - verify","")))</f>
        <v/>
      </c>
      <c r="O319" s="32" t="inlineStr">
        <is>
          <t>both</t>
        </is>
      </c>
      <c r="P319" s="32">
        <f>IF(O319&lt;&gt;"both",O319&amp;" only",IF(Q319="","agree","conflict"))</f>
        <v/>
      </c>
      <c r="Q319" s="32">
        <f>IF(O319="both",TRIM(IF(I319&lt;&gt;"","price ","")&amp;IF(K319&lt;&gt;"","xp ","")&amp;IF(G319="differs","time","")),"")</f>
        <v/>
      </c>
      <c r="R319" s="32" t="inlineStr">
        <is>
          <t>hayday.info (primary values) + Fandom (times, cross-check)</t>
        </is>
      </c>
      <c r="S319" s="32" t="inlineStr">
        <is>
          <t>https://hayday.fandom.com/wiki/Tea_Stand</t>
        </is>
      </c>
    </row>
    <row r="320" ht="15" customHeight="1" s="29">
      <c r="A320" s="32" t="inlineStr">
        <is>
          <t>Milk Tea</t>
        </is>
      </c>
      <c r="B320" s="32" t="inlineStr">
        <is>
          <t>Tea Stand</t>
        </is>
      </c>
      <c r="C320" s="33" t="n">
        <v>81</v>
      </c>
      <c r="D320" s="34" t="n">
        <v>45</v>
      </c>
      <c r="E320" s="34" t="n">
        <v>38</v>
      </c>
      <c r="F320" s="34" t="n">
        <v>38</v>
      </c>
      <c r="G320" s="32">
        <f>IF(OR(F320="",AND(D320="",E320="")),"n/a",IF(F320=E320,"mastered",IF(F320=D320,"normal","differs")))</f>
        <v/>
      </c>
      <c r="H320" s="35" t="n">
        <v>190</v>
      </c>
      <c r="I320" s="35" t="n"/>
      <c r="J320" s="33" t="n">
        <v>23</v>
      </c>
      <c r="K320" s="33" t="n"/>
      <c r="L320" s="36" t="n">
        <v>45.49019608</v>
      </c>
      <c r="M320" s="37" t="n">
        <v>36.07843137</v>
      </c>
      <c r="N320" s="32">
        <f>IF(L320="","",IF(L320&lt;0,"negative profit",IF(L320&gt;Notes!$B$4,"unusually high - verify","")))</f>
        <v/>
      </c>
      <c r="O320" s="32" t="inlineStr">
        <is>
          <t>both</t>
        </is>
      </c>
      <c r="P320" s="32">
        <f>IF(O320&lt;&gt;"both",O320&amp;" only",IF(Q320="","agree","conflict"))</f>
        <v/>
      </c>
      <c r="Q320" s="32">
        <f>IF(O320="both",TRIM(IF(I320&lt;&gt;"","price ","")&amp;IF(K320&lt;&gt;"","xp ","")&amp;IF(G320="differs","time","")),"")</f>
        <v/>
      </c>
      <c r="R320" s="32" t="inlineStr">
        <is>
          <t>hayday.info (primary values) + Fandom (times, cross-check)</t>
        </is>
      </c>
      <c r="S320" s="32" t="inlineStr">
        <is>
          <t>https://hayday.fandom.com/wiki/Tea_Stand</t>
        </is>
      </c>
    </row>
    <row r="321" ht="15" customHeight="1" s="29">
      <c r="A321" s="32" t="inlineStr">
        <is>
          <t>Honey Tea</t>
        </is>
      </c>
      <c r="B321" s="32" t="inlineStr">
        <is>
          <t>Tea Stand</t>
        </is>
      </c>
      <c r="C321" s="33" t="n">
        <v>83</v>
      </c>
      <c r="D321" s="34" t="n">
        <v>40</v>
      </c>
      <c r="E321" s="34" t="n">
        <v>34</v>
      </c>
      <c r="F321" s="34" t="n">
        <v>34</v>
      </c>
      <c r="G321" s="32">
        <f>IF(OR(F321="",AND(D321="",E321="")),"n/a",IF(F321=E321,"mastered",IF(F321=D321,"normal","differs")))</f>
        <v/>
      </c>
      <c r="H321" s="35" t="n">
        <v>313</v>
      </c>
      <c r="I321" s="35" t="n"/>
      <c r="J321" s="33" t="n">
        <v>37</v>
      </c>
      <c r="K321" s="33" t="n"/>
      <c r="L321" s="36" t="n">
        <v>52.94117647</v>
      </c>
      <c r="M321" s="37" t="n">
        <v>65.29411765</v>
      </c>
      <c r="N321" s="32">
        <f>IF(L321="","",IF(L321&lt;0,"negative profit",IF(L321&gt;Notes!$B$4,"unusually high - verify","")))</f>
        <v/>
      </c>
      <c r="O321" s="32" t="inlineStr">
        <is>
          <t>both</t>
        </is>
      </c>
      <c r="P321" s="32">
        <f>IF(O321&lt;&gt;"both",O321&amp;" only",IF(Q321="","agree","conflict"))</f>
        <v/>
      </c>
      <c r="Q321" s="32">
        <f>IF(O321="both",TRIM(IF(I321&lt;&gt;"","price ","")&amp;IF(K321&lt;&gt;"","xp ","")&amp;IF(G321="differs","time","")),"")</f>
        <v/>
      </c>
      <c r="R321" s="32" t="inlineStr">
        <is>
          <t>hayday.info (primary values) + Fandom (times, cross-check)</t>
        </is>
      </c>
      <c r="S321" s="32" t="inlineStr">
        <is>
          <t>https://hayday.fandom.com/wiki/Tea_Stand</t>
        </is>
      </c>
    </row>
    <row r="322" ht="15" customHeight="1" s="29">
      <c r="A322" s="32" t="inlineStr">
        <is>
          <t>Lemon Tea</t>
        </is>
      </c>
      <c r="B322" s="32" t="inlineStr">
        <is>
          <t>Tea Stand</t>
        </is>
      </c>
      <c r="C322" s="33" t="n">
        <v>86</v>
      </c>
      <c r="D322" s="34" t="n">
        <v>20</v>
      </c>
      <c r="E322" s="34" t="n">
        <v>17</v>
      </c>
      <c r="F322" s="34" t="n">
        <v>17</v>
      </c>
      <c r="G322" s="32">
        <f>IF(OR(F322="",AND(D322="",E322="")),"n/a",IF(F322=E322,"mastered",IF(F322=D322,"normal","differs")))</f>
        <v/>
      </c>
      <c r="H322" s="35" t="n">
        <v>241</v>
      </c>
      <c r="I322" s="35" t="n"/>
      <c r="J322" s="33" t="n">
        <v>29</v>
      </c>
      <c r="K322" s="33" t="n"/>
      <c r="L322" s="36" t="n">
        <v>67.05882353</v>
      </c>
      <c r="M322" s="37" t="n">
        <v>102.3529412</v>
      </c>
      <c r="N322" s="32">
        <f>IF(L322="","",IF(L322&lt;0,"negative profit",IF(L322&gt;Notes!$B$4,"unusually high - verify","")))</f>
        <v/>
      </c>
      <c r="O322" s="32" t="inlineStr">
        <is>
          <t>both</t>
        </is>
      </c>
      <c r="P322" s="32">
        <f>IF(O322&lt;&gt;"both",O322&amp;" only",IF(Q322="","agree","conflict"))</f>
        <v/>
      </c>
      <c r="Q322" s="32">
        <f>IF(O322="both",TRIM(IF(I322&lt;&gt;"","price ","")&amp;IF(K322&lt;&gt;"","xp ","")&amp;IF(G322="differs","time","")),"")</f>
        <v/>
      </c>
      <c r="R322" s="32" t="inlineStr">
        <is>
          <t>hayday.info (primary values) + Fandom (times, cross-check)</t>
        </is>
      </c>
      <c r="S322" s="32" t="inlineStr">
        <is>
          <t>https://hayday.fandom.com/wiki/Tea_Stand</t>
        </is>
      </c>
    </row>
    <row r="323" ht="15" customHeight="1" s="29">
      <c r="A323" s="32" t="inlineStr">
        <is>
          <t>Apple Ginger Tea</t>
        </is>
      </c>
      <c r="B323" s="32" t="inlineStr">
        <is>
          <t>Tea Stand</t>
        </is>
      </c>
      <c r="C323" s="33" t="n">
        <v>88</v>
      </c>
      <c r="D323" s="34" t="n">
        <v>30</v>
      </c>
      <c r="E323" s="34" t="n">
        <v>25</v>
      </c>
      <c r="F323" s="34" t="n">
        <v>25</v>
      </c>
      <c r="G323" s="32">
        <f>IF(OR(F323="",AND(D323="",E323="")),"n/a",IF(F323=E323,"mastered",IF(F323=D323,"normal","differs")))</f>
        <v/>
      </c>
      <c r="H323" s="35" t="n">
        <v>169</v>
      </c>
      <c r="I323" s="35" t="n"/>
      <c r="J323" s="33" t="n">
        <v>20</v>
      </c>
      <c r="K323" s="33" t="n"/>
      <c r="L323" s="36" t="n">
        <v>47.05882353</v>
      </c>
      <c r="M323" s="37" t="n">
        <v>47.05882353</v>
      </c>
      <c r="N323" s="32">
        <f>IF(L323="","",IF(L323&lt;0,"negative profit",IF(L323&gt;Notes!$B$4,"unusually high - verify","")))</f>
        <v/>
      </c>
      <c r="O323" s="32" t="inlineStr">
        <is>
          <t>both</t>
        </is>
      </c>
      <c r="P323" s="32">
        <f>IF(O323&lt;&gt;"both",O323&amp;" only",IF(Q323="","agree","conflict"))</f>
        <v/>
      </c>
      <c r="Q323" s="32">
        <f>IF(O323="both",TRIM(IF(I323&lt;&gt;"","price ","")&amp;IF(K323&lt;&gt;"","xp ","")&amp;IF(G323="differs","time","")),"")</f>
        <v/>
      </c>
      <c r="R323" s="32" t="inlineStr">
        <is>
          <t>hayday.info (primary values) + Fandom (times, cross-check)</t>
        </is>
      </c>
      <c r="S323" s="32" t="inlineStr">
        <is>
          <t>https://hayday.fandom.com/wiki/Tea_Stand</t>
        </is>
      </c>
    </row>
    <row r="324" ht="15" customHeight="1" s="29">
      <c r="A324" s="32" t="inlineStr">
        <is>
          <t>Orange Tea</t>
        </is>
      </c>
      <c r="B324" s="32" t="inlineStr">
        <is>
          <t>Tea Stand</t>
        </is>
      </c>
      <c r="C324" s="33" t="n">
        <v>89</v>
      </c>
      <c r="D324" s="34" t="n">
        <v>40</v>
      </c>
      <c r="E324" s="34" t="n">
        <v>34</v>
      </c>
      <c r="F324" s="34" t="n">
        <v>34</v>
      </c>
      <c r="G324" s="32">
        <f>IF(OR(F324="",AND(D324="",E324="")),"n/a",IF(F324=E324,"mastered",IF(F324=D324,"normal","differs")))</f>
        <v/>
      </c>
      <c r="H324" s="35" t="n">
        <v>255</v>
      </c>
      <c r="I324" s="35" t="n"/>
      <c r="J324" s="33" t="n">
        <v>30</v>
      </c>
      <c r="K324" s="33" t="n"/>
      <c r="L324" s="36" t="n">
        <v>51.17647059</v>
      </c>
      <c r="M324" s="37" t="n">
        <v>52.94117647</v>
      </c>
      <c r="N324" s="32">
        <f>IF(L324="","",IF(L324&lt;0,"negative profit",IF(L324&gt;Notes!$B$4,"unusually high - verify","")))</f>
        <v/>
      </c>
      <c r="O324" s="32" t="inlineStr">
        <is>
          <t>both</t>
        </is>
      </c>
      <c r="P324" s="32">
        <f>IF(O324&lt;&gt;"both",O324&amp;" only",IF(Q324="","agree","conflict"))</f>
        <v/>
      </c>
      <c r="Q324" s="32">
        <f>IF(O324="both",TRIM(IF(I324&lt;&gt;"","price ","")&amp;IF(K324&lt;&gt;"","xp ","")&amp;IF(G324="differs","time","")),"")</f>
        <v/>
      </c>
      <c r="R324" s="32" t="inlineStr">
        <is>
          <t>hayday.info (primary values) + Fandom (times, cross-check)</t>
        </is>
      </c>
      <c r="S324" s="32" t="inlineStr">
        <is>
          <t>https://hayday.fandom.com/wiki/Tea_Stand</t>
        </is>
      </c>
    </row>
    <row r="325" ht="15" customHeight="1" s="29">
      <c r="A325" s="32" t="inlineStr">
        <is>
          <t>Iced Tea</t>
        </is>
      </c>
      <c r="B325" s="32" t="inlineStr">
        <is>
          <t>Tea Stand</t>
        </is>
      </c>
      <c r="C325" s="33" t="n">
        <v>92</v>
      </c>
      <c r="D325" s="34" t="n">
        <v>30</v>
      </c>
      <c r="E325" s="34" t="n">
        <v>25</v>
      </c>
      <c r="F325" s="34" t="n">
        <v>25</v>
      </c>
      <c r="G325" s="32">
        <f>IF(OR(F325="",AND(D325="",E325="")),"n/a",IF(F325=E325,"mastered",IF(F325=D325,"normal","differs")))</f>
        <v/>
      </c>
      <c r="H325" s="35" t="n">
        <v>252</v>
      </c>
      <c r="I325" s="35" t="n"/>
      <c r="J325" s="33" t="n">
        <v>30</v>
      </c>
      <c r="K325" s="33" t="n"/>
      <c r="L325" s="36" t="n">
        <v>54.11764706</v>
      </c>
      <c r="M325" s="37" t="n">
        <v>70.58823529</v>
      </c>
      <c r="N325" s="32">
        <f>IF(L325="","",IF(L325&lt;0,"negative profit",IF(L325&gt;Notes!$B$4,"unusually high - verify","")))</f>
        <v/>
      </c>
      <c r="O325" s="32" t="inlineStr">
        <is>
          <t>both</t>
        </is>
      </c>
      <c r="P325" s="32">
        <f>IF(O325&lt;&gt;"both",O325&amp;" only",IF(Q325="","agree","conflict"))</f>
        <v/>
      </c>
      <c r="Q325" s="32">
        <f>IF(O325="both",TRIM(IF(I325&lt;&gt;"","price ","")&amp;IF(K325&lt;&gt;"","xp ","")&amp;IF(G325="differs","time","")),"")</f>
        <v/>
      </c>
      <c r="R325" s="32" t="inlineStr">
        <is>
          <t>hayday.info (primary values) + Fandom (times, cross-check)</t>
        </is>
      </c>
      <c r="S325" s="32" t="inlineStr">
        <is>
          <t>https://hayday.fandom.com/wiki/Tea_Stand</t>
        </is>
      </c>
    </row>
    <row r="326" ht="15" customHeight="1" s="29">
      <c r="A326" s="32" t="inlineStr">
        <is>
          <t>Mint Tea</t>
        </is>
      </c>
      <c r="B326" s="32" t="inlineStr">
        <is>
          <t>Tea Stand</t>
        </is>
      </c>
      <c r="C326" s="33" t="n">
        <v>97</v>
      </c>
      <c r="D326" s="34" t="n">
        <v>35</v>
      </c>
      <c r="E326" s="34" t="n">
        <v>29</v>
      </c>
      <c r="F326" s="34" t="n">
        <v>29</v>
      </c>
      <c r="G326" s="32">
        <f>IF(OR(F326="",AND(D326="",E326="")),"n/a",IF(F326=E326,"mastered",IF(F326=D326,"normal","differs")))</f>
        <v/>
      </c>
      <c r="H326" s="35" t="n">
        <v>255</v>
      </c>
      <c r="I326" s="35" t="n"/>
      <c r="J326" s="33" t="n">
        <v>31</v>
      </c>
      <c r="K326" s="33" t="n"/>
      <c r="L326" s="36" t="n">
        <v>110.9243697</v>
      </c>
      <c r="M326" s="37" t="n">
        <v>62.5210084</v>
      </c>
      <c r="N326" s="32">
        <f>IF(L326="","",IF(L326&lt;0,"negative profit",IF(L326&gt;Notes!$B$4,"unusually high - verify","")))</f>
        <v/>
      </c>
      <c r="O326" s="32" t="inlineStr">
        <is>
          <t>both</t>
        </is>
      </c>
      <c r="P326" s="32">
        <f>IF(O326&lt;&gt;"both",O326&amp;" only",IF(Q326="","agree","conflict"))</f>
        <v/>
      </c>
      <c r="Q326" s="32">
        <f>IF(O326="both",TRIM(IF(I326&lt;&gt;"","price ","")&amp;IF(K326&lt;&gt;"","xp ","")&amp;IF(G326="differs","time","")),"")</f>
        <v/>
      </c>
      <c r="R326" s="32" t="inlineStr">
        <is>
          <t>hayday.info (primary values) + Fandom (times, cross-check)</t>
        </is>
      </c>
      <c r="S326" s="32" t="inlineStr">
        <is>
          <t>https://hayday.fandom.com/wiki/Tea_Stand</t>
        </is>
      </c>
    </row>
    <row r="327" ht="15" customHeight="1" s="29">
      <c r="A327" s="32" t="inlineStr">
        <is>
          <t>Apple</t>
        </is>
      </c>
      <c r="B327" s="32" t="inlineStr">
        <is>
          <t>Trees &amp; Bushes</t>
        </is>
      </c>
      <c r="C327" s="33" t="n">
        <v>15</v>
      </c>
      <c r="D327" s="34" t="n">
        <v>960</v>
      </c>
      <c r="E327" s="34" t="n"/>
      <c r="F327" s="34" t="n">
        <v>960</v>
      </c>
      <c r="G327" s="32">
        <f>IF(OR(F327="",AND(D327="",E327="")),"n/a",IF(F327=E327,"mastered",IF(F327=D327,"normal","differs")))</f>
        <v/>
      </c>
      <c r="H327" s="35" t="n">
        <v>39</v>
      </c>
      <c r="I327" s="35" t="n"/>
      <c r="J327" s="33" t="n">
        <v>7</v>
      </c>
      <c r="K327" s="33" t="n"/>
      <c r="L327" s="36" t="n">
        <v>22.175</v>
      </c>
      <c r="M327" s="37" t="n">
        <v>0.4375</v>
      </c>
      <c r="N327" s="32">
        <f>IF(L327="","",IF(L327&lt;0,"negative profit",IF(L327&gt;Notes!$B$4,"unusually high - verify","")))</f>
        <v/>
      </c>
      <c r="O327" s="32" t="inlineStr">
        <is>
          <t>both</t>
        </is>
      </c>
      <c r="P327" s="32">
        <f>IF(O327&lt;&gt;"both",O327&amp;" only",IF(Q327="","agree","conflict"))</f>
        <v/>
      </c>
      <c r="Q327" s="32">
        <f>IF(O327="both",TRIM(IF(I327&lt;&gt;"","price ","")&amp;IF(K327&lt;&gt;"","xp ","")&amp;IF(G327="differs","time","")),"")</f>
        <v/>
      </c>
      <c r="R327" s="32" t="inlineStr">
        <is>
          <t>hayday.info (primary values) + Fandom (times, cross-check)</t>
        </is>
      </c>
      <c r="S327" s="32" t="inlineStr">
        <is>
          <t>https://hayday.fandom.com/wiki/Trees_and_Bushes</t>
        </is>
      </c>
    </row>
    <row r="328" ht="15" customHeight="1" s="29">
      <c r="A328" s="32" t="inlineStr">
        <is>
          <t>Raspberry</t>
        </is>
      </c>
      <c r="B328" s="32" t="inlineStr">
        <is>
          <t>Trees &amp; Bushes</t>
        </is>
      </c>
      <c r="C328" s="33" t="n">
        <v>19</v>
      </c>
      <c r="D328" s="34" t="n">
        <v>1080</v>
      </c>
      <c r="E328" s="34" t="n"/>
      <c r="F328" s="34" t="n">
        <v>1080</v>
      </c>
      <c r="G328" s="32">
        <f>IF(OR(F328="",AND(D328="",E328="")),"n/a",IF(F328=E328,"mastered",IF(F328=D328,"normal","differs")))</f>
        <v/>
      </c>
      <c r="H328" s="35" t="n">
        <v>46</v>
      </c>
      <c r="I328" s="35" t="n"/>
      <c r="J328" s="33" t="n">
        <v>9</v>
      </c>
      <c r="K328" s="33" t="n"/>
      <c r="L328" s="36" t="n">
        <v>21.57777778</v>
      </c>
      <c r="M328" s="37" t="n">
        <v>0.5</v>
      </c>
      <c r="N328" s="32">
        <f>IF(L328="","",IF(L328&lt;0,"negative profit",IF(L328&gt;Notes!$B$4,"unusually high - verify","")))</f>
        <v/>
      </c>
      <c r="O328" s="32" t="inlineStr">
        <is>
          <t>both</t>
        </is>
      </c>
      <c r="P328" s="32">
        <f>IF(O328&lt;&gt;"both",O328&amp;" only",IF(Q328="","agree","conflict"))</f>
        <v/>
      </c>
      <c r="Q328" s="32">
        <f>IF(O328="both",TRIM(IF(I328&lt;&gt;"","price ","")&amp;IF(K328&lt;&gt;"","xp ","")&amp;IF(G328="differs","time","")),"")</f>
        <v/>
      </c>
      <c r="R328" s="32" t="inlineStr">
        <is>
          <t>hayday.info (primary values) + Fandom (times, cross-check)</t>
        </is>
      </c>
      <c r="S328" s="32" t="inlineStr">
        <is>
          <t>https://hayday.fandom.com/wiki/Trees_and_Bushes</t>
        </is>
      </c>
    </row>
    <row r="329" ht="15" customHeight="1" s="29">
      <c r="A329" s="32" t="inlineStr">
        <is>
          <t>Cherry</t>
        </is>
      </c>
      <c r="B329" s="32" t="inlineStr">
        <is>
          <t>Trees &amp; Bushes</t>
        </is>
      </c>
      <c r="C329" s="33" t="n">
        <v>22</v>
      </c>
      <c r="D329" s="34" t="n">
        <v>1620</v>
      </c>
      <c r="E329" s="34" t="n"/>
      <c r="F329" s="34" t="n">
        <v>1620</v>
      </c>
      <c r="G329" s="32">
        <f>IF(OR(F329="",AND(D329="",E329="")),"n/a",IF(F329=E329,"mastered",IF(F329=D329,"normal","differs")))</f>
        <v/>
      </c>
      <c r="H329" s="35" t="n">
        <v>68</v>
      </c>
      <c r="I329" s="35" t="n"/>
      <c r="J329" s="33" t="n">
        <v>13</v>
      </c>
      <c r="K329" s="33" t="n"/>
      <c r="L329" s="36" t="n">
        <v>17.74814815</v>
      </c>
      <c r="M329" s="37" t="n">
        <v>0.4814814815</v>
      </c>
      <c r="N329" s="32">
        <f>IF(L329="","",IF(L329&lt;0,"negative profit",IF(L329&gt;Notes!$B$4,"unusually high - verify","")))</f>
        <v/>
      </c>
      <c r="O329" s="32" t="inlineStr">
        <is>
          <t>both</t>
        </is>
      </c>
      <c r="P329" s="32">
        <f>IF(O329&lt;&gt;"both",O329&amp;" only",IF(Q329="","agree","conflict"))</f>
        <v/>
      </c>
      <c r="Q329" s="32">
        <f>IF(O329="both",TRIM(IF(I329&lt;&gt;"","price ","")&amp;IF(K329&lt;&gt;"","xp ","")&amp;IF(G329="differs","time","")),"")</f>
        <v/>
      </c>
      <c r="R329" s="32" t="inlineStr">
        <is>
          <t>hayday.info (primary values) + Fandom (times, cross-check)</t>
        </is>
      </c>
      <c r="S329" s="32" t="inlineStr">
        <is>
          <t>https://hayday.fandom.com/wiki/Trees_and_Bushes</t>
        </is>
      </c>
    </row>
    <row r="330" ht="15" customHeight="1" s="29">
      <c r="A330" s="32" t="inlineStr">
        <is>
          <t>Blackberry</t>
        </is>
      </c>
      <c r="B330" s="32" t="inlineStr">
        <is>
          <t>Trees &amp; Bushes</t>
        </is>
      </c>
      <c r="C330" s="33" t="n">
        <v>26</v>
      </c>
      <c r="D330" s="34" t="n">
        <v>1920</v>
      </c>
      <c r="E330" s="34" t="n"/>
      <c r="F330" s="34" t="n">
        <v>1920</v>
      </c>
      <c r="G330" s="32">
        <f>IF(OR(F330="",AND(D330="",E330="")),"n/a",IF(F330=E330,"mastered",IF(F330=D330,"normal","differs")))</f>
        <v/>
      </c>
      <c r="H330" s="35" t="n">
        <v>82</v>
      </c>
      <c r="I330" s="35" t="n"/>
      <c r="J330" s="33" t="n">
        <v>16</v>
      </c>
      <c r="K330" s="33" t="n"/>
      <c r="L330" s="36" t="n">
        <v>17.075</v>
      </c>
      <c r="M330" s="37" t="n">
        <v>0.5</v>
      </c>
      <c r="N330" s="32">
        <f>IF(L330="","",IF(L330&lt;0,"negative profit",IF(L330&gt;Notes!$B$4,"unusually high - verify","")))</f>
        <v/>
      </c>
      <c r="O330" s="32" t="inlineStr">
        <is>
          <t>both</t>
        </is>
      </c>
      <c r="P330" s="32">
        <f>IF(O330&lt;&gt;"both",O330&amp;" only",IF(Q330="","agree","conflict"))</f>
        <v/>
      </c>
      <c r="Q330" s="32">
        <f>IF(O330="both",TRIM(IF(I330&lt;&gt;"","price ","")&amp;IF(K330&lt;&gt;"","xp ","")&amp;IF(G330="differs","time","")),"")</f>
        <v/>
      </c>
      <c r="R330" s="32" t="inlineStr">
        <is>
          <t>hayday.info (primary values) + Fandom (times, cross-check)</t>
        </is>
      </c>
      <c r="S330" s="32" t="inlineStr">
        <is>
          <t>https://hayday.fandom.com/wiki/Trees_and_Bushes</t>
        </is>
      </c>
    </row>
    <row r="331" ht="15" customHeight="1" s="29">
      <c r="A331" s="32" t="inlineStr">
        <is>
          <t>Cacao</t>
        </is>
      </c>
      <c r="B331" s="32" t="inlineStr">
        <is>
          <t>Trees &amp; Bushes</t>
        </is>
      </c>
      <c r="C331" s="33" t="n">
        <v>36</v>
      </c>
      <c r="D331" s="34" t="n">
        <v>2100</v>
      </c>
      <c r="E331" s="34" t="n"/>
      <c r="F331" s="34" t="n">
        <v>2040</v>
      </c>
      <c r="G331" s="32">
        <f>IF(OR(F331="",AND(D331="",E331="")),"n/a",IF(F331=E331,"mastered",IF(F331=D331,"normal","differs")))</f>
        <v/>
      </c>
      <c r="H331" s="35" t="n">
        <v>86</v>
      </c>
      <c r="I331" s="35" t="n"/>
      <c r="J331" s="33" t="n">
        <v>16</v>
      </c>
      <c r="K331" s="33" t="n"/>
      <c r="L331" s="36" t="n">
        <v>16.85882353</v>
      </c>
      <c r="M331" s="37" t="n">
        <v>0.4705882353</v>
      </c>
      <c r="N331" s="32">
        <f>IF(L331="","",IF(L331&lt;0,"negative profit",IF(L331&gt;Notes!$B$4,"unusually high - verify","")))</f>
        <v/>
      </c>
      <c r="O331" s="32" t="inlineStr">
        <is>
          <t>both</t>
        </is>
      </c>
      <c r="P331" s="32">
        <f>IF(O331&lt;&gt;"both",O331&amp;" only",IF(Q331="","agree","conflict"))</f>
        <v/>
      </c>
      <c r="Q331" s="32">
        <f>IF(O331="both",TRIM(IF(I331&lt;&gt;"","price ","")&amp;IF(K331&lt;&gt;"","xp ","")&amp;IF(G331="differs","time","")),"")</f>
        <v/>
      </c>
      <c r="R331" s="32" t="inlineStr">
        <is>
          <t>hayday.info (primary values) + Fandom (times, cross-check)</t>
        </is>
      </c>
      <c r="S331" s="32" t="inlineStr">
        <is>
          <t>https://hayday.fandom.com/wiki/Trees_and_Bushes</t>
        </is>
      </c>
    </row>
    <row r="332" ht="15" customHeight="1" s="29">
      <c r="A332" s="32" t="inlineStr">
        <is>
          <t>Honeycomb</t>
        </is>
      </c>
      <c r="B332" s="32" t="inlineStr">
        <is>
          <t>Trees &amp; Bushes</t>
        </is>
      </c>
      <c r="C332" s="33" t="n">
        <v>39</v>
      </c>
      <c r="D332" s="34" t="n"/>
      <c r="E332" s="34" t="n"/>
      <c r="F332" s="34" t="n">
        <v>35</v>
      </c>
      <c r="G332" s="32">
        <f>IF(OR(F332="",AND(D332="",E332="")),"n/a",IF(F332=E332,"mastered",IF(F332=D332,"normal","differs")))</f>
        <v/>
      </c>
      <c r="H332" s="35" t="n">
        <v>68</v>
      </c>
      <c r="I332" s="35" t="n"/>
      <c r="J332" s="33" t="n">
        <v>8</v>
      </c>
      <c r="K332" s="33" t="n"/>
      <c r="L332" s="36" t="n">
        <v>109.7142857</v>
      </c>
      <c r="M332" s="37" t="n">
        <v>13.71428571</v>
      </c>
      <c r="N332" s="32">
        <f>IF(L332="","",IF(L332&lt;0,"negative profit",IF(L332&gt;Notes!$B$4,"unusually high - verify","")))</f>
        <v/>
      </c>
      <c r="O332" s="32" t="inlineStr">
        <is>
          <t>hayday.info</t>
        </is>
      </c>
      <c r="P332" s="32">
        <f>IF(O332&lt;&gt;"both",O332&amp;" only",IF(Q332="","agree","conflict"))</f>
        <v/>
      </c>
      <c r="Q332" s="32">
        <f>IF(O332="both",TRIM(IF(I332&lt;&gt;"","price ","")&amp;IF(K332&lt;&gt;"","xp ","")&amp;IF(G332="differs","time","")),"")</f>
        <v/>
      </c>
      <c r="R332" s="32" t="inlineStr">
        <is>
          <t>hayday.info /api/production-data only</t>
        </is>
      </c>
      <c r="S332" s="32" t="n"/>
    </row>
    <row r="333" ht="15" customHeight="1" s="29">
      <c r="A333" s="32" t="inlineStr">
        <is>
          <t>Coffee</t>
        </is>
      </c>
      <c r="B333" s="32" t="inlineStr">
        <is>
          <t>Trees &amp; Bushes</t>
        </is>
      </c>
      <c r="C333" s="33" t="n">
        <v>42</v>
      </c>
      <c r="D333" s="34" t="n">
        <v>1440</v>
      </c>
      <c r="E333" s="34" t="n"/>
      <c r="F333" s="34" t="n">
        <v>1500</v>
      </c>
      <c r="G333" s="32">
        <f>IF(OR(F333="",AND(D333="",E333="")),"n/a",IF(F333=E333,"mastered",IF(F333=D333,"normal","differs")))</f>
        <v/>
      </c>
      <c r="H333" s="35" t="n">
        <v>64</v>
      </c>
      <c r="I333" s="35" t="n"/>
      <c r="J333" s="33" t="n">
        <v>12</v>
      </c>
      <c r="K333" s="33" t="n"/>
      <c r="L333" s="36" t="n">
        <v>18.696</v>
      </c>
      <c r="M333" s="37" t="n">
        <v>0.48</v>
      </c>
      <c r="N333" s="32">
        <f>IF(L333="","",IF(L333&lt;0,"negative profit",IF(L333&gt;Notes!$B$4,"unusually high - verify","")))</f>
        <v/>
      </c>
      <c r="O333" s="32" t="inlineStr">
        <is>
          <t>both</t>
        </is>
      </c>
      <c r="P333" s="32">
        <f>IF(O333&lt;&gt;"both",O333&amp;" only",IF(Q333="","agree","conflict"))</f>
        <v/>
      </c>
      <c r="Q333" s="32">
        <f>IF(O333="both",TRIM(IF(I333&lt;&gt;"","price ","")&amp;IF(K333&lt;&gt;"","xp ","")&amp;IF(G333="differs","time","")),"")</f>
        <v/>
      </c>
      <c r="R333" s="32" t="inlineStr">
        <is>
          <t>hayday.info (primary values) + Fandom (times, cross-check)</t>
        </is>
      </c>
      <c r="S333" s="32" t="inlineStr">
        <is>
          <t>https://hayday.fandom.com/wiki/Trees_and_Bushes</t>
        </is>
      </c>
    </row>
    <row r="334" ht="15" customHeight="1" s="29">
      <c r="A334" s="32" t="inlineStr">
        <is>
          <t>Olive</t>
        </is>
      </c>
      <c r="B334" s="32" t="inlineStr">
        <is>
          <t>Trees &amp; Bushes</t>
        </is>
      </c>
      <c r="C334" s="33" t="n">
        <v>57</v>
      </c>
      <c r="D334" s="34" t="n">
        <v>1440</v>
      </c>
      <c r="E334" s="34" t="n"/>
      <c r="F334" s="34" t="n">
        <v>1440</v>
      </c>
      <c r="G334" s="32">
        <f>IF(OR(F334="",AND(D334="",E334="")),"n/a",IF(F334=E334,"mastered",IF(F334=D334,"normal","differs")))</f>
        <v/>
      </c>
      <c r="H334" s="35" t="n">
        <v>82</v>
      </c>
      <c r="I334" s="35" t="n"/>
      <c r="J334" s="33" t="n">
        <v>17</v>
      </c>
      <c r="K334" s="33" t="n"/>
      <c r="L334" s="36" t="n">
        <v>19.01666667</v>
      </c>
      <c r="M334" s="37" t="n">
        <v>0.7083333333</v>
      </c>
      <c r="N334" s="32">
        <f>IF(L334="","",IF(L334&lt;0,"negative profit",IF(L334&gt;Notes!$B$4,"unusually high - verify","")))</f>
        <v/>
      </c>
      <c r="O334" s="32" t="inlineStr">
        <is>
          <t>both</t>
        </is>
      </c>
      <c r="P334" s="32">
        <f>IF(O334&lt;&gt;"both",O334&amp;" only",IF(Q334="","agree","conflict"))</f>
        <v/>
      </c>
      <c r="Q334" s="32">
        <f>IF(O334="both",TRIM(IF(I334&lt;&gt;"","price ","")&amp;IF(K334&lt;&gt;"","xp ","")&amp;IF(G334="differs","time","")),"")</f>
        <v/>
      </c>
      <c r="R334" s="32" t="inlineStr">
        <is>
          <t>hayday.info (primary values) + Fandom (times, cross-check)</t>
        </is>
      </c>
      <c r="S334" s="32" t="inlineStr">
        <is>
          <t>https://hayday.fandom.com/wiki/Trees_and_Bushes</t>
        </is>
      </c>
    </row>
    <row r="335" ht="15" customHeight="1" s="29">
      <c r="A335" s="32" t="inlineStr">
        <is>
          <t>Lemon</t>
        </is>
      </c>
      <c r="B335" s="32" t="inlineStr">
        <is>
          <t>Trees &amp; Bushes</t>
        </is>
      </c>
      <c r="C335" s="33" t="n">
        <v>66</v>
      </c>
      <c r="D335" s="34" t="n">
        <v>1740</v>
      </c>
      <c r="E335" s="34" t="n"/>
      <c r="F335" s="34" t="n">
        <v>1740</v>
      </c>
      <c r="G335" s="32">
        <f>IF(OR(F335="",AND(D335="",E335="")),"n/a",IF(F335=E335,"mastered",IF(F335=D335,"normal","differs")))</f>
        <v/>
      </c>
      <c r="H335" s="35" t="n">
        <v>93</v>
      </c>
      <c r="I335" s="35" t="n"/>
      <c r="J335" s="33" t="n">
        <v>18</v>
      </c>
      <c r="K335" s="33" t="n"/>
      <c r="L335" s="36" t="n">
        <v>18.85517241</v>
      </c>
      <c r="M335" s="37" t="n">
        <v>0.6206896552</v>
      </c>
      <c r="N335" s="32">
        <f>IF(L335="","",IF(L335&lt;0,"negative profit",IF(L335&gt;Notes!$B$4,"unusually high - verify","")))</f>
        <v/>
      </c>
      <c r="O335" s="32" t="inlineStr">
        <is>
          <t>both</t>
        </is>
      </c>
      <c r="P335" s="32">
        <f>IF(O335&lt;&gt;"both",O335&amp;" only",IF(Q335="","agree","conflict"))</f>
        <v/>
      </c>
      <c r="Q335" s="32">
        <f>IF(O335="both",TRIM(IF(I335&lt;&gt;"","price ","")&amp;IF(K335&lt;&gt;"","xp ","")&amp;IF(G335="differs","time","")),"")</f>
        <v/>
      </c>
      <c r="R335" s="32" t="inlineStr">
        <is>
          <t>hayday.info (primary values) + Fandom (times, cross-check)</t>
        </is>
      </c>
      <c r="S335" s="32" t="inlineStr">
        <is>
          <t>https://hayday.fandom.com/wiki/Trees_and_Bushes</t>
        </is>
      </c>
    </row>
    <row r="336" ht="15" customHeight="1" s="29">
      <c r="A336" s="32" t="inlineStr">
        <is>
          <t>Orange</t>
        </is>
      </c>
      <c r="B336" s="32" t="inlineStr">
        <is>
          <t>Trees &amp; Bushes</t>
        </is>
      </c>
      <c r="C336" s="33" t="n">
        <v>71</v>
      </c>
      <c r="D336" s="34" t="n">
        <v>1860</v>
      </c>
      <c r="E336" s="34" t="n"/>
      <c r="F336" s="34" t="n">
        <v>1860</v>
      </c>
      <c r="G336" s="32">
        <f>IF(OR(F336="",AND(D336="",E336="")),"n/a",IF(F336=E336,"mastered",IF(F336=D336,"normal","differs")))</f>
        <v/>
      </c>
      <c r="H336" s="35" t="n">
        <v>97</v>
      </c>
      <c r="I336" s="35" t="n"/>
      <c r="J336" s="33" t="n">
        <v>19</v>
      </c>
      <c r="K336" s="33" t="n"/>
      <c r="L336" s="36" t="n">
        <v>17.53548387</v>
      </c>
      <c r="M336" s="37" t="n">
        <v>0.6129032258</v>
      </c>
      <c r="N336" s="32">
        <f>IF(L336="","",IF(L336&lt;0,"negative profit",IF(L336&gt;Notes!$B$4,"unusually high - verify","")))</f>
        <v/>
      </c>
      <c r="O336" s="32" t="inlineStr">
        <is>
          <t>both</t>
        </is>
      </c>
      <c r="P336" s="32">
        <f>IF(O336&lt;&gt;"both",O336&amp;" only",IF(Q336="","agree","conflict"))</f>
        <v/>
      </c>
      <c r="Q336" s="32">
        <f>IF(O336="both",TRIM(IF(I336&lt;&gt;"","price ","")&amp;IF(K336&lt;&gt;"","xp ","")&amp;IF(G336="differs","time","")),"")</f>
        <v/>
      </c>
      <c r="R336" s="32" t="inlineStr">
        <is>
          <t>hayday.info (primary values) + Fandom (times, cross-check)</t>
        </is>
      </c>
      <c r="S336" s="32" t="inlineStr">
        <is>
          <t>https://hayday.fandom.com/wiki/Trees_and_Bushes</t>
        </is>
      </c>
    </row>
    <row r="337" ht="15" customHeight="1" s="29">
      <c r="A337" s="32" t="inlineStr">
        <is>
          <t>Peach</t>
        </is>
      </c>
      <c r="B337" s="32" t="inlineStr">
        <is>
          <t>Trees &amp; Bushes</t>
        </is>
      </c>
      <c r="C337" s="33" t="n">
        <v>76</v>
      </c>
      <c r="D337" s="34" t="n">
        <v>1800</v>
      </c>
      <c r="E337" s="34" t="n"/>
      <c r="F337" s="34" t="n">
        <v>1800</v>
      </c>
      <c r="G337" s="32">
        <f>IF(OR(F337="",AND(D337="",E337="")),"n/a",IF(F337=E337,"mastered",IF(F337=D337,"normal","differs")))</f>
        <v/>
      </c>
      <c r="H337" s="35" t="n">
        <v>100</v>
      </c>
      <c r="I337" s="35" t="n"/>
      <c r="J337" s="33" t="n">
        <v>20</v>
      </c>
      <c r="K337" s="33" t="n"/>
      <c r="L337" s="36" t="n">
        <v>18.68</v>
      </c>
      <c r="M337" s="37" t="n">
        <v>0.6666666667</v>
      </c>
      <c r="N337" s="32">
        <f>IF(L337="","",IF(L337&lt;0,"negative profit",IF(L337&gt;Notes!$B$4,"unusually high - verify","")))</f>
        <v/>
      </c>
      <c r="O337" s="32" t="inlineStr">
        <is>
          <t>both</t>
        </is>
      </c>
      <c r="P337" s="32">
        <f>IF(O337&lt;&gt;"both",O337&amp;" only",IF(Q337="","agree","conflict"))</f>
        <v/>
      </c>
      <c r="Q337" s="32">
        <f>IF(O337="both",TRIM(IF(I337&lt;&gt;"","price ","")&amp;IF(K337&lt;&gt;"","xp ","")&amp;IF(G337="differs","time","")),"")</f>
        <v/>
      </c>
      <c r="R337" s="32" t="inlineStr">
        <is>
          <t>hayday.info (primary values) + Fandom (times, cross-check)</t>
        </is>
      </c>
      <c r="S337" s="32" t="inlineStr">
        <is>
          <t>https://hayday.fandom.com/wiki/Trees_and_Bushes</t>
        </is>
      </c>
    </row>
    <row r="338" ht="15" customHeight="1" s="29">
      <c r="A338" s="32" t="inlineStr">
        <is>
          <t>Banana</t>
        </is>
      </c>
      <c r="B338" s="32" t="inlineStr">
        <is>
          <t>Trees &amp; Bushes</t>
        </is>
      </c>
      <c r="C338" s="33" t="n">
        <v>88</v>
      </c>
      <c r="D338" s="34" t="n">
        <v>1620</v>
      </c>
      <c r="E338" s="34" t="n"/>
      <c r="F338" s="34" t="n">
        <v>1620</v>
      </c>
      <c r="G338" s="32">
        <f>IF(OR(F338="",AND(D338="",E338="")),"n/a",IF(F338=E338,"mastered",IF(F338=D338,"normal","differs")))</f>
        <v/>
      </c>
      <c r="H338" s="35" t="n">
        <v>104</v>
      </c>
      <c r="I338" s="35" t="n"/>
      <c r="J338" s="33" t="n">
        <v>20</v>
      </c>
      <c r="K338" s="33" t="n"/>
      <c r="L338" s="36" t="n">
        <v>20.63703704</v>
      </c>
      <c r="M338" s="37" t="n">
        <v>0.7407407407</v>
      </c>
      <c r="N338" s="32">
        <f>IF(L338="","",IF(L338&lt;0,"negative profit",IF(L338&gt;Notes!$B$4,"unusually high - verify","")))</f>
        <v/>
      </c>
      <c r="O338" s="32" t="inlineStr">
        <is>
          <t>both</t>
        </is>
      </c>
      <c r="P338" s="32">
        <f>IF(O338&lt;&gt;"both",O338&amp;" only",IF(Q338="","agree","conflict"))</f>
        <v/>
      </c>
      <c r="Q338" s="32">
        <f>IF(O338="both",TRIM(IF(I338&lt;&gt;"","price ","")&amp;IF(K338&lt;&gt;"","xp ","")&amp;IF(G338="differs","time","")),"")</f>
        <v/>
      </c>
      <c r="R338" s="32" t="inlineStr">
        <is>
          <t>hayday.info (primary values) + Fandom (times, cross-check)</t>
        </is>
      </c>
      <c r="S338" s="32" t="inlineStr">
        <is>
          <t>https://hayday.fandom.com/wiki/Trees_and_Bushes</t>
        </is>
      </c>
    </row>
    <row r="339" ht="15" customHeight="1" s="29">
      <c r="A339" s="32" t="inlineStr">
        <is>
          <t>Plum</t>
        </is>
      </c>
      <c r="B339" s="32" t="inlineStr">
        <is>
          <t>Trees &amp; Bushes</t>
        </is>
      </c>
      <c r="C339" s="33" t="n">
        <v>94</v>
      </c>
      <c r="D339" s="34" t="n">
        <v>1500</v>
      </c>
      <c r="E339" s="34" t="n"/>
      <c r="F339" s="34" t="n">
        <v>1620</v>
      </c>
      <c r="G339" s="32">
        <f>IF(OR(F339="",AND(D339="",E339="")),"n/a",IF(F339=E339,"mastered",IF(F339=D339,"normal","differs")))</f>
        <v/>
      </c>
      <c r="H339" s="35" t="n">
        <v>82</v>
      </c>
      <c r="I339" s="35" t="n"/>
      <c r="J339" s="33" t="n">
        <v>16</v>
      </c>
      <c r="K339" s="33" t="n"/>
      <c r="L339" s="36" t="n">
        <v>17.64444444</v>
      </c>
      <c r="M339" s="37" t="n">
        <v>0.5925925926</v>
      </c>
      <c r="N339" s="32">
        <f>IF(L339="","",IF(L339&lt;0,"negative profit",IF(L339&gt;Notes!$B$4,"unusually high - verify","")))</f>
        <v/>
      </c>
      <c r="O339" s="32" t="inlineStr">
        <is>
          <t>both</t>
        </is>
      </c>
      <c r="P339" s="32">
        <f>IF(O339&lt;&gt;"both",O339&amp;" only",IF(Q339="","agree","conflict"))</f>
        <v/>
      </c>
      <c r="Q339" s="32">
        <f>IF(O339="both",TRIM(IF(I339&lt;&gt;"","price ","")&amp;IF(K339&lt;&gt;"","xp ","")&amp;IF(G339="differs","time","")),"")</f>
        <v/>
      </c>
      <c r="R339" s="32" t="inlineStr">
        <is>
          <t>hayday.info (primary values) + Fandom (times, cross-check)</t>
        </is>
      </c>
      <c r="S339" s="32" t="inlineStr">
        <is>
          <t>https://hayday.fandom.com/wiki/Trees_and_Bushes</t>
        </is>
      </c>
    </row>
    <row r="340" ht="15" customHeight="1" s="29">
      <c r="A340" s="32" t="inlineStr">
        <is>
          <t>Mango</t>
        </is>
      </c>
      <c r="B340" s="32" t="inlineStr">
        <is>
          <t>Trees &amp; Bushes</t>
        </is>
      </c>
      <c r="C340" s="33" t="n">
        <v>97</v>
      </c>
      <c r="D340" s="34" t="n">
        <v>1920</v>
      </c>
      <c r="E340" s="34" t="n"/>
      <c r="F340" s="34" t="n">
        <v>1920</v>
      </c>
      <c r="G340" s="32">
        <f>IF(OR(F340="",AND(D340="",E340="")),"n/a",IF(F340=E340,"mastered",IF(F340=D340,"normal","differs")))</f>
        <v/>
      </c>
      <c r="H340" s="35" t="n">
        <v>100</v>
      </c>
      <c r="I340" s="35" t="n"/>
      <c r="J340" s="33" t="n">
        <v>20</v>
      </c>
      <c r="K340" s="33" t="n"/>
      <c r="L340" s="36" t="n">
        <v>16.8875</v>
      </c>
      <c r="M340" s="37" t="n">
        <v>0.625</v>
      </c>
      <c r="N340" s="32">
        <f>IF(L340="","",IF(L340&lt;0,"negative profit",IF(L340&gt;Notes!$B$4,"unusually high - verify","")))</f>
        <v/>
      </c>
      <c r="O340" s="32" t="inlineStr">
        <is>
          <t>both</t>
        </is>
      </c>
      <c r="P340" s="32">
        <f>IF(O340&lt;&gt;"both",O340&amp;" only",IF(Q340="","agree","conflict"))</f>
        <v/>
      </c>
      <c r="Q340" s="32">
        <f>IF(O340="both",TRIM(IF(I340&lt;&gt;"","price ","")&amp;IF(K340&lt;&gt;"","xp ","")&amp;IF(G340="differs","time","")),"")</f>
        <v/>
      </c>
      <c r="R340" s="32" t="inlineStr">
        <is>
          <t>hayday.info (primary values) + Fandom (times, cross-check)</t>
        </is>
      </c>
      <c r="S340" s="32" t="inlineStr">
        <is>
          <t>https://hayday.fandom.com/wiki/Trees_and_Bushes</t>
        </is>
      </c>
    </row>
    <row r="341" ht="15" customHeight="1" s="29">
      <c r="A341" s="32" t="inlineStr">
        <is>
          <t>Coconut</t>
        </is>
      </c>
      <c r="B341" s="32" t="inlineStr">
        <is>
          <t>Trees &amp; Bushes</t>
        </is>
      </c>
      <c r="C341" s="33" t="n">
        <v>101</v>
      </c>
      <c r="D341" s="34" t="n">
        <v>2160</v>
      </c>
      <c r="E341" s="34" t="n"/>
      <c r="F341" s="34" t="n">
        <v>2160</v>
      </c>
      <c r="G341" s="32">
        <f>IF(OR(F341="",AND(D341="",E341="")),"n/a",IF(F341=E341,"mastered",IF(F341=D341,"normal","differs")))</f>
        <v/>
      </c>
      <c r="H341" s="35" t="n">
        <v>108</v>
      </c>
      <c r="I341" s="35" t="n"/>
      <c r="J341" s="33" t="n">
        <v>21</v>
      </c>
      <c r="K341" s="33" t="n"/>
      <c r="L341" s="36" t="n">
        <v>16.5</v>
      </c>
      <c r="M341" s="37" t="n">
        <v>0.5833333333</v>
      </c>
      <c r="N341" s="32">
        <f>IF(L341="","",IF(L341&lt;0,"negative profit",IF(L341&gt;Notes!$B$4,"unusually high - verify","")))</f>
        <v/>
      </c>
      <c r="O341" s="32" t="inlineStr">
        <is>
          <t>both</t>
        </is>
      </c>
      <c r="P341" s="32">
        <f>IF(O341&lt;&gt;"both",O341&amp;" only",IF(Q341="","agree","conflict"))</f>
        <v/>
      </c>
      <c r="Q341" s="32">
        <f>IF(O341="both",TRIM(IF(I341&lt;&gt;"","price ","")&amp;IF(K341&lt;&gt;"","xp ","")&amp;IF(G341="differs","time","")),"")</f>
        <v/>
      </c>
      <c r="R341" s="32" t="inlineStr">
        <is>
          <t>hayday.info (primary values) + Fandom (times, cross-check)</t>
        </is>
      </c>
      <c r="S341" s="32" t="inlineStr">
        <is>
          <t>https://hayday.fandom.com/wiki/Trees_and_Bushes</t>
        </is>
      </c>
    </row>
    <row r="342" ht="15" customHeight="1" s="29">
      <c r="A342" s="32" t="inlineStr">
        <is>
          <t>Guava</t>
        </is>
      </c>
      <c r="B342" s="32" t="inlineStr">
        <is>
          <t>Trees &amp; Bushes</t>
        </is>
      </c>
      <c r="C342" s="33" t="n">
        <v>104</v>
      </c>
      <c r="D342" s="34" t="n">
        <v>2040</v>
      </c>
      <c r="E342" s="34" t="n"/>
      <c r="F342" s="34" t="n">
        <v>2040</v>
      </c>
      <c r="G342" s="32">
        <f>IF(OR(F342="",AND(D342="",E342="")),"n/a",IF(F342=E342,"mastered",IF(F342=D342,"normal","differs")))</f>
        <v/>
      </c>
      <c r="H342" s="35" t="n">
        <v>111</v>
      </c>
      <c r="I342" s="35" t="n"/>
      <c r="J342" s="33" t="n">
        <v>22</v>
      </c>
      <c r="K342" s="33" t="n"/>
      <c r="L342" s="36" t="n">
        <v>17.37647059</v>
      </c>
      <c r="M342" s="37" t="n">
        <v>0.6470588235</v>
      </c>
      <c r="N342" s="32">
        <f>IF(L342="","",IF(L342&lt;0,"negative profit",IF(L342&gt;Notes!$B$4,"unusually high - verify","")))</f>
        <v/>
      </c>
      <c r="O342" s="32" t="inlineStr">
        <is>
          <t>both</t>
        </is>
      </c>
      <c r="P342" s="32">
        <f>IF(O342&lt;&gt;"both",O342&amp;" only",IF(Q342="","agree","conflict"))</f>
        <v/>
      </c>
      <c r="Q342" s="32">
        <f>IF(O342="both",TRIM(IF(I342&lt;&gt;"","price ","")&amp;IF(K342&lt;&gt;"","xp ","")&amp;IF(G342="differs","time","")),"")</f>
        <v/>
      </c>
      <c r="R342" s="32" t="inlineStr">
        <is>
          <t>hayday.info (primary values) + Fandom (times, cross-check)</t>
        </is>
      </c>
      <c r="S342" s="32" t="inlineStr">
        <is>
          <t>https://hayday.fandom.com/wiki/Trees_and_Bushes</t>
        </is>
      </c>
    </row>
    <row r="343" ht="15" customHeight="1" s="29">
      <c r="A343" s="32" t="inlineStr">
        <is>
          <t>Pomegranate</t>
        </is>
      </c>
      <c r="B343" s="32" t="inlineStr">
        <is>
          <t>Trees &amp; Bushes</t>
        </is>
      </c>
      <c r="C343" s="33" t="n">
        <v>107</v>
      </c>
      <c r="D343" s="34" t="n">
        <v>1620</v>
      </c>
      <c r="E343" s="34" t="n"/>
      <c r="F343" s="34" t="n"/>
      <c r="G343" s="32">
        <f>IF(OR(F343="",AND(D343="",E343="")),"n/a",IF(F343=E343,"mastered",IF(F343=D343,"normal","differs")))</f>
        <v/>
      </c>
      <c r="H343" s="35" t="n"/>
      <c r="I343" s="35" t="n"/>
      <c r="J343" s="33" t="n"/>
      <c r="K343" s="33" t="n"/>
      <c r="L343" s="36" t="n"/>
      <c r="M343" s="37" t="n"/>
      <c r="N343" s="32">
        <f>IF(L343="","",IF(L343&lt;0,"negative profit",IF(L343&gt;Notes!$B$4,"unusually high - verify","")))</f>
        <v/>
      </c>
      <c r="O343" s="32" t="inlineStr">
        <is>
          <t>Fandom</t>
        </is>
      </c>
      <c r="P343" s="32">
        <f>IF(O343&lt;&gt;"both",O343&amp;" only",IF(Q343="","agree","conflict"))</f>
        <v/>
      </c>
      <c r="Q343" s="32">
        <f>IF(O343="both",TRIM(IF(I343&lt;&gt;"","price ","")&amp;IF(K343&lt;&gt;"","xp ","")&amp;IF(G343="differs","time","")),"")</f>
        <v/>
      </c>
      <c r="R343" s="32" t="inlineStr">
        <is>
          <t>Hay Day Wiki (Fandom) only</t>
        </is>
      </c>
      <c r="S343" s="32" t="inlineStr">
        <is>
          <t>https://hayday.fandom.com/wiki/Trees_and_Bushes</t>
        </is>
      </c>
    </row>
    <row r="344" ht="15" customHeight="1" s="29">
      <c r="A344" s="32" t="inlineStr">
        <is>
          <t>Fried Rice</t>
        </is>
      </c>
      <c r="B344" s="32" t="inlineStr">
        <is>
          <t>Wok Kitchen</t>
        </is>
      </c>
      <c r="C344" s="33" t="n">
        <v>69</v>
      </c>
      <c r="D344" s="34" t="n">
        <v>60</v>
      </c>
      <c r="E344" s="34" t="n">
        <v>51</v>
      </c>
      <c r="F344" s="34" t="n">
        <v>51</v>
      </c>
      <c r="G344" s="32">
        <f>IF(OR(F344="",AND(D344="",E344="")),"n/a",IF(F344=E344,"mastered",IF(F344=D344,"normal","differs")))</f>
        <v/>
      </c>
      <c r="H344" s="35" t="n">
        <v>205</v>
      </c>
      <c r="I344" s="35" t="n"/>
      <c r="J344" s="33" t="n">
        <v>24</v>
      </c>
      <c r="K344" s="33" t="n"/>
      <c r="L344" s="36" t="n">
        <v>29.41176471</v>
      </c>
      <c r="M344" s="37" t="n">
        <v>28.23529412</v>
      </c>
      <c r="N344" s="32">
        <f>IF(L344="","",IF(L344&lt;0,"negative profit",IF(L344&gt;Notes!$B$4,"unusually high - verify","")))</f>
        <v/>
      </c>
      <c r="O344" s="32" t="inlineStr">
        <is>
          <t>both</t>
        </is>
      </c>
      <c r="P344" s="32">
        <f>IF(O344&lt;&gt;"both",O344&amp;" only",IF(Q344="","agree","conflict"))</f>
        <v/>
      </c>
      <c r="Q344" s="32">
        <f>IF(O344="both",TRIM(IF(I344&lt;&gt;"","price ","")&amp;IF(K344&lt;&gt;"","xp ","")&amp;IF(G344="differs","time","")),"")</f>
        <v/>
      </c>
      <c r="R344" s="32" t="inlineStr">
        <is>
          <t>hayday.info (primary values) + Fandom (times, cross-check)</t>
        </is>
      </c>
      <c r="S344" s="32" t="inlineStr">
        <is>
          <t>https://hayday.fandom.com/wiki/Wok_Kitchen</t>
        </is>
      </c>
    </row>
    <row r="345" ht="15" customHeight="1" s="29">
      <c r="A345" s="32" t="inlineStr">
        <is>
          <t>Spicy Fish</t>
        </is>
      </c>
      <c r="B345" s="32" t="inlineStr">
        <is>
          <t>Wok Kitchen</t>
        </is>
      </c>
      <c r="C345" s="33" t="n">
        <v>79</v>
      </c>
      <c r="D345" s="34" t="n">
        <v>90</v>
      </c>
      <c r="E345" s="34" t="n">
        <v>76</v>
      </c>
      <c r="F345" s="34" t="n">
        <v>76</v>
      </c>
      <c r="G345" s="32">
        <f>IF(OR(F345="",AND(D345="",E345="")),"n/a",IF(F345=E345,"mastered",IF(F345=D345,"normal","differs")))</f>
        <v/>
      </c>
      <c r="H345" s="35" t="n">
        <v>543</v>
      </c>
      <c r="I345" s="35" t="n"/>
      <c r="J345" s="33" t="n">
        <v>65</v>
      </c>
      <c r="K345" s="33" t="n"/>
      <c r="L345" s="36" t="n">
        <v>26.66666667</v>
      </c>
      <c r="M345" s="37" t="n">
        <v>50.98039216</v>
      </c>
      <c r="N345" s="32">
        <f>IF(L345="","",IF(L345&lt;0,"negative profit",IF(L345&gt;Notes!$B$4,"unusually high - verify","")))</f>
        <v/>
      </c>
      <c r="O345" s="32" t="inlineStr">
        <is>
          <t>both</t>
        </is>
      </c>
      <c r="P345" s="32">
        <f>IF(O345&lt;&gt;"both",O345&amp;" only",IF(Q345="","agree","conflict"))</f>
        <v/>
      </c>
      <c r="Q345" s="32">
        <f>IF(O345="both",TRIM(IF(I345&lt;&gt;"","price ","")&amp;IF(K345&lt;&gt;"","xp ","")&amp;IF(G345="differs","time","")),"")</f>
        <v/>
      </c>
      <c r="R345" s="32" t="inlineStr">
        <is>
          <t>hayday.info (primary values) + Fandom (times, cross-check)</t>
        </is>
      </c>
      <c r="S345" s="32" t="inlineStr">
        <is>
          <t>https://hayday.fandom.com/wiki/Wok_Kitchen</t>
        </is>
      </c>
    </row>
    <row r="346" ht="15" customHeight="1" s="29">
      <c r="A346" s="32" t="inlineStr">
        <is>
          <t>Peanut Noodles</t>
        </is>
      </c>
      <c r="B346" s="32" t="inlineStr">
        <is>
          <t>Wok Kitchen</t>
        </is>
      </c>
      <c r="C346" s="33" t="n">
        <v>86</v>
      </c>
      <c r="D346" s="34" t="n">
        <v>45</v>
      </c>
      <c r="E346" s="34" t="n">
        <v>38</v>
      </c>
      <c r="F346" s="34" t="n">
        <v>38</v>
      </c>
      <c r="G346" s="32">
        <f>IF(OR(F346="",AND(D346="",E346="")),"n/a",IF(F346=E346,"mastered",IF(F346=D346,"normal","differs")))</f>
        <v/>
      </c>
      <c r="H346" s="35" t="n">
        <v>669</v>
      </c>
      <c r="I346" s="35" t="n"/>
      <c r="J346" s="33" t="n">
        <v>80</v>
      </c>
      <c r="K346" s="33" t="n"/>
      <c r="L346" s="36" t="n">
        <v>240</v>
      </c>
      <c r="M346" s="37" t="n">
        <v>125.4901961</v>
      </c>
      <c r="N346" s="32">
        <f>IF(L346="","",IF(L346&lt;0,"negative profit",IF(L346&gt;Notes!$B$4,"unusually high - verify","")))</f>
        <v/>
      </c>
      <c r="O346" s="32" t="inlineStr">
        <is>
          <t>both</t>
        </is>
      </c>
      <c r="P346" s="32">
        <f>IF(O346&lt;&gt;"both",O346&amp;" only",IF(Q346="","agree","conflict"))</f>
        <v/>
      </c>
      <c r="Q346" s="32">
        <f>IF(O346="both",TRIM(IF(I346&lt;&gt;"","price ","")&amp;IF(K346&lt;&gt;"","xp ","")&amp;IF(G346="differs","time","")),"")</f>
        <v/>
      </c>
      <c r="R346" s="32" t="inlineStr">
        <is>
          <t>hayday.info (primary values) + Fandom (times, cross-check)</t>
        </is>
      </c>
      <c r="S346" s="32" t="inlineStr">
        <is>
          <t>https://hayday.fandom.com/wiki/Wok_Kitchen</t>
        </is>
      </c>
    </row>
    <row r="347" ht="15" customHeight="1" s="29">
      <c r="A347" s="32" t="inlineStr">
        <is>
          <t>Tofu Stir Fry</t>
        </is>
      </c>
      <c r="B347" s="32" t="inlineStr">
        <is>
          <t>Wok Kitchen</t>
        </is>
      </c>
      <c r="C347" s="33" t="n">
        <v>89</v>
      </c>
      <c r="D347" s="34" t="n">
        <v>75</v>
      </c>
      <c r="E347" s="34" t="n">
        <v>63</v>
      </c>
      <c r="F347" s="34" t="n">
        <v>63</v>
      </c>
      <c r="G347" s="32">
        <f>IF(OR(F347="",AND(D347="",E347="")),"n/a",IF(F347=E347,"mastered",IF(F347=D347,"normal","differs")))</f>
        <v/>
      </c>
      <c r="H347" s="35" t="n">
        <v>306</v>
      </c>
      <c r="I347" s="35" t="n"/>
      <c r="J347" s="33" t="n">
        <v>37</v>
      </c>
      <c r="K347" s="33" t="n"/>
      <c r="L347" s="36" t="n">
        <v>39.52941176</v>
      </c>
      <c r="M347" s="37" t="n">
        <v>34.82352941</v>
      </c>
      <c r="N347" s="32">
        <f>IF(L347="","",IF(L347&lt;0,"negative profit",IF(L347&gt;Notes!$B$4,"unusually high - verify","")))</f>
        <v/>
      </c>
      <c r="O347" s="32" t="inlineStr">
        <is>
          <t>both</t>
        </is>
      </c>
      <c r="P347" s="32">
        <f>IF(O347&lt;&gt;"both",O347&amp;" only",IF(Q347="","agree","conflict"))</f>
        <v/>
      </c>
      <c r="Q347" s="32">
        <f>IF(O347="both",TRIM(IF(I347&lt;&gt;"","price ","")&amp;IF(K347&lt;&gt;"","xp ","")&amp;IF(G347="differs","time","")),"")</f>
        <v/>
      </c>
      <c r="R347" s="32" t="inlineStr">
        <is>
          <t>hayday.info (primary values) + Fandom (times, cross-check)</t>
        </is>
      </c>
      <c r="S347" s="32" t="inlineStr">
        <is>
          <t>https://hayday.fandom.com/wiki/Wok_Kitchen</t>
        </is>
      </c>
    </row>
    <row r="348" ht="15" customHeight="1" s="29">
      <c r="A348" s="32" t="inlineStr">
        <is>
          <t>Plain Yogurt</t>
        </is>
      </c>
      <c r="B348" s="32" t="inlineStr">
        <is>
          <t>Yogurt Maker</t>
        </is>
      </c>
      <c r="C348" s="33" t="n">
        <v>103</v>
      </c>
      <c r="D348" s="34" t="n"/>
      <c r="E348" s="34" t="n">
        <v>102</v>
      </c>
      <c r="F348" s="34" t="n">
        <v>102</v>
      </c>
      <c r="G348" s="32">
        <f>IF(OR(F348="",AND(D348="",E348="")),"n/a",IF(F348=E348,"mastered",IF(F348=D348,"normal","differs")))</f>
        <v/>
      </c>
      <c r="H348" s="35" t="n">
        <v>234</v>
      </c>
      <c r="I348" s="35" t="n"/>
      <c r="J348" s="33" t="n">
        <v>28</v>
      </c>
      <c r="K348" s="33" t="n"/>
      <c r="L348" s="36" t="n">
        <v>22.35294118</v>
      </c>
      <c r="M348" s="37" t="n">
        <v>16.47058824</v>
      </c>
      <c r="N348" s="32">
        <f>IF(L348="","",IF(L348&lt;0,"negative profit",IF(L348&gt;Notes!$B$4,"unusually high - verify","")))</f>
        <v/>
      </c>
      <c r="O348" s="32" t="inlineStr">
        <is>
          <t>both</t>
        </is>
      </c>
      <c r="P348" s="32">
        <f>IF(O348&lt;&gt;"both",O348&amp;" only",IF(Q348="","agree","conflict"))</f>
        <v/>
      </c>
      <c r="Q348" s="32">
        <f>IF(O348="both",TRIM(IF(I348&lt;&gt;"","price ","")&amp;IF(K348&lt;&gt;"","xp ","")&amp;IF(G348="differs","time","")),"")</f>
        <v/>
      </c>
      <c r="R348" s="32" t="inlineStr">
        <is>
          <t>hayday.info (primary values) + Fandom (times, cross-check)</t>
        </is>
      </c>
      <c r="S348" s="32" t="inlineStr">
        <is>
          <t>https://hayday.fandom.com/wiki/Yogurt_Maker</t>
        </is>
      </c>
    </row>
    <row r="349" ht="15" customHeight="1" s="29">
      <c r="A349" s="32" t="inlineStr">
        <is>
          <t>Strawberry Yogurt</t>
        </is>
      </c>
      <c r="B349" s="32" t="inlineStr">
        <is>
          <t>Yogurt Maker</t>
        </is>
      </c>
      <c r="C349" s="33" t="n">
        <v>105</v>
      </c>
      <c r="D349" s="34" t="n"/>
      <c r="E349" s="34" t="n">
        <v>34</v>
      </c>
      <c r="F349" s="34" t="n">
        <v>34</v>
      </c>
      <c r="G349" s="32">
        <f>IF(OR(F349="",AND(D349="",E349="")),"n/a",IF(F349=E349,"mastered",IF(F349=D349,"normal","differs")))</f>
        <v/>
      </c>
      <c r="H349" s="35" t="n">
        <v>529</v>
      </c>
      <c r="I349" s="35" t="n"/>
      <c r="J349" s="33" t="n">
        <v>63</v>
      </c>
      <c r="K349" s="33" t="n"/>
      <c r="L349" s="36" t="n">
        <v>44.11764706</v>
      </c>
      <c r="M349" s="37" t="n">
        <v>111.1764706</v>
      </c>
      <c r="N349" s="32">
        <f>IF(L349="","",IF(L349&lt;0,"negative profit",IF(L349&gt;Notes!$B$4,"unusually high - verify","")))</f>
        <v/>
      </c>
      <c r="O349" s="32" t="inlineStr">
        <is>
          <t>both</t>
        </is>
      </c>
      <c r="P349" s="32">
        <f>IF(O349&lt;&gt;"both",O349&amp;" only",IF(Q349="","agree","conflict"))</f>
        <v/>
      </c>
      <c r="Q349" s="32">
        <f>IF(O349="both",TRIM(IF(I349&lt;&gt;"","price ","")&amp;IF(K349&lt;&gt;"","xp ","")&amp;IF(G349="differs","time","")),"")</f>
        <v/>
      </c>
      <c r="R349" s="32" t="inlineStr">
        <is>
          <t>hayday.info (primary values) + Fandom (times, cross-check)</t>
        </is>
      </c>
      <c r="S349" s="32" t="inlineStr">
        <is>
          <t>https://hayday.fandom.com/wiki/Yogurt_Maker</t>
        </is>
      </c>
    </row>
    <row r="350" ht="15" customHeight="1" s="29">
      <c r="A350" s="32" t="inlineStr">
        <is>
          <t>Tropical Yogurt</t>
        </is>
      </c>
      <c r="B350" s="32" t="inlineStr">
        <is>
          <t>Yogurt Maker</t>
        </is>
      </c>
      <c r="C350" s="33" t="n">
        <v>109</v>
      </c>
      <c r="D350" s="34" t="n"/>
      <c r="E350" s="34" t="n">
        <v>51</v>
      </c>
      <c r="F350" s="34" t="n">
        <v>51</v>
      </c>
      <c r="G350" s="32">
        <f>IF(OR(F350="",AND(D350="",E350="")),"n/a",IF(F350=E350,"mastered",IF(F350=D350,"normal","differs")))</f>
        <v/>
      </c>
      <c r="H350" s="35" t="n">
        <v>457</v>
      </c>
      <c r="I350" s="35" t="n"/>
      <c r="J350" s="33" t="n">
        <v>54</v>
      </c>
      <c r="K350" s="33" t="n"/>
      <c r="L350" s="36" t="n">
        <v>-210.5882353</v>
      </c>
      <c r="M350" s="37" t="n">
        <v>63.52941176</v>
      </c>
      <c r="N350" s="32">
        <f>IF(L350="","",IF(L350&lt;0,"negative profit",IF(L350&gt;Notes!$B$4,"unusually high - verify","")))</f>
        <v/>
      </c>
      <c r="O350" s="32" t="inlineStr">
        <is>
          <t>both</t>
        </is>
      </c>
      <c r="P350" s="32">
        <f>IF(O350&lt;&gt;"both",O350&amp;" only",IF(Q350="","agree","conflict"))</f>
        <v/>
      </c>
      <c r="Q350" s="32">
        <f>IF(O350="both",TRIM(IF(I350&lt;&gt;"","price ","")&amp;IF(K350&lt;&gt;"","xp ","")&amp;IF(G350="differs","time","")),"")</f>
        <v/>
      </c>
      <c r="R350" s="32" t="inlineStr">
        <is>
          <t>hayday.info (primary values) + Fandom (times, cross-check)</t>
        </is>
      </c>
      <c r="S350" s="32" t="inlineStr">
        <is>
          <t>https://hayday.fandom.com/wiki/Yogurt_Maker</t>
        </is>
      </c>
    </row>
    <row r="351" ht="15" customHeight="1" s="29">
      <c r="A351" s="32" t="inlineStr">
        <is>
          <t>Breakfast Bowl</t>
        </is>
      </c>
      <c r="B351" s="32" t="inlineStr">
        <is>
          <t>Yogurt Maker</t>
        </is>
      </c>
      <c r="C351" s="33" t="n">
        <v>119</v>
      </c>
      <c r="D351" s="34" t="n"/>
      <c r="E351" s="34" t="n">
        <v>42</v>
      </c>
      <c r="F351" s="34" t="n"/>
      <c r="G351" s="32">
        <f>IF(OR(F351="",AND(D351="",E351="")),"n/a",IF(F351=E351,"mastered",IF(F351=D351,"normal","differs")))</f>
        <v/>
      </c>
      <c r="H351" s="35" t="n">
        <v>604</v>
      </c>
      <c r="I351" s="35" t="n"/>
      <c r="J351" s="33" t="n">
        <v>72</v>
      </c>
      <c r="K351" s="33" t="n"/>
      <c r="L351" s="36" t="n"/>
      <c r="M351" s="37" t="n"/>
      <c r="N351" s="32">
        <f>IF(L351="","",IF(L351&lt;0,"negative profit",IF(L351&gt;Notes!$B$4,"unusually high - verify","")))</f>
        <v/>
      </c>
      <c r="O351" s="32" t="inlineStr">
        <is>
          <t>Fandom</t>
        </is>
      </c>
      <c r="P351" s="32">
        <f>IF(O351&lt;&gt;"both",O351&amp;" only",IF(Q351="","agree","conflict"))</f>
        <v/>
      </c>
      <c r="Q351" s="32">
        <f>IF(O351="both",TRIM(IF(I351&lt;&gt;"","price ","")&amp;IF(K351&lt;&gt;"","xp ","")&amp;IF(G351="differs","time","")),"")</f>
        <v/>
      </c>
      <c r="R351" s="32" t="inlineStr">
        <is>
          <t>Hay Day Wiki (Fandom) only</t>
        </is>
      </c>
      <c r="S351" s="32" t="inlineStr">
        <is>
          <t>https://hayday.fandom.com/wiki/Yogurt_Maker</t>
        </is>
      </c>
    </row>
  </sheetData>
  <autoFilter ref="A1:S351"/>
  <conditionalFormatting sqref="P2:P351">
    <cfRule type="expression" rank="0" priority="2" equalAverage="0" aboveAverage="0" dxfId="7" text="" percent="0" bottom="0">
      <formula>P2="conflict"</formula>
    </cfRule>
  </conditionalFormatting>
  <conditionalFormatting sqref="G2:G351">
    <cfRule type="expression" rank="0" priority="3" equalAverage="0" aboveAverage="0" dxfId="7" text="" percent="0" bottom="0">
      <formula>G2="differs"</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349"/>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4" customWidth="1" style="28" min="1" max="1"/>
    <col width="22" customWidth="1" style="28" min="2" max="2"/>
    <col width="8" customWidth="1" style="28" min="3" max="3"/>
    <col width="11" customWidth="1" style="28" min="4" max="5"/>
    <col width="7" customWidth="1" style="28" min="6" max="6"/>
    <col width="15" customWidth="1" style="28" min="7" max="7"/>
    <col width="13" customWidth="1" style="28" min="8" max="8"/>
    <col width="24" customWidth="1" style="28" min="9" max="9"/>
    <col width="72" customWidth="1" style="28" min="10" max="10"/>
  </cols>
  <sheetData>
    <row r="1" ht="30" customHeight="1" s="29">
      <c r="A1" s="30" t="inlineStr">
        <is>
          <t>Product</t>
        </is>
      </c>
      <c r="B1" s="30" t="inlineStr">
        <is>
          <t>Machine</t>
        </is>
      </c>
      <c r="C1" s="30" t="inlineStr">
        <is>
          <t>Level</t>
        </is>
      </c>
      <c r="D1" s="30" t="inlineStr">
        <is>
          <t>Time (min)</t>
        </is>
      </c>
      <c r="E1" s="30" t="inlineStr">
        <is>
          <t>Sell price</t>
        </is>
      </c>
      <c r="F1" s="30" t="inlineStr">
        <is>
          <t>XP</t>
        </is>
      </c>
      <c r="G1" s="30" t="inlineStr">
        <is>
          <t>Profit/hr (site)</t>
        </is>
      </c>
      <c r="H1" s="30" t="inlineStr">
        <is>
          <t>XP/hr (site)</t>
        </is>
      </c>
      <c r="I1" s="30" t="inlineStr">
        <is>
          <t>Flag</t>
        </is>
      </c>
      <c r="J1" s="30" t="inlineStr">
        <is>
          <t>Source</t>
        </is>
      </c>
    </row>
    <row r="2" ht="15" customHeight="1" s="29">
      <c r="A2" s="32" t="inlineStr">
        <is>
          <t>Egg</t>
        </is>
      </c>
      <c r="B2" s="32" t="inlineStr">
        <is>
          <t>Animal Products</t>
        </is>
      </c>
      <c r="C2" s="33" t="n">
        <v>1</v>
      </c>
      <c r="D2" s="34" t="n">
        <v>20</v>
      </c>
      <c r="E2" s="35" t="n">
        <v>18</v>
      </c>
      <c r="F2" s="33" t="n">
        <v>2</v>
      </c>
      <c r="G2" s="36" t="n">
        <v>33</v>
      </c>
      <c r="H2" s="37" t="n">
        <v>6</v>
      </c>
      <c r="I2" s="32">
        <f>IF(G2&lt;0,"negative profit",IF(G2&gt;Notes!$B$4,"unusually high - verify",""))</f>
        <v/>
      </c>
      <c r="J2" s="32" t="inlineStr">
        <is>
          <t>hayday.info /api/production-data (https://hayday.info/api/production-data)</t>
        </is>
      </c>
    </row>
    <row r="3" ht="15" customHeight="1" s="29">
      <c r="A3" s="32" t="inlineStr">
        <is>
          <t>Milk</t>
        </is>
      </c>
      <c r="B3" s="32" t="inlineStr">
        <is>
          <t>Animal Products</t>
        </is>
      </c>
      <c r="C3" s="33" t="n">
        <v>6</v>
      </c>
      <c r="D3" s="34" t="n">
        <v>60</v>
      </c>
      <c r="E3" s="35" t="n">
        <v>32</v>
      </c>
      <c r="F3" s="33" t="n">
        <v>3</v>
      </c>
      <c r="G3" s="36" t="n">
        <v>18</v>
      </c>
      <c r="H3" s="37" t="n">
        <v>3</v>
      </c>
      <c r="I3" s="32">
        <f>IF(G3&lt;0,"negative profit",IF(G3&gt;Notes!$B$4,"unusually high - verify",""))</f>
        <v/>
      </c>
      <c r="J3" s="32" t="inlineStr">
        <is>
          <t>hayday.info /api/production-data (https://hayday.info/api/production-data)</t>
        </is>
      </c>
    </row>
    <row r="4" ht="15" customHeight="1" s="29">
      <c r="A4" s="32" t="inlineStr">
        <is>
          <t>Bacon</t>
        </is>
      </c>
      <c r="B4" s="32" t="inlineStr">
        <is>
          <t>Animal Products</t>
        </is>
      </c>
      <c r="C4" s="33" t="n">
        <v>10</v>
      </c>
      <c r="D4" s="34" t="n">
        <v>240</v>
      </c>
      <c r="E4" s="35" t="n">
        <v>50</v>
      </c>
      <c r="F4" s="33" t="n">
        <v>5</v>
      </c>
      <c r="G4" s="36" t="n">
        <v>-2.5</v>
      </c>
      <c r="H4" s="37" t="n">
        <v>1.25</v>
      </c>
      <c r="I4" s="32">
        <f>IF(G4&lt;0,"negative profit",IF(G4&gt;Notes!$B$4,"unusually high - verify",""))</f>
        <v/>
      </c>
      <c r="J4" s="32" t="inlineStr">
        <is>
          <t>hayday.info /api/production-data (https://hayday.info/api/production-data)</t>
        </is>
      </c>
    </row>
    <row r="5" ht="15" customHeight="1" s="29">
      <c r="A5" s="32" t="inlineStr">
        <is>
          <t>Wool</t>
        </is>
      </c>
      <c r="B5" s="32" t="inlineStr">
        <is>
          <t>Animal Products</t>
        </is>
      </c>
      <c r="C5" s="33" t="n">
        <v>16</v>
      </c>
      <c r="D5" s="34" t="n">
        <v>360</v>
      </c>
      <c r="E5" s="35" t="n">
        <v>54</v>
      </c>
      <c r="F5" s="33" t="n">
        <v>5</v>
      </c>
      <c r="G5" s="36" t="n">
        <v>-0.8333333333</v>
      </c>
      <c r="H5" s="37" t="n">
        <v>0.8333333333</v>
      </c>
      <c r="I5" s="32">
        <f>IF(G5&lt;0,"negative profit",IF(G5&gt;Notes!$B$4,"unusually high - verify",""))</f>
        <v/>
      </c>
      <c r="J5" s="32" t="inlineStr">
        <is>
          <t>hayday.info /api/production-data (https://hayday.info/api/production-data)</t>
        </is>
      </c>
    </row>
    <row r="6" ht="15" customHeight="1" s="29">
      <c r="A6" s="32" t="inlineStr">
        <is>
          <t>Goat milk</t>
        </is>
      </c>
      <c r="B6" s="32" t="inlineStr">
        <is>
          <t>Animal Products</t>
        </is>
      </c>
      <c r="C6" s="33" t="n">
        <v>32</v>
      </c>
      <c r="D6" s="34" t="n">
        <v>480</v>
      </c>
      <c r="E6" s="35" t="n">
        <v>64</v>
      </c>
      <c r="F6" s="33" t="n">
        <v>6</v>
      </c>
      <c r="G6" s="36" t="n">
        <v>-1.25</v>
      </c>
      <c r="H6" s="37" t="n">
        <v>0.75</v>
      </c>
      <c r="I6" s="32">
        <f>IF(G6&lt;0,"negative profit",IF(G6&gt;Notes!$B$4,"unusually high - verify",""))</f>
        <v/>
      </c>
      <c r="J6" s="32" t="inlineStr">
        <is>
          <t>hayday.info /api/production-data (https://hayday.info/api/production-data)</t>
        </is>
      </c>
    </row>
    <row r="7" ht="15" customHeight="1" s="29">
      <c r="A7" s="32" t="inlineStr">
        <is>
          <t>Bread</t>
        </is>
      </c>
      <c r="B7" s="32" t="inlineStr">
        <is>
          <t>Bakery</t>
        </is>
      </c>
      <c r="C7" s="33" t="n">
        <v>2</v>
      </c>
      <c r="D7" s="34" t="n">
        <v>4</v>
      </c>
      <c r="E7" s="35" t="n">
        <v>21</v>
      </c>
      <c r="F7" s="33" t="n">
        <v>3</v>
      </c>
      <c r="G7" s="36" t="n">
        <v>169.4117647</v>
      </c>
      <c r="H7" s="37" t="n">
        <v>42.35294118</v>
      </c>
      <c r="I7" s="32">
        <f>IF(G7&lt;0,"negative profit",IF(G7&gt;Notes!$B$4,"unusually high - verify",""))</f>
        <v/>
      </c>
      <c r="J7" s="32" t="inlineStr">
        <is>
          <t>hayday.info /api/production-data (https://hayday.info/api/production-data)</t>
        </is>
      </c>
    </row>
    <row r="8" ht="15" customHeight="1" s="29">
      <c r="A8" s="32" t="inlineStr">
        <is>
          <t>Corn bread</t>
        </is>
      </c>
      <c r="B8" s="32" t="inlineStr">
        <is>
          <t>Bakery</t>
        </is>
      </c>
      <c r="C8" s="33" t="n">
        <v>7</v>
      </c>
      <c r="D8" s="34" t="n">
        <v>25</v>
      </c>
      <c r="E8" s="35" t="n">
        <v>72</v>
      </c>
      <c r="F8" s="33" t="n">
        <v>8</v>
      </c>
      <c r="G8" s="36" t="n">
        <v>51.76470588</v>
      </c>
      <c r="H8" s="37" t="n">
        <v>18.82352941</v>
      </c>
      <c r="I8" s="32">
        <f>IF(G8&lt;0,"negative profit",IF(G8&gt;Notes!$B$4,"unusually high - verify",""))</f>
        <v/>
      </c>
      <c r="J8" s="32" t="inlineStr">
        <is>
          <t>hayday.info /api/production-data (https://hayday.info/api/production-data)</t>
        </is>
      </c>
    </row>
    <row r="9" ht="15" customHeight="1" s="29">
      <c r="A9" s="32" t="inlineStr">
        <is>
          <t>Cookie</t>
        </is>
      </c>
      <c r="B9" s="32" t="inlineStr">
        <is>
          <t>Bakery</t>
        </is>
      </c>
      <c r="C9" s="33" t="n">
        <v>10</v>
      </c>
      <c r="D9" s="34" t="n">
        <v>51</v>
      </c>
      <c r="E9" s="35" t="n">
        <v>104</v>
      </c>
      <c r="F9" s="33" t="n">
        <v>13</v>
      </c>
      <c r="G9" s="36" t="n">
        <v>35.29411765</v>
      </c>
      <c r="H9" s="37" t="n">
        <v>15.29411765</v>
      </c>
      <c r="I9" s="32">
        <f>IF(G9&lt;0,"negative profit",IF(G9&gt;Notes!$B$4,"unusually high - verify",""))</f>
        <v/>
      </c>
      <c r="J9" s="32" t="inlineStr">
        <is>
          <t>hayday.info /api/production-data (https://hayday.info/api/production-data)</t>
        </is>
      </c>
    </row>
    <row r="10" ht="15" customHeight="1" s="29">
      <c r="A10" s="32" t="inlineStr">
        <is>
          <t>Raspberry muffin</t>
        </is>
      </c>
      <c r="B10" s="32" t="inlineStr">
        <is>
          <t>Bakery</t>
        </is>
      </c>
      <c r="C10" s="33" t="n">
        <v>19</v>
      </c>
      <c r="D10" s="34" t="n">
        <v>38</v>
      </c>
      <c r="E10" s="35" t="n">
        <v>140</v>
      </c>
      <c r="F10" s="33" t="n">
        <v>17</v>
      </c>
      <c r="G10" s="36" t="n">
        <v>37.64705882</v>
      </c>
      <c r="H10" s="37" t="n">
        <v>26.66666667</v>
      </c>
      <c r="I10" s="32">
        <f>IF(G10&lt;0,"negative profit",IF(G10&gt;Notes!$B$4,"unusually high - verify",""))</f>
        <v/>
      </c>
      <c r="J10" s="32" t="inlineStr">
        <is>
          <t>hayday.info /api/production-data (https://hayday.info/api/production-data)</t>
        </is>
      </c>
    </row>
    <row r="11" ht="15" customHeight="1" s="29">
      <c r="A11" s="32" t="inlineStr">
        <is>
          <t>Blackberry muffin</t>
        </is>
      </c>
      <c r="B11" s="32" t="inlineStr">
        <is>
          <t>Bakery</t>
        </is>
      </c>
      <c r="C11" s="33" t="n">
        <v>26</v>
      </c>
      <c r="D11" s="34" t="n">
        <v>38</v>
      </c>
      <c r="E11" s="35" t="n">
        <v>226</v>
      </c>
      <c r="F11" s="33" t="n">
        <v>27</v>
      </c>
      <c r="G11" s="36" t="n">
        <v>36.07843137</v>
      </c>
      <c r="H11" s="37" t="n">
        <v>42.35294118</v>
      </c>
      <c r="I11" s="32">
        <f>IF(G11&lt;0,"negative profit",IF(G11&gt;Notes!$B$4,"unusually high - verify",""))</f>
        <v/>
      </c>
      <c r="J11" s="32" t="inlineStr">
        <is>
          <t>hayday.info /api/production-data (https://hayday.info/api/production-data)</t>
        </is>
      </c>
    </row>
    <row r="12" ht="15" customHeight="1" s="29">
      <c r="A12" s="32" t="inlineStr">
        <is>
          <t>Pizza</t>
        </is>
      </c>
      <c r="B12" s="32" t="inlineStr">
        <is>
          <t>Bakery</t>
        </is>
      </c>
      <c r="C12" s="33" t="n">
        <v>33</v>
      </c>
      <c r="D12" s="34" t="n">
        <v>12</v>
      </c>
      <c r="E12" s="35" t="n">
        <v>190</v>
      </c>
      <c r="F12" s="33" t="n">
        <v>23</v>
      </c>
      <c r="G12" s="36" t="n">
        <v>89.41176471</v>
      </c>
      <c r="H12" s="37" t="n">
        <v>108.2352941</v>
      </c>
      <c r="I12" s="32">
        <f>IF(G12&lt;0,"negative profit",IF(G12&gt;Notes!$B$4,"unusually high - verify",""))</f>
        <v/>
      </c>
      <c r="J12" s="32" t="inlineStr">
        <is>
          <t>hayday.info /api/production-data (https://hayday.info/api/production-data)</t>
        </is>
      </c>
    </row>
    <row r="13" ht="15" customHeight="1" s="29">
      <c r="A13" s="32" t="inlineStr">
        <is>
          <t>Spicy pizza</t>
        </is>
      </c>
      <c r="B13" s="32" t="inlineStr">
        <is>
          <t>Bakery</t>
        </is>
      </c>
      <c r="C13" s="33" t="n">
        <v>37</v>
      </c>
      <c r="D13" s="34" t="n">
        <v>12</v>
      </c>
      <c r="E13" s="35" t="n">
        <v>226</v>
      </c>
      <c r="F13" s="33" t="n">
        <v>27</v>
      </c>
      <c r="G13" s="36" t="n">
        <v>89.41176471</v>
      </c>
      <c r="H13" s="37" t="n">
        <v>127.0588235</v>
      </c>
      <c r="I13" s="32">
        <f>IF(G13&lt;0,"negative profit",IF(G13&gt;Notes!$B$4,"unusually high - verify",""))</f>
        <v/>
      </c>
      <c r="J13" s="32" t="inlineStr">
        <is>
          <t>hayday.info /api/production-data (https://hayday.info/api/production-data)</t>
        </is>
      </c>
    </row>
    <row r="14" ht="15" customHeight="1" s="29">
      <c r="A14" s="32" t="inlineStr">
        <is>
          <t>Potato bread</t>
        </is>
      </c>
      <c r="B14" s="32" t="inlineStr">
        <is>
          <t>Bakery</t>
        </is>
      </c>
      <c r="C14" s="33" t="n">
        <v>39</v>
      </c>
      <c r="D14" s="34" t="n">
        <v>38</v>
      </c>
      <c r="E14" s="35" t="n">
        <v>284</v>
      </c>
      <c r="F14" s="33" t="n">
        <v>34</v>
      </c>
      <c r="G14" s="36" t="n">
        <v>40.78431373</v>
      </c>
      <c r="H14" s="37" t="n">
        <v>53.33333333</v>
      </c>
      <c r="I14" s="32">
        <f>IF(G14&lt;0,"negative profit",IF(G14&gt;Notes!$B$4,"unusually high - verify",""))</f>
        <v/>
      </c>
      <c r="J14" s="32" t="inlineStr">
        <is>
          <t>hayday.info /api/production-data (https://hayday.info/api/production-data)</t>
        </is>
      </c>
    </row>
    <row r="15" ht="15" customHeight="1" s="29">
      <c r="A15" s="32" t="inlineStr">
        <is>
          <t>Frutti di Mare pizza</t>
        </is>
      </c>
      <c r="B15" s="32" t="inlineStr">
        <is>
          <t>Bakery</t>
        </is>
      </c>
      <c r="C15" s="33" t="n">
        <v>45</v>
      </c>
      <c r="D15" s="34" t="n">
        <v>12</v>
      </c>
      <c r="E15" s="35" t="n">
        <v>403</v>
      </c>
      <c r="F15" s="33" t="n">
        <v>48</v>
      </c>
      <c r="G15" s="36" t="n">
        <v>94.11764706</v>
      </c>
      <c r="H15" s="37" t="n">
        <v>225.8823529</v>
      </c>
      <c r="I15" s="32">
        <f>IF(G15&lt;0,"negative profit",IF(G15&gt;Notes!$B$4,"unusually high - verify",""))</f>
        <v/>
      </c>
      <c r="J15" s="32" t="inlineStr">
        <is>
          <t>hayday.info /api/production-data (https://hayday.info/api/production-data)</t>
        </is>
      </c>
    </row>
    <row r="16" ht="15" customHeight="1" s="29">
      <c r="A16" s="32" t="inlineStr">
        <is>
          <t>Gingerbread cookie</t>
        </is>
      </c>
      <c r="B16" s="32" t="inlineStr">
        <is>
          <t>Bakery</t>
        </is>
      </c>
      <c r="C16" s="33" t="n">
        <v>86</v>
      </c>
      <c r="D16" s="34" t="n">
        <v>25</v>
      </c>
      <c r="E16" s="35" t="n">
        <v>273</v>
      </c>
      <c r="F16" s="33" t="n">
        <v>33</v>
      </c>
      <c r="G16" s="36" t="n">
        <v>70.58823529</v>
      </c>
      <c r="H16" s="37" t="n">
        <v>77.64705882</v>
      </c>
      <c r="I16" s="32">
        <f>IF(G16&lt;0,"negative profit",IF(G16&gt;Notes!$B$4,"unusually high - verify",""))</f>
        <v/>
      </c>
      <c r="J16" s="32" t="inlineStr">
        <is>
          <t>hayday.info /api/production-data (https://hayday.info/api/production-data)</t>
        </is>
      </c>
    </row>
    <row r="17" ht="15" customHeight="1" s="29">
      <c r="A17" s="32" t="inlineStr">
        <is>
          <t>Banana bread</t>
        </is>
      </c>
      <c r="B17" s="32" t="inlineStr">
        <is>
          <t>Bakery</t>
        </is>
      </c>
      <c r="C17" s="33" t="n">
        <v>91</v>
      </c>
      <c r="D17" s="34" t="n">
        <v>25</v>
      </c>
      <c r="E17" s="35" t="n">
        <v>424</v>
      </c>
      <c r="F17" s="33" t="n">
        <v>50</v>
      </c>
      <c r="G17" s="36" t="n">
        <v>49.41176471</v>
      </c>
      <c r="H17" s="37" t="n">
        <v>117.6470588</v>
      </c>
      <c r="I17" s="32">
        <f>IF(G17&lt;0,"negative profit",IF(G17&gt;Notes!$B$4,"unusually high - verify",""))</f>
        <v/>
      </c>
      <c r="J17" s="32" t="inlineStr">
        <is>
          <t>hayday.info /api/production-data (https://hayday.info/api/production-data)</t>
        </is>
      </c>
    </row>
    <row r="18" ht="15" customHeight="1" s="29">
      <c r="A18" s="32" t="inlineStr">
        <is>
          <t>Macaroon</t>
        </is>
      </c>
      <c r="B18" s="32" t="inlineStr">
        <is>
          <t>Bakery</t>
        </is>
      </c>
      <c r="C18" s="33" t="n">
        <v>101</v>
      </c>
      <c r="D18" s="34" t="n">
        <v>30</v>
      </c>
      <c r="E18" s="35" t="n">
        <v>421</v>
      </c>
      <c r="F18" s="33" t="n">
        <v>50</v>
      </c>
      <c r="G18" s="36" t="n">
        <v>38</v>
      </c>
      <c r="H18" s="37" t="n">
        <v>100</v>
      </c>
      <c r="I18" s="32">
        <f>IF(G18&lt;0,"negative profit",IF(G18&gt;Notes!$B$4,"unusually high - verify",""))</f>
        <v/>
      </c>
      <c r="J18" s="32" t="inlineStr">
        <is>
          <t>hayday.info /api/production-data (https://hayday.info/api/production-data)</t>
        </is>
      </c>
    </row>
    <row r="19" ht="15" customHeight="1" s="29">
      <c r="A19" s="32" t="inlineStr">
        <is>
          <t>Honey soap</t>
        </is>
      </c>
      <c r="B19" s="32" t="inlineStr">
        <is>
          <t>Bath Kiosk</t>
        </is>
      </c>
      <c r="C19" s="33" t="n">
        <v>84</v>
      </c>
      <c r="D19" s="34" t="n">
        <v>51</v>
      </c>
      <c r="E19" s="35" t="n">
        <v>327</v>
      </c>
      <c r="F19" s="33" t="n">
        <v>39</v>
      </c>
      <c r="G19" s="36" t="n">
        <v>27.05882353</v>
      </c>
      <c r="H19" s="37" t="n">
        <v>45.88235294</v>
      </c>
      <c r="I19" s="32">
        <f>IF(G19&lt;0,"negative profit",IF(G19&gt;Notes!$B$4,"unusually high - verify",""))</f>
        <v/>
      </c>
      <c r="J19" s="32" t="inlineStr">
        <is>
          <t>hayday.info /api/production-data (https://hayday.info/api/production-data)</t>
        </is>
      </c>
    </row>
    <row r="20" ht="15" customHeight="1" s="29">
      <c r="A20" s="32" t="inlineStr">
        <is>
          <t>Lemon lotion</t>
        </is>
      </c>
      <c r="B20" s="32" t="inlineStr">
        <is>
          <t>Bath Kiosk</t>
        </is>
      </c>
      <c r="C20" s="33" t="n">
        <v>84</v>
      </c>
      <c r="D20" s="34" t="n">
        <v>63</v>
      </c>
      <c r="E20" s="35" t="n">
        <v>403</v>
      </c>
      <c r="F20" s="33" t="n">
        <v>48</v>
      </c>
      <c r="G20" s="36" t="n">
        <v>31.05882353</v>
      </c>
      <c r="H20" s="37" t="n">
        <v>45.17647059</v>
      </c>
      <c r="I20" s="32">
        <f>IF(G20&lt;0,"negative profit",IF(G20&gt;Notes!$B$4,"unusually high - verify",""))</f>
        <v/>
      </c>
      <c r="J20" s="32" t="inlineStr">
        <is>
          <t>hayday.info /api/production-data (https://hayday.info/api/production-data)</t>
        </is>
      </c>
    </row>
    <row r="21" ht="15" customHeight="1" s="29">
      <c r="A21" s="32" t="inlineStr">
        <is>
          <t>Exfoliating soap</t>
        </is>
      </c>
      <c r="B21" s="32" t="inlineStr">
        <is>
          <t>Bath Kiosk</t>
        </is>
      </c>
      <c r="C21" s="33" t="n">
        <v>93</v>
      </c>
      <c r="D21" s="34" t="n">
        <v>51</v>
      </c>
      <c r="E21" s="35" t="n">
        <v>363</v>
      </c>
      <c r="F21" s="33" t="n">
        <v>43</v>
      </c>
      <c r="G21" s="36" t="n">
        <v>20</v>
      </c>
      <c r="H21" s="37" t="n">
        <v>50.58823529</v>
      </c>
      <c r="I21" s="32">
        <f>IF(G21&lt;0,"negative profit",IF(G21&gt;Notes!$B$4,"unusually high - verify",""))</f>
        <v/>
      </c>
      <c r="J21" s="32" t="inlineStr">
        <is>
          <t>hayday.info /api/production-data (https://hayday.info/api/production-data)</t>
        </is>
      </c>
    </row>
    <row r="22" ht="15" customHeight="1" s="29">
      <c r="A22" s="32" t="inlineStr">
        <is>
          <t>Honey face mask</t>
        </is>
      </c>
      <c r="B22" s="32" t="inlineStr">
        <is>
          <t>Bath Kiosk</t>
        </is>
      </c>
      <c r="C22" s="33" t="n">
        <v>99</v>
      </c>
      <c r="D22" s="34" t="n">
        <v>76</v>
      </c>
      <c r="E22" s="35" t="n">
        <v>320</v>
      </c>
      <c r="F22" s="33" t="n">
        <v>38</v>
      </c>
      <c r="G22" s="36" t="n">
        <v>29.01960784</v>
      </c>
      <c r="H22" s="37" t="n">
        <v>29.80392157</v>
      </c>
      <c r="I22" s="32">
        <f>IF(G22&lt;0,"negative profit",IF(G22&gt;Notes!$B$4,"unusually high - verify",""))</f>
        <v/>
      </c>
      <c r="J22" s="32" t="inlineStr">
        <is>
          <t>hayday.info /api/production-data (https://hayday.info/api/production-data)</t>
        </is>
      </c>
    </row>
    <row r="23" ht="15" customHeight="1" s="29">
      <c r="A23" s="32" t="inlineStr">
        <is>
          <t>Pancake</t>
        </is>
      </c>
      <c r="B23" s="32" t="inlineStr">
        <is>
          <t>BBQ Grill</t>
        </is>
      </c>
      <c r="C23" s="33" t="n">
        <v>9</v>
      </c>
      <c r="D23" s="34" t="n">
        <v>25</v>
      </c>
      <c r="E23" s="35" t="n">
        <v>108</v>
      </c>
      <c r="F23" s="33" t="n">
        <v>13</v>
      </c>
      <c r="G23" s="36" t="n">
        <v>51.76470588</v>
      </c>
      <c r="H23" s="37" t="n">
        <v>30.58823529</v>
      </c>
      <c r="I23" s="32">
        <f>IF(G23&lt;0,"negative profit",IF(G23&gt;Notes!$B$4,"unusually high - verify",""))</f>
        <v/>
      </c>
      <c r="J23" s="32" t="inlineStr">
        <is>
          <t>hayday.info /api/production-data (https://hayday.info/api/production-data)</t>
        </is>
      </c>
    </row>
    <row r="24" ht="15" customHeight="1" s="29">
      <c r="A24" s="32" t="inlineStr">
        <is>
          <t>Bacon and eggs</t>
        </is>
      </c>
      <c r="B24" s="32" t="inlineStr">
        <is>
          <t>BBQ Grill</t>
        </is>
      </c>
      <c r="C24" s="33" t="n">
        <v>11</v>
      </c>
      <c r="D24" s="34" t="n">
        <v>51</v>
      </c>
      <c r="E24" s="35" t="n">
        <v>201</v>
      </c>
      <c r="F24" s="33" t="n">
        <v>24</v>
      </c>
      <c r="G24" s="36" t="n">
        <v>34.11764706</v>
      </c>
      <c r="H24" s="37" t="n">
        <v>28.23529412</v>
      </c>
      <c r="I24" s="32">
        <f>IF(G24&lt;0,"negative profit",IF(G24&gt;Notes!$B$4,"unusually high - verify",""))</f>
        <v/>
      </c>
      <c r="J24" s="32" t="inlineStr">
        <is>
          <t>hayday.info /api/production-data (https://hayday.info/api/production-data)</t>
        </is>
      </c>
    </row>
    <row r="25" ht="15" customHeight="1" s="29">
      <c r="A25" s="32" t="inlineStr">
        <is>
          <t>Hamburger</t>
        </is>
      </c>
      <c r="B25" s="32" t="inlineStr">
        <is>
          <t>BBQ Grill</t>
        </is>
      </c>
      <c r="C25" s="33" t="n">
        <v>18</v>
      </c>
      <c r="D25" s="34" t="n">
        <v>102</v>
      </c>
      <c r="E25" s="35" t="n">
        <v>180</v>
      </c>
      <c r="F25" s="33" t="n">
        <v>22</v>
      </c>
      <c r="G25" s="36" t="n">
        <v>22.35294118</v>
      </c>
      <c r="H25" s="37" t="n">
        <v>12.94117647</v>
      </c>
      <c r="I25" s="32">
        <f>IF(G25&lt;0,"negative profit",IF(G25&gt;Notes!$B$4,"unusually high - verify",""))</f>
        <v/>
      </c>
      <c r="J25" s="32" t="inlineStr">
        <is>
          <t>hayday.info /api/production-data (https://hayday.info/api/production-data)</t>
        </is>
      </c>
    </row>
    <row r="26" ht="15" customHeight="1" s="29">
      <c r="A26" s="32" t="inlineStr">
        <is>
          <t>Fish burger</t>
        </is>
      </c>
      <c r="B26" s="32" t="inlineStr">
        <is>
          <t>BBQ Grill</t>
        </is>
      </c>
      <c r="C26" s="33" t="n">
        <v>27</v>
      </c>
      <c r="D26" s="34" t="n">
        <v>102</v>
      </c>
      <c r="E26" s="35" t="n">
        <v>226</v>
      </c>
      <c r="F26" s="33" t="n">
        <v>27</v>
      </c>
      <c r="G26" s="36" t="n">
        <v>23.52941176</v>
      </c>
      <c r="H26" s="37" t="n">
        <v>15.88235294</v>
      </c>
      <c r="I26" s="32">
        <f>IF(G26&lt;0,"negative profit",IF(G26&gt;Notes!$B$4,"unusually high - verify",""))</f>
        <v/>
      </c>
      <c r="J26" s="32" t="inlineStr">
        <is>
          <t>hayday.info /api/production-data (https://hayday.info/api/production-data)</t>
        </is>
      </c>
    </row>
    <row r="27" ht="15" customHeight="1" s="29">
      <c r="A27" s="32" t="inlineStr">
        <is>
          <t>Roasted tomatoes</t>
        </is>
      </c>
      <c r="B27" s="32" t="inlineStr">
        <is>
          <t>BBQ Grill</t>
        </is>
      </c>
      <c r="C27" s="33" t="n">
        <v>30</v>
      </c>
      <c r="D27" s="34" t="n">
        <v>76</v>
      </c>
      <c r="E27" s="35" t="n">
        <v>118</v>
      </c>
      <c r="F27" s="33" t="n">
        <v>14</v>
      </c>
      <c r="G27" s="36" t="n">
        <v>25.09803922</v>
      </c>
      <c r="H27" s="37" t="n">
        <v>10.98039216</v>
      </c>
      <c r="I27" s="32">
        <f>IF(G27&lt;0,"negative profit",IF(G27&gt;Notes!$B$4,"unusually high - verify",""))</f>
        <v/>
      </c>
      <c r="J27" s="32" t="inlineStr">
        <is>
          <t>hayday.info /api/production-data (https://hayday.info/api/production-data)</t>
        </is>
      </c>
    </row>
    <row r="28" ht="15" customHeight="1" s="29">
      <c r="A28" s="32" t="inlineStr">
        <is>
          <t>Baked potato</t>
        </is>
      </c>
      <c r="B28" s="32" t="inlineStr">
        <is>
          <t>BBQ Grill</t>
        </is>
      </c>
      <c r="C28" s="33" t="n">
        <v>35</v>
      </c>
      <c r="D28" s="34" t="n">
        <v>29</v>
      </c>
      <c r="E28" s="35" t="n">
        <v>298</v>
      </c>
      <c r="F28" s="33" t="n">
        <v>36</v>
      </c>
      <c r="G28" s="36" t="n">
        <v>36.30252101</v>
      </c>
      <c r="H28" s="37" t="n">
        <v>72.60504202</v>
      </c>
      <c r="I28" s="32">
        <f>IF(G28&lt;0,"negative profit",IF(G28&gt;Notes!$B$4,"unusually high - verify",""))</f>
        <v/>
      </c>
      <c r="J28" s="32" t="inlineStr">
        <is>
          <t>hayday.info /api/production-data (https://hayday.info/api/production-data)</t>
        </is>
      </c>
    </row>
    <row r="29" ht="15" customHeight="1" s="29">
      <c r="A29" s="32" t="inlineStr">
        <is>
          <t>Fish and chips</t>
        </is>
      </c>
      <c r="B29" s="32" t="inlineStr">
        <is>
          <t>BBQ Grill</t>
        </is>
      </c>
      <c r="C29" s="33" t="n">
        <v>41</v>
      </c>
      <c r="D29" s="34" t="n">
        <v>76</v>
      </c>
      <c r="E29" s="35" t="n">
        <v>244</v>
      </c>
      <c r="F29" s="33" t="n">
        <v>29</v>
      </c>
      <c r="G29" s="36" t="n">
        <v>21.96078431</v>
      </c>
      <c r="H29" s="37" t="n">
        <v>22.74509804</v>
      </c>
      <c r="I29" s="32">
        <f>IF(G29&lt;0,"negative profit",IF(G29&gt;Notes!$B$4,"unusually high - verify",""))</f>
        <v/>
      </c>
      <c r="J29" s="32" t="inlineStr">
        <is>
          <t>hayday.info /api/production-data (https://hayday.info/api/production-data)</t>
        </is>
      </c>
    </row>
    <row r="30" ht="15" customHeight="1" s="29">
      <c r="A30" s="32" t="inlineStr">
        <is>
          <t>Lobster skewer</t>
        </is>
      </c>
      <c r="B30" s="32" t="inlineStr">
        <is>
          <t>BBQ Grill</t>
        </is>
      </c>
      <c r="C30" s="33" t="n">
        <v>48</v>
      </c>
      <c r="D30" s="34" t="n">
        <v>34</v>
      </c>
      <c r="E30" s="35" t="n">
        <v>417</v>
      </c>
      <c r="F30" s="33" t="n">
        <v>50</v>
      </c>
      <c r="G30" s="36" t="n">
        <v>45.88235294</v>
      </c>
      <c r="H30" s="37" t="n">
        <v>88.23529412000001</v>
      </c>
      <c r="I30" s="32">
        <f>IF(G30&lt;0,"negative profit",IF(G30&gt;Notes!$B$4,"unusually high - verify",""))</f>
        <v/>
      </c>
      <c r="J30" s="32" t="inlineStr">
        <is>
          <t>hayday.info /api/production-data (https://hayday.info/api/production-data)</t>
        </is>
      </c>
    </row>
    <row r="31" ht="15" customHeight="1" s="29">
      <c r="A31" s="32" t="inlineStr">
        <is>
          <t>Garlic bread</t>
        </is>
      </c>
      <c r="B31" s="32" t="inlineStr">
        <is>
          <t>BBQ Grill</t>
        </is>
      </c>
      <c r="C31" s="33" t="n">
        <v>60</v>
      </c>
      <c r="D31" s="34" t="n">
        <v>12</v>
      </c>
      <c r="E31" s="35" t="n">
        <v>198</v>
      </c>
      <c r="F31" s="33" t="n">
        <v>24</v>
      </c>
      <c r="G31" s="36" t="n">
        <v>84.70588235</v>
      </c>
      <c r="H31" s="37" t="n">
        <v>112.9411765</v>
      </c>
      <c r="I31" s="32">
        <f>IF(G31&lt;0,"negative profit",IF(G31&gt;Notes!$B$4,"unusually high - verify",""))</f>
        <v/>
      </c>
      <c r="J31" s="32" t="inlineStr">
        <is>
          <t>hayday.info /api/production-data (https://hayday.info/api/production-data)</t>
        </is>
      </c>
    </row>
    <row r="32" ht="15" customHeight="1" s="29">
      <c r="A32" s="32" t="inlineStr">
        <is>
          <t>Grilled onion</t>
        </is>
      </c>
      <c r="B32" s="32" t="inlineStr">
        <is>
          <t>BBQ Grill</t>
        </is>
      </c>
      <c r="C32" s="33" t="n">
        <v>68</v>
      </c>
      <c r="D32" s="34" t="n">
        <v>51</v>
      </c>
      <c r="E32" s="35" t="n">
        <v>190</v>
      </c>
      <c r="F32" s="33" t="n">
        <v>23</v>
      </c>
      <c r="G32" s="36" t="n">
        <v>35.29411765</v>
      </c>
      <c r="H32" s="37" t="n">
        <v>27.05882353</v>
      </c>
      <c r="I32" s="32">
        <f>IF(G32&lt;0,"negative profit",IF(G32&gt;Notes!$B$4,"unusually high - verify",""))</f>
        <v/>
      </c>
      <c r="J32" s="32" t="inlineStr">
        <is>
          <t>hayday.info /api/production-data (https://hayday.info/api/production-data)</t>
        </is>
      </c>
    </row>
    <row r="33" ht="15" customHeight="1" s="29">
      <c r="A33" s="32" t="inlineStr">
        <is>
          <t>Winter veggies</t>
        </is>
      </c>
      <c r="B33" s="32" t="inlineStr">
        <is>
          <t>BBQ Grill</t>
        </is>
      </c>
      <c r="C33" s="33" t="n">
        <v>72</v>
      </c>
      <c r="D33" s="34" t="n">
        <v>21</v>
      </c>
      <c r="E33" s="35" t="n">
        <v>198</v>
      </c>
      <c r="F33" s="33" t="n">
        <v>24</v>
      </c>
      <c r="G33" s="36" t="n">
        <v>36.70588235</v>
      </c>
      <c r="H33" s="37" t="n">
        <v>67.76470587999999</v>
      </c>
      <c r="I33" s="32">
        <f>IF(G33&lt;0,"negative profit",IF(G33&gt;Notes!$B$4,"unusually high - verify",""))</f>
        <v/>
      </c>
      <c r="J33" s="32" t="inlineStr">
        <is>
          <t>hayday.info /api/production-data (https://hayday.info/api/production-data)</t>
        </is>
      </c>
    </row>
    <row r="34" ht="15" customHeight="1" s="29">
      <c r="A34" s="32" t="inlineStr">
        <is>
          <t>Stuffed peppers</t>
        </is>
      </c>
      <c r="B34" s="32" t="inlineStr">
        <is>
          <t>BBQ Grill</t>
        </is>
      </c>
      <c r="C34" s="33" t="n">
        <v>80</v>
      </c>
      <c r="D34" s="34" t="n">
        <v>17</v>
      </c>
      <c r="E34" s="35" t="n">
        <v>352</v>
      </c>
      <c r="F34" s="33" t="n">
        <v>42</v>
      </c>
      <c r="G34" s="36" t="n">
        <v>63.52941176</v>
      </c>
      <c r="H34" s="37" t="n">
        <v>148.2352941</v>
      </c>
      <c r="I34" s="32">
        <f>IF(G34&lt;0,"negative profit",IF(G34&gt;Notes!$B$4,"unusually high - verify",""))</f>
        <v/>
      </c>
      <c r="J34" s="32" t="inlineStr">
        <is>
          <t>hayday.info /api/production-data (https://hayday.info/api/production-data)</t>
        </is>
      </c>
    </row>
    <row r="35" ht="15" customHeight="1" s="29">
      <c r="A35" s="32" t="inlineStr">
        <is>
          <t>Grilled eggplant</t>
        </is>
      </c>
      <c r="B35" s="32" t="inlineStr">
        <is>
          <t>BBQ Grill</t>
        </is>
      </c>
      <c r="C35" s="33" t="n">
        <v>90</v>
      </c>
      <c r="D35" s="34" t="n">
        <v>34</v>
      </c>
      <c r="E35" s="35" t="n">
        <v>324</v>
      </c>
      <c r="F35" s="33" t="n">
        <v>39</v>
      </c>
      <c r="G35" s="36" t="n">
        <v>52.94117647</v>
      </c>
      <c r="H35" s="37" t="n">
        <v>68.82352941000001</v>
      </c>
      <c r="I35" s="32">
        <f>IF(G35&lt;0,"negative profit",IF(G35&gt;Notes!$B$4,"unusually high - verify",""))</f>
        <v/>
      </c>
      <c r="J35" s="32" t="inlineStr">
        <is>
          <t>hayday.info /api/production-data (https://hayday.info/api/production-data)</t>
        </is>
      </c>
    </row>
    <row r="36" ht="15" customHeight="1" s="29">
      <c r="A36" s="32" t="inlineStr">
        <is>
          <t>Banana pancakes</t>
        </is>
      </c>
      <c r="B36" s="32" t="inlineStr">
        <is>
          <t>BBQ Grill</t>
        </is>
      </c>
      <c r="C36" s="33" t="n">
        <v>94</v>
      </c>
      <c r="D36" s="34" t="n">
        <v>51</v>
      </c>
      <c r="E36" s="35" t="n">
        <v>352</v>
      </c>
      <c r="F36" s="33" t="n">
        <v>42</v>
      </c>
      <c r="G36" s="36" t="n">
        <v>29.41176471</v>
      </c>
      <c r="H36" s="37" t="n">
        <v>49.41176471</v>
      </c>
      <c r="I36" s="32">
        <f>IF(G36&lt;0,"negative profit",IF(G36&gt;Notes!$B$4,"unusually high - verify",""))</f>
        <v/>
      </c>
      <c r="J36" s="32" t="inlineStr">
        <is>
          <t>hayday.info /api/production-data (https://hayday.info/api/production-data)</t>
        </is>
      </c>
    </row>
    <row r="37" ht="15" customHeight="1" s="29">
      <c r="A37" s="32" t="inlineStr">
        <is>
          <t>Fish skewer</t>
        </is>
      </c>
      <c r="B37" s="32" t="inlineStr">
        <is>
          <t>BBQ Grill</t>
        </is>
      </c>
      <c r="C37" s="33" t="n">
        <v>96</v>
      </c>
      <c r="D37" s="34" t="n">
        <v>25</v>
      </c>
      <c r="E37" s="35" t="n">
        <v>176</v>
      </c>
      <c r="F37" s="33" t="n">
        <v>21</v>
      </c>
      <c r="G37" s="36" t="n">
        <v>65.88235294</v>
      </c>
      <c r="H37" s="37" t="n">
        <v>49.41176471</v>
      </c>
      <c r="I37" s="32">
        <f>IF(G37&lt;0,"negative profit",IF(G37&gt;Notes!$B$4,"unusually high - verify",""))</f>
        <v/>
      </c>
      <c r="J37" s="32" t="inlineStr">
        <is>
          <t>hayday.info /api/production-data (https://hayday.info/api/production-data)</t>
        </is>
      </c>
    </row>
    <row r="38" ht="15" customHeight="1" s="29">
      <c r="A38" s="32" t="inlineStr">
        <is>
          <t>Carrot cake</t>
        </is>
      </c>
      <c r="B38" s="32" t="inlineStr">
        <is>
          <t>Cake Oven</t>
        </is>
      </c>
      <c r="C38" s="33" t="n">
        <v>21</v>
      </c>
      <c r="D38" s="34" t="n">
        <v>76</v>
      </c>
      <c r="E38" s="35" t="n">
        <v>165</v>
      </c>
      <c r="F38" s="33" t="n">
        <v>20</v>
      </c>
      <c r="G38" s="36" t="n">
        <v>29.01960784</v>
      </c>
      <c r="H38" s="37" t="n">
        <v>15.68627451</v>
      </c>
      <c r="I38" s="32">
        <f>IF(G38&lt;0,"negative profit",IF(G38&gt;Notes!$B$4,"unusually high - verify",""))</f>
        <v/>
      </c>
      <c r="J38" s="32" t="inlineStr">
        <is>
          <t>hayday.info /api/production-data (https://hayday.info/api/production-data)</t>
        </is>
      </c>
    </row>
    <row r="39" ht="15" customHeight="1" s="29">
      <c r="A39" s="32" t="inlineStr">
        <is>
          <t>Cream cake</t>
        </is>
      </c>
      <c r="B39" s="32" t="inlineStr">
        <is>
          <t>Cake Oven</t>
        </is>
      </c>
      <c r="C39" s="33" t="n">
        <v>23</v>
      </c>
      <c r="D39" s="34" t="n">
        <v>153</v>
      </c>
      <c r="E39" s="35" t="n">
        <v>219</v>
      </c>
      <c r="F39" s="33" t="n">
        <v>26</v>
      </c>
      <c r="G39" s="36" t="n">
        <v>40.78431373</v>
      </c>
      <c r="H39" s="37" t="n">
        <v>10.19607843</v>
      </c>
      <c r="I39" s="32">
        <f>IF(G39&lt;0,"negative profit",IF(G39&gt;Notes!$B$4,"unusually high - verify",""))</f>
        <v/>
      </c>
      <c r="J39" s="32" t="inlineStr">
        <is>
          <t>hayday.info /api/production-data (https://hayday.info/api/production-data)</t>
        </is>
      </c>
    </row>
    <row r="40" ht="15" customHeight="1" s="29">
      <c r="A40" s="32" t="inlineStr">
        <is>
          <t>Red berry cake</t>
        </is>
      </c>
      <c r="B40" s="32" t="inlineStr">
        <is>
          <t>Cake Oven</t>
        </is>
      </c>
      <c r="C40" s="33" t="n">
        <v>23</v>
      </c>
      <c r="D40" s="34" t="n">
        <v>51</v>
      </c>
      <c r="E40" s="35" t="n">
        <v>255</v>
      </c>
      <c r="F40" s="33" t="n">
        <v>31</v>
      </c>
      <c r="G40" s="36" t="n">
        <v>27.05882353</v>
      </c>
      <c r="H40" s="37" t="n">
        <v>36.47058824</v>
      </c>
      <c r="I40" s="32">
        <f>IF(G40&lt;0,"negative profit",IF(G40&gt;Notes!$B$4,"unusually high - verify",""))</f>
        <v/>
      </c>
      <c r="J40" s="32" t="inlineStr">
        <is>
          <t>hayday.info /api/production-data (https://hayday.info/api/production-data)</t>
        </is>
      </c>
    </row>
    <row r="41" ht="15" customHeight="1" s="29">
      <c r="A41" s="32" t="inlineStr">
        <is>
          <t>Cheesecake</t>
        </is>
      </c>
      <c r="B41" s="32" t="inlineStr">
        <is>
          <t>Cake Oven</t>
        </is>
      </c>
      <c r="C41" s="33" t="n">
        <v>24</v>
      </c>
      <c r="D41" s="34" t="n">
        <v>204</v>
      </c>
      <c r="E41" s="35" t="n">
        <v>284</v>
      </c>
      <c r="F41" s="33" t="n">
        <v>34</v>
      </c>
      <c r="G41" s="36" t="n">
        <v>17.05882353</v>
      </c>
      <c r="H41" s="37" t="n">
        <v>10</v>
      </c>
      <c r="I41" s="32">
        <f>IF(G41&lt;0,"negative profit",IF(G41&gt;Notes!$B$4,"unusually high - verify",""))</f>
        <v/>
      </c>
      <c r="J41" s="32" t="inlineStr">
        <is>
          <t>hayday.info /api/production-data (https://hayday.info/api/production-data)</t>
        </is>
      </c>
    </row>
    <row r="42" ht="15" customHeight="1" s="29">
      <c r="A42" s="32" t="inlineStr">
        <is>
          <t>Strawberry cake</t>
        </is>
      </c>
      <c r="B42" s="32" t="inlineStr">
        <is>
          <t>Cake Oven</t>
        </is>
      </c>
      <c r="C42" s="33" t="n">
        <v>35</v>
      </c>
      <c r="D42" s="34" t="n">
        <v>153</v>
      </c>
      <c r="E42" s="35" t="n">
        <v>316</v>
      </c>
      <c r="F42" s="33" t="n">
        <v>38</v>
      </c>
      <c r="G42" s="36" t="n">
        <v>41.96078431</v>
      </c>
      <c r="H42" s="37" t="n">
        <v>14.90196078</v>
      </c>
      <c r="I42" s="32">
        <f>IF(G42&lt;0,"negative profit",IF(G42&gt;Notes!$B$4,"unusually high - verify",""))</f>
        <v/>
      </c>
      <c r="J42" s="32" t="inlineStr">
        <is>
          <t>hayday.info /api/production-data (https://hayday.info/api/production-data)</t>
        </is>
      </c>
    </row>
    <row r="43" ht="15" customHeight="1" s="29">
      <c r="A43" s="32" t="inlineStr">
        <is>
          <t>Chocolate cake</t>
        </is>
      </c>
      <c r="B43" s="32" t="inlineStr">
        <is>
          <t>Cake Oven</t>
        </is>
      </c>
      <c r="C43" s="33" t="n">
        <v>36</v>
      </c>
      <c r="D43" s="34" t="n">
        <v>102</v>
      </c>
      <c r="E43" s="35" t="n">
        <v>320</v>
      </c>
      <c r="F43" s="33" t="n">
        <v>38</v>
      </c>
      <c r="G43" s="36" t="n">
        <v>20</v>
      </c>
      <c r="H43" s="37" t="n">
        <v>22.35294118</v>
      </c>
      <c r="I43" s="32">
        <f>IF(G43&lt;0,"negative profit",IF(G43&gt;Notes!$B$4,"unusually high - verify",""))</f>
        <v/>
      </c>
      <c r="J43" s="32" t="inlineStr">
        <is>
          <t>hayday.info /api/production-data (https://hayday.info/api/production-data)</t>
        </is>
      </c>
    </row>
    <row r="44" ht="15" customHeight="1" s="29">
      <c r="A44" s="32" t="inlineStr">
        <is>
          <t>Potato feta cake</t>
        </is>
      </c>
      <c r="B44" s="32" t="inlineStr">
        <is>
          <t>Cake Oven</t>
        </is>
      </c>
      <c r="C44" s="33" t="n">
        <v>38</v>
      </c>
      <c r="D44" s="34" t="n">
        <v>102</v>
      </c>
      <c r="E44" s="35" t="n">
        <v>309</v>
      </c>
      <c r="F44" s="33" t="n">
        <v>37</v>
      </c>
      <c r="G44" s="36" t="n">
        <v>22.94117647</v>
      </c>
      <c r="H44" s="37" t="n">
        <v>21.76470588</v>
      </c>
      <c r="I44" s="32">
        <f>IF(G44&lt;0,"negative profit",IF(G44&gt;Notes!$B$4,"unusually high - verify",""))</f>
        <v/>
      </c>
      <c r="J44" s="32" t="inlineStr">
        <is>
          <t>hayday.info /api/production-data (https://hayday.info/api/production-data)</t>
        </is>
      </c>
    </row>
    <row r="45" ht="15" customHeight="1" s="29">
      <c r="A45" s="32" t="inlineStr">
        <is>
          <t>Honey apple cake</t>
        </is>
      </c>
      <c r="B45" s="32" t="inlineStr">
        <is>
          <t>Cake Oven</t>
        </is>
      </c>
      <c r="C45" s="33" t="n">
        <v>42</v>
      </c>
      <c r="D45" s="34" t="n">
        <v>170</v>
      </c>
      <c r="E45" s="35" t="n">
        <v>482</v>
      </c>
      <c r="F45" s="33" t="n">
        <v>57</v>
      </c>
      <c r="G45" s="36" t="n">
        <v>19.05882353</v>
      </c>
      <c r="H45" s="37" t="n">
        <v>20.11764706</v>
      </c>
      <c r="I45" s="32">
        <f>IF(G45&lt;0,"negative profit",IF(G45&gt;Notes!$B$4,"unusually high - verify",""))</f>
        <v/>
      </c>
      <c r="J45" s="32" t="inlineStr">
        <is>
          <t>hayday.info /api/production-data (https://hayday.info/api/production-data)</t>
        </is>
      </c>
    </row>
    <row r="46" ht="15" customHeight="1" s="29">
      <c r="A46" s="32" t="inlineStr">
        <is>
          <t>Fancy cake</t>
        </is>
      </c>
      <c r="B46" s="32" t="inlineStr">
        <is>
          <t>Cake Oven</t>
        </is>
      </c>
      <c r="C46" s="33" t="n">
        <v>54</v>
      </c>
      <c r="D46" s="34" t="n">
        <v>12</v>
      </c>
      <c r="E46" s="35" t="n">
        <v>450</v>
      </c>
      <c r="F46" s="33" t="n">
        <v>49</v>
      </c>
      <c r="G46" s="36" t="n">
        <v>42.35294118</v>
      </c>
      <c r="H46" s="37" t="n">
        <v>230.5882353</v>
      </c>
      <c r="I46" s="32">
        <f>IF(G46&lt;0,"negative profit",IF(G46&gt;Notes!$B$4,"unusually high - verify",""))</f>
        <v/>
      </c>
      <c r="J46" s="32" t="inlineStr">
        <is>
          <t>hayday.info /api/production-data (https://hayday.info/api/production-data)</t>
        </is>
      </c>
    </row>
    <row r="47" ht="15" customHeight="1" s="29">
      <c r="A47" s="32" t="inlineStr">
        <is>
          <t>Pineapple cake</t>
        </is>
      </c>
      <c r="B47" s="32" t="inlineStr">
        <is>
          <t>Cake Oven</t>
        </is>
      </c>
      <c r="C47" s="33" t="n">
        <v>65</v>
      </c>
      <c r="D47" s="34" t="n">
        <v>63</v>
      </c>
      <c r="E47" s="35" t="n">
        <v>259</v>
      </c>
      <c r="F47" s="33" t="n">
        <v>31</v>
      </c>
      <c r="G47" s="36" t="n">
        <v>31.05882353</v>
      </c>
      <c r="H47" s="37" t="n">
        <v>29.17647059</v>
      </c>
      <c r="I47" s="32">
        <f>IF(G47&lt;0,"negative profit",IF(G47&gt;Notes!$B$4,"unusually high - verify",""))</f>
        <v/>
      </c>
      <c r="J47" s="32" t="inlineStr">
        <is>
          <t>hayday.info /api/production-data (https://hayday.info/api/production-data)</t>
        </is>
      </c>
    </row>
    <row r="48" ht="15" customHeight="1" s="29">
      <c r="A48" s="32" t="inlineStr">
        <is>
          <t>Lemon cake</t>
        </is>
      </c>
      <c r="B48" s="32" t="inlineStr">
        <is>
          <t>Cake Oven</t>
        </is>
      </c>
      <c r="C48" s="33" t="n">
        <v>68</v>
      </c>
      <c r="D48" s="34" t="n">
        <v>127</v>
      </c>
      <c r="E48" s="35" t="n">
        <v>896</v>
      </c>
      <c r="F48" s="33" t="n">
        <v>107</v>
      </c>
      <c r="G48" s="36" t="n">
        <v>21.17647059</v>
      </c>
      <c r="H48" s="37" t="n">
        <v>50.35294118</v>
      </c>
      <c r="I48" s="32">
        <f>IF(G48&lt;0,"negative profit",IF(G48&gt;Notes!$B$4,"unusually high - verify",""))</f>
        <v/>
      </c>
      <c r="J48" s="32" t="inlineStr">
        <is>
          <t>hayday.info /api/production-data (https://hayday.info/api/production-data)</t>
        </is>
      </c>
    </row>
    <row r="49" ht="15" customHeight="1" s="29">
      <c r="A49" s="32" t="inlineStr">
        <is>
          <t>Fruit cake</t>
        </is>
      </c>
      <c r="B49" s="32" t="inlineStr">
        <is>
          <t>Cake Oven</t>
        </is>
      </c>
      <c r="C49" s="33" t="n">
        <v>89</v>
      </c>
      <c r="D49" s="34" t="n">
        <v>153</v>
      </c>
      <c r="E49" s="35" t="n">
        <v>450</v>
      </c>
      <c r="F49" s="33" t="n">
        <v>54</v>
      </c>
      <c r="G49" s="36" t="n">
        <v>18.43137255</v>
      </c>
      <c r="H49" s="37" t="n">
        <v>21.17647059</v>
      </c>
      <c r="I49" s="32">
        <f>IF(G49&lt;0,"negative profit",IF(G49&gt;Notes!$B$4,"unusually high - verify",""))</f>
        <v/>
      </c>
      <c r="J49" s="32" t="inlineStr">
        <is>
          <t>hayday.info /api/production-data (https://hayday.info/api/production-data)</t>
        </is>
      </c>
    </row>
    <row r="50" ht="15" customHeight="1" s="29">
      <c r="A50" s="32" t="inlineStr">
        <is>
          <t>Chocolate roll</t>
        </is>
      </c>
      <c r="B50" s="32" t="inlineStr">
        <is>
          <t>Cake Oven</t>
        </is>
      </c>
      <c r="C50" s="33" t="n">
        <v>95</v>
      </c>
      <c r="D50" s="34" t="n">
        <v>76</v>
      </c>
      <c r="E50" s="35" t="n">
        <v>604</v>
      </c>
      <c r="F50" s="33" t="n">
        <v>72</v>
      </c>
      <c r="G50" s="36" t="n">
        <v>14.90196078</v>
      </c>
      <c r="H50" s="37" t="n">
        <v>56.47058824</v>
      </c>
      <c r="I50" s="32">
        <f>IF(G50&lt;0,"negative profit",IF(G50&gt;Notes!$B$4,"unusually high - verify",""))</f>
        <v/>
      </c>
      <c r="J50" s="32" t="inlineStr">
        <is>
          <t>hayday.info /api/production-data (https://hayday.info/api/production-data)</t>
        </is>
      </c>
    </row>
    <row r="51" ht="15" customHeight="1" s="29">
      <c r="A51" s="32" t="inlineStr">
        <is>
          <t>Strawberry candle</t>
        </is>
      </c>
      <c r="B51" s="32" t="inlineStr">
        <is>
          <t>Candle Maker</t>
        </is>
      </c>
      <c r="C51" s="33" t="n">
        <v>48</v>
      </c>
      <c r="D51" s="34" t="n">
        <v>102</v>
      </c>
      <c r="E51" s="35" t="n">
        <v>370</v>
      </c>
      <c r="F51" s="33" t="n">
        <v>44</v>
      </c>
      <c r="G51" s="36" t="n">
        <v>21.17647059</v>
      </c>
      <c r="H51" s="37" t="n">
        <v>25.88235294</v>
      </c>
      <c r="I51" s="32">
        <f>IF(G51&lt;0,"negative profit",IF(G51&gt;Notes!$B$4,"unusually high - verify",""))</f>
        <v/>
      </c>
      <c r="J51" s="32" t="inlineStr">
        <is>
          <t>hayday.info /api/production-data (https://hayday.info/api/production-data)</t>
        </is>
      </c>
    </row>
    <row r="52" ht="15" customHeight="1" s="29">
      <c r="A52" s="32" t="inlineStr">
        <is>
          <t>Raspberry candle</t>
        </is>
      </c>
      <c r="B52" s="32" t="inlineStr">
        <is>
          <t>Candle Maker</t>
        </is>
      </c>
      <c r="C52" s="33" t="n">
        <v>52</v>
      </c>
      <c r="D52" s="34" t="n">
        <v>89</v>
      </c>
      <c r="E52" s="35" t="n">
        <v>360</v>
      </c>
      <c r="F52" s="33" t="n">
        <v>43</v>
      </c>
      <c r="G52" s="36" t="n">
        <v>22.85714286</v>
      </c>
      <c r="H52" s="37" t="n">
        <v>28.90756303</v>
      </c>
      <c r="I52" s="32">
        <f>IF(G52&lt;0,"negative profit",IF(G52&gt;Notes!$B$4,"unusually high - verify",""))</f>
        <v/>
      </c>
      <c r="J52" s="32" t="inlineStr">
        <is>
          <t>hayday.info /api/production-data (https://hayday.info/api/production-data)</t>
        </is>
      </c>
    </row>
    <row r="53" ht="15" customHeight="1" s="29">
      <c r="A53" s="32" t="inlineStr">
        <is>
          <t>Lemon candle</t>
        </is>
      </c>
      <c r="B53" s="32" t="inlineStr">
        <is>
          <t>Candle Maker</t>
        </is>
      </c>
      <c r="C53" s="33" t="n">
        <v>72</v>
      </c>
      <c r="D53" s="34" t="n">
        <v>114</v>
      </c>
      <c r="E53" s="35" t="n">
        <v>457</v>
      </c>
      <c r="F53" s="33" t="n">
        <v>55</v>
      </c>
      <c r="G53" s="36" t="n">
        <v>19.34640523</v>
      </c>
      <c r="H53" s="37" t="n">
        <v>28.75816993</v>
      </c>
      <c r="I53" s="32">
        <f>IF(G53&lt;0,"negative profit",IF(G53&gt;Notes!$B$4,"unusually high - verify",""))</f>
        <v/>
      </c>
      <c r="J53" s="32" t="inlineStr">
        <is>
          <t>hayday.info /api/production-data (https://hayday.info/api/production-data)</t>
        </is>
      </c>
    </row>
    <row r="54" ht="15" customHeight="1" s="29">
      <c r="A54" s="32" t="inlineStr">
        <is>
          <t>Colorful Candles</t>
        </is>
      </c>
      <c r="B54" s="32" t="inlineStr">
        <is>
          <t>Candle Maker</t>
        </is>
      </c>
      <c r="C54" s="33" t="n">
        <v>84</v>
      </c>
      <c r="D54" s="34" t="n">
        <v>93</v>
      </c>
      <c r="E54" s="35" t="n">
        <v>324</v>
      </c>
      <c r="F54" s="33" t="n">
        <v>39</v>
      </c>
      <c r="G54" s="36" t="n">
        <v>23.74331551</v>
      </c>
      <c r="H54" s="37" t="n">
        <v>25.02673797</v>
      </c>
      <c r="I54" s="32">
        <f>IF(G54&lt;0,"negative profit",IF(G54&gt;Notes!$B$4,"unusually high - verify",""))</f>
        <v/>
      </c>
      <c r="J54" s="32" t="inlineStr">
        <is>
          <t>hayday.info /api/production-data (https://hayday.info/api/production-data)</t>
        </is>
      </c>
    </row>
    <row r="55" ht="15" customHeight="1" s="29">
      <c r="A55" s="32" t="inlineStr">
        <is>
          <t>Floral candle</t>
        </is>
      </c>
      <c r="B55" s="32" t="inlineStr">
        <is>
          <t>Candle Maker</t>
        </is>
      </c>
      <c r="C55" s="33" t="n">
        <v>95</v>
      </c>
      <c r="D55" s="34" t="n">
        <v>102</v>
      </c>
      <c r="E55" s="35" t="n">
        <v>442</v>
      </c>
      <c r="F55" s="33" t="n">
        <v>53</v>
      </c>
      <c r="G55" s="36" t="n">
        <v>11.17647059</v>
      </c>
      <c r="H55" s="37" t="n">
        <v>31.17647059</v>
      </c>
      <c r="I55" s="32">
        <f>IF(G55&lt;0,"negative profit",IF(G55&gt;Notes!$B$4,"unusually high - verify",""))</f>
        <v/>
      </c>
      <c r="J55" s="32" t="inlineStr">
        <is>
          <t>hayday.info /api/production-data (https://hayday.info/api/production-data)</t>
        </is>
      </c>
    </row>
    <row r="56" ht="15" customHeight="1" s="29">
      <c r="A56" s="32" t="inlineStr">
        <is>
          <t>Caramel apple</t>
        </is>
      </c>
      <c r="B56" s="32" t="inlineStr">
        <is>
          <t>Candy Machine</t>
        </is>
      </c>
      <c r="C56" s="33" t="n">
        <v>51</v>
      </c>
      <c r="D56" s="34" t="n">
        <v>102</v>
      </c>
      <c r="E56" s="35" t="n">
        <v>255</v>
      </c>
      <c r="F56" s="33" t="n">
        <v>31</v>
      </c>
      <c r="G56" s="36" t="n">
        <v>21.17647059</v>
      </c>
      <c r="H56" s="37" t="n">
        <v>18.23529412</v>
      </c>
      <c r="I56" s="32">
        <f>IF(G56&lt;0,"negative profit",IF(G56&gt;Notes!$B$4,"unusually high - verify",""))</f>
        <v/>
      </c>
      <c r="J56" s="32" t="inlineStr">
        <is>
          <t>hayday.info /api/production-data (https://hayday.info/api/production-data)</t>
        </is>
      </c>
    </row>
    <row r="57" ht="15" customHeight="1" s="29">
      <c r="A57" s="32" t="inlineStr">
        <is>
          <t>Toffee</t>
        </is>
      </c>
      <c r="B57" s="32" t="inlineStr">
        <is>
          <t>Candy Machine</t>
        </is>
      </c>
      <c r="C57" s="33" t="n">
        <v>52</v>
      </c>
      <c r="D57" s="34" t="n">
        <v>76</v>
      </c>
      <c r="E57" s="35" t="n">
        <v>176</v>
      </c>
      <c r="F57" s="33" t="n">
        <v>21</v>
      </c>
      <c r="G57" s="36" t="n">
        <v>32.15686275</v>
      </c>
      <c r="H57" s="37" t="n">
        <v>16.47058824</v>
      </c>
      <c r="I57" s="32">
        <f>IF(G57&lt;0,"negative profit",IF(G57&gt;Notes!$B$4,"unusually high - verify",""))</f>
        <v/>
      </c>
      <c r="J57" s="32" t="inlineStr">
        <is>
          <t>hayday.info /api/production-data (https://hayday.info/api/production-data)</t>
        </is>
      </c>
    </row>
    <row r="58" ht="15" customHeight="1" s="29">
      <c r="A58" s="32" t="inlineStr">
        <is>
          <t>Chocolate</t>
        </is>
      </c>
      <c r="B58" s="32" t="inlineStr">
        <is>
          <t>Candy Machine</t>
        </is>
      </c>
      <c r="C58" s="33" t="n">
        <v>54</v>
      </c>
      <c r="D58" s="34" t="n">
        <v>1020</v>
      </c>
      <c r="E58" s="35" t="n">
        <v>460</v>
      </c>
      <c r="F58" s="33" t="n">
        <v>55</v>
      </c>
      <c r="G58" s="36" t="n">
        <v>6</v>
      </c>
      <c r="H58" s="37" t="n">
        <v>3.235294118</v>
      </c>
      <c r="I58" s="32">
        <f>IF(G58&lt;0,"negative profit",IF(G58&gt;Notes!$B$4,"unusually high - verify",""))</f>
        <v/>
      </c>
      <c r="J58" s="32" t="inlineStr">
        <is>
          <t>hayday.info /api/production-data (https://hayday.info/api/production-data)</t>
        </is>
      </c>
    </row>
    <row r="59" ht="15" customHeight="1" s="29">
      <c r="A59" s="32" t="inlineStr">
        <is>
          <t>Lollipop</t>
        </is>
      </c>
      <c r="B59" s="32" t="inlineStr">
        <is>
          <t>Candy Machine</t>
        </is>
      </c>
      <c r="C59" s="33" t="n">
        <v>57</v>
      </c>
      <c r="D59" s="34" t="n">
        <v>612</v>
      </c>
      <c r="E59" s="35" t="n">
        <v>342</v>
      </c>
      <c r="F59" s="33" t="n">
        <v>41</v>
      </c>
      <c r="G59" s="36" t="n">
        <v>8.235294118000001</v>
      </c>
      <c r="H59" s="37" t="n">
        <v>4.019607843</v>
      </c>
      <c r="I59" s="32">
        <f>IF(G59&lt;0,"negative profit",IF(G59&gt;Notes!$B$4,"unusually high - verify",""))</f>
        <v/>
      </c>
      <c r="J59" s="32" t="inlineStr">
        <is>
          <t>hayday.info /api/production-data (https://hayday.info/api/production-data)</t>
        </is>
      </c>
    </row>
    <row r="60" ht="15" customHeight="1" s="29">
      <c r="A60" s="32" t="inlineStr">
        <is>
          <t>Jelly beans</t>
        </is>
      </c>
      <c r="B60" s="32" t="inlineStr">
        <is>
          <t>Candy Machine</t>
        </is>
      </c>
      <c r="C60" s="33" t="n">
        <v>60</v>
      </c>
      <c r="D60" s="34" t="n">
        <v>1224</v>
      </c>
      <c r="E60" s="35" t="n">
        <v>684</v>
      </c>
      <c r="F60" s="33" t="n">
        <v>81</v>
      </c>
      <c r="G60" s="36" t="n">
        <v>-0.2941176471</v>
      </c>
      <c r="H60" s="37" t="n">
        <v>3.970588235</v>
      </c>
      <c r="I60" s="32">
        <f>IF(G60&lt;0,"negative profit",IF(G60&gt;Notes!$B$4,"unusually high - verify",""))</f>
        <v/>
      </c>
      <c r="J60" s="32" t="inlineStr">
        <is>
          <t>hayday.info /api/production-data (https://hayday.info/api/production-data)</t>
        </is>
      </c>
    </row>
    <row r="61" ht="15" customHeight="1" s="29">
      <c r="A61" s="32" t="inlineStr">
        <is>
          <t>Honey peanuts</t>
        </is>
      </c>
      <c r="B61" s="32" t="inlineStr">
        <is>
          <t>Candy Machine</t>
        </is>
      </c>
      <c r="C61" s="33" t="n">
        <v>63</v>
      </c>
      <c r="D61" s="34" t="n">
        <v>34</v>
      </c>
      <c r="E61" s="35" t="n">
        <v>540</v>
      </c>
      <c r="F61" s="33" t="n">
        <v>64</v>
      </c>
      <c r="G61" s="36" t="n">
        <v>268.2352941</v>
      </c>
      <c r="H61" s="37" t="n">
        <v>112.9411765</v>
      </c>
      <c r="I61" s="32">
        <f>IF(G61&lt;0,"negative profit",IF(G61&gt;Notes!$B$4,"unusually high - verify",""))</f>
        <v/>
      </c>
      <c r="J61" s="32" t="inlineStr">
        <is>
          <t>hayday.info /api/production-data (https://hayday.info/api/production-data)</t>
        </is>
      </c>
    </row>
    <row r="62" ht="15" customHeight="1" s="29">
      <c r="A62" s="32" t="inlineStr">
        <is>
          <t>Cotton Candy</t>
        </is>
      </c>
      <c r="B62" s="32" t="inlineStr">
        <is>
          <t>Candy Machine</t>
        </is>
      </c>
      <c r="C62" s="33" t="n">
        <v>75</v>
      </c>
      <c r="D62" s="34" t="n">
        <v>25</v>
      </c>
      <c r="E62" s="35" t="n">
        <v>226</v>
      </c>
      <c r="F62" s="33" t="n">
        <v>27</v>
      </c>
      <c r="G62" s="36" t="n">
        <v>61.17647059</v>
      </c>
      <c r="H62" s="37" t="n">
        <v>63.52941176</v>
      </c>
      <c r="I62" s="32">
        <f>IF(G62&lt;0,"negative profit",IF(G62&gt;Notes!$B$4,"unusually high - verify",""))</f>
        <v/>
      </c>
      <c r="J62" s="32" t="inlineStr">
        <is>
          <t>hayday.info /api/production-data (https://hayday.info/api/production-data)</t>
        </is>
      </c>
    </row>
    <row r="63" ht="15" customHeight="1" s="29">
      <c r="A63" s="32" t="inlineStr">
        <is>
          <t>Sesame brittle</t>
        </is>
      </c>
      <c r="B63" s="32" t="inlineStr">
        <is>
          <t>Candy Machine</t>
        </is>
      </c>
      <c r="C63" s="33" t="n">
        <v>78</v>
      </c>
      <c r="D63" s="34" t="n">
        <v>51</v>
      </c>
      <c r="E63" s="35" t="n">
        <v>270</v>
      </c>
      <c r="F63" s="33" t="n">
        <v>32</v>
      </c>
      <c r="G63" s="36" t="n">
        <v>40</v>
      </c>
      <c r="H63" s="37" t="n">
        <v>37.64705882</v>
      </c>
      <c r="I63" s="32">
        <f>IF(G63&lt;0,"negative profit",IF(G63&gt;Notes!$B$4,"unusually high - verify",""))</f>
        <v/>
      </c>
      <c r="J63" s="32" t="inlineStr">
        <is>
          <t>hayday.info /api/production-data (https://hayday.info/api/production-data)</t>
        </is>
      </c>
    </row>
    <row r="64" ht="15" customHeight="1" s="29">
      <c r="A64" s="32" t="inlineStr">
        <is>
          <t>Espresso</t>
        </is>
      </c>
      <c r="B64" s="32" t="inlineStr">
        <is>
          <t>Coffee Kiosk</t>
        </is>
      </c>
      <c r="C64" s="33" t="n">
        <v>42</v>
      </c>
      <c r="D64" s="34" t="n">
        <v>4</v>
      </c>
      <c r="E64" s="35" t="n">
        <v>248</v>
      </c>
      <c r="F64" s="33" t="n">
        <v>29</v>
      </c>
      <c r="G64" s="36" t="n">
        <v>84.70588235</v>
      </c>
      <c r="H64" s="37" t="n">
        <v>409.4117647</v>
      </c>
      <c r="I64" s="32">
        <f>IF(G64&lt;0,"negative profit",IF(G64&gt;Notes!$B$4,"unusually high - verify",""))</f>
        <v/>
      </c>
      <c r="J64" s="32" t="inlineStr">
        <is>
          <t>hayday.info /api/production-data (https://hayday.info/api/production-data)</t>
        </is>
      </c>
    </row>
    <row r="65" ht="15" customHeight="1" s="29">
      <c r="A65" s="32" t="inlineStr">
        <is>
          <t>Caffè latte</t>
        </is>
      </c>
      <c r="B65" s="32" t="inlineStr">
        <is>
          <t>Coffee Kiosk</t>
        </is>
      </c>
      <c r="C65" s="33" t="n">
        <v>43</v>
      </c>
      <c r="D65" s="34" t="n">
        <v>8</v>
      </c>
      <c r="E65" s="35" t="n">
        <v>219</v>
      </c>
      <c r="F65" s="33" t="n">
        <v>26</v>
      </c>
      <c r="G65" s="36" t="n">
        <v>63.52941176</v>
      </c>
      <c r="H65" s="37" t="n">
        <v>183.5294118</v>
      </c>
      <c r="I65" s="32">
        <f>IF(G65&lt;0,"negative profit",IF(G65&gt;Notes!$B$4,"unusually high - verify",""))</f>
        <v/>
      </c>
      <c r="J65" s="32" t="inlineStr">
        <is>
          <t>hayday.info /api/production-data (https://hayday.info/api/production-data)</t>
        </is>
      </c>
    </row>
    <row r="66" ht="15" customHeight="1" s="29">
      <c r="A66" s="32" t="inlineStr">
        <is>
          <t>Caffè mocha</t>
        </is>
      </c>
      <c r="B66" s="32" t="inlineStr">
        <is>
          <t>Coffee Kiosk</t>
        </is>
      </c>
      <c r="C66" s="33" t="n">
        <v>45</v>
      </c>
      <c r="D66" s="34" t="n">
        <v>12</v>
      </c>
      <c r="E66" s="35" t="n">
        <v>291</v>
      </c>
      <c r="F66" s="33" t="n">
        <v>35</v>
      </c>
      <c r="G66" s="36" t="n">
        <v>23.52941176</v>
      </c>
      <c r="H66" s="37" t="n">
        <v>164.7058824</v>
      </c>
      <c r="I66" s="32">
        <f>IF(G66&lt;0,"negative profit",IF(G66&gt;Notes!$B$4,"unusually high - verify",""))</f>
        <v/>
      </c>
      <c r="J66" s="32" t="inlineStr">
        <is>
          <t>hayday.info /api/production-data (https://hayday.info/api/production-data)</t>
        </is>
      </c>
    </row>
    <row r="67" ht="15" customHeight="1" s="29">
      <c r="A67" s="32" t="inlineStr">
        <is>
          <t>Raspberry mocha</t>
        </is>
      </c>
      <c r="B67" s="32" t="inlineStr">
        <is>
          <t>Coffee Kiosk</t>
        </is>
      </c>
      <c r="C67" s="33" t="n">
        <v>46</v>
      </c>
      <c r="D67" s="34" t="n">
        <v>25</v>
      </c>
      <c r="E67" s="35" t="n">
        <v>259</v>
      </c>
      <c r="F67" s="33" t="n">
        <v>31</v>
      </c>
      <c r="G67" s="36" t="n">
        <v>30.58823529</v>
      </c>
      <c r="H67" s="37" t="n">
        <v>72.94117647</v>
      </c>
      <c r="I67" s="32">
        <f>IF(G67&lt;0,"negative profit",IF(G67&gt;Notes!$B$4,"unusually high - verify",""))</f>
        <v/>
      </c>
      <c r="J67" s="32" t="inlineStr">
        <is>
          <t>hayday.info /api/production-data (https://hayday.info/api/production-data)</t>
        </is>
      </c>
    </row>
    <row r="68" ht="15" customHeight="1" s="29">
      <c r="A68" s="32" t="inlineStr">
        <is>
          <t>Hot chocolate</t>
        </is>
      </c>
      <c r="B68" s="32" t="inlineStr">
        <is>
          <t>Coffee Kiosk</t>
        </is>
      </c>
      <c r="C68" s="33" t="n">
        <v>47</v>
      </c>
      <c r="D68" s="34" t="n">
        <v>21</v>
      </c>
      <c r="E68" s="35" t="n">
        <v>316</v>
      </c>
      <c r="F68" s="33" t="n">
        <v>38</v>
      </c>
      <c r="G68" s="36" t="n">
        <v>33.88235294</v>
      </c>
      <c r="H68" s="37" t="n">
        <v>107.2941176</v>
      </c>
      <c r="I68" s="32">
        <f>IF(G68&lt;0,"negative profit",IF(G68&gt;Notes!$B$4,"unusually high - verify",""))</f>
        <v/>
      </c>
      <c r="J68" s="32" t="inlineStr">
        <is>
          <t>hayday.info /api/production-data (https://hayday.info/api/production-data)</t>
        </is>
      </c>
    </row>
    <row r="69" ht="15" customHeight="1" s="29">
      <c r="A69" s="32" t="inlineStr">
        <is>
          <t>Caramel latte</t>
        </is>
      </c>
      <c r="B69" s="32" t="inlineStr">
        <is>
          <t>Coffee Kiosk</t>
        </is>
      </c>
      <c r="C69" s="33" t="n">
        <v>62</v>
      </c>
      <c r="D69" s="34" t="n">
        <v>12</v>
      </c>
      <c r="E69" s="35" t="n">
        <v>345</v>
      </c>
      <c r="F69" s="33" t="n">
        <v>41</v>
      </c>
      <c r="G69" s="36" t="n">
        <v>42.35294118</v>
      </c>
      <c r="H69" s="37" t="n">
        <v>192.9411765</v>
      </c>
      <c r="I69" s="32">
        <f>IF(G69&lt;0,"negative profit",IF(G69&gt;Notes!$B$4,"unusually high - verify",""))</f>
        <v/>
      </c>
      <c r="J69" s="32" t="inlineStr">
        <is>
          <t>hayday.info /api/production-data (https://hayday.info/api/production-data)</t>
        </is>
      </c>
    </row>
    <row r="70" ht="15" customHeight="1" s="29">
      <c r="A70" s="32" t="inlineStr">
        <is>
          <t>Iced banana latte</t>
        </is>
      </c>
      <c r="B70" s="32" t="inlineStr">
        <is>
          <t>Coffee Kiosk</t>
        </is>
      </c>
      <c r="C70" s="33" t="n">
        <v>88</v>
      </c>
      <c r="D70" s="34" t="n">
        <v>17</v>
      </c>
      <c r="E70" s="35" t="n">
        <v>277</v>
      </c>
      <c r="F70" s="33" t="n">
        <v>33</v>
      </c>
      <c r="G70" s="36" t="n">
        <v>45.88235294</v>
      </c>
      <c r="H70" s="37" t="n">
        <v>116.4705882</v>
      </c>
      <c r="I70" s="32">
        <f>IF(G70&lt;0,"negative profit",IF(G70&gt;Notes!$B$4,"unusually high - verify",""))</f>
        <v/>
      </c>
      <c r="J70" s="32" t="inlineStr">
        <is>
          <t>hayday.info /api/production-data (https://hayday.info/api/production-data)</t>
        </is>
      </c>
    </row>
    <row r="71" ht="15" customHeight="1" s="29">
      <c r="A71" s="32" t="inlineStr">
        <is>
          <t>Wheat</t>
        </is>
      </c>
      <c r="B71" s="32" t="inlineStr">
        <is>
          <t>Crops</t>
        </is>
      </c>
      <c r="C71" s="33" t="n">
        <v>1</v>
      </c>
      <c r="D71" s="34" t="n">
        <v>2</v>
      </c>
      <c r="E71" s="35" t="n">
        <v>3</v>
      </c>
      <c r="F71" s="33" t="n">
        <v>1</v>
      </c>
      <c r="G71" s="36" t="n">
        <v>90</v>
      </c>
      <c r="H71" s="37" t="n">
        <v>30</v>
      </c>
      <c r="I71" s="32">
        <f>IF(G71&lt;0,"negative profit",IF(G71&gt;Notes!$B$4,"unusually high - verify",""))</f>
        <v/>
      </c>
      <c r="J71" s="32" t="inlineStr">
        <is>
          <t>hayday.info /api/production-data (https://hayday.info/api/production-data)</t>
        </is>
      </c>
    </row>
    <row r="72" ht="15" customHeight="1" s="29">
      <c r="A72" s="32" t="inlineStr">
        <is>
          <t>Corn</t>
        </is>
      </c>
      <c r="B72" s="32" t="inlineStr">
        <is>
          <t>Crops</t>
        </is>
      </c>
      <c r="C72" s="33" t="n">
        <v>2</v>
      </c>
      <c r="D72" s="34" t="n">
        <v>5</v>
      </c>
      <c r="E72" s="35" t="n">
        <v>7</v>
      </c>
      <c r="F72" s="33" t="n">
        <v>1</v>
      </c>
      <c r="G72" s="36" t="n">
        <v>84</v>
      </c>
      <c r="H72" s="37" t="n">
        <v>12</v>
      </c>
      <c r="I72" s="32">
        <f>IF(G72&lt;0,"negative profit",IF(G72&gt;Notes!$B$4,"unusually high - verify",""))</f>
        <v/>
      </c>
      <c r="J72" s="32" t="inlineStr">
        <is>
          <t>hayday.info /api/production-data (https://hayday.info/api/production-data)</t>
        </is>
      </c>
    </row>
    <row r="73" ht="15" customHeight="1" s="29">
      <c r="A73" s="32" t="inlineStr">
        <is>
          <t>Soybean</t>
        </is>
      </c>
      <c r="B73" s="32" t="inlineStr">
        <is>
          <t>Crops</t>
        </is>
      </c>
      <c r="C73" s="33" t="n">
        <v>5</v>
      </c>
      <c r="D73" s="34" t="n">
        <v>20</v>
      </c>
      <c r="E73" s="35" t="n">
        <v>10</v>
      </c>
      <c r="F73" s="33" t="n">
        <v>2</v>
      </c>
      <c r="G73" s="36" t="n">
        <v>30</v>
      </c>
      <c r="H73" s="37" t="n">
        <v>6</v>
      </c>
      <c r="I73" s="32">
        <f>IF(G73&lt;0,"negative profit",IF(G73&gt;Notes!$B$4,"unusually high - verify",""))</f>
        <v/>
      </c>
      <c r="J73" s="32" t="inlineStr">
        <is>
          <t>hayday.info /api/production-data (https://hayday.info/api/production-data)</t>
        </is>
      </c>
    </row>
    <row r="74" ht="15" customHeight="1" s="29">
      <c r="A74" s="32" t="inlineStr">
        <is>
          <t>Sugarcane</t>
        </is>
      </c>
      <c r="B74" s="32" t="inlineStr">
        <is>
          <t>Crops</t>
        </is>
      </c>
      <c r="C74" s="33" t="n">
        <v>7</v>
      </c>
      <c r="D74" s="34" t="n">
        <v>30</v>
      </c>
      <c r="E74" s="35" t="n">
        <v>14</v>
      </c>
      <c r="F74" s="33" t="n">
        <v>3</v>
      </c>
      <c r="G74" s="36" t="n">
        <v>28</v>
      </c>
      <c r="H74" s="37" t="n">
        <v>6</v>
      </c>
      <c r="I74" s="32">
        <f>IF(G74&lt;0,"negative profit",IF(G74&gt;Notes!$B$4,"unusually high - verify",""))</f>
        <v/>
      </c>
      <c r="J74" s="32" t="inlineStr">
        <is>
          <t>hayday.info /api/production-data (https://hayday.info/api/production-data)</t>
        </is>
      </c>
    </row>
    <row r="75" ht="15" customHeight="1" s="29">
      <c r="A75" s="32" t="inlineStr">
        <is>
          <t>Carrot</t>
        </is>
      </c>
      <c r="B75" s="32" t="inlineStr">
        <is>
          <t>Crops</t>
        </is>
      </c>
      <c r="C75" s="33" t="n">
        <v>9</v>
      </c>
      <c r="D75" s="34" t="n">
        <v>10</v>
      </c>
      <c r="E75" s="35" t="n">
        <v>7</v>
      </c>
      <c r="F75" s="33" t="n">
        <v>2</v>
      </c>
      <c r="G75" s="36" t="n">
        <v>42</v>
      </c>
      <c r="H75" s="37" t="n">
        <v>12</v>
      </c>
      <c r="I75" s="32">
        <f>IF(G75&lt;0,"negative profit",IF(G75&gt;Notes!$B$4,"unusually high - verify",""))</f>
        <v/>
      </c>
      <c r="J75" s="32" t="inlineStr">
        <is>
          <t>hayday.info /api/production-data (https://hayday.info/api/production-data)</t>
        </is>
      </c>
    </row>
    <row r="76" ht="15" customHeight="1" s="29">
      <c r="A76" s="32" t="inlineStr">
        <is>
          <t>Indigo</t>
        </is>
      </c>
      <c r="B76" s="32" t="inlineStr">
        <is>
          <t>Crops</t>
        </is>
      </c>
      <c r="C76" s="33" t="n">
        <v>13</v>
      </c>
      <c r="D76" s="34" t="n">
        <v>120</v>
      </c>
      <c r="E76" s="35" t="n">
        <v>25</v>
      </c>
      <c r="F76" s="33" t="n">
        <v>5</v>
      </c>
      <c r="G76" s="36" t="n">
        <v>12.5</v>
      </c>
      <c r="H76" s="37" t="n">
        <v>2.5</v>
      </c>
      <c r="I76" s="32">
        <f>IF(G76&lt;0,"negative profit",IF(G76&gt;Notes!$B$4,"unusually high - verify",""))</f>
        <v/>
      </c>
      <c r="J76" s="32" t="inlineStr">
        <is>
          <t>hayday.info /api/production-data (https://hayday.info/api/production-data)</t>
        </is>
      </c>
    </row>
    <row r="77" ht="15" customHeight="1" s="29">
      <c r="A77" s="32" t="inlineStr">
        <is>
          <t>Pumpkin</t>
        </is>
      </c>
      <c r="B77" s="32" t="inlineStr">
        <is>
          <t>Crops</t>
        </is>
      </c>
      <c r="C77" s="33" t="n">
        <v>15</v>
      </c>
      <c r="D77" s="34" t="n">
        <v>180</v>
      </c>
      <c r="E77" s="35" t="n">
        <v>32</v>
      </c>
      <c r="F77" s="33" t="n">
        <v>6</v>
      </c>
      <c r="G77" s="36" t="n">
        <v>10.66666667</v>
      </c>
      <c r="H77" s="37" t="n">
        <v>2</v>
      </c>
      <c r="I77" s="32">
        <f>IF(G77&lt;0,"negative profit",IF(G77&gt;Notes!$B$4,"unusually high - verify",""))</f>
        <v/>
      </c>
      <c r="J77" s="32" t="inlineStr">
        <is>
          <t>hayday.info /api/production-data (https://hayday.info/api/production-data)</t>
        </is>
      </c>
    </row>
    <row r="78" ht="15" customHeight="1" s="29">
      <c r="A78" s="32" t="inlineStr">
        <is>
          <t>Cotton</t>
        </is>
      </c>
      <c r="B78" s="32" t="inlineStr">
        <is>
          <t>Crops</t>
        </is>
      </c>
      <c r="C78" s="33" t="n">
        <v>18</v>
      </c>
      <c r="D78" s="34" t="n">
        <v>150</v>
      </c>
      <c r="E78" s="35" t="n">
        <v>28</v>
      </c>
      <c r="F78" s="33" t="n">
        <v>6</v>
      </c>
      <c r="G78" s="36" t="n">
        <v>11.2</v>
      </c>
      <c r="H78" s="37" t="n">
        <v>2.4</v>
      </c>
      <c r="I78" s="32">
        <f>IF(G78&lt;0,"negative profit",IF(G78&gt;Notes!$B$4,"unusually high - verify",""))</f>
        <v/>
      </c>
      <c r="J78" s="32" t="inlineStr">
        <is>
          <t>hayday.info /api/production-data (https://hayday.info/api/production-data)</t>
        </is>
      </c>
    </row>
    <row r="79" ht="15" customHeight="1" s="29">
      <c r="A79" s="32" t="inlineStr">
        <is>
          <t>Chili pepper</t>
        </is>
      </c>
      <c r="B79" s="32" t="inlineStr">
        <is>
          <t>Crops</t>
        </is>
      </c>
      <c r="C79" s="33" t="n">
        <v>25</v>
      </c>
      <c r="D79" s="34" t="n">
        <v>240</v>
      </c>
      <c r="E79" s="35" t="n">
        <v>36</v>
      </c>
      <c r="F79" s="33" t="n">
        <v>4</v>
      </c>
      <c r="G79" s="36" t="n">
        <v>9</v>
      </c>
      <c r="H79" s="37" t="n">
        <v>1</v>
      </c>
      <c r="I79" s="32">
        <f>IF(G79&lt;0,"negative profit",IF(G79&gt;Notes!$B$4,"unusually high - verify",""))</f>
        <v/>
      </c>
      <c r="J79" s="32" t="inlineStr">
        <is>
          <t>hayday.info /api/production-data (https://hayday.info/api/production-data)</t>
        </is>
      </c>
    </row>
    <row r="80" ht="15" customHeight="1" s="29">
      <c r="A80" s="32" t="inlineStr">
        <is>
          <t>Tomato</t>
        </is>
      </c>
      <c r="B80" s="32" t="inlineStr">
        <is>
          <t>Crops</t>
        </is>
      </c>
      <c r="C80" s="33" t="n">
        <v>30</v>
      </c>
      <c r="D80" s="34" t="n">
        <v>360</v>
      </c>
      <c r="E80" s="35" t="n">
        <v>43</v>
      </c>
      <c r="F80" s="33" t="n">
        <v>8</v>
      </c>
      <c r="G80" s="36" t="n">
        <v>7.166666667</v>
      </c>
      <c r="H80" s="37" t="n">
        <v>1.333333333</v>
      </c>
      <c r="I80" s="32">
        <f>IF(G80&lt;0,"negative profit",IF(G80&gt;Notes!$B$4,"unusually high - verify",""))</f>
        <v/>
      </c>
      <c r="J80" s="32" t="inlineStr">
        <is>
          <t>hayday.info /api/production-data (https://hayday.info/api/production-data)</t>
        </is>
      </c>
    </row>
    <row r="81" ht="15" customHeight="1" s="29">
      <c r="A81" s="32" t="inlineStr">
        <is>
          <t>Strawberry</t>
        </is>
      </c>
      <c r="B81" s="32" t="inlineStr">
        <is>
          <t>Crops</t>
        </is>
      </c>
      <c r="C81" s="33" t="n">
        <v>34</v>
      </c>
      <c r="D81" s="34" t="n">
        <v>480</v>
      </c>
      <c r="E81" s="35" t="n">
        <v>50</v>
      </c>
      <c r="F81" s="33" t="n">
        <v>10</v>
      </c>
      <c r="G81" s="36" t="n">
        <v>6.25</v>
      </c>
      <c r="H81" s="37" t="n">
        <v>1.25</v>
      </c>
      <c r="I81" s="32">
        <f>IF(G81&lt;0,"negative profit",IF(G81&gt;Notes!$B$4,"unusually high - verify",""))</f>
        <v/>
      </c>
      <c r="J81" s="32" t="inlineStr">
        <is>
          <t>hayday.info /api/production-data (https://hayday.info/api/production-data)</t>
        </is>
      </c>
    </row>
    <row r="82" ht="15" customHeight="1" s="29">
      <c r="A82" s="32" t="inlineStr">
        <is>
          <t>Potato</t>
        </is>
      </c>
      <c r="B82" s="32" t="inlineStr">
        <is>
          <t>Crops</t>
        </is>
      </c>
      <c r="C82" s="33" t="n">
        <v>35</v>
      </c>
      <c r="D82" s="34" t="n">
        <v>220</v>
      </c>
      <c r="E82" s="35" t="n">
        <v>36</v>
      </c>
      <c r="F82" s="33" t="n">
        <v>7</v>
      </c>
      <c r="G82" s="36" t="n">
        <v>9.818181817999999</v>
      </c>
      <c r="H82" s="37" t="n">
        <v>1.909090909</v>
      </c>
      <c r="I82" s="32">
        <f>IF(G82&lt;0,"negative profit",IF(G82&gt;Notes!$B$4,"unusually high - verify",""))</f>
        <v/>
      </c>
      <c r="J82" s="32" t="inlineStr">
        <is>
          <t>hayday.info /api/production-data (https://hayday.info/api/production-data)</t>
        </is>
      </c>
    </row>
    <row r="83" ht="15" customHeight="1" s="29">
      <c r="A83" s="32" t="inlineStr">
        <is>
          <t>Sesame</t>
        </is>
      </c>
      <c r="B83" s="32" t="inlineStr">
        <is>
          <t>Crops</t>
        </is>
      </c>
      <c r="C83" s="33" t="n">
        <v>50</v>
      </c>
      <c r="D83" s="34" t="n">
        <v>60</v>
      </c>
      <c r="E83" s="35" t="n">
        <v>18</v>
      </c>
      <c r="F83" s="33" t="n">
        <v>4</v>
      </c>
      <c r="G83" s="36" t="n">
        <v>18</v>
      </c>
      <c r="H83" s="37" t="n">
        <v>4</v>
      </c>
      <c r="I83" s="32">
        <f>IF(G83&lt;0,"negative profit",IF(G83&gt;Notes!$B$4,"unusually high - verify",""))</f>
        <v/>
      </c>
      <c r="J83" s="32" t="inlineStr">
        <is>
          <t>hayday.info /api/production-data (https://hayday.info/api/production-data)</t>
        </is>
      </c>
    </row>
    <row r="84" ht="15" customHeight="1" s="29">
      <c r="A84" s="32" t="inlineStr">
        <is>
          <t>Pineapple</t>
        </is>
      </c>
      <c r="B84" s="32" t="inlineStr">
        <is>
          <t>Crops</t>
        </is>
      </c>
      <c r="C84" s="33" t="n">
        <v>52</v>
      </c>
      <c r="D84" s="34" t="n">
        <v>30</v>
      </c>
      <c r="E84" s="35" t="n">
        <v>14</v>
      </c>
      <c r="F84" s="33" t="n">
        <v>3</v>
      </c>
      <c r="G84" s="36" t="n">
        <v>28</v>
      </c>
      <c r="H84" s="37" t="n">
        <v>6</v>
      </c>
      <c r="I84" s="32">
        <f>IF(G84&lt;0,"negative profit",IF(G84&gt;Notes!$B$4,"unusually high - verify",""))</f>
        <v/>
      </c>
      <c r="J84" s="32" t="inlineStr">
        <is>
          <t>hayday.info /api/production-data (https://hayday.info/api/production-data)</t>
        </is>
      </c>
    </row>
    <row r="85" ht="15" customHeight="1" s="29">
      <c r="A85" s="32" t="inlineStr">
        <is>
          <t>Lily</t>
        </is>
      </c>
      <c r="B85" s="32" t="inlineStr">
        <is>
          <t>Crops</t>
        </is>
      </c>
      <c r="C85" s="33" t="n">
        <v>53</v>
      </c>
      <c r="D85" s="34" t="n">
        <v>90</v>
      </c>
      <c r="E85" s="35" t="n">
        <v>21</v>
      </c>
      <c r="F85" s="33" t="n">
        <v>5</v>
      </c>
      <c r="G85" s="36" t="n">
        <v>14</v>
      </c>
      <c r="H85" s="37" t="n">
        <v>3.333333333</v>
      </c>
      <c r="I85" s="32">
        <f>IF(G85&lt;0,"negative profit",IF(G85&gt;Notes!$B$4,"unusually high - verify",""))</f>
        <v/>
      </c>
      <c r="J85" s="32" t="inlineStr">
        <is>
          <t>hayday.info /api/production-data (https://hayday.info/api/production-data)</t>
        </is>
      </c>
    </row>
    <row r="86" ht="15" customHeight="1" s="29">
      <c r="A86" s="32" t="inlineStr">
        <is>
          <t>Rice</t>
        </is>
      </c>
      <c r="B86" s="32" t="inlineStr">
        <is>
          <t>Crops</t>
        </is>
      </c>
      <c r="C86" s="33" t="n">
        <v>56</v>
      </c>
      <c r="D86" s="34" t="n">
        <v>45</v>
      </c>
      <c r="E86" s="35" t="n">
        <v>18</v>
      </c>
      <c r="F86" s="33" t="n">
        <v>3</v>
      </c>
      <c r="G86" s="36" t="n">
        <v>24</v>
      </c>
      <c r="H86" s="37" t="n">
        <v>4</v>
      </c>
      <c r="I86" s="32">
        <f>IF(G86&lt;0,"negative profit",IF(G86&gt;Notes!$B$4,"unusually high - verify",""))</f>
        <v/>
      </c>
      <c r="J86" s="32" t="inlineStr">
        <is>
          <t>hayday.info /api/production-data (https://hayday.info/api/production-data)</t>
        </is>
      </c>
    </row>
    <row r="87" ht="15" customHeight="1" s="29">
      <c r="A87" s="32" t="inlineStr">
        <is>
          <t>Lettuce</t>
        </is>
      </c>
      <c r="B87" s="32" t="inlineStr">
        <is>
          <t>Crops</t>
        </is>
      </c>
      <c r="C87" s="33" t="n">
        <v>58</v>
      </c>
      <c r="D87" s="34" t="n">
        <v>210</v>
      </c>
      <c r="E87" s="35" t="n">
        <v>32</v>
      </c>
      <c r="F87" s="33" t="n">
        <v>7</v>
      </c>
      <c r="G87" s="36" t="n">
        <v>9.142857143000001</v>
      </c>
      <c r="H87" s="37" t="n">
        <v>2</v>
      </c>
      <c r="I87" s="32">
        <f>IF(G87&lt;0,"negative profit",IF(G87&gt;Notes!$B$4,"unusually high - verify",""))</f>
        <v/>
      </c>
      <c r="J87" s="32" t="inlineStr">
        <is>
          <t>hayday.info /api/production-data (https://hayday.info/api/production-data)</t>
        </is>
      </c>
    </row>
    <row r="88" ht="15" customHeight="1" s="29">
      <c r="A88" s="32" t="inlineStr">
        <is>
          <t>Garlic</t>
        </is>
      </c>
      <c r="B88" s="32" t="inlineStr">
        <is>
          <t>Crops</t>
        </is>
      </c>
      <c r="C88" s="33" t="n">
        <v>60</v>
      </c>
      <c r="D88" s="34" t="n">
        <v>30</v>
      </c>
      <c r="E88" s="35" t="n">
        <v>14</v>
      </c>
      <c r="F88" s="33" t="n">
        <v>3</v>
      </c>
      <c r="G88" s="36" t="n">
        <v>28</v>
      </c>
      <c r="H88" s="37" t="n">
        <v>6</v>
      </c>
      <c r="I88" s="32">
        <f>IF(G88&lt;0,"negative profit",IF(G88&gt;Notes!$B$4,"unusually high - verify",""))</f>
        <v/>
      </c>
      <c r="J88" s="32" t="inlineStr">
        <is>
          <t>hayday.info /api/production-data (https://hayday.info/api/production-data)</t>
        </is>
      </c>
    </row>
    <row r="89" ht="15" customHeight="1" s="29">
      <c r="A89" s="32" t="inlineStr">
        <is>
          <t>Sunflower</t>
        </is>
      </c>
      <c r="B89" s="32" t="inlineStr">
        <is>
          <t>Crops</t>
        </is>
      </c>
      <c r="C89" s="33" t="n">
        <v>63</v>
      </c>
      <c r="D89" s="34" t="n">
        <v>90</v>
      </c>
      <c r="E89" s="35" t="n">
        <v>21</v>
      </c>
      <c r="F89" s="33" t="n">
        <v>5</v>
      </c>
      <c r="G89" s="36" t="n">
        <v>14</v>
      </c>
      <c r="H89" s="37" t="n">
        <v>3.333333333</v>
      </c>
      <c r="I89" s="32">
        <f>IF(G89&lt;0,"negative profit",IF(G89&gt;Notes!$B$4,"unusually high - verify",""))</f>
        <v/>
      </c>
      <c r="J89" s="32" t="inlineStr">
        <is>
          <t>hayday.info /api/production-data (https://hayday.info/api/production-data)</t>
        </is>
      </c>
    </row>
    <row r="90" ht="15" customHeight="1" s="29">
      <c r="A90" s="32" t="inlineStr">
        <is>
          <t>Cabbage</t>
        </is>
      </c>
      <c r="B90" s="32" t="inlineStr">
        <is>
          <t>Crops</t>
        </is>
      </c>
      <c r="C90" s="33" t="n">
        <v>65</v>
      </c>
      <c r="D90" s="34" t="n">
        <v>45</v>
      </c>
      <c r="E90" s="35" t="n">
        <v>18</v>
      </c>
      <c r="F90" s="33" t="n">
        <v>3</v>
      </c>
      <c r="G90" s="36" t="n">
        <v>24</v>
      </c>
      <c r="H90" s="37" t="n">
        <v>4</v>
      </c>
      <c r="I90" s="32">
        <f>IF(G90&lt;0,"negative profit",IF(G90&gt;Notes!$B$4,"unusually high - verify",""))</f>
        <v/>
      </c>
      <c r="J90" s="32" t="inlineStr">
        <is>
          <t>hayday.info /api/production-data (https://hayday.info/api/production-data)</t>
        </is>
      </c>
    </row>
    <row r="91" ht="15" customHeight="1" s="29">
      <c r="A91" s="32" t="inlineStr">
        <is>
          <t>Onion</t>
        </is>
      </c>
      <c r="B91" s="32" t="inlineStr">
        <is>
          <t>Crops</t>
        </is>
      </c>
      <c r="C91" s="33" t="n">
        <v>68</v>
      </c>
      <c r="D91" s="34" t="n">
        <v>300</v>
      </c>
      <c r="E91" s="35" t="n">
        <v>39</v>
      </c>
      <c r="F91" s="33" t="n">
        <v>8</v>
      </c>
      <c r="G91" s="36" t="n">
        <v>7.8</v>
      </c>
      <c r="H91" s="37" t="n">
        <v>1.6</v>
      </c>
      <c r="I91" s="32">
        <f>IF(G91&lt;0,"negative profit",IF(G91&gt;Notes!$B$4,"unusually high - verify",""))</f>
        <v/>
      </c>
      <c r="J91" s="32" t="inlineStr">
        <is>
          <t>hayday.info /api/production-data (https://hayday.info/api/production-data)</t>
        </is>
      </c>
    </row>
    <row r="92" ht="15" customHeight="1" s="29">
      <c r="A92" s="32" t="inlineStr">
        <is>
          <t>Cucumber</t>
        </is>
      </c>
      <c r="B92" s="32" t="inlineStr">
        <is>
          <t>Crops</t>
        </is>
      </c>
      <c r="C92" s="33" t="n">
        <v>70</v>
      </c>
      <c r="D92" s="34" t="n">
        <v>35</v>
      </c>
      <c r="E92" s="35" t="n">
        <v>14</v>
      </c>
      <c r="F92" s="33" t="n">
        <v>3</v>
      </c>
      <c r="G92" s="36" t="n">
        <v>24</v>
      </c>
      <c r="H92" s="37" t="n">
        <v>5.142857143</v>
      </c>
      <c r="I92" s="32">
        <f>IF(G92&lt;0,"negative profit",IF(G92&gt;Notes!$B$4,"unusually high - verify",""))</f>
        <v/>
      </c>
      <c r="J92" s="32" t="inlineStr">
        <is>
          <t>hayday.info /api/production-data (https://hayday.info/api/production-data)</t>
        </is>
      </c>
    </row>
    <row r="93" ht="15" customHeight="1" s="29">
      <c r="A93" s="32" t="inlineStr">
        <is>
          <t>Beetroot</t>
        </is>
      </c>
      <c r="B93" s="32" t="inlineStr">
        <is>
          <t>Crops</t>
        </is>
      </c>
      <c r="C93" s="33" t="n">
        <v>72</v>
      </c>
      <c r="D93" s="34" t="n">
        <v>40</v>
      </c>
      <c r="E93" s="35" t="n">
        <v>14</v>
      </c>
      <c r="F93" s="33" t="n">
        <v>3</v>
      </c>
      <c r="G93" s="36" t="n">
        <v>21</v>
      </c>
      <c r="H93" s="37" t="n">
        <v>4.5</v>
      </c>
      <c r="I93" s="32">
        <f>IF(G93&lt;0,"negative profit",IF(G93&gt;Notes!$B$4,"unusually high - verify",""))</f>
        <v/>
      </c>
      <c r="J93" s="32" t="inlineStr">
        <is>
          <t>hayday.info /api/production-data (https://hayday.info/api/production-data)</t>
        </is>
      </c>
    </row>
    <row r="94" ht="15" customHeight="1" s="29">
      <c r="A94" s="32" t="inlineStr">
        <is>
          <t>Bell pepper</t>
        </is>
      </c>
      <c r="B94" s="32" t="inlineStr">
        <is>
          <t>Crops</t>
        </is>
      </c>
      <c r="C94" s="33" t="n">
        <v>74</v>
      </c>
      <c r="D94" s="34" t="n">
        <v>270</v>
      </c>
      <c r="E94" s="35" t="n">
        <v>36</v>
      </c>
      <c r="F94" s="33" t="n">
        <v>7</v>
      </c>
      <c r="G94" s="36" t="n">
        <v>8</v>
      </c>
      <c r="H94" s="37" t="n">
        <v>1.555555556</v>
      </c>
      <c r="I94" s="32">
        <f>IF(G94&lt;0,"negative profit",IF(G94&gt;Notes!$B$4,"unusually high - verify",""))</f>
        <v/>
      </c>
      <c r="J94" s="32" t="inlineStr">
        <is>
          <t>hayday.info /api/production-data (https://hayday.info/api/production-data)</t>
        </is>
      </c>
    </row>
    <row r="95" ht="15" customHeight="1" s="29">
      <c r="A95" s="32" t="inlineStr">
        <is>
          <t>Ginger</t>
        </is>
      </c>
      <c r="B95" s="32" t="inlineStr">
        <is>
          <t>Crops</t>
        </is>
      </c>
      <c r="C95" s="33" t="n">
        <v>78</v>
      </c>
      <c r="D95" s="34" t="n">
        <v>150</v>
      </c>
      <c r="E95" s="35" t="n">
        <v>28</v>
      </c>
      <c r="F95" s="33" t="n">
        <v>6</v>
      </c>
      <c r="G95" s="36" t="n">
        <v>11.2</v>
      </c>
      <c r="H95" s="37" t="n">
        <v>2.4</v>
      </c>
      <c r="I95" s="32">
        <f>IF(G95&lt;0,"negative profit",IF(G95&gt;Notes!$B$4,"unusually high - verify",""))</f>
        <v/>
      </c>
      <c r="J95" s="32" t="inlineStr">
        <is>
          <t>hayday.info /api/production-data (https://hayday.info/api/production-data)</t>
        </is>
      </c>
    </row>
    <row r="96" ht="15" customHeight="1" s="29">
      <c r="A96" s="32" t="inlineStr">
        <is>
          <t>Tea leaf</t>
        </is>
      </c>
      <c r="B96" s="32" t="inlineStr">
        <is>
          <t>Crops</t>
        </is>
      </c>
      <c r="C96" s="33" t="n">
        <v>80</v>
      </c>
      <c r="D96" s="34" t="n">
        <v>390</v>
      </c>
      <c r="E96" s="35" t="n">
        <v>43</v>
      </c>
      <c r="F96" s="33" t="n">
        <v>9</v>
      </c>
      <c r="G96" s="36" t="n">
        <v>6.615384615</v>
      </c>
      <c r="H96" s="37" t="n">
        <v>1.384615385</v>
      </c>
      <c r="I96" s="32">
        <f>IF(G96&lt;0,"negative profit",IF(G96&gt;Notes!$B$4,"unusually high - verify",""))</f>
        <v/>
      </c>
      <c r="J96" s="32" t="inlineStr">
        <is>
          <t>hayday.info /api/production-data (https://hayday.info/api/production-data)</t>
        </is>
      </c>
    </row>
    <row r="97" ht="15" customHeight="1" s="29">
      <c r="A97" s="32" t="inlineStr">
        <is>
          <t>Peony</t>
        </is>
      </c>
      <c r="B97" s="32" t="inlineStr">
        <is>
          <t>Crops</t>
        </is>
      </c>
      <c r="C97" s="33" t="n">
        <v>82</v>
      </c>
      <c r="D97" s="34" t="n">
        <v>240</v>
      </c>
      <c r="E97" s="35" t="n">
        <v>36</v>
      </c>
      <c r="F97" s="33" t="n">
        <v>7</v>
      </c>
      <c r="G97" s="36" t="n">
        <v>9</v>
      </c>
      <c r="H97" s="37" t="n">
        <v>1.75</v>
      </c>
      <c r="I97" s="32">
        <f>IF(G97&lt;0,"negative profit",IF(G97&gt;Notes!$B$4,"unusually high - verify",""))</f>
        <v/>
      </c>
      <c r="J97" s="32" t="inlineStr">
        <is>
          <t>hayday.info /api/production-data (https://hayday.info/api/production-data)</t>
        </is>
      </c>
    </row>
    <row r="98" ht="15" customHeight="1" s="29">
      <c r="A98" s="32" t="inlineStr">
        <is>
          <t>Broccoli</t>
        </is>
      </c>
      <c r="B98" s="32" t="inlineStr">
        <is>
          <t>Crops</t>
        </is>
      </c>
      <c r="C98" s="33" t="n">
        <v>83</v>
      </c>
      <c r="D98" s="34" t="n">
        <v>90</v>
      </c>
      <c r="E98" s="35" t="n">
        <v>21</v>
      </c>
      <c r="F98" s="33" t="n">
        <v>4</v>
      </c>
      <c r="G98" s="36" t="n">
        <v>14</v>
      </c>
      <c r="H98" s="37" t="n">
        <v>2.666666667</v>
      </c>
      <c r="I98" s="32">
        <f>IF(G98&lt;0,"negative profit",IF(G98&gt;Notes!$B$4,"unusually high - verify",""))</f>
        <v/>
      </c>
      <c r="J98" s="32" t="inlineStr">
        <is>
          <t>hayday.info /api/production-data (https://hayday.info/api/production-data)</t>
        </is>
      </c>
    </row>
    <row r="99" ht="15" customHeight="1" s="29">
      <c r="A99" s="32" t="inlineStr">
        <is>
          <t>Grapes</t>
        </is>
      </c>
      <c r="B99" s="32" t="inlineStr">
        <is>
          <t>Crops</t>
        </is>
      </c>
      <c r="C99" s="33" t="n">
        <v>84</v>
      </c>
      <c r="D99" s="34" t="n">
        <v>180</v>
      </c>
      <c r="E99" s="35" t="n">
        <v>32</v>
      </c>
      <c r="F99" s="33" t="n">
        <v>6</v>
      </c>
      <c r="G99" s="36" t="n">
        <v>10.66666667</v>
      </c>
      <c r="H99" s="37" t="n">
        <v>2</v>
      </c>
      <c r="I99" s="32">
        <f>IF(G99&lt;0,"negative profit",IF(G99&gt;Notes!$B$4,"unusually high - verify",""))</f>
        <v/>
      </c>
      <c r="J99" s="32" t="inlineStr">
        <is>
          <t>hayday.info /api/production-data (https://hayday.info/api/production-data)</t>
        </is>
      </c>
    </row>
    <row r="100" ht="15" customHeight="1" s="29">
      <c r="A100" s="32" t="inlineStr">
        <is>
          <t>Mint</t>
        </is>
      </c>
      <c r="B100" s="32" t="inlineStr">
        <is>
          <t>Crops</t>
        </is>
      </c>
      <c r="C100" s="33" t="n">
        <v>85</v>
      </c>
      <c r="D100" s="34" t="n">
        <v>180</v>
      </c>
      <c r="E100" s="35" t="n">
        <v>32</v>
      </c>
      <c r="F100" s="33" t="n">
        <v>6</v>
      </c>
      <c r="G100" s="36" t="n">
        <v>10.66666667</v>
      </c>
      <c r="H100" s="37" t="n">
        <v>2</v>
      </c>
      <c r="I100" s="32">
        <f>IF(G100&lt;0,"negative profit",IF(G100&gt;Notes!$B$4,"unusually high - verify",""))</f>
        <v/>
      </c>
      <c r="J100" s="32" t="inlineStr">
        <is>
          <t>hayday.info /api/production-data (https://hayday.info/api/production-data)</t>
        </is>
      </c>
    </row>
    <row r="101" ht="15" customHeight="1" s="29">
      <c r="A101" s="32" t="inlineStr">
        <is>
          <t>Passion fruit</t>
        </is>
      </c>
      <c r="B101" s="32" t="inlineStr">
        <is>
          <t>Crops</t>
        </is>
      </c>
      <c r="C101" s="33" t="n">
        <v>88</v>
      </c>
      <c r="D101" s="34" t="n">
        <v>60</v>
      </c>
      <c r="E101" s="35" t="n">
        <v>18</v>
      </c>
      <c r="F101" s="33" t="n">
        <v>4</v>
      </c>
      <c r="G101" s="36" t="n">
        <v>18</v>
      </c>
      <c r="H101" s="37" t="n">
        <v>4</v>
      </c>
      <c r="I101" s="32">
        <f>IF(G101&lt;0,"negative profit",IF(G101&gt;Notes!$B$4,"unusually high - verify",""))</f>
        <v/>
      </c>
      <c r="J101" s="32" t="inlineStr">
        <is>
          <t>hayday.info /api/production-data (https://hayday.info/api/production-data)</t>
        </is>
      </c>
    </row>
    <row r="102" ht="15" customHeight="1" s="29">
      <c r="A102" s="32" t="inlineStr">
        <is>
          <t>Mushroom</t>
        </is>
      </c>
      <c r="B102" s="32" t="inlineStr">
        <is>
          <t>Crops</t>
        </is>
      </c>
      <c r="C102" s="33" t="n">
        <v>89</v>
      </c>
      <c r="D102" s="34" t="n">
        <v>20</v>
      </c>
      <c r="E102" s="35" t="n">
        <v>10</v>
      </c>
      <c r="F102" s="33" t="n">
        <v>2</v>
      </c>
      <c r="G102" s="36" t="n">
        <v>30</v>
      </c>
      <c r="H102" s="37" t="n">
        <v>6</v>
      </c>
      <c r="I102" s="32">
        <f>IF(G102&lt;0,"negative profit",IF(G102&gt;Notes!$B$4,"unusually high - verify",""))</f>
        <v/>
      </c>
      <c r="J102" s="32" t="inlineStr">
        <is>
          <t>hayday.info /api/production-data (https://hayday.info/api/production-data)</t>
        </is>
      </c>
    </row>
    <row r="103" ht="15" customHeight="1" s="29">
      <c r="A103" s="32" t="inlineStr">
        <is>
          <t>Eggplant</t>
        </is>
      </c>
      <c r="B103" s="32" t="inlineStr">
        <is>
          <t>Crops</t>
        </is>
      </c>
      <c r="C103" s="33" t="n">
        <v>90</v>
      </c>
      <c r="D103" s="34" t="n">
        <v>40</v>
      </c>
      <c r="E103" s="35" t="n">
        <v>14</v>
      </c>
      <c r="F103" s="33" t="n">
        <v>3</v>
      </c>
      <c r="G103" s="36" t="n">
        <v>21</v>
      </c>
      <c r="H103" s="37" t="n">
        <v>4.5</v>
      </c>
      <c r="I103" s="32">
        <f>IF(G103&lt;0,"negative profit",IF(G103&gt;Notes!$B$4,"unusually high - verify",""))</f>
        <v/>
      </c>
      <c r="J103" s="32" t="inlineStr">
        <is>
          <t>hayday.info /api/production-data (https://hayday.info/api/production-data)</t>
        </is>
      </c>
    </row>
    <row r="104" ht="15" customHeight="1" s="29">
      <c r="A104" s="32" t="inlineStr">
        <is>
          <t>Watermelon</t>
        </is>
      </c>
      <c r="B104" s="32" t="inlineStr">
        <is>
          <t>Crops</t>
        </is>
      </c>
      <c r="C104" s="33" t="n">
        <v>92</v>
      </c>
      <c r="D104" s="34" t="n">
        <v>300</v>
      </c>
      <c r="E104" s="35" t="n">
        <v>39</v>
      </c>
      <c r="F104" s="33" t="n">
        <v>8</v>
      </c>
      <c r="G104" s="36" t="n">
        <v>7.8</v>
      </c>
      <c r="H104" s="37" t="n">
        <v>1.6</v>
      </c>
      <c r="I104" s="32">
        <f>IF(G104&lt;0,"negative profit",IF(G104&gt;Notes!$B$4,"unusually high - verify",""))</f>
        <v/>
      </c>
      <c r="J104" s="32" t="inlineStr">
        <is>
          <t>hayday.info /api/production-data (https://hayday.info/api/production-data)</t>
        </is>
      </c>
    </row>
    <row r="105" ht="15" customHeight="1" s="29">
      <c r="A105" s="32" t="inlineStr">
        <is>
          <t>Clay</t>
        </is>
      </c>
      <c r="B105" s="32" t="inlineStr">
        <is>
          <t>Crops</t>
        </is>
      </c>
      <c r="C105" s="33" t="n">
        <v>94</v>
      </c>
      <c r="D105" s="34" t="n">
        <v>110</v>
      </c>
      <c r="E105" s="35" t="n">
        <v>18</v>
      </c>
      <c r="F105" s="33" t="n">
        <v>5</v>
      </c>
      <c r="G105" s="36" t="n">
        <v>9.818181817999999</v>
      </c>
      <c r="H105" s="37" t="n">
        <v>2.727272727</v>
      </c>
      <c r="I105" s="32">
        <f>IF(G105&lt;0,"negative profit",IF(G105&gt;Notes!$B$4,"unusually high - verify",""))</f>
        <v/>
      </c>
      <c r="J105" s="32" t="inlineStr">
        <is>
          <t>hayday.info /api/production-data (https://hayday.info/api/production-data)</t>
        </is>
      </c>
    </row>
    <row r="106" ht="15" customHeight="1" s="29">
      <c r="A106" s="32" t="inlineStr">
        <is>
          <t>Chickpea</t>
        </is>
      </c>
      <c r="B106" s="32" t="inlineStr">
        <is>
          <t>Crops</t>
        </is>
      </c>
      <c r="C106" s="33" t="n">
        <v>95</v>
      </c>
      <c r="D106" s="34" t="n">
        <v>60</v>
      </c>
      <c r="E106" s="35" t="n">
        <v>18</v>
      </c>
      <c r="F106" s="33" t="n">
        <v>4</v>
      </c>
      <c r="G106" s="36" t="n">
        <v>18</v>
      </c>
      <c r="H106" s="37" t="n">
        <v>4</v>
      </c>
      <c r="I106" s="32">
        <f>IF(G106&lt;0,"negative profit",IF(G106&gt;Notes!$B$4,"unusually high - verify",""))</f>
        <v/>
      </c>
      <c r="J106" s="32" t="inlineStr">
        <is>
          <t>hayday.info /api/production-data (https://hayday.info/api/production-data)</t>
        </is>
      </c>
    </row>
    <row r="107" ht="15" customHeight="1" s="29">
      <c r="A107" s="32" t="inlineStr">
        <is>
          <t>Guava Cupcake</t>
        </is>
      </c>
      <c r="B107" s="32" t="inlineStr">
        <is>
          <t>Cupcake Maker</t>
        </is>
      </c>
      <c r="C107" s="33" t="n">
        <v>109</v>
      </c>
      <c r="D107" s="34" t="n">
        <v>70</v>
      </c>
      <c r="E107" s="35" t="n">
        <v>583</v>
      </c>
      <c r="F107" s="33" t="n">
        <v>70</v>
      </c>
      <c r="G107" s="36" t="n">
        <v>26.57142857</v>
      </c>
      <c r="H107" s="37" t="n">
        <v>60</v>
      </c>
      <c r="I107" s="32">
        <f>IF(G107&lt;0,"negative profit",IF(G107&gt;Notes!$B$4,"unusually high - verify",""))</f>
        <v/>
      </c>
      <c r="J107" s="32" t="inlineStr">
        <is>
          <t>hayday.info /api/production-data (https://hayday.info/api/production-data)</t>
        </is>
      </c>
    </row>
    <row r="108" ht="15" customHeight="1" s="29">
      <c r="A108" s="32" t="inlineStr">
        <is>
          <t>Plain Cupcake</t>
        </is>
      </c>
      <c r="B108" s="32" t="inlineStr">
        <is>
          <t>Cupcake Maker</t>
        </is>
      </c>
      <c r="C108" s="33" t="n">
        <v>109</v>
      </c>
      <c r="D108" s="34" t="n">
        <v>40</v>
      </c>
      <c r="E108" s="35" t="n">
        <v>280</v>
      </c>
      <c r="F108" s="33" t="n">
        <v>34</v>
      </c>
      <c r="G108" s="36" t="n">
        <v>43.5</v>
      </c>
      <c r="H108" s="37" t="n">
        <v>51</v>
      </c>
      <c r="I108" s="32">
        <f>IF(G108&lt;0,"negative profit",IF(G108&gt;Notes!$B$4,"unusually high - verify",""))</f>
        <v/>
      </c>
      <c r="J108" s="32" t="inlineStr">
        <is>
          <t>hayday.info /api/production-data (https://hayday.info/api/production-data)</t>
        </is>
      </c>
    </row>
    <row r="109" ht="15" customHeight="1" s="29">
      <c r="A109" s="32" t="inlineStr">
        <is>
          <t>Tropical Cupcake</t>
        </is>
      </c>
      <c r="B109" s="32" t="inlineStr">
        <is>
          <t>Cupcake Maker</t>
        </is>
      </c>
      <c r="C109" s="33" t="n">
        <v>112</v>
      </c>
      <c r="D109" s="34" t="n">
        <v>90</v>
      </c>
      <c r="E109" s="35" t="n">
        <v>572</v>
      </c>
      <c r="F109" s="33" t="n">
        <v>68</v>
      </c>
      <c r="G109" s="36" t="n">
        <v>22.66666667</v>
      </c>
      <c r="H109" s="37" t="n">
        <v>45.33333333</v>
      </c>
      <c r="I109" s="32">
        <f>IF(G109&lt;0,"negative profit",IF(G109&gt;Notes!$B$4,"unusually high - verify",""))</f>
        <v/>
      </c>
      <c r="J109" s="32" t="inlineStr">
        <is>
          <t>hayday.info /api/production-data (https://hayday.info/api/production-data)</t>
        </is>
      </c>
    </row>
    <row r="110" ht="15" customHeight="1" s="29">
      <c r="A110" s="32" t="inlineStr">
        <is>
          <t>Cookie Cupcake</t>
        </is>
      </c>
      <c r="B110" s="32" t="inlineStr">
        <is>
          <t>Cupcake Maker</t>
        </is>
      </c>
      <c r="C110" s="33" t="n">
        <v>114</v>
      </c>
      <c r="D110" s="34" t="n">
        <v>120</v>
      </c>
      <c r="E110" s="35" t="n">
        <v>712</v>
      </c>
      <c r="F110" s="33" t="n">
        <v>85</v>
      </c>
      <c r="G110" s="36" t="n">
        <v>69</v>
      </c>
      <c r="H110" s="37" t="n">
        <v>42.5</v>
      </c>
      <c r="I110" s="32">
        <f>IF(G110&lt;0,"negative profit",IF(G110&gt;Notes!$B$4,"unusually high - verify",""))</f>
        <v/>
      </c>
      <c r="J110" s="32" t="inlineStr">
        <is>
          <t>hayday.info /api/production-data (https://hayday.info/api/production-data)</t>
        </is>
      </c>
    </row>
    <row r="111" ht="15" customHeight="1" s="29">
      <c r="A111" s="32" t="inlineStr">
        <is>
          <t>Cream</t>
        </is>
      </c>
      <c r="B111" s="32" t="inlineStr">
        <is>
          <t>Dairy</t>
        </is>
      </c>
      <c r="C111" s="33" t="n">
        <v>6</v>
      </c>
      <c r="D111" s="34" t="n">
        <v>17</v>
      </c>
      <c r="E111" s="35" t="n">
        <v>50</v>
      </c>
      <c r="F111" s="33" t="n">
        <v>6</v>
      </c>
      <c r="G111" s="36" t="n">
        <v>63.52941176</v>
      </c>
      <c r="H111" s="37" t="n">
        <v>21.17647059</v>
      </c>
      <c r="I111" s="32">
        <f>IF(G111&lt;0,"negative profit",IF(G111&gt;Notes!$B$4,"unusually high - verify",""))</f>
        <v/>
      </c>
      <c r="J111" s="32" t="inlineStr">
        <is>
          <t>hayday.info /api/production-data (https://hayday.info/api/production-data)</t>
        </is>
      </c>
    </row>
    <row r="112" ht="15" customHeight="1" s="29">
      <c r="A112" s="32" t="inlineStr">
        <is>
          <t>Butter</t>
        </is>
      </c>
      <c r="B112" s="32" t="inlineStr">
        <is>
          <t>Dairy</t>
        </is>
      </c>
      <c r="C112" s="33" t="n">
        <v>9</v>
      </c>
      <c r="D112" s="34" t="n">
        <v>25</v>
      </c>
      <c r="E112" s="35" t="n">
        <v>82</v>
      </c>
      <c r="F112" s="33" t="n">
        <v>10</v>
      </c>
      <c r="G112" s="36" t="n">
        <v>42.35294118</v>
      </c>
      <c r="H112" s="37" t="n">
        <v>23.52941176</v>
      </c>
      <c r="I112" s="32">
        <f>IF(G112&lt;0,"negative profit",IF(G112&gt;Notes!$B$4,"unusually high - verify",""))</f>
        <v/>
      </c>
      <c r="J112" s="32" t="inlineStr">
        <is>
          <t>hayday.info /api/production-data (https://hayday.info/api/production-data)</t>
        </is>
      </c>
    </row>
    <row r="113" ht="15" customHeight="1" s="29">
      <c r="A113" s="32" t="inlineStr">
        <is>
          <t>Cheese</t>
        </is>
      </c>
      <c r="B113" s="32" t="inlineStr">
        <is>
          <t>Dairy</t>
        </is>
      </c>
      <c r="C113" s="33" t="n">
        <v>12</v>
      </c>
      <c r="D113" s="34" t="n">
        <v>51</v>
      </c>
      <c r="E113" s="35" t="n">
        <v>122</v>
      </c>
      <c r="F113" s="33" t="n">
        <v>15</v>
      </c>
      <c r="G113" s="36" t="n">
        <v>30.58823529</v>
      </c>
      <c r="H113" s="37" t="n">
        <v>17.64705882</v>
      </c>
      <c r="I113" s="32">
        <f>IF(G113&lt;0,"negative profit",IF(G113&gt;Notes!$B$4,"unusually high - verify",""))</f>
        <v/>
      </c>
      <c r="J113" s="32" t="inlineStr">
        <is>
          <t>hayday.info /api/production-data (https://hayday.info/api/production-data)</t>
        </is>
      </c>
    </row>
    <row r="114" ht="15" customHeight="1" s="29">
      <c r="A114" s="32" t="inlineStr">
        <is>
          <t>Goat cheese</t>
        </is>
      </c>
      <c r="B114" s="32" t="inlineStr">
        <is>
          <t>Dairy</t>
        </is>
      </c>
      <c r="C114" s="33" t="n">
        <v>33</v>
      </c>
      <c r="D114" s="34" t="n">
        <v>76</v>
      </c>
      <c r="E114" s="35" t="n">
        <v>162</v>
      </c>
      <c r="F114" s="33" t="n">
        <v>19</v>
      </c>
      <c r="G114" s="36" t="n">
        <v>26.66666667</v>
      </c>
      <c r="H114" s="37" t="n">
        <v>14.90196078</v>
      </c>
      <c r="I114" s="32">
        <f>IF(G114&lt;0,"negative profit",IF(G114&gt;Notes!$B$4,"unusually high - verify",""))</f>
        <v/>
      </c>
      <c r="J114" s="32" t="inlineStr">
        <is>
          <t>hayday.info /api/production-data (https://hayday.info/api/production-data)</t>
        </is>
      </c>
    </row>
    <row r="115" ht="15" customHeight="1" s="29">
      <c r="A115" s="32" t="inlineStr">
        <is>
          <t>Bacon fries</t>
        </is>
      </c>
      <c r="B115" s="32" t="inlineStr">
        <is>
          <t>Deep Fryer</t>
        </is>
      </c>
      <c r="C115" s="33" t="n">
        <v>87</v>
      </c>
      <c r="D115" s="34" t="n">
        <v>21</v>
      </c>
      <c r="E115" s="35" t="n">
        <v>302</v>
      </c>
      <c r="F115" s="33" t="n">
        <v>36</v>
      </c>
      <c r="G115" s="36" t="n">
        <v>22.58823529</v>
      </c>
      <c r="H115" s="37" t="n">
        <v>101.6470588</v>
      </c>
      <c r="I115" s="32">
        <f>IF(G115&lt;0,"negative profit",IF(G115&gt;Notes!$B$4,"unusually high - verify",""))</f>
        <v/>
      </c>
      <c r="J115" s="32" t="inlineStr">
        <is>
          <t>hayday.info /api/production-data (https://hayday.info/api/production-data)</t>
        </is>
      </c>
    </row>
    <row r="116" ht="15" customHeight="1" s="29">
      <c r="A116" s="32" t="inlineStr">
        <is>
          <t>Hand pies</t>
        </is>
      </c>
      <c r="B116" s="32" t="inlineStr">
        <is>
          <t>Deep Fryer</t>
        </is>
      </c>
      <c r="C116" s="33" t="n">
        <v>91</v>
      </c>
      <c r="D116" s="34" t="n">
        <v>17</v>
      </c>
      <c r="E116" s="35" t="n">
        <v>295</v>
      </c>
      <c r="F116" s="33" t="n">
        <v>35</v>
      </c>
      <c r="G116" s="36" t="n">
        <v>88.23529412000001</v>
      </c>
      <c r="H116" s="37" t="n">
        <v>123.5294118</v>
      </c>
      <c r="I116" s="32">
        <f>IF(G116&lt;0,"negative profit",IF(G116&gt;Notes!$B$4,"unusually high - verify",""))</f>
        <v/>
      </c>
      <c r="J116" s="32" t="inlineStr">
        <is>
          <t>hayday.info /api/production-data (https://hayday.info/api/production-data)</t>
        </is>
      </c>
    </row>
    <row r="117" ht="15" customHeight="1" s="29">
      <c r="A117" s="32" t="inlineStr">
        <is>
          <t>Chili poppers</t>
        </is>
      </c>
      <c r="B117" s="32" t="inlineStr">
        <is>
          <t>Deep Fryer</t>
        </is>
      </c>
      <c r="C117" s="33" t="n">
        <v>98</v>
      </c>
      <c r="D117" s="34" t="n">
        <v>34</v>
      </c>
      <c r="E117" s="35" t="n">
        <v>406</v>
      </c>
      <c r="F117" s="33" t="n">
        <v>48</v>
      </c>
      <c r="G117" s="36" t="n">
        <v>40.58823529</v>
      </c>
      <c r="H117" s="37" t="n">
        <v>84.70588235</v>
      </c>
      <c r="I117" s="32">
        <f>IF(G117&lt;0,"negative profit",IF(G117&gt;Notes!$B$4,"unusually high - verify",""))</f>
        <v/>
      </c>
      <c r="J117" s="32" t="inlineStr">
        <is>
          <t>hayday.info /api/production-data (https://hayday.info/api/production-data)</t>
        </is>
      </c>
    </row>
    <row r="118" ht="15" customHeight="1" s="29">
      <c r="A118" s="32" t="inlineStr">
        <is>
          <t>Falafel</t>
        </is>
      </c>
      <c r="B118" s="32" t="inlineStr">
        <is>
          <t>Deep Fryer</t>
        </is>
      </c>
      <c r="C118" s="33" t="n">
        <v>98</v>
      </c>
      <c r="D118" s="34" t="n">
        <v>46</v>
      </c>
      <c r="E118" s="35" t="n">
        <v>226</v>
      </c>
      <c r="F118" s="33" t="n">
        <v>27</v>
      </c>
      <c r="G118" s="36" t="n">
        <v>38.5026738</v>
      </c>
      <c r="H118" s="37" t="n">
        <v>34.65240642</v>
      </c>
      <c r="I118" s="32">
        <f>IF(G118&lt;0,"negative profit",IF(G118&gt;Notes!$B$4,"unusually high - verify",""))</f>
        <v/>
      </c>
      <c r="J118" s="32" t="inlineStr">
        <is>
          <t>hayday.info /api/production-data (https://hayday.info/api/production-data)</t>
        </is>
      </c>
    </row>
    <row r="119" ht="15" customHeight="1" s="29">
      <c r="A119" s="32" t="inlineStr">
        <is>
          <t>Fried candy bar</t>
        </is>
      </c>
      <c r="B119" s="32" t="inlineStr">
        <is>
          <t>Deep Fryer</t>
        </is>
      </c>
      <c r="C119" s="33" t="n">
        <v>100</v>
      </c>
      <c r="D119" s="34" t="n">
        <v>12</v>
      </c>
      <c r="E119" s="35" t="n">
        <v>658</v>
      </c>
      <c r="F119" s="33" t="n">
        <v>87</v>
      </c>
      <c r="G119" s="36" t="n">
        <v>291.7647059</v>
      </c>
      <c r="H119" s="37" t="n">
        <v>409.4117647</v>
      </c>
      <c r="I119" s="32">
        <f>IF(G119&lt;0,"negative profit",IF(G119&gt;Notes!$B$4,"unusually high - verify",""))</f>
        <v/>
      </c>
      <c r="J119" s="32" t="inlineStr">
        <is>
          <t>hayday.info /api/production-data (https://hayday.info/api/production-data)</t>
        </is>
      </c>
    </row>
    <row r="120" ht="15" customHeight="1" s="29">
      <c r="A120" s="32" t="inlineStr">
        <is>
          <t>Samosa</t>
        </is>
      </c>
      <c r="B120" s="32" t="inlineStr">
        <is>
          <t>Deep Fryer</t>
        </is>
      </c>
      <c r="C120" s="33" t="n">
        <v>103</v>
      </c>
      <c r="D120" s="34" t="n">
        <v>63</v>
      </c>
      <c r="E120" s="35" t="n">
        <v>223</v>
      </c>
      <c r="F120" s="33" t="n">
        <v>27</v>
      </c>
      <c r="G120" s="36" t="n">
        <v>29.17647059</v>
      </c>
      <c r="H120" s="37" t="n">
        <v>25.41176471</v>
      </c>
      <c r="I120" s="32">
        <f>IF(G120&lt;0,"negative profit",IF(G120&gt;Notes!$B$4,"unusually high - verify",""))</f>
        <v/>
      </c>
      <c r="J120" s="32" t="inlineStr">
        <is>
          <t>hayday.info /api/production-data (https://hayday.info/api/production-data)</t>
        </is>
      </c>
    </row>
    <row r="121" ht="15" customHeight="1" s="29">
      <c r="A121" s="32" t="inlineStr">
        <is>
          <t>Plain Donut</t>
        </is>
      </c>
      <c r="B121" s="32" t="inlineStr">
        <is>
          <t>Donut maker</t>
        </is>
      </c>
      <c r="C121" s="33" t="n">
        <v>76</v>
      </c>
      <c r="D121" s="34" t="n">
        <v>12</v>
      </c>
      <c r="E121" s="35" t="n">
        <v>129</v>
      </c>
      <c r="F121" s="33" t="n">
        <v>15</v>
      </c>
      <c r="G121" s="36" t="n">
        <v>94.11764706</v>
      </c>
      <c r="H121" s="37" t="n">
        <v>70.58823529</v>
      </c>
      <c r="I121" s="32">
        <f>IF(G121&lt;0,"negative profit",IF(G121&gt;Notes!$B$4,"unusually high - verify",""))</f>
        <v/>
      </c>
      <c r="J121" s="32" t="inlineStr">
        <is>
          <t>hayday.info /api/production-data (https://hayday.info/api/production-data)</t>
        </is>
      </c>
    </row>
    <row r="122" ht="15" customHeight="1" s="29">
      <c r="A122" s="32" t="inlineStr">
        <is>
          <t>Sprinkled Donut</t>
        </is>
      </c>
      <c r="B122" s="32" t="inlineStr">
        <is>
          <t>Donut maker</t>
        </is>
      </c>
      <c r="C122" s="33" t="n">
        <v>79</v>
      </c>
      <c r="D122" s="34" t="n">
        <v>17</v>
      </c>
      <c r="E122" s="35" t="n">
        <v>313</v>
      </c>
      <c r="F122" s="33" t="n">
        <v>37</v>
      </c>
      <c r="G122" s="36" t="n">
        <v>42.35294118</v>
      </c>
      <c r="H122" s="37" t="n">
        <v>130.5882353</v>
      </c>
      <c r="I122" s="32">
        <f>IF(G122&lt;0,"negative profit",IF(G122&gt;Notes!$B$4,"unusually high - verify",""))</f>
        <v/>
      </c>
      <c r="J122" s="32" t="inlineStr">
        <is>
          <t>hayday.info /api/production-data (https://hayday.info/api/production-data)</t>
        </is>
      </c>
    </row>
    <row r="123" ht="15" customHeight="1" s="29">
      <c r="A123" s="32" t="inlineStr">
        <is>
          <t>Crunchy Donut</t>
        </is>
      </c>
      <c r="B123" s="32" t="inlineStr">
        <is>
          <t>Donut maker</t>
        </is>
      </c>
      <c r="C123" s="33" t="n">
        <v>82</v>
      </c>
      <c r="D123" s="34" t="n">
        <v>25</v>
      </c>
      <c r="E123" s="35" t="n">
        <v>594</v>
      </c>
      <c r="F123" s="33" t="n">
        <v>71</v>
      </c>
      <c r="G123" s="36" t="n">
        <v>341.1764706</v>
      </c>
      <c r="H123" s="37" t="n">
        <v>167.0588235</v>
      </c>
      <c r="I123" s="32">
        <f>IF(G123&lt;0,"negative profit",IF(G123&gt;Notes!$B$4,"unusually high - verify",""))</f>
        <v/>
      </c>
      <c r="J123" s="32" t="inlineStr">
        <is>
          <t>hayday.info /api/production-data (https://hayday.info/api/production-data)</t>
        </is>
      </c>
    </row>
    <row r="124" ht="15" customHeight="1" s="29">
      <c r="A124" s="32" t="inlineStr">
        <is>
          <t>Cream Donut</t>
        </is>
      </c>
      <c r="B124" s="32" t="inlineStr">
        <is>
          <t>Donut maker</t>
        </is>
      </c>
      <c r="C124" s="33" t="n">
        <v>86</v>
      </c>
      <c r="D124" s="34" t="n">
        <v>21</v>
      </c>
      <c r="E124" s="35" t="n">
        <v>230</v>
      </c>
      <c r="F124" s="33" t="n">
        <v>27</v>
      </c>
      <c r="G124" s="36" t="n">
        <v>53.64705882</v>
      </c>
      <c r="H124" s="37" t="n">
        <v>76.23529412000001</v>
      </c>
      <c r="I124" s="32">
        <f>IF(G124&lt;0,"negative profit",IF(G124&gt;Notes!$B$4,"unusually high - verify",""))</f>
        <v/>
      </c>
      <c r="J124" s="32" t="inlineStr">
        <is>
          <t>hayday.info /api/production-data (https://hayday.info/api/production-data)</t>
        </is>
      </c>
    </row>
    <row r="125" ht="15" customHeight="1" s="29">
      <c r="A125" s="32" t="inlineStr">
        <is>
          <t>Bacon Donut</t>
        </is>
      </c>
      <c r="B125" s="32" t="inlineStr">
        <is>
          <t>Donut maker</t>
        </is>
      </c>
      <c r="C125" s="33" t="n">
        <v>88</v>
      </c>
      <c r="D125" s="34" t="n">
        <v>25</v>
      </c>
      <c r="E125" s="35" t="n">
        <v>388</v>
      </c>
      <c r="F125" s="33" t="n">
        <v>46</v>
      </c>
      <c r="G125" s="36" t="n">
        <v>44.70588235</v>
      </c>
      <c r="H125" s="37" t="n">
        <v>108.2352941</v>
      </c>
      <c r="I125" s="32">
        <f>IF(G125&lt;0,"negative profit",IF(G125&gt;Notes!$B$4,"unusually high - verify",""))</f>
        <v/>
      </c>
      <c r="J125" s="32" t="inlineStr">
        <is>
          <t>hayday.info /api/production-data (https://hayday.info/api/production-data)</t>
        </is>
      </c>
    </row>
    <row r="126" ht="15" customHeight="1" s="29">
      <c r="A126" s="32" t="inlineStr">
        <is>
          <t>Filled Donut</t>
        </is>
      </c>
      <c r="B126" s="32" t="inlineStr">
        <is>
          <t>Donut maker</t>
        </is>
      </c>
      <c r="C126" s="33" t="n">
        <v>93</v>
      </c>
      <c r="D126" s="34" t="n">
        <v>29</v>
      </c>
      <c r="E126" s="35" t="n">
        <v>403</v>
      </c>
      <c r="F126" s="33" t="n">
        <v>48</v>
      </c>
      <c r="G126" s="36" t="n">
        <v>44.3697479</v>
      </c>
      <c r="H126" s="37" t="n">
        <v>96.80672269</v>
      </c>
      <c r="I126" s="32">
        <f>IF(G126&lt;0,"negative profit",IF(G126&gt;Notes!$B$4,"unusually high - verify",""))</f>
        <v/>
      </c>
      <c r="J126" s="32" t="inlineStr">
        <is>
          <t>hayday.info /api/production-data (https://hayday.info/api/production-data)</t>
        </is>
      </c>
    </row>
    <row r="127" ht="15" customHeight="1" s="29">
      <c r="A127" s="32" t="inlineStr">
        <is>
          <t>Duck feather</t>
        </is>
      </c>
      <c r="B127" s="32" t="inlineStr">
        <is>
          <t>Duck Salon</t>
        </is>
      </c>
      <c r="C127" s="33" t="n">
        <v>50</v>
      </c>
      <c r="D127" s="34" t="n">
        <v>180</v>
      </c>
      <c r="E127" s="35" t="n">
        <v>140</v>
      </c>
      <c r="F127" s="33" t="n">
        <v>17</v>
      </c>
      <c r="G127" s="36" t="n">
        <v>46.66666667</v>
      </c>
      <c r="H127" s="37" t="n">
        <v>5.666666667</v>
      </c>
      <c r="I127" s="32">
        <f>IF(G127&lt;0,"negative profit",IF(G127&gt;Notes!$B$4,"unusually high - verify",""))</f>
        <v/>
      </c>
      <c r="J127" s="32" t="inlineStr">
        <is>
          <t>hayday.info /api/production-data (https://hayday.info/api/production-data)</t>
        </is>
      </c>
    </row>
    <row r="128" ht="15" customHeight="1" s="29">
      <c r="A128" s="32" t="inlineStr">
        <is>
          <t>Chicken feed</t>
        </is>
      </c>
      <c r="B128" s="32" t="inlineStr">
        <is>
          <t>Feed Mill</t>
        </is>
      </c>
      <c r="C128" s="33" t="n">
        <v>3</v>
      </c>
      <c r="D128" s="34" t="n">
        <v>4</v>
      </c>
      <c r="E128" s="35" t="n">
        <v>7</v>
      </c>
      <c r="F128" s="33" t="n">
        <v>1</v>
      </c>
      <c r="G128" s="36" t="n">
        <v>112.9411765</v>
      </c>
      <c r="H128" s="37" t="n">
        <v>14.11764706</v>
      </c>
      <c r="I128" s="32">
        <f>IF(G128&lt;0,"negative profit",IF(G128&gt;Notes!$B$4,"unusually high - verify",""))</f>
        <v/>
      </c>
      <c r="J128" s="32" t="inlineStr">
        <is>
          <t>hayday.info /api/production-data (https://hayday.info/api/production-data)</t>
        </is>
      </c>
    </row>
    <row r="129" ht="15" customHeight="1" s="29">
      <c r="A129" s="32" t="inlineStr">
        <is>
          <t>Cow feed</t>
        </is>
      </c>
      <c r="B129" s="32" t="inlineStr">
        <is>
          <t>Feed Mill</t>
        </is>
      </c>
      <c r="C129" s="33" t="n">
        <v>6</v>
      </c>
      <c r="D129" s="34" t="n">
        <v>8</v>
      </c>
      <c r="E129" s="35" t="n">
        <v>14</v>
      </c>
      <c r="F129" s="33" t="n">
        <v>2</v>
      </c>
      <c r="G129" s="36" t="n">
        <v>105.8823529</v>
      </c>
      <c r="H129" s="37" t="n">
        <v>14.11764706</v>
      </c>
      <c r="I129" s="32">
        <f>IF(G129&lt;0,"negative profit",IF(G129&gt;Notes!$B$4,"unusually high - verify",""))</f>
        <v/>
      </c>
      <c r="J129" s="32" t="inlineStr">
        <is>
          <t>hayday.info /api/production-data (https://hayday.info/api/production-data)</t>
        </is>
      </c>
    </row>
    <row r="130" ht="15" customHeight="1" s="29">
      <c r="A130" s="32" t="inlineStr">
        <is>
          <t>Pig feed</t>
        </is>
      </c>
      <c r="B130" s="32" t="inlineStr">
        <is>
          <t>Feed Mill</t>
        </is>
      </c>
      <c r="C130" s="33" t="n">
        <v>10</v>
      </c>
      <c r="D130" s="34" t="n">
        <v>17</v>
      </c>
      <c r="E130" s="35" t="n">
        <v>14</v>
      </c>
      <c r="F130" s="33" t="n">
        <v>2</v>
      </c>
      <c r="G130" s="36" t="n">
        <v>63.52941176</v>
      </c>
      <c r="H130" s="37" t="n">
        <v>7.058823529</v>
      </c>
      <c r="I130" s="32">
        <f>IF(G130&lt;0,"negative profit",IF(G130&gt;Notes!$B$4,"unusually high - verify",""))</f>
        <v/>
      </c>
      <c r="J130" s="32" t="inlineStr">
        <is>
          <t>hayday.info /api/production-data (https://hayday.info/api/production-data)</t>
        </is>
      </c>
    </row>
    <row r="131" ht="15" customHeight="1" s="29">
      <c r="A131" s="32" t="inlineStr">
        <is>
          <t>Sheep feed</t>
        </is>
      </c>
      <c r="B131" s="32" t="inlineStr">
        <is>
          <t>Feed Mill</t>
        </is>
      </c>
      <c r="C131" s="33" t="n">
        <v>16</v>
      </c>
      <c r="D131" s="34" t="n">
        <v>25</v>
      </c>
      <c r="E131" s="35" t="n">
        <v>14</v>
      </c>
      <c r="F131" s="33" t="n">
        <v>3</v>
      </c>
      <c r="G131" s="36" t="n">
        <v>54.11764706</v>
      </c>
      <c r="H131" s="37" t="n">
        <v>7.058823529</v>
      </c>
      <c r="I131" s="32">
        <f>IF(G131&lt;0,"negative profit",IF(G131&gt;Notes!$B$4,"unusually high - verify",""))</f>
        <v/>
      </c>
      <c r="J131" s="32" t="inlineStr">
        <is>
          <t>hayday.info /api/production-data (https://hayday.info/api/production-data)</t>
        </is>
      </c>
    </row>
    <row r="132" ht="15" customHeight="1" s="29">
      <c r="A132" s="32" t="inlineStr">
        <is>
          <t>Goat feed</t>
        </is>
      </c>
      <c r="B132" s="32" t="inlineStr">
        <is>
          <t>Feed Mill</t>
        </is>
      </c>
      <c r="C132" s="33" t="n">
        <v>32</v>
      </c>
      <c r="D132" s="34" t="n">
        <v>34</v>
      </c>
      <c r="E132" s="35" t="n">
        <v>14</v>
      </c>
      <c r="F132" s="33" t="n">
        <v>3</v>
      </c>
      <c r="G132" s="36" t="n">
        <v>31.76470588</v>
      </c>
      <c r="H132" s="37" t="n">
        <v>5.294117647</v>
      </c>
      <c r="I132" s="32">
        <f>IF(G132&lt;0,"negative profit",IF(G132&gt;Notes!$B$4,"unusually high - verify",""))</f>
        <v/>
      </c>
      <c r="J132" s="32" t="inlineStr">
        <is>
          <t>hayday.info /api/production-data (https://hayday.info/api/production-data)</t>
        </is>
      </c>
    </row>
    <row r="133" ht="15" customHeight="1" s="29">
      <c r="A133" s="32" t="inlineStr">
        <is>
          <t>Meat bucket</t>
        </is>
      </c>
      <c r="B133" s="32" t="inlineStr">
        <is>
          <t>Feed Mill</t>
        </is>
      </c>
      <c r="C133" s="33" t="n">
        <v>34</v>
      </c>
      <c r="D133" s="34" t="n">
        <v>38</v>
      </c>
      <c r="E133" s="35" t="n">
        <v>72</v>
      </c>
      <c r="F133" s="33" t="n">
        <v>15</v>
      </c>
      <c r="G133" s="36" t="n">
        <v>29.80392157</v>
      </c>
      <c r="H133" s="37" t="n">
        <v>23.52941176</v>
      </c>
      <c r="I133" s="32">
        <f>IF(G133&lt;0,"negative profit",IF(G133&gt;Notes!$B$4,"unusually high - verify",""))</f>
        <v/>
      </c>
      <c r="J133" s="32" t="inlineStr">
        <is>
          <t>hayday.info /api/production-data (https://hayday.info/api/production-data)</t>
        </is>
      </c>
    </row>
    <row r="134" ht="15" customHeight="1" s="29">
      <c r="A134" s="32" t="inlineStr">
        <is>
          <t>Wheat bundle</t>
        </is>
      </c>
      <c r="B134" s="32" t="inlineStr">
        <is>
          <t>Feed Mill</t>
        </is>
      </c>
      <c r="C134" s="33" t="n">
        <v>34</v>
      </c>
      <c r="D134" s="34" t="n">
        <v>76</v>
      </c>
      <c r="E134" s="35" t="n">
        <v>50</v>
      </c>
      <c r="F134" s="33" t="n">
        <v>10</v>
      </c>
      <c r="G134" s="36" t="n">
        <v>-58.82352941</v>
      </c>
      <c r="H134" s="37" t="n">
        <v>7.843137255</v>
      </c>
      <c r="I134" s="32">
        <f>IF(G134&lt;0,"negative profit",IF(G134&gt;Notes!$B$4,"unusually high - verify",""))</f>
        <v/>
      </c>
      <c r="J134" s="32" t="inlineStr">
        <is>
          <t>hayday.info /api/production-data (https://hayday.info/api/production-data)</t>
        </is>
      </c>
    </row>
    <row r="135" ht="15" customHeight="1" s="29">
      <c r="A135" s="32" t="inlineStr">
        <is>
          <t>Rustic bouquet</t>
        </is>
      </c>
      <c r="B135" s="32" t="inlineStr">
        <is>
          <t>Flower Shop</t>
        </is>
      </c>
      <c r="C135" s="33" t="n">
        <v>49</v>
      </c>
      <c r="D135" s="34" t="n">
        <v>38</v>
      </c>
      <c r="E135" s="35" t="n">
        <v>208</v>
      </c>
      <c r="F135" s="33" t="n">
        <v>25</v>
      </c>
      <c r="G135" s="36" t="n">
        <v>53.33333333</v>
      </c>
      <c r="H135" s="37" t="n">
        <v>39.21568627</v>
      </c>
      <c r="I135" s="32">
        <f>IF(G135&lt;0,"negative profit",IF(G135&gt;Notes!$B$4,"unusually high - verify",""))</f>
        <v/>
      </c>
      <c r="J135" s="32" t="inlineStr">
        <is>
          <t>hayday.info /api/production-data (https://hayday.info/api/production-data)</t>
        </is>
      </c>
    </row>
    <row r="136" ht="15" customHeight="1" s="29">
      <c r="A136" s="32" t="inlineStr">
        <is>
          <t>Bright bouquet</t>
        </is>
      </c>
      <c r="B136" s="32" t="inlineStr">
        <is>
          <t>Flower Shop</t>
        </is>
      </c>
      <c r="C136" s="33" t="n">
        <v>65</v>
      </c>
      <c r="D136" s="34" t="n">
        <v>17</v>
      </c>
      <c r="E136" s="35" t="n">
        <v>338</v>
      </c>
      <c r="F136" s="33" t="n">
        <v>40</v>
      </c>
      <c r="G136" s="36" t="n">
        <v>458.8235294</v>
      </c>
      <c r="H136" s="37" t="n">
        <v>141.1764706</v>
      </c>
      <c r="I136" s="32">
        <f>IF(G136&lt;0,"negative profit",IF(G136&gt;Notes!$B$4,"unusually high - verify",""))</f>
        <v/>
      </c>
      <c r="J136" s="32" t="inlineStr">
        <is>
          <t>hayday.info /api/production-data (https://hayday.info/api/production-data)</t>
        </is>
      </c>
    </row>
    <row r="137" ht="15" customHeight="1" s="29">
      <c r="A137" s="32" t="inlineStr">
        <is>
          <t>Gracious bouquet</t>
        </is>
      </c>
      <c r="B137" s="32" t="inlineStr">
        <is>
          <t>Flower Shop</t>
        </is>
      </c>
      <c r="C137" s="33" t="n">
        <v>73</v>
      </c>
      <c r="D137" s="34" t="n">
        <v>34</v>
      </c>
      <c r="E137" s="35" t="n">
        <v>500</v>
      </c>
      <c r="F137" s="33" t="n">
        <v>60</v>
      </c>
      <c r="G137" s="36" t="n">
        <v>469.4117647</v>
      </c>
      <c r="H137" s="37" t="n">
        <v>105.8823529</v>
      </c>
      <c r="I137" s="32">
        <f>IF(G137&lt;0,"negative profit",IF(G137&gt;Notes!$B$4,"unusually high - verify",""))</f>
        <v/>
      </c>
      <c r="J137" s="32" t="inlineStr">
        <is>
          <t>hayday.info /api/production-data (https://hayday.info/api/production-data)</t>
        </is>
      </c>
    </row>
    <row r="138" ht="15" customHeight="1" s="29">
      <c r="A138" s="32" t="inlineStr">
        <is>
          <t>Candy bouquet</t>
        </is>
      </c>
      <c r="B138" s="32" t="inlineStr">
        <is>
          <t>Flower Shop</t>
        </is>
      </c>
      <c r="C138" s="33" t="n">
        <v>90</v>
      </c>
      <c r="D138" s="34" t="n">
        <v>17</v>
      </c>
      <c r="E138" s="35" t="n">
        <v>554</v>
      </c>
      <c r="F138" s="33" t="n">
        <v>66</v>
      </c>
      <c r="G138" s="36" t="n">
        <v>52.94117647</v>
      </c>
      <c r="H138" s="37" t="n">
        <v>232.9411765</v>
      </c>
      <c r="I138" s="32">
        <f>IF(G138&lt;0,"negative profit",IF(G138&gt;Notes!$B$4,"unusually high - verify",""))</f>
        <v/>
      </c>
      <c r="J138" s="32" t="inlineStr">
        <is>
          <t>hayday.info /api/production-data (https://hayday.info/api/production-data)</t>
        </is>
      </c>
    </row>
    <row r="139" ht="15" customHeight="1" s="29">
      <c r="A139" s="32" t="inlineStr">
        <is>
          <t>Birthday Bouquet</t>
        </is>
      </c>
      <c r="B139" s="32" t="inlineStr">
        <is>
          <t>Flower Shop</t>
        </is>
      </c>
      <c r="C139" s="33" t="n">
        <v>92</v>
      </c>
      <c r="D139" s="34" t="n">
        <v>17</v>
      </c>
      <c r="E139" s="35" t="n">
        <v>349</v>
      </c>
      <c r="F139" s="33" t="n">
        <v>42</v>
      </c>
      <c r="G139" s="36" t="n">
        <v>-74.11764706</v>
      </c>
      <c r="H139" s="37" t="n">
        <v>148.2352941</v>
      </c>
      <c r="I139" s="32">
        <f>IF(G139&lt;0,"negative profit",IF(G139&gt;Notes!$B$4,"unusually high - verify",""))</f>
        <v/>
      </c>
      <c r="J139" s="32" t="inlineStr">
        <is>
          <t>hayday.info /api/production-data (https://hayday.info/api/production-data)</t>
        </is>
      </c>
    </row>
    <row r="140" ht="15" customHeight="1" s="29">
      <c r="A140" s="32" t="inlineStr">
        <is>
          <t>Soft bouquet</t>
        </is>
      </c>
      <c r="B140" s="32" t="inlineStr">
        <is>
          <t>Flower Shop</t>
        </is>
      </c>
      <c r="C140" s="33" t="n">
        <v>93</v>
      </c>
      <c r="D140" s="34" t="n">
        <v>25</v>
      </c>
      <c r="E140" s="35" t="n">
        <v>298</v>
      </c>
      <c r="F140" s="33" t="n">
        <v>36</v>
      </c>
      <c r="G140" s="36" t="n">
        <v>42.35294118</v>
      </c>
      <c r="H140" s="37" t="n">
        <v>84.70588235</v>
      </c>
      <c r="I140" s="32">
        <f>IF(G140&lt;0,"negative profit",IF(G140&gt;Notes!$B$4,"unusually high - verify",""))</f>
        <v/>
      </c>
      <c r="J140" s="32" t="inlineStr">
        <is>
          <t>hayday.info /api/production-data (https://hayday.info/api/production-data)</t>
        </is>
      </c>
    </row>
    <row r="141" ht="15" customHeight="1" s="29">
      <c r="A141" s="32" t="inlineStr">
        <is>
          <t>Veggie bouquet</t>
        </is>
      </c>
      <c r="B141" s="32" t="inlineStr">
        <is>
          <t>Flower Shop</t>
        </is>
      </c>
      <c r="C141" s="33" t="n">
        <v>106</v>
      </c>
      <c r="D141" s="34" t="n">
        <v>12</v>
      </c>
      <c r="E141" s="35" t="n">
        <v>352</v>
      </c>
      <c r="F141" s="33" t="n">
        <v>42</v>
      </c>
      <c r="G141" s="36" t="n">
        <v>103.5294118</v>
      </c>
      <c r="H141" s="37" t="n">
        <v>197.6470588</v>
      </c>
      <c r="I141" s="32">
        <f>IF(G141&lt;0,"negative profit",IF(G141&gt;Notes!$B$4,"unusually high - verify",""))</f>
        <v/>
      </c>
      <c r="J141" s="32" t="inlineStr">
        <is>
          <t>hayday.info /api/production-data (https://hayday.info/api/production-data)</t>
        </is>
      </c>
    </row>
    <row r="142" ht="15" customHeight="1" s="29">
      <c r="A142" s="32" t="inlineStr">
        <is>
          <t>Chocolate fondue</t>
        </is>
      </c>
      <c r="B142" s="32" t="inlineStr">
        <is>
          <t>Fondue Pot</t>
        </is>
      </c>
      <c r="C142" s="33" t="n">
        <v>81</v>
      </c>
      <c r="D142" s="34" t="n">
        <v>21</v>
      </c>
      <c r="E142" s="35" t="n">
        <v>626</v>
      </c>
      <c r="F142" s="33" t="n">
        <v>74</v>
      </c>
      <c r="G142" s="36" t="n">
        <v>45.17647059</v>
      </c>
      <c r="H142" s="37" t="n">
        <v>208.9411765</v>
      </c>
      <c r="I142" s="32">
        <f>IF(G142&lt;0,"negative profit",IF(G142&gt;Notes!$B$4,"unusually high - verify",""))</f>
        <v/>
      </c>
      <c r="J142" s="32" t="inlineStr">
        <is>
          <t>hayday.info /api/production-data (https://hayday.info/api/production-data)</t>
        </is>
      </c>
    </row>
    <row r="143" ht="15" customHeight="1" s="29">
      <c r="A143" s="32" t="inlineStr">
        <is>
          <t>Bacon fondue</t>
        </is>
      </c>
      <c r="B143" s="32" t="inlineStr">
        <is>
          <t>Fondue Pot</t>
        </is>
      </c>
      <c r="C143" s="33" t="n">
        <v>86</v>
      </c>
      <c r="D143" s="34" t="n">
        <v>25</v>
      </c>
      <c r="E143" s="35" t="n">
        <v>507</v>
      </c>
      <c r="F143" s="33" t="n">
        <v>60</v>
      </c>
      <c r="G143" s="36" t="n">
        <v>54.11764706</v>
      </c>
      <c r="H143" s="37" t="n">
        <v>141.1764706</v>
      </c>
      <c r="I143" s="32">
        <f>IF(G143&lt;0,"negative profit",IF(G143&gt;Notes!$B$4,"unusually high - verify",""))</f>
        <v/>
      </c>
      <c r="J143" s="32" t="inlineStr">
        <is>
          <t>hayday.info /api/production-data (https://hayday.info/api/production-data)</t>
        </is>
      </c>
    </row>
    <row r="144" ht="15" customHeight="1" s="29">
      <c r="A144" s="32" t="inlineStr">
        <is>
          <t>Cheese fondue</t>
        </is>
      </c>
      <c r="B144" s="32" t="inlineStr">
        <is>
          <t>Fondue Pot</t>
        </is>
      </c>
      <c r="C144" s="33" t="n">
        <v>91</v>
      </c>
      <c r="D144" s="34" t="n">
        <v>17</v>
      </c>
      <c r="E144" s="35" t="n">
        <v>493</v>
      </c>
      <c r="F144" s="33" t="n">
        <v>59</v>
      </c>
      <c r="G144" s="36" t="n">
        <v>84.70588235</v>
      </c>
      <c r="H144" s="37" t="n">
        <v>208.2352941</v>
      </c>
      <c r="I144" s="32">
        <f>IF(G144&lt;0,"negative profit",IF(G144&gt;Notes!$B$4,"unusually high - verify",""))</f>
        <v/>
      </c>
      <c r="J144" s="32" t="inlineStr">
        <is>
          <t>hayday.info /api/production-data (https://hayday.info/api/production-data)</t>
        </is>
      </c>
    </row>
    <row r="145" ht="15" customHeight="1" s="29">
      <c r="A145" s="32" t="inlineStr">
        <is>
          <t>Tropical fondue</t>
        </is>
      </c>
      <c r="B145" s="32" t="inlineStr">
        <is>
          <t>Fondue Pot</t>
        </is>
      </c>
      <c r="C145" s="33" t="n">
        <v>100</v>
      </c>
      <c r="D145" s="34" t="n">
        <v>29</v>
      </c>
      <c r="E145" s="35" t="n">
        <v>417</v>
      </c>
      <c r="F145" s="33" t="n">
        <v>50</v>
      </c>
      <c r="G145" s="36" t="n">
        <v>50.42016807</v>
      </c>
      <c r="H145" s="37" t="n">
        <v>100.8403361</v>
      </c>
      <c r="I145" s="32">
        <f>IF(G145&lt;0,"negative profit",IF(G145&gt;Notes!$B$4,"unusually high - verify",""))</f>
        <v/>
      </c>
      <c r="J145" s="32" t="inlineStr">
        <is>
          <t>hayday.info /api/production-data (https://hayday.info/api/production-data)</t>
        </is>
      </c>
    </row>
    <row r="146" ht="15" customHeight="1" s="29">
      <c r="A146" s="32" t="inlineStr">
        <is>
          <t>Rich fudge</t>
        </is>
      </c>
      <c r="B146" s="32" t="inlineStr">
        <is>
          <t>Fudge Shop</t>
        </is>
      </c>
      <c r="C146" s="33" t="n">
        <v>99</v>
      </c>
      <c r="D146" s="34" t="n">
        <v>102</v>
      </c>
      <c r="E146" s="35" t="n">
        <v>644</v>
      </c>
      <c r="F146" s="33" t="n">
        <v>77</v>
      </c>
      <c r="G146" s="36" t="n">
        <v>23.52941176</v>
      </c>
      <c r="H146" s="37" t="n">
        <v>45.29411765</v>
      </c>
      <c r="I146" s="32">
        <f>IF(G146&lt;0,"negative profit",IF(G146&gt;Notes!$B$4,"unusually high - verify",""))</f>
        <v/>
      </c>
      <c r="J146" s="32" t="inlineStr">
        <is>
          <t>hayday.info /api/production-data (https://hayday.info/api/production-data)</t>
        </is>
      </c>
    </row>
    <row r="147" ht="15" customHeight="1" s="29">
      <c r="A147" s="32" t="inlineStr">
        <is>
          <t>Mint fudge</t>
        </is>
      </c>
      <c r="B147" s="32" t="inlineStr">
        <is>
          <t>Fudge Shop</t>
        </is>
      </c>
      <c r="C147" s="33" t="n">
        <v>102</v>
      </c>
      <c r="D147" s="34" t="n">
        <v>127</v>
      </c>
      <c r="E147" s="35" t="n">
        <v>522</v>
      </c>
      <c r="F147" s="33" t="n">
        <v>62</v>
      </c>
      <c r="G147" s="36" t="n">
        <v>18.82352941</v>
      </c>
      <c r="H147" s="37" t="n">
        <v>29.17647059</v>
      </c>
      <c r="I147" s="32">
        <f>IF(G147&lt;0,"negative profit",IF(G147&gt;Notes!$B$4,"unusually high - verify",""))</f>
        <v/>
      </c>
      <c r="J147" s="32" t="inlineStr">
        <is>
          <t>hayday.info /api/production-data (https://hayday.info/api/production-data)</t>
        </is>
      </c>
    </row>
    <row r="148" ht="15" customHeight="1" s="29">
      <c r="A148" s="32" t="inlineStr">
        <is>
          <t>Chili fudge</t>
        </is>
      </c>
      <c r="B148" s="32" t="inlineStr">
        <is>
          <t>Fudge Shop</t>
        </is>
      </c>
      <c r="C148" s="33" t="n">
        <v>104</v>
      </c>
      <c r="D148" s="34" t="n">
        <v>144</v>
      </c>
      <c r="E148" s="35" t="n">
        <v>540</v>
      </c>
      <c r="F148" s="33" t="n">
        <v>64</v>
      </c>
      <c r="G148" s="36" t="n">
        <v>19.10034602</v>
      </c>
      <c r="H148" s="37" t="n">
        <v>26.57439446</v>
      </c>
      <c r="I148" s="32">
        <f>IF(G148&lt;0,"negative profit",IF(G148&gt;Notes!$B$4,"unusually high - verify",""))</f>
        <v/>
      </c>
      <c r="J148" s="32" t="inlineStr">
        <is>
          <t>hayday.info /api/production-data (https://hayday.info/api/production-data)</t>
        </is>
      </c>
    </row>
    <row r="149" ht="15" customHeight="1" s="29">
      <c r="A149" s="32" t="inlineStr">
        <is>
          <t>Lemon fudge</t>
        </is>
      </c>
      <c r="B149" s="32" t="inlineStr">
        <is>
          <t>Fudge Shop</t>
        </is>
      </c>
      <c r="C149" s="33" t="n">
        <v>108</v>
      </c>
      <c r="D149" s="34" t="n">
        <v>93</v>
      </c>
      <c r="E149" s="35" t="n">
        <v>590</v>
      </c>
      <c r="F149" s="33" t="n">
        <v>70</v>
      </c>
      <c r="G149" s="36" t="n">
        <v>28.23529412</v>
      </c>
      <c r="H149" s="37" t="n">
        <v>44.9197861</v>
      </c>
      <c r="I149" s="32">
        <f>IF(G149&lt;0,"negative profit",IF(G149&gt;Notes!$B$4,"unusually high - verify",""))</f>
        <v/>
      </c>
      <c r="J149" s="32" t="inlineStr">
        <is>
          <t>hayday.info /api/production-data (https://hayday.info/api/production-data)</t>
        </is>
      </c>
    </row>
    <row r="150" ht="15" customHeight="1" s="29">
      <c r="A150" s="32" t="inlineStr">
        <is>
          <t>Peanut fudge</t>
        </is>
      </c>
      <c r="B150" s="32" t="inlineStr">
        <is>
          <t>Fudge Shop</t>
        </is>
      </c>
      <c r="C150" s="33" t="n">
        <v>111</v>
      </c>
      <c r="D150" s="34" t="n">
        <v>76</v>
      </c>
      <c r="E150" s="35" t="n">
        <v>1141</v>
      </c>
      <c r="F150" s="33" t="n">
        <v>136</v>
      </c>
      <c r="G150" s="36" t="n">
        <v>41.56862745</v>
      </c>
      <c r="H150" s="37" t="n">
        <v>106.6666667</v>
      </c>
      <c r="I150" s="32">
        <f>IF(G150&lt;0,"negative profit",IF(G150&gt;Notes!$B$4,"unusually high - verify",""))</f>
        <v/>
      </c>
      <c r="J150" s="32" t="inlineStr">
        <is>
          <t>hayday.info /api/production-data (https://hayday.info/api/production-data)</t>
        </is>
      </c>
    </row>
    <row r="151" ht="15" customHeight="1" s="29">
      <c r="A151" s="32" t="inlineStr">
        <is>
          <t>Cloche hat</t>
        </is>
      </c>
      <c r="B151" s="32" t="inlineStr">
        <is>
          <t>Hat Maker</t>
        </is>
      </c>
      <c r="C151" s="33" t="n">
        <v>70</v>
      </c>
      <c r="D151" s="34" t="n">
        <v>102</v>
      </c>
      <c r="E151" s="35" t="n">
        <v>468</v>
      </c>
      <c r="F151" s="33" t="n">
        <v>56</v>
      </c>
      <c r="G151" s="36" t="n">
        <v>25.88235294</v>
      </c>
      <c r="H151" s="37" t="n">
        <v>32.94117647</v>
      </c>
      <c r="I151" s="32">
        <f>IF(G151&lt;0,"negative profit",IF(G151&gt;Notes!$B$4,"unusually high - verify",""))</f>
        <v/>
      </c>
      <c r="J151" s="32" t="inlineStr">
        <is>
          <t>hayday.info /api/production-data (https://hayday.info/api/production-data)</t>
        </is>
      </c>
    </row>
    <row r="152" ht="15" customHeight="1" s="29">
      <c r="A152" s="32" t="inlineStr">
        <is>
          <t>Top hat</t>
        </is>
      </c>
      <c r="B152" s="32" t="inlineStr">
        <is>
          <t>Hat Maker</t>
        </is>
      </c>
      <c r="C152" s="33" t="n">
        <v>72</v>
      </c>
      <c r="D152" s="34" t="n">
        <v>178</v>
      </c>
      <c r="E152" s="35" t="n">
        <v>619</v>
      </c>
      <c r="F152" s="33" t="n">
        <v>74</v>
      </c>
      <c r="G152" s="36" t="n">
        <v>15.79831933</v>
      </c>
      <c r="H152" s="37" t="n">
        <v>24.87394958</v>
      </c>
      <c r="I152" s="32">
        <f>IF(G152&lt;0,"negative profit",IF(G152&gt;Notes!$B$4,"unusually high - verify",""))</f>
        <v/>
      </c>
      <c r="J152" s="32" t="inlineStr">
        <is>
          <t>hayday.info /api/production-data (https://hayday.info/api/production-data)</t>
        </is>
      </c>
    </row>
    <row r="153" ht="15" customHeight="1" s="29">
      <c r="A153" s="32" t="inlineStr">
        <is>
          <t>Sun hat</t>
        </is>
      </c>
      <c r="B153" s="32" t="inlineStr">
        <is>
          <t>Hat Maker</t>
        </is>
      </c>
      <c r="C153" s="33" t="n">
        <v>74</v>
      </c>
      <c r="D153" s="34" t="n">
        <v>127</v>
      </c>
      <c r="E153" s="35" t="n">
        <v>558</v>
      </c>
      <c r="F153" s="33" t="n">
        <v>66</v>
      </c>
      <c r="G153" s="36" t="n">
        <v>21.17647059</v>
      </c>
      <c r="H153" s="37" t="n">
        <v>31.05882353</v>
      </c>
      <c r="I153" s="32">
        <f>IF(G153&lt;0,"negative profit",IF(G153&gt;Notes!$B$4,"unusually high - verify",""))</f>
        <v/>
      </c>
      <c r="J153" s="32" t="inlineStr">
        <is>
          <t>hayday.info /api/production-data (https://hayday.info/api/production-data)</t>
        </is>
      </c>
    </row>
    <row r="154" ht="15" customHeight="1" s="29">
      <c r="A154" s="32" t="inlineStr">
        <is>
          <t>Flower crown</t>
        </is>
      </c>
      <c r="B154" s="32" t="inlineStr">
        <is>
          <t>Hat Maker</t>
        </is>
      </c>
      <c r="C154" s="33" t="n">
        <v>86</v>
      </c>
      <c r="D154" s="34" t="n">
        <v>102</v>
      </c>
      <c r="E154" s="35" t="n">
        <v>331</v>
      </c>
      <c r="F154" s="33" t="n">
        <v>40</v>
      </c>
      <c r="G154" s="36" t="n">
        <v>22.94117647</v>
      </c>
      <c r="H154" s="37" t="n">
        <v>23.52941176</v>
      </c>
      <c r="I154" s="32">
        <f>IF(G154&lt;0,"negative profit",IF(G154&gt;Notes!$B$4,"unusually high - verify",""))</f>
        <v/>
      </c>
      <c r="J154" s="32" t="inlineStr">
        <is>
          <t>hayday.info /api/production-data (https://hayday.info/api/production-data)</t>
        </is>
      </c>
    </row>
    <row r="155" ht="15" customHeight="1" s="29">
      <c r="A155" s="32" t="inlineStr">
        <is>
          <t>Honey</t>
        </is>
      </c>
      <c r="B155" s="32" t="inlineStr">
        <is>
          <t>Honey Extractor</t>
        </is>
      </c>
      <c r="C155" s="33" t="n">
        <v>39</v>
      </c>
      <c r="D155" s="34" t="n">
        <v>17</v>
      </c>
      <c r="E155" s="35" t="n">
        <v>154</v>
      </c>
      <c r="F155" s="33" t="n">
        <v>19</v>
      </c>
      <c r="G155" s="36" t="n">
        <v>63.52941176</v>
      </c>
      <c r="H155" s="37" t="n">
        <v>67.05882353</v>
      </c>
      <c r="I155" s="32">
        <f>IF(G155&lt;0,"negative profit",IF(G155&gt;Notes!$B$4,"unusually high - verify",""))</f>
        <v/>
      </c>
      <c r="J155" s="32" t="inlineStr">
        <is>
          <t>hayday.info /api/production-data (https://hayday.info/api/production-data)</t>
        </is>
      </c>
    </row>
    <row r="156" ht="15" customHeight="1" s="29">
      <c r="A156" s="32" t="inlineStr">
        <is>
          <t>Beeswax</t>
        </is>
      </c>
      <c r="B156" s="32" t="inlineStr">
        <is>
          <t>Honey Extractor</t>
        </is>
      </c>
      <c r="C156" s="33" t="n">
        <v>48</v>
      </c>
      <c r="D156" s="34" t="n">
        <v>38</v>
      </c>
      <c r="E156" s="35" t="n">
        <v>234</v>
      </c>
      <c r="F156" s="33" t="n">
        <v>28</v>
      </c>
      <c r="G156" s="36" t="n">
        <v>47.05882353</v>
      </c>
      <c r="H156" s="37" t="n">
        <v>43.92156863</v>
      </c>
      <c r="I156" s="32">
        <f>IF(G156&lt;0,"negative profit",IF(G156&gt;Notes!$B$4,"unusually high - verify",""))</f>
        <v/>
      </c>
      <c r="J156" s="32" t="inlineStr">
        <is>
          <t>hayday.info /api/production-data (https://hayday.info/api/production-data)</t>
        </is>
      </c>
    </row>
    <row r="157" ht="15" customHeight="1" s="29">
      <c r="A157" s="32" t="inlineStr">
        <is>
          <t>Hot dog</t>
        </is>
      </c>
      <c r="B157" s="32" t="inlineStr">
        <is>
          <t>Hot Dog Stand</t>
        </is>
      </c>
      <c r="C157" s="33" t="n">
        <v>75</v>
      </c>
      <c r="D157" s="34" t="n">
        <v>25</v>
      </c>
      <c r="E157" s="35" t="n">
        <v>370</v>
      </c>
      <c r="F157" s="33" t="n">
        <v>44</v>
      </c>
      <c r="G157" s="36" t="n">
        <v>44.70588235</v>
      </c>
      <c r="H157" s="37" t="n">
        <v>103.5294118</v>
      </c>
      <c r="I157" s="32">
        <f>IF(G157&lt;0,"negative profit",IF(G157&gt;Notes!$B$4,"unusually high - verify",""))</f>
        <v/>
      </c>
      <c r="J157" s="32" t="inlineStr">
        <is>
          <t>hayday.info /api/production-data (https://hayday.info/api/production-data)</t>
        </is>
      </c>
    </row>
    <row r="158" ht="15" customHeight="1" s="29">
      <c r="A158" s="32" t="inlineStr">
        <is>
          <t>Tofu dog</t>
        </is>
      </c>
      <c r="B158" s="32" t="inlineStr">
        <is>
          <t>Hot Dog Stand</t>
        </is>
      </c>
      <c r="C158" s="33" t="n">
        <v>76</v>
      </c>
      <c r="D158" s="34" t="n">
        <v>38</v>
      </c>
      <c r="E158" s="35" t="n">
        <v>367</v>
      </c>
      <c r="F158" s="33" t="n">
        <v>44</v>
      </c>
      <c r="G158" s="36" t="n">
        <v>61.17647059</v>
      </c>
      <c r="H158" s="37" t="n">
        <v>69.01960784000001</v>
      </c>
      <c r="I158" s="32">
        <f>IF(G158&lt;0,"negative profit",IF(G158&gt;Notes!$B$4,"unusually high - verify",""))</f>
        <v/>
      </c>
      <c r="J158" s="32" t="inlineStr">
        <is>
          <t>hayday.info /api/production-data (https://hayday.info/api/production-data)</t>
        </is>
      </c>
    </row>
    <row r="159" ht="15" customHeight="1" s="29">
      <c r="A159" s="32" t="inlineStr">
        <is>
          <t>Corn dog</t>
        </is>
      </c>
      <c r="B159" s="32" t="inlineStr">
        <is>
          <t>Hot Dog Stand</t>
        </is>
      </c>
      <c r="C159" s="33" t="n">
        <v>78</v>
      </c>
      <c r="D159" s="34" t="n">
        <v>51</v>
      </c>
      <c r="E159" s="35" t="n">
        <v>529</v>
      </c>
      <c r="F159" s="33" t="n">
        <v>63</v>
      </c>
      <c r="G159" s="36" t="n">
        <v>28.23529412</v>
      </c>
      <c r="H159" s="37" t="n">
        <v>74.11764706</v>
      </c>
      <c r="I159" s="32">
        <f>IF(G159&lt;0,"negative profit",IF(G159&gt;Notes!$B$4,"unusually high - verify",""))</f>
        <v/>
      </c>
      <c r="J159" s="32" t="inlineStr">
        <is>
          <t>hayday.info /api/production-data (https://hayday.info/api/production-data)</t>
        </is>
      </c>
    </row>
    <row r="160" ht="15" customHeight="1" s="29">
      <c r="A160" s="32" t="inlineStr">
        <is>
          <t>Onion dog</t>
        </is>
      </c>
      <c r="B160" s="32" t="inlineStr">
        <is>
          <t>Hot Dog Stand</t>
        </is>
      </c>
      <c r="C160" s="33" t="n">
        <v>80</v>
      </c>
      <c r="D160" s="34" t="n">
        <v>63</v>
      </c>
      <c r="E160" s="35" t="n">
        <v>306</v>
      </c>
      <c r="F160" s="33" t="n">
        <v>36</v>
      </c>
      <c r="G160" s="36" t="n">
        <v>30.11764706</v>
      </c>
      <c r="H160" s="37" t="n">
        <v>33.88235294</v>
      </c>
      <c r="I160" s="32">
        <f>IF(G160&lt;0,"negative profit",IF(G160&gt;Notes!$B$4,"unusually high - verify",""))</f>
        <v/>
      </c>
      <c r="J160" s="32" t="inlineStr">
        <is>
          <t>hayday.info /api/production-data (https://hayday.info/api/production-data)</t>
        </is>
      </c>
    </row>
    <row r="161" ht="15" customHeight="1" s="29">
      <c r="A161" s="32" t="inlineStr">
        <is>
          <t>Vanilla ice cream</t>
        </is>
      </c>
      <c r="B161" s="32" t="inlineStr">
        <is>
          <t>Ice Cream Maker</t>
        </is>
      </c>
      <c r="C161" s="33" t="n">
        <v>29</v>
      </c>
      <c r="D161" s="34" t="n">
        <v>102</v>
      </c>
      <c r="E161" s="35" t="n">
        <v>172</v>
      </c>
      <c r="F161" s="33" t="n">
        <v>20</v>
      </c>
      <c r="G161" s="36" t="n">
        <v>23.52941176</v>
      </c>
      <c r="H161" s="37" t="n">
        <v>11.76470588</v>
      </c>
      <c r="I161" s="32">
        <f>IF(G161&lt;0,"negative profit",IF(G161&gt;Notes!$B$4,"unusually high - verify",""))</f>
        <v/>
      </c>
      <c r="J161" s="32" t="inlineStr">
        <is>
          <t>hayday.info /api/production-data (https://hayday.info/api/production-data)</t>
        </is>
      </c>
    </row>
    <row r="162" ht="15" customHeight="1" s="29">
      <c r="A162" s="32" t="inlineStr">
        <is>
          <t>Cherry popsicle</t>
        </is>
      </c>
      <c r="B162" s="32" t="inlineStr">
        <is>
          <t>Ice Cream Maker</t>
        </is>
      </c>
      <c r="C162" s="33" t="n">
        <v>33</v>
      </c>
      <c r="D162" s="34" t="n">
        <v>153</v>
      </c>
      <c r="E162" s="35" t="n">
        <v>352</v>
      </c>
      <c r="F162" s="33" t="n">
        <v>42</v>
      </c>
      <c r="G162" s="36" t="n">
        <v>18.03921569</v>
      </c>
      <c r="H162" s="37" t="n">
        <v>16.47058824</v>
      </c>
      <c r="I162" s="32">
        <f>IF(G162&lt;0,"negative profit",IF(G162&gt;Notes!$B$4,"unusually high - verify",""))</f>
        <v/>
      </c>
      <c r="J162" s="32" t="inlineStr">
        <is>
          <t>hayday.info /api/production-data (https://hayday.info/api/production-data)</t>
        </is>
      </c>
    </row>
    <row r="163" ht="15" customHeight="1" s="29">
      <c r="A163" s="32" t="inlineStr">
        <is>
          <t>Strawberry ice cream</t>
        </is>
      </c>
      <c r="B163" s="32" t="inlineStr">
        <is>
          <t>Ice Cream Maker</t>
        </is>
      </c>
      <c r="C163" s="33" t="n">
        <v>34</v>
      </c>
      <c r="D163" s="34" t="n">
        <v>204</v>
      </c>
      <c r="E163" s="35" t="n">
        <v>331</v>
      </c>
      <c r="F163" s="33" t="n">
        <v>40</v>
      </c>
      <c r="G163" s="36" t="n">
        <v>14.41176471</v>
      </c>
      <c r="H163" s="37" t="n">
        <v>11.76470588</v>
      </c>
      <c r="I163" s="32">
        <f>IF(G163&lt;0,"negative profit",IF(G163&gt;Notes!$B$4,"unusually high - verify",""))</f>
        <v/>
      </c>
      <c r="J163" s="32" t="inlineStr">
        <is>
          <t>hayday.info /api/production-data (https://hayday.info/api/production-data)</t>
        </is>
      </c>
    </row>
    <row r="164" ht="15" customHeight="1" s="29">
      <c r="A164" s="32" t="inlineStr">
        <is>
          <t>Chocolate ice cream</t>
        </is>
      </c>
      <c r="B164" s="32" t="inlineStr">
        <is>
          <t>Ice Cream Maker</t>
        </is>
      </c>
      <c r="C164" s="33" t="n">
        <v>39</v>
      </c>
      <c r="D164" s="34" t="n">
        <v>127</v>
      </c>
      <c r="E164" s="35" t="n">
        <v>342</v>
      </c>
      <c r="F164" s="33" t="n">
        <v>41</v>
      </c>
      <c r="G164" s="36" t="n">
        <v>17.88235294</v>
      </c>
      <c r="H164" s="37" t="n">
        <v>19.29411765</v>
      </c>
      <c r="I164" s="32">
        <f>IF(G164&lt;0,"negative profit",IF(G164&gt;Notes!$B$4,"unusually high - verify",""))</f>
        <v/>
      </c>
      <c r="J164" s="32" t="inlineStr">
        <is>
          <t>hayday.info /api/production-data (https://hayday.info/api/production-data)</t>
        </is>
      </c>
    </row>
    <row r="165" ht="15" customHeight="1" s="29">
      <c r="A165" s="32" t="inlineStr">
        <is>
          <t>Sesame ice cream</t>
        </is>
      </c>
      <c r="B165" s="32" t="inlineStr">
        <is>
          <t>Ice Cream Maker</t>
        </is>
      </c>
      <c r="C165" s="33" t="n">
        <v>50</v>
      </c>
      <c r="D165" s="34" t="n">
        <v>102</v>
      </c>
      <c r="E165" s="35" t="n">
        <v>176</v>
      </c>
      <c r="F165" s="33" t="n">
        <v>21</v>
      </c>
      <c r="G165" s="36" t="n">
        <v>23.52941176</v>
      </c>
      <c r="H165" s="37" t="n">
        <v>12.35294118</v>
      </c>
      <c r="I165" s="32">
        <f>IF(G165&lt;0,"negative profit",IF(G165&gt;Notes!$B$4,"unusually high - verify",""))</f>
        <v/>
      </c>
      <c r="J165" s="32" t="inlineStr">
        <is>
          <t>hayday.info /api/production-data (https://hayday.info/api/production-data)</t>
        </is>
      </c>
    </row>
    <row r="166" ht="15" customHeight="1" s="29">
      <c r="A166" s="32" t="inlineStr">
        <is>
          <t>Peanut butter milkshake</t>
        </is>
      </c>
      <c r="B166" s="32" t="inlineStr">
        <is>
          <t>Ice Cream Maker</t>
        </is>
      </c>
      <c r="C166" s="33" t="n">
        <v>68</v>
      </c>
      <c r="D166" s="34" t="n">
        <v>85</v>
      </c>
      <c r="E166" s="35" t="n">
        <v>619</v>
      </c>
      <c r="F166" s="33" t="n">
        <v>86</v>
      </c>
      <c r="G166" s="36" t="n">
        <v>31.76470588</v>
      </c>
      <c r="H166" s="37" t="n">
        <v>60.70588235</v>
      </c>
      <c r="I166" s="32">
        <f>IF(G166&lt;0,"negative profit",IF(G166&gt;Notes!$B$4,"unusually high - verify",""))</f>
        <v/>
      </c>
      <c r="J166" s="32" t="inlineStr">
        <is>
          <t>hayday.info /api/production-data (https://hayday.info/api/production-data)</t>
        </is>
      </c>
    </row>
    <row r="167" ht="15" customHeight="1" s="29">
      <c r="A167" s="32" t="inlineStr">
        <is>
          <t>Affogato</t>
        </is>
      </c>
      <c r="B167" s="32" t="inlineStr">
        <is>
          <t>Ice Cream Maker</t>
        </is>
      </c>
      <c r="C167" s="33" t="n">
        <v>78</v>
      </c>
      <c r="D167" s="34" t="n">
        <v>17</v>
      </c>
      <c r="E167" s="35" t="n">
        <v>435</v>
      </c>
      <c r="F167" s="33" t="n">
        <v>56</v>
      </c>
      <c r="G167" s="36" t="n">
        <v>52.94117647</v>
      </c>
      <c r="H167" s="37" t="n">
        <v>197.6470588</v>
      </c>
      <c r="I167" s="32">
        <f>IF(G167&lt;0,"negative profit",IF(G167&gt;Notes!$B$4,"unusually high - verify",""))</f>
        <v/>
      </c>
      <c r="J167" s="32" t="inlineStr">
        <is>
          <t>hayday.info /api/production-data (https://hayday.info/api/production-data)</t>
        </is>
      </c>
    </row>
    <row r="168" ht="15" customHeight="1" s="29">
      <c r="A168" s="32" t="inlineStr">
        <is>
          <t>Orange sorbet</t>
        </is>
      </c>
      <c r="B168" s="32" t="inlineStr">
        <is>
          <t>Ice Cream Maker</t>
        </is>
      </c>
      <c r="C168" s="33" t="n">
        <v>78</v>
      </c>
      <c r="D168" s="34" t="n">
        <v>178</v>
      </c>
      <c r="E168" s="35" t="n">
        <v>399</v>
      </c>
      <c r="F168" s="33" t="n">
        <v>48</v>
      </c>
      <c r="G168" s="36" t="n">
        <v>17.14285714</v>
      </c>
      <c r="H168" s="37" t="n">
        <v>16.13445378</v>
      </c>
      <c r="I168" s="32">
        <f>IF(G168&lt;0,"negative profit",IF(G168&gt;Notes!$B$4,"unusually high - verify",""))</f>
        <v/>
      </c>
      <c r="J168" s="32" t="inlineStr">
        <is>
          <t>hayday.info /api/production-data (https://hayday.info/api/production-data)</t>
        </is>
      </c>
    </row>
    <row r="169" ht="15" customHeight="1" s="29">
      <c r="A169" s="32" t="inlineStr">
        <is>
          <t>Peach ice cream</t>
        </is>
      </c>
      <c r="B169" s="32" t="inlineStr">
        <is>
          <t>Ice Cream Maker</t>
        </is>
      </c>
      <c r="C169" s="33" t="n">
        <v>83</v>
      </c>
      <c r="D169" s="34" t="n">
        <v>153</v>
      </c>
      <c r="E169" s="35" t="n">
        <v>450</v>
      </c>
      <c r="F169" s="33" t="n">
        <v>54</v>
      </c>
      <c r="G169" s="36" t="n">
        <v>18.03921569</v>
      </c>
      <c r="H169" s="37" t="n">
        <v>21.17647059</v>
      </c>
      <c r="I169" s="32">
        <f>IF(G169&lt;0,"negative profit",IF(G169&gt;Notes!$B$4,"unusually high - verify",""))</f>
        <v/>
      </c>
      <c r="J169" s="32" t="inlineStr">
        <is>
          <t>hayday.info /api/production-data (https://hayday.info/api/production-data)</t>
        </is>
      </c>
    </row>
    <row r="170" ht="15" customHeight="1" s="29">
      <c r="A170" s="32" t="inlineStr">
        <is>
          <t>Mint ice cream</t>
        </is>
      </c>
      <c r="B170" s="32" t="inlineStr">
        <is>
          <t>Ice Cream Maker</t>
        </is>
      </c>
      <c r="C170" s="33" t="n">
        <v>85</v>
      </c>
      <c r="D170" s="34" t="n">
        <v>114</v>
      </c>
      <c r="E170" s="35" t="n">
        <v>288</v>
      </c>
      <c r="F170" s="33" t="n">
        <v>34</v>
      </c>
      <c r="G170" s="36" t="n">
        <v>19.86928105</v>
      </c>
      <c r="H170" s="37" t="n">
        <v>17.77777778</v>
      </c>
      <c r="I170" s="32">
        <f>IF(G170&lt;0,"negative profit",IF(G170&gt;Notes!$B$4,"unusually high - verify",""))</f>
        <v/>
      </c>
      <c r="J170" s="32" t="inlineStr">
        <is>
          <t>hayday.info /api/production-data (https://hayday.info/api/production-data)</t>
        </is>
      </c>
    </row>
    <row r="171" ht="15" customHeight="1" s="29">
      <c r="A171" s="32" t="inlineStr">
        <is>
          <t>Banana split</t>
        </is>
      </c>
      <c r="B171" s="32" t="inlineStr">
        <is>
          <t>Ice Cream Maker</t>
        </is>
      </c>
      <c r="C171" s="33" t="n">
        <v>96</v>
      </c>
      <c r="D171" s="34" t="n">
        <v>178</v>
      </c>
      <c r="E171" s="35" t="n">
        <v>403</v>
      </c>
      <c r="F171" s="33" t="n">
        <v>48</v>
      </c>
      <c r="G171" s="36" t="n">
        <v>15.12605042</v>
      </c>
      <c r="H171" s="37" t="n">
        <v>16.13445378</v>
      </c>
      <c r="I171" s="32">
        <f>IF(G171&lt;0,"negative profit",IF(G171&gt;Notes!$B$4,"unusually high - verify",""))</f>
        <v/>
      </c>
      <c r="J171" s="32" t="inlineStr">
        <is>
          <t>hayday.info /api/production-data (https://hayday.info/api/production-data)</t>
        </is>
      </c>
    </row>
    <row r="172" ht="15" customHeight="1" s="29">
      <c r="A172" s="32" t="inlineStr">
        <is>
          <t>Coconut Ice Cream</t>
        </is>
      </c>
      <c r="B172" s="32" t="inlineStr">
        <is>
          <t>Ice Cream Maker</t>
        </is>
      </c>
      <c r="C172" s="33" t="n">
        <v>102</v>
      </c>
      <c r="D172" s="34" t="n">
        <v>15</v>
      </c>
      <c r="E172" s="35" t="n">
        <v>320</v>
      </c>
      <c r="F172" s="33" t="n">
        <v>38</v>
      </c>
      <c r="G172" s="36" t="n">
        <v>56</v>
      </c>
      <c r="H172" s="37" t="n">
        <v>152</v>
      </c>
      <c r="I172" s="32">
        <f>IF(G172&lt;0,"negative profit",IF(G172&gt;Notes!$B$4,"unusually high - verify",""))</f>
        <v/>
      </c>
      <c r="J172" s="32" t="inlineStr">
        <is>
          <t>hayday.info /api/production-data (https://hayday.info/api/production-data)</t>
        </is>
      </c>
    </row>
    <row r="173" ht="15" customHeight="1" s="29">
      <c r="A173" s="32" t="inlineStr">
        <is>
          <t>Fruit Sorbet</t>
        </is>
      </c>
      <c r="B173" s="32" t="inlineStr">
        <is>
          <t>Ice Cream Maker</t>
        </is>
      </c>
      <c r="C173" s="33" t="n">
        <v>106</v>
      </c>
      <c r="D173" s="34" t="n">
        <v>60</v>
      </c>
      <c r="E173" s="35" t="n">
        <v>518</v>
      </c>
      <c r="F173" s="33" t="n">
        <v>62</v>
      </c>
      <c r="G173" s="36" t="n">
        <v>139</v>
      </c>
      <c r="H173" s="37" t="n">
        <v>62</v>
      </c>
      <c r="I173" s="32">
        <f>IF(G173&lt;0,"negative profit",IF(G173&gt;Notes!$B$4,"unusually high - verify",""))</f>
        <v/>
      </c>
      <c r="J173" s="32" t="inlineStr">
        <is>
          <t>hayday.info /api/production-data (https://hayday.info/api/production-data)</t>
        </is>
      </c>
    </row>
    <row r="174" ht="15" customHeight="1" s="29">
      <c r="A174" s="32" t="inlineStr">
        <is>
          <t>Apple jam</t>
        </is>
      </c>
      <c r="B174" s="32" t="inlineStr">
        <is>
          <t>Jam Maker</t>
        </is>
      </c>
      <c r="C174" s="33" t="n">
        <v>35</v>
      </c>
      <c r="D174" s="34" t="n">
        <v>306</v>
      </c>
      <c r="E174" s="35" t="n">
        <v>219</v>
      </c>
      <c r="F174" s="33" t="n">
        <v>26</v>
      </c>
      <c r="G174" s="36" t="n">
        <v>20</v>
      </c>
      <c r="H174" s="37" t="n">
        <v>5.098039216</v>
      </c>
      <c r="I174" s="32">
        <f>IF(G174&lt;0,"negative profit",IF(G174&gt;Notes!$B$4,"unusually high - verify",""))</f>
        <v/>
      </c>
      <c r="J174" s="32" t="inlineStr">
        <is>
          <t>hayday.info /api/production-data (https://hayday.info/api/production-data)</t>
        </is>
      </c>
    </row>
    <row r="175" ht="15" customHeight="1" s="29">
      <c r="A175" s="32" t="inlineStr">
        <is>
          <t>Raspberry jam</t>
        </is>
      </c>
      <c r="B175" s="32" t="inlineStr">
        <is>
          <t>Jam Maker</t>
        </is>
      </c>
      <c r="C175" s="33" t="n">
        <v>36</v>
      </c>
      <c r="D175" s="34" t="n">
        <v>357</v>
      </c>
      <c r="E175" s="35" t="n">
        <v>252</v>
      </c>
      <c r="F175" s="33" t="n">
        <v>30</v>
      </c>
      <c r="G175" s="36" t="n">
        <v>19.15966387</v>
      </c>
      <c r="H175" s="37" t="n">
        <v>5.042016807</v>
      </c>
      <c r="I175" s="32">
        <f>IF(G175&lt;0,"negative profit",IF(G175&gt;Notes!$B$4,"unusually high - verify",""))</f>
        <v/>
      </c>
      <c r="J175" s="32" t="inlineStr">
        <is>
          <t>hayday.info /api/production-data (https://hayday.info/api/production-data)</t>
        </is>
      </c>
    </row>
    <row r="176" ht="15" customHeight="1" s="29">
      <c r="A176" s="32" t="inlineStr">
        <is>
          <t>Blackberry jam</t>
        </is>
      </c>
      <c r="B176" s="32" t="inlineStr">
        <is>
          <t>Jam Maker</t>
        </is>
      </c>
      <c r="C176" s="33" t="n">
        <v>37</v>
      </c>
      <c r="D176" s="34" t="n">
        <v>408</v>
      </c>
      <c r="E176" s="35" t="n">
        <v>388</v>
      </c>
      <c r="F176" s="33" t="n">
        <v>46</v>
      </c>
      <c r="G176" s="36" t="n">
        <v>20.88235294</v>
      </c>
      <c r="H176" s="37" t="n">
        <v>6.764705882</v>
      </c>
      <c r="I176" s="32">
        <f>IF(G176&lt;0,"negative profit",IF(G176&gt;Notes!$B$4,"unusually high - verify",""))</f>
        <v/>
      </c>
      <c r="J176" s="32" t="inlineStr">
        <is>
          <t>hayday.info /api/production-data (https://hayday.info/api/production-data)</t>
        </is>
      </c>
    </row>
    <row r="177" ht="15" customHeight="1" s="29">
      <c r="A177" s="32" t="inlineStr">
        <is>
          <t>Cherry jam</t>
        </is>
      </c>
      <c r="B177" s="32" t="inlineStr">
        <is>
          <t>Jam Maker</t>
        </is>
      </c>
      <c r="C177" s="33" t="n">
        <v>38</v>
      </c>
      <c r="D177" s="34" t="n">
        <v>357</v>
      </c>
      <c r="E177" s="35" t="n">
        <v>334</v>
      </c>
      <c r="F177" s="33" t="n">
        <v>40</v>
      </c>
      <c r="G177" s="36" t="n">
        <v>21.8487395</v>
      </c>
      <c r="H177" s="37" t="n">
        <v>6.722689076</v>
      </c>
      <c r="I177" s="32">
        <f>IF(G177&lt;0,"negative profit",IF(G177&gt;Notes!$B$4,"unusually high - verify",""))</f>
        <v/>
      </c>
      <c r="J177" s="32" t="inlineStr">
        <is>
          <t>hayday.info /api/production-data (https://hayday.info/api/production-data)</t>
        </is>
      </c>
    </row>
    <row r="178" ht="15" customHeight="1" s="29">
      <c r="A178" s="32" t="inlineStr">
        <is>
          <t>Strawberry jam</t>
        </is>
      </c>
      <c r="B178" s="32" t="inlineStr">
        <is>
          <t>Jam Maker</t>
        </is>
      </c>
      <c r="C178" s="33" t="n">
        <v>50</v>
      </c>
      <c r="D178" s="34" t="n">
        <v>382</v>
      </c>
      <c r="E178" s="35" t="n">
        <v>270</v>
      </c>
      <c r="F178" s="33" t="n">
        <v>32</v>
      </c>
      <c r="G178" s="36" t="n">
        <v>18.82352941</v>
      </c>
      <c r="H178" s="37" t="n">
        <v>5.019607843</v>
      </c>
      <c r="I178" s="32">
        <f>IF(G178&lt;0,"negative profit",IF(G178&gt;Notes!$B$4,"unusually high - verify",""))</f>
        <v/>
      </c>
      <c r="J178" s="32" t="inlineStr">
        <is>
          <t>hayday.info /api/production-data (https://hayday.info/api/production-data)</t>
        </is>
      </c>
    </row>
    <row r="179" ht="15" customHeight="1" s="29">
      <c r="A179" s="32" t="inlineStr">
        <is>
          <t>Marmalade</t>
        </is>
      </c>
      <c r="B179" s="32" t="inlineStr">
        <is>
          <t>Jam Maker</t>
        </is>
      </c>
      <c r="C179" s="33" t="n">
        <v>74</v>
      </c>
      <c r="D179" s="34" t="n">
        <v>433</v>
      </c>
      <c r="E179" s="35" t="n">
        <v>457</v>
      </c>
      <c r="F179" s="33" t="n">
        <v>54</v>
      </c>
      <c r="G179" s="36" t="n">
        <v>22.97577855</v>
      </c>
      <c r="H179" s="37" t="n">
        <v>7.474048443</v>
      </c>
      <c r="I179" s="32">
        <f>IF(G179&lt;0,"negative profit",IF(G179&gt;Notes!$B$4,"unusually high - verify",""))</f>
        <v/>
      </c>
      <c r="J179" s="32" t="inlineStr">
        <is>
          <t>hayday.info /api/production-data (https://hayday.info/api/production-data)</t>
        </is>
      </c>
    </row>
    <row r="180" ht="15" customHeight="1" s="29">
      <c r="A180" s="32" t="inlineStr">
        <is>
          <t>Peach jam</t>
        </is>
      </c>
      <c r="B180" s="32" t="inlineStr">
        <is>
          <t>Jam Maker</t>
        </is>
      </c>
      <c r="C180" s="33" t="n">
        <v>79</v>
      </c>
      <c r="D180" s="34" t="n">
        <v>408</v>
      </c>
      <c r="E180" s="35" t="n">
        <v>464</v>
      </c>
      <c r="F180" s="33" t="n">
        <v>55</v>
      </c>
      <c r="G180" s="36" t="n">
        <v>24.11764706</v>
      </c>
      <c r="H180" s="37" t="n">
        <v>8.088235294</v>
      </c>
      <c r="I180" s="32">
        <f>IF(G180&lt;0,"negative profit",IF(G180&gt;Notes!$B$4,"unusually high - verify",""))</f>
        <v/>
      </c>
      <c r="J180" s="32" t="inlineStr">
        <is>
          <t>hayday.info /api/production-data (https://hayday.info/api/production-data)</t>
        </is>
      </c>
    </row>
    <row r="181" ht="15" customHeight="1" s="29">
      <c r="A181" s="32" t="inlineStr">
        <is>
          <t>Grape jam</t>
        </is>
      </c>
      <c r="B181" s="32" t="inlineStr">
        <is>
          <t>Jam Maker</t>
        </is>
      </c>
      <c r="C181" s="33" t="n">
        <v>85</v>
      </c>
      <c r="D181" s="34" t="n">
        <v>331</v>
      </c>
      <c r="E181" s="35" t="n">
        <v>162</v>
      </c>
      <c r="F181" s="33" t="n">
        <v>19</v>
      </c>
      <c r="G181" s="36" t="n">
        <v>11.94570136</v>
      </c>
      <c r="H181" s="37" t="n">
        <v>3.438914027</v>
      </c>
      <c r="I181" s="32">
        <f>IF(G181&lt;0,"negative profit",IF(G181&gt;Notes!$B$4,"unusually high - verify",""))</f>
        <v/>
      </c>
      <c r="J181" s="32" t="inlineStr">
        <is>
          <t>hayday.info /api/production-data (https://hayday.info/api/production-data)</t>
        </is>
      </c>
    </row>
    <row r="182" ht="15" customHeight="1" s="29">
      <c r="A182" s="32" t="inlineStr">
        <is>
          <t>Plum jam</t>
        </is>
      </c>
      <c r="B182" s="32" t="inlineStr">
        <is>
          <t>Jam Maker</t>
        </is>
      </c>
      <c r="C182" s="33" t="n">
        <v>94</v>
      </c>
      <c r="D182" s="34" t="n">
        <v>255</v>
      </c>
      <c r="E182" s="35" t="n">
        <v>385</v>
      </c>
      <c r="F182" s="33" t="n">
        <v>46</v>
      </c>
      <c r="G182" s="36" t="n">
        <v>32.70588235</v>
      </c>
      <c r="H182" s="37" t="n">
        <v>10.82352941</v>
      </c>
      <c r="I182" s="32">
        <f>IF(G182&lt;0,"negative profit",IF(G182&gt;Notes!$B$4,"unusually high - verify",""))</f>
        <v/>
      </c>
      <c r="J182" s="32" t="inlineStr">
        <is>
          <t>hayday.info /api/production-data (https://hayday.info/api/production-data)</t>
        </is>
      </c>
    </row>
    <row r="183" ht="15" customHeight="1" s="29">
      <c r="A183" s="32" t="inlineStr">
        <is>
          <t>Passion fruit jam</t>
        </is>
      </c>
      <c r="B183" s="32" t="inlineStr">
        <is>
          <t>Jam Maker</t>
        </is>
      </c>
      <c r="C183" s="33" t="n">
        <v>96</v>
      </c>
      <c r="D183" s="34" t="n">
        <v>272</v>
      </c>
      <c r="E183" s="35" t="n">
        <v>118</v>
      </c>
      <c r="F183" s="33" t="n">
        <v>14</v>
      </c>
      <c r="G183" s="36" t="n">
        <v>14.11764706</v>
      </c>
      <c r="H183" s="37" t="n">
        <v>3.088235294</v>
      </c>
      <c r="I183" s="32">
        <f>IF(G183&lt;0,"negative profit",IF(G183&gt;Notes!$B$4,"unusually high - verify",""))</f>
        <v/>
      </c>
      <c r="J183" s="32" t="inlineStr">
        <is>
          <t>hayday.info /api/production-data (https://hayday.info/api/production-data)</t>
        </is>
      </c>
    </row>
    <row r="184" ht="15" customHeight="1" s="29">
      <c r="A184" s="32" t="inlineStr">
        <is>
          <t>Bracelet</t>
        </is>
      </c>
      <c r="B184" s="32" t="inlineStr">
        <is>
          <t>Jewler</t>
        </is>
      </c>
      <c r="C184" s="33" t="n">
        <v>38</v>
      </c>
      <c r="D184" s="34" t="n">
        <v>102</v>
      </c>
      <c r="E184" s="35" t="n">
        <v>514</v>
      </c>
      <c r="F184" s="33" t="n">
        <v>61</v>
      </c>
      <c r="G184" s="36" t="n">
        <v>23.52941176</v>
      </c>
      <c r="H184" s="37" t="n">
        <v>35.88235294</v>
      </c>
      <c r="I184" s="32">
        <f>IF(G184&lt;0,"negative profit",IF(G184&gt;Notes!$B$4,"unusually high - verify",""))</f>
        <v/>
      </c>
      <c r="J184" s="32" t="inlineStr">
        <is>
          <t>hayday.info /api/production-data (https://hayday.info/api/production-data)</t>
        </is>
      </c>
    </row>
    <row r="185" ht="15" customHeight="1" s="29">
      <c r="A185" s="32" t="inlineStr">
        <is>
          <t>Necklace</t>
        </is>
      </c>
      <c r="B185" s="32" t="inlineStr">
        <is>
          <t>Jewler</t>
        </is>
      </c>
      <c r="C185" s="33" t="n">
        <v>39</v>
      </c>
      <c r="D185" s="34" t="n">
        <v>153</v>
      </c>
      <c r="E185" s="35" t="n">
        <v>727</v>
      </c>
      <c r="F185" s="33" t="n">
        <v>87</v>
      </c>
      <c r="G185" s="36" t="n">
        <v>18.82352941</v>
      </c>
      <c r="H185" s="37" t="n">
        <v>34.11764706</v>
      </c>
      <c r="I185" s="32">
        <f>IF(G185&lt;0,"negative profit",IF(G185&gt;Notes!$B$4,"unusually high - verify",""))</f>
        <v/>
      </c>
      <c r="J185" s="32" t="inlineStr">
        <is>
          <t>hayday.info /api/production-data (https://hayday.info/api/production-data)</t>
        </is>
      </c>
    </row>
    <row r="186" ht="15" customHeight="1" s="29">
      <c r="A186" s="32" t="inlineStr">
        <is>
          <t>Diamond ring</t>
        </is>
      </c>
      <c r="B186" s="32" t="inlineStr">
        <is>
          <t>Jewler</t>
        </is>
      </c>
      <c r="C186" s="33" t="n">
        <v>40</v>
      </c>
      <c r="D186" s="34" t="n">
        <v>204</v>
      </c>
      <c r="E186" s="35" t="n">
        <v>824</v>
      </c>
      <c r="F186" s="33" t="n">
        <v>98</v>
      </c>
      <c r="G186" s="36" t="n">
        <v>15.88235294</v>
      </c>
      <c r="H186" s="37" t="n">
        <v>28.82352941</v>
      </c>
      <c r="I186" s="32">
        <f>IF(G186&lt;0,"negative profit",IF(G186&gt;Notes!$B$4,"unusually high - verify",""))</f>
        <v/>
      </c>
      <c r="J186" s="32" t="inlineStr">
        <is>
          <t>hayday.info /api/production-data (https://hayday.info/api/production-data)</t>
        </is>
      </c>
    </row>
    <row r="187" ht="15" customHeight="1" s="29">
      <c r="A187" s="32" t="inlineStr">
        <is>
          <t>Iron bracelet</t>
        </is>
      </c>
      <c r="B187" s="32" t="inlineStr">
        <is>
          <t>Jewler</t>
        </is>
      </c>
      <c r="C187" s="33" t="n">
        <v>41</v>
      </c>
      <c r="D187" s="34" t="n">
        <v>76</v>
      </c>
      <c r="E187" s="35" t="n">
        <v>658</v>
      </c>
      <c r="F187" s="33" t="n">
        <v>79</v>
      </c>
      <c r="G187" s="36" t="n">
        <v>29.01960784</v>
      </c>
      <c r="H187" s="37" t="n">
        <v>61.96078431</v>
      </c>
      <c r="I187" s="32">
        <f>IF(G187&lt;0,"negative profit",IF(G187&gt;Notes!$B$4,"unusually high - verify",""))</f>
        <v/>
      </c>
      <c r="J187" s="32" t="inlineStr">
        <is>
          <t>hayday.info /api/production-data (https://hayday.info/api/production-data)</t>
        </is>
      </c>
    </row>
    <row r="188" ht="15" customHeight="1" s="29">
      <c r="A188" s="32" t="inlineStr">
        <is>
          <t>Flower pendant</t>
        </is>
      </c>
      <c r="B188" s="32" t="inlineStr">
        <is>
          <t>Jewler</t>
        </is>
      </c>
      <c r="C188" s="33" t="n">
        <v>98</v>
      </c>
      <c r="D188" s="34" t="n">
        <v>51</v>
      </c>
      <c r="E188" s="35" t="n">
        <v>698</v>
      </c>
      <c r="F188" s="33" t="n">
        <v>83</v>
      </c>
      <c r="G188" s="36" t="n">
        <v>29.41176471</v>
      </c>
      <c r="H188" s="37" t="n">
        <v>97.64705882</v>
      </c>
      <c r="I188" s="32">
        <f>IF(G188&lt;0,"negative profit",IF(G188&gt;Notes!$B$4,"unusually high - verify",""))</f>
        <v/>
      </c>
      <c r="J188" s="32" t="inlineStr">
        <is>
          <t>hayday.info /api/production-data (https://hayday.info/api/production-data)</t>
        </is>
      </c>
    </row>
    <row r="189" ht="15" customHeight="1" s="29">
      <c r="A189" s="32" t="inlineStr">
        <is>
          <t>Carrot juice</t>
        </is>
      </c>
      <c r="B189" s="32" t="inlineStr">
        <is>
          <t>Juice Press</t>
        </is>
      </c>
      <c r="C189" s="33" t="n">
        <v>26</v>
      </c>
      <c r="D189" s="34" t="n">
        <v>25</v>
      </c>
      <c r="E189" s="35" t="n">
        <v>46</v>
      </c>
      <c r="F189" s="33" t="n">
        <v>6</v>
      </c>
      <c r="G189" s="36" t="n">
        <v>58.82352941</v>
      </c>
      <c r="H189" s="37" t="n">
        <v>14.11764706</v>
      </c>
      <c r="I189" s="32">
        <f>IF(G189&lt;0,"negative profit",IF(G189&gt;Notes!$B$4,"unusually high - verify",""))</f>
        <v/>
      </c>
      <c r="J189" s="32" t="inlineStr">
        <is>
          <t>hayday.info /api/production-data (https://hayday.info/api/production-data)</t>
        </is>
      </c>
    </row>
    <row r="190" ht="15" customHeight="1" s="29">
      <c r="A190" s="32" t="inlineStr">
        <is>
          <t>Apple juice</t>
        </is>
      </c>
      <c r="B190" s="32" t="inlineStr">
        <is>
          <t>Juice Press</t>
        </is>
      </c>
      <c r="C190" s="33" t="n">
        <v>28</v>
      </c>
      <c r="D190" s="34" t="n">
        <v>102</v>
      </c>
      <c r="E190" s="35" t="n">
        <v>129</v>
      </c>
      <c r="F190" s="33" t="n">
        <v>15</v>
      </c>
      <c r="G190" s="36" t="n">
        <v>30</v>
      </c>
      <c r="H190" s="37" t="n">
        <v>8.823529411999999</v>
      </c>
      <c r="I190" s="32">
        <f>IF(G190&lt;0,"negative profit",IF(G190&gt;Notes!$B$4,"unusually high - verify",""))</f>
        <v/>
      </c>
      <c r="J190" s="32" t="inlineStr">
        <is>
          <t>hayday.info /api/production-data (https://hayday.info/api/production-data)</t>
        </is>
      </c>
    </row>
    <row r="191" ht="15" customHeight="1" s="29">
      <c r="A191" s="32" t="inlineStr">
        <is>
          <t>Cherry juice</t>
        </is>
      </c>
      <c r="B191" s="32" t="inlineStr">
        <is>
          <t>Juice Press</t>
        </is>
      </c>
      <c r="C191" s="33" t="n">
        <v>30</v>
      </c>
      <c r="D191" s="34" t="n">
        <v>127</v>
      </c>
      <c r="E191" s="35" t="n">
        <v>216</v>
      </c>
      <c r="F191" s="33" t="n">
        <v>26</v>
      </c>
      <c r="G191" s="36" t="n">
        <v>37.64705882</v>
      </c>
      <c r="H191" s="37" t="n">
        <v>12.23529412</v>
      </c>
      <c r="I191" s="32">
        <f>IF(G191&lt;0,"negative profit",IF(G191&gt;Notes!$B$4,"unusually high - verify",""))</f>
        <v/>
      </c>
      <c r="J191" s="32" t="inlineStr">
        <is>
          <t>hayday.info /api/production-data (https://hayday.info/api/production-data)</t>
        </is>
      </c>
    </row>
    <row r="192" ht="15" customHeight="1" s="29">
      <c r="A192" s="32" t="inlineStr">
        <is>
          <t>Berry juice</t>
        </is>
      </c>
      <c r="B192" s="32" t="inlineStr">
        <is>
          <t>Juice Press</t>
        </is>
      </c>
      <c r="C192" s="33" t="n">
        <v>31</v>
      </c>
      <c r="D192" s="34" t="n">
        <v>153</v>
      </c>
      <c r="E192" s="35" t="n">
        <v>205</v>
      </c>
      <c r="F192" s="33" t="n">
        <v>24</v>
      </c>
      <c r="G192" s="36" t="n">
        <v>30.19607843</v>
      </c>
      <c r="H192" s="37" t="n">
        <v>9.411764706</v>
      </c>
      <c r="I192" s="32">
        <f>IF(G192&lt;0,"negative profit",IF(G192&gt;Notes!$B$4,"unusually high - verify",""))</f>
        <v/>
      </c>
      <c r="J192" s="32" t="inlineStr">
        <is>
          <t>hayday.info /api/production-data (https://hayday.info/api/production-data)</t>
        </is>
      </c>
    </row>
    <row r="193" ht="15" customHeight="1" s="29">
      <c r="A193" s="32" t="inlineStr">
        <is>
          <t>Tomato juice</t>
        </is>
      </c>
      <c r="B193" s="32" t="inlineStr">
        <is>
          <t>Juice Press</t>
        </is>
      </c>
      <c r="C193" s="33" t="n">
        <v>31</v>
      </c>
      <c r="D193" s="34" t="n">
        <v>76</v>
      </c>
      <c r="E193" s="35" t="n">
        <v>162</v>
      </c>
      <c r="F193" s="33" t="n">
        <v>19</v>
      </c>
      <c r="G193" s="36" t="n">
        <v>25.88235294</v>
      </c>
      <c r="H193" s="37" t="n">
        <v>14.90196078</v>
      </c>
      <c r="I193" s="32">
        <f>IF(G193&lt;0,"negative profit",IF(G193&gt;Notes!$B$4,"unusually high - verify",""))</f>
        <v/>
      </c>
      <c r="J193" s="32" t="inlineStr">
        <is>
          <t>hayday.info /api/production-data (https://hayday.info/api/production-data)</t>
        </is>
      </c>
    </row>
    <row r="194" ht="15" customHeight="1" s="29">
      <c r="A194" s="32" t="inlineStr">
        <is>
          <t>Pineapple juice</t>
        </is>
      </c>
      <c r="B194" s="32" t="inlineStr">
        <is>
          <t>Juice Press</t>
        </is>
      </c>
      <c r="C194" s="33" t="n">
        <v>52</v>
      </c>
      <c r="D194" s="34" t="n">
        <v>38</v>
      </c>
      <c r="E194" s="35" t="n">
        <v>68</v>
      </c>
      <c r="F194" s="33" t="n">
        <v>8</v>
      </c>
      <c r="G194" s="36" t="n">
        <v>40.78431373</v>
      </c>
      <c r="H194" s="37" t="n">
        <v>12.54901961</v>
      </c>
      <c r="I194" s="32">
        <f>IF(G194&lt;0,"negative profit",IF(G194&gt;Notes!$B$4,"unusually high - verify",""))</f>
        <v/>
      </c>
      <c r="J194" s="32" t="inlineStr">
        <is>
          <t>hayday.info /api/production-data (https://hayday.info/api/production-data)</t>
        </is>
      </c>
    </row>
    <row r="195" ht="15" customHeight="1" s="29">
      <c r="A195" s="32" t="inlineStr">
        <is>
          <t>Orange juice</t>
        </is>
      </c>
      <c r="B195" s="32" t="inlineStr">
        <is>
          <t>Juice Press</t>
        </is>
      </c>
      <c r="C195" s="33" t="n">
        <v>71</v>
      </c>
      <c r="D195" s="34" t="n">
        <v>102</v>
      </c>
      <c r="E195" s="35" t="n">
        <v>234</v>
      </c>
      <c r="F195" s="33" t="n">
        <v>28</v>
      </c>
      <c r="G195" s="36" t="n">
        <v>23.52941176</v>
      </c>
      <c r="H195" s="37" t="n">
        <v>16.47058824</v>
      </c>
      <c r="I195" s="32">
        <f>IF(G195&lt;0,"negative profit",IF(G195&gt;Notes!$B$4,"unusually high - verify",""))</f>
        <v/>
      </c>
      <c r="J195" s="32" t="inlineStr">
        <is>
          <t>hayday.info /api/production-data (https://hayday.info/api/production-data)</t>
        </is>
      </c>
    </row>
    <row r="196" ht="15" customHeight="1" s="29">
      <c r="A196" s="32" t="inlineStr">
        <is>
          <t>Grape juice</t>
        </is>
      </c>
      <c r="B196" s="32" t="inlineStr">
        <is>
          <t>Juice Press</t>
        </is>
      </c>
      <c r="C196" s="33" t="n">
        <v>84</v>
      </c>
      <c r="D196" s="34" t="n">
        <v>127</v>
      </c>
      <c r="E196" s="35" t="n">
        <v>104</v>
      </c>
      <c r="F196" s="33" t="n">
        <v>13</v>
      </c>
      <c r="G196" s="36" t="n">
        <v>18.82352941</v>
      </c>
      <c r="H196" s="37" t="n">
        <v>6.117647059</v>
      </c>
      <c r="I196" s="32">
        <f>IF(G196&lt;0,"negative profit",IF(G196&gt;Notes!$B$4,"unusually high - verify",""))</f>
        <v/>
      </c>
      <c r="J196" s="32" t="inlineStr">
        <is>
          <t>hayday.info /api/production-data (https://hayday.info/api/production-data)</t>
        </is>
      </c>
    </row>
    <row r="197" ht="15" customHeight="1" s="29">
      <c r="A197" s="32" t="inlineStr">
        <is>
          <t>Passion fruit juice</t>
        </is>
      </c>
      <c r="B197" s="32" t="inlineStr">
        <is>
          <t>Juice Press</t>
        </is>
      </c>
      <c r="C197" s="33" t="n">
        <v>88</v>
      </c>
      <c r="D197" s="34" t="n">
        <v>38</v>
      </c>
      <c r="E197" s="35" t="n">
        <v>64</v>
      </c>
      <c r="F197" s="33" t="n">
        <v>8</v>
      </c>
      <c r="G197" s="36" t="n">
        <v>43.92156863</v>
      </c>
      <c r="H197" s="37" t="n">
        <v>12.54901961</v>
      </c>
      <c r="I197" s="32">
        <f>IF(G197&lt;0,"negative profit",IF(G197&gt;Notes!$B$4,"unusually high - verify",""))</f>
        <v/>
      </c>
      <c r="J197" s="32" t="inlineStr">
        <is>
          <t>hayday.info /api/production-data (https://hayday.info/api/production-data)</t>
        </is>
      </c>
    </row>
    <row r="198" ht="15" customHeight="1" s="29">
      <c r="A198" s="32" t="inlineStr">
        <is>
          <t>Watermelon juice</t>
        </is>
      </c>
      <c r="B198" s="32" t="inlineStr">
        <is>
          <t>Juice Press</t>
        </is>
      </c>
      <c r="C198" s="33" t="n">
        <v>92</v>
      </c>
      <c r="D198" s="34" t="n">
        <v>51</v>
      </c>
      <c r="E198" s="35" t="n">
        <v>108</v>
      </c>
      <c r="F198" s="33" t="n">
        <v>13</v>
      </c>
      <c r="G198" s="36" t="n">
        <v>35.29411765</v>
      </c>
      <c r="H198" s="37" t="n">
        <v>15.29411765</v>
      </c>
      <c r="I198" s="32">
        <f>IF(G198&lt;0,"negative profit",IF(G198&gt;Notes!$B$4,"unusually high - verify",""))</f>
        <v/>
      </c>
      <c r="J198" s="32" t="inlineStr">
        <is>
          <t>hayday.info /api/production-data (https://hayday.info/api/production-data)</t>
        </is>
      </c>
    </row>
    <row r="199" ht="15" customHeight="1" s="29">
      <c r="A199" s="32" t="inlineStr">
        <is>
          <t>Mango juice</t>
        </is>
      </c>
      <c r="B199" s="32" t="inlineStr">
        <is>
          <t>Juice Press</t>
        </is>
      </c>
      <c r="C199" s="33" t="n">
        <v>97</v>
      </c>
      <c r="D199" s="34" t="n">
        <v>42</v>
      </c>
      <c r="E199" s="35" t="n">
        <v>230</v>
      </c>
      <c r="F199" s="33" t="n">
        <v>27</v>
      </c>
      <c r="G199" s="36" t="n">
        <v>42.35294118</v>
      </c>
      <c r="H199" s="37" t="n">
        <v>38.11764706</v>
      </c>
      <c r="I199" s="32">
        <f>IF(G199&lt;0,"negative profit",IF(G199&gt;Notes!$B$4,"unusually high - verify",""))</f>
        <v/>
      </c>
      <c r="J199" s="32" t="inlineStr">
        <is>
          <t>hayday.info /api/production-data (https://hayday.info/api/production-data)</t>
        </is>
      </c>
    </row>
    <row r="200" ht="15" customHeight="1" s="29">
      <c r="A200" s="32" t="inlineStr">
        <is>
          <t>Guava Juice</t>
        </is>
      </c>
      <c r="B200" s="32" t="inlineStr">
        <is>
          <t>Juice Press</t>
        </is>
      </c>
      <c r="C200" s="33" t="n">
        <v>104</v>
      </c>
      <c r="D200" s="34" t="n">
        <v>55</v>
      </c>
      <c r="E200" s="35" t="n">
        <v>252</v>
      </c>
      <c r="F200" s="33" t="n">
        <v>30</v>
      </c>
      <c r="G200" s="36" t="n">
        <v>31.41818182</v>
      </c>
      <c r="H200" s="37" t="n">
        <v>32.72727273</v>
      </c>
      <c r="I200" s="32">
        <f>IF(G200&lt;0,"negative profit",IF(G200&gt;Notes!$B$4,"unusually high - verify",""))</f>
        <v/>
      </c>
      <c r="J200" s="32" t="inlineStr">
        <is>
          <t>hayday.info /api/production-data (https://hayday.info/api/production-data)</t>
        </is>
      </c>
    </row>
    <row r="201" ht="15" customHeight="1" s="29">
      <c r="A201" s="32" t="inlineStr">
        <is>
          <t>Lobster tail</t>
        </is>
      </c>
      <c r="B201" s="32" t="inlineStr">
        <is>
          <t>Lobster Pool</t>
        </is>
      </c>
      <c r="C201" s="33" t="n">
        <v>44</v>
      </c>
      <c r="D201" s="34" t="n">
        <v>360</v>
      </c>
      <c r="E201" s="35" t="n">
        <v>201</v>
      </c>
      <c r="F201" s="33" t="n">
        <v>24</v>
      </c>
      <c r="G201" s="36" t="n">
        <v>33.5</v>
      </c>
      <c r="H201" s="37" t="n">
        <v>4</v>
      </c>
      <c r="I201" s="32">
        <f>IF(G201&lt;0,"negative profit",IF(G201&gt;Notes!$B$4,"unusually high - verify",""))</f>
        <v/>
      </c>
      <c r="J201" s="32" t="inlineStr">
        <is>
          <t>hayday.info /api/production-data (https://hayday.info/api/production-data)</t>
        </is>
      </c>
    </row>
    <row r="202" ht="15" customHeight="1" s="29">
      <c r="A202" s="32" t="inlineStr">
        <is>
          <t>Sweater</t>
        </is>
      </c>
      <c r="B202" s="32" t="inlineStr">
        <is>
          <t>Loom</t>
        </is>
      </c>
      <c r="C202" s="33" t="n">
        <v>17</v>
      </c>
      <c r="D202" s="34" t="n">
        <v>102</v>
      </c>
      <c r="E202" s="35" t="n">
        <v>151</v>
      </c>
      <c r="F202" s="33" t="n">
        <v>18</v>
      </c>
      <c r="G202" s="36" t="n">
        <v>25.29411765</v>
      </c>
      <c r="H202" s="37" t="n">
        <v>10.58823529</v>
      </c>
      <c r="I202" s="32">
        <f>IF(G202&lt;0,"negative profit",IF(G202&gt;Notes!$B$4,"unusually high - verify",""))</f>
        <v/>
      </c>
      <c r="J202" s="32" t="inlineStr">
        <is>
          <t>hayday.info /api/production-data (https://hayday.info/api/production-data)</t>
        </is>
      </c>
    </row>
    <row r="203" ht="15" customHeight="1" s="29">
      <c r="A203" s="32" t="inlineStr">
        <is>
          <t>Cotton fabric</t>
        </is>
      </c>
      <c r="B203" s="32" t="inlineStr">
        <is>
          <t>Loom</t>
        </is>
      </c>
      <c r="C203" s="33" t="n">
        <v>18</v>
      </c>
      <c r="D203" s="34" t="n">
        <v>25</v>
      </c>
      <c r="E203" s="35" t="n">
        <v>108</v>
      </c>
      <c r="F203" s="33" t="n">
        <v>13</v>
      </c>
      <c r="G203" s="36" t="n">
        <v>56.47058824</v>
      </c>
      <c r="H203" s="37" t="n">
        <v>30.58823529</v>
      </c>
      <c r="I203" s="32">
        <f>IF(G203&lt;0,"negative profit",IF(G203&gt;Notes!$B$4,"unusually high - verify",""))</f>
        <v/>
      </c>
      <c r="J203" s="32" t="inlineStr">
        <is>
          <t>hayday.info /api/production-data (https://hayday.info/api/production-data)</t>
        </is>
      </c>
    </row>
    <row r="204" ht="15" customHeight="1" s="29">
      <c r="A204" s="32" t="inlineStr">
        <is>
          <t>Blue woolly hat</t>
        </is>
      </c>
      <c r="B204" s="32" t="inlineStr">
        <is>
          <t>Loom</t>
        </is>
      </c>
      <c r="C204" s="33" t="n">
        <v>19</v>
      </c>
      <c r="D204" s="34" t="n">
        <v>51</v>
      </c>
      <c r="E204" s="35" t="n">
        <v>111</v>
      </c>
      <c r="F204" s="33" t="n">
        <v>13</v>
      </c>
      <c r="G204" s="36" t="n">
        <v>37.64705882</v>
      </c>
      <c r="H204" s="37" t="n">
        <v>15.29411765</v>
      </c>
      <c r="I204" s="32">
        <f>IF(G204&lt;0,"negative profit",IF(G204&gt;Notes!$B$4,"unusually high - verify",""))</f>
        <v/>
      </c>
      <c r="J204" s="32" t="inlineStr">
        <is>
          <t>hayday.info /api/production-data (https://hayday.info/api/production-data)</t>
        </is>
      </c>
    </row>
    <row r="205" ht="15" customHeight="1" s="29">
      <c r="A205" s="32" t="inlineStr">
        <is>
          <t>Blue sweater</t>
        </is>
      </c>
      <c r="B205" s="32" t="inlineStr">
        <is>
          <t>Loom</t>
        </is>
      </c>
      <c r="C205" s="33" t="n">
        <v>20</v>
      </c>
      <c r="D205" s="34" t="n">
        <v>153</v>
      </c>
      <c r="E205" s="35" t="n">
        <v>208</v>
      </c>
      <c r="F205" s="33" t="n">
        <v>25</v>
      </c>
      <c r="G205" s="36" t="n">
        <v>19.60784314</v>
      </c>
      <c r="H205" s="37" t="n">
        <v>9.803921569</v>
      </c>
      <c r="I205" s="32">
        <f>IF(G205&lt;0,"negative profit",IF(G205&gt;Notes!$B$4,"unusually high - verify",""))</f>
        <v/>
      </c>
      <c r="J205" s="32" t="inlineStr">
        <is>
          <t>hayday.info /api/production-data (https://hayday.info/api/production-data)</t>
        </is>
      </c>
    </row>
    <row r="206" ht="15" customHeight="1" s="29">
      <c r="A206" s="32" t="inlineStr">
        <is>
          <t>Red scarf</t>
        </is>
      </c>
      <c r="B206" s="32" t="inlineStr">
        <is>
          <t>Loom</t>
        </is>
      </c>
      <c r="C206" s="33" t="n">
        <v>48</v>
      </c>
      <c r="D206" s="34" t="n">
        <v>127</v>
      </c>
      <c r="E206" s="35" t="n">
        <v>288</v>
      </c>
      <c r="F206" s="33" t="n">
        <v>34</v>
      </c>
      <c r="G206" s="36" t="n">
        <v>37.64705882</v>
      </c>
      <c r="H206" s="37" t="n">
        <v>16</v>
      </c>
      <c r="I206" s="32">
        <f>IF(G206&lt;0,"negative profit",IF(G206&gt;Notes!$B$4,"unusually high - verify",""))</f>
        <v/>
      </c>
      <c r="J206" s="32" t="inlineStr">
        <is>
          <t>hayday.info /api/production-data (https://hayday.info/api/production-data)</t>
        </is>
      </c>
    </row>
    <row r="207" ht="15" customHeight="1" s="29">
      <c r="A207" s="32" t="inlineStr">
        <is>
          <t>Flower shawl</t>
        </is>
      </c>
      <c r="B207" s="32" t="inlineStr">
        <is>
          <t>Loom</t>
        </is>
      </c>
      <c r="C207" s="33" t="n">
        <v>71</v>
      </c>
      <c r="D207" s="34" t="n">
        <v>76</v>
      </c>
      <c r="E207" s="35" t="n">
        <v>295</v>
      </c>
      <c r="F207" s="33" t="n">
        <v>35</v>
      </c>
      <c r="G207" s="36" t="n">
        <v>32.94117647</v>
      </c>
      <c r="H207" s="37" t="n">
        <v>27.45098039</v>
      </c>
      <c r="I207" s="32">
        <f>IF(G207&lt;0,"negative profit",IF(G207&gt;Notes!$B$4,"unusually high - verify",""))</f>
        <v/>
      </c>
      <c r="J207" s="32" t="inlineStr">
        <is>
          <t>hayday.info /api/production-data (https://hayday.info/api/production-data)</t>
        </is>
      </c>
    </row>
    <row r="208" ht="15" customHeight="1" s="29">
      <c r="A208" s="32" t="inlineStr">
        <is>
          <t>Gnocchi</t>
        </is>
      </c>
      <c r="B208" s="32" t="inlineStr">
        <is>
          <t>Pasta Kitchen</t>
        </is>
      </c>
      <c r="C208" s="33" t="n">
        <v>72</v>
      </c>
      <c r="D208" s="34" t="n">
        <v>68</v>
      </c>
      <c r="E208" s="35" t="n">
        <v>475</v>
      </c>
      <c r="F208" s="33" t="n">
        <v>57</v>
      </c>
      <c r="G208" s="36" t="n">
        <v>28.23529412</v>
      </c>
      <c r="H208" s="37" t="n">
        <v>50.29411765</v>
      </c>
      <c r="I208" s="32">
        <f>IF(G208&lt;0,"negative profit",IF(G208&gt;Notes!$B$4,"unusually high - verify",""))</f>
        <v/>
      </c>
      <c r="J208" s="32" t="inlineStr">
        <is>
          <t>hayday.info /api/production-data (https://hayday.info/api/production-data)</t>
        </is>
      </c>
    </row>
    <row r="209" ht="15" customHeight="1" s="29">
      <c r="A209" s="32" t="inlineStr">
        <is>
          <t>Veggie lasagna</t>
        </is>
      </c>
      <c r="B209" s="32" t="inlineStr">
        <is>
          <t>Pasta Kitchen</t>
        </is>
      </c>
      <c r="C209" s="33" t="n">
        <v>74</v>
      </c>
      <c r="D209" s="34" t="n">
        <v>85</v>
      </c>
      <c r="E209" s="35" t="n">
        <v>532</v>
      </c>
      <c r="F209" s="33" t="n">
        <v>63</v>
      </c>
      <c r="G209" s="36" t="n">
        <v>31.05882353</v>
      </c>
      <c r="H209" s="37" t="n">
        <v>44.47058824</v>
      </c>
      <c r="I209" s="32">
        <f>IF(G209&lt;0,"negative profit",IF(G209&gt;Notes!$B$4,"unusually high - verify",""))</f>
        <v/>
      </c>
      <c r="J209" s="32" t="inlineStr">
        <is>
          <t>hayday.info /api/production-data (https://hayday.info/api/production-data)</t>
        </is>
      </c>
    </row>
    <row r="210" ht="15" customHeight="1" s="29">
      <c r="A210" s="32" t="inlineStr">
        <is>
          <t>Lobster pasta</t>
        </is>
      </c>
      <c r="B210" s="32" t="inlineStr">
        <is>
          <t>Pasta Kitchen</t>
        </is>
      </c>
      <c r="C210" s="33" t="n">
        <v>79</v>
      </c>
      <c r="D210" s="34" t="n">
        <v>102</v>
      </c>
      <c r="E210" s="35" t="n">
        <v>637</v>
      </c>
      <c r="F210" s="33" t="n">
        <v>76</v>
      </c>
      <c r="G210" s="36" t="n">
        <v>20.58823529</v>
      </c>
      <c r="H210" s="37" t="n">
        <v>44.70588235</v>
      </c>
      <c r="I210" s="32">
        <f>IF(G210&lt;0,"negative profit",IF(G210&gt;Notes!$B$4,"unusually high - verify",""))</f>
        <v/>
      </c>
      <c r="J210" s="32" t="inlineStr">
        <is>
          <t>hayday.info /api/production-data (https://hayday.info/api/production-data)</t>
        </is>
      </c>
    </row>
    <row r="211" ht="15" customHeight="1" s="29">
      <c r="A211" s="32" t="inlineStr">
        <is>
          <t>Broccoli pasta</t>
        </is>
      </c>
      <c r="B211" s="32" t="inlineStr">
        <is>
          <t>Pasta Kitchen</t>
        </is>
      </c>
      <c r="C211" s="33" t="n">
        <v>83</v>
      </c>
      <c r="D211" s="34" t="n">
        <v>51</v>
      </c>
      <c r="E211" s="35" t="n">
        <v>345</v>
      </c>
      <c r="F211" s="33" t="n">
        <v>41</v>
      </c>
      <c r="G211" s="36" t="n">
        <v>36.47058824</v>
      </c>
      <c r="H211" s="37" t="n">
        <v>48.23529412</v>
      </c>
      <c r="I211" s="32">
        <f>IF(G211&lt;0,"negative profit",IF(G211&gt;Notes!$B$4,"unusually high - verify",""))</f>
        <v/>
      </c>
      <c r="J211" s="32" t="inlineStr">
        <is>
          <t>hayday.info /api/production-data (https://hayday.info/api/production-data)</t>
        </is>
      </c>
    </row>
    <row r="212" ht="15" customHeight="1" s="29">
      <c r="A212" s="32" t="inlineStr">
        <is>
          <t>Pasta carbonara</t>
        </is>
      </c>
      <c r="B212" s="32" t="inlineStr">
        <is>
          <t>Pasta Kitchen</t>
        </is>
      </c>
      <c r="C212" s="33" t="n">
        <v>83</v>
      </c>
      <c r="D212" s="34" t="n">
        <v>127</v>
      </c>
      <c r="E212" s="35" t="n">
        <v>410</v>
      </c>
      <c r="F212" s="33" t="n">
        <v>49</v>
      </c>
      <c r="G212" s="36" t="n">
        <v>19.29411765</v>
      </c>
      <c r="H212" s="37" t="n">
        <v>23.05882353</v>
      </c>
      <c r="I212" s="32">
        <f>IF(G212&lt;0,"negative profit",IF(G212&gt;Notes!$B$4,"unusually high - verify",""))</f>
        <v/>
      </c>
      <c r="J212" s="32" t="inlineStr">
        <is>
          <t>hayday.info /api/production-data (https://hayday.info/api/production-data)</t>
        </is>
      </c>
    </row>
    <row r="213" ht="15" customHeight="1" s="29">
      <c r="A213" s="32" t="inlineStr">
        <is>
          <t>Spicy pasta</t>
        </is>
      </c>
      <c r="B213" s="32" t="inlineStr">
        <is>
          <t>Pasta Kitchen</t>
        </is>
      </c>
      <c r="C213" s="33" t="n">
        <v>87</v>
      </c>
      <c r="D213" s="34" t="n">
        <v>76</v>
      </c>
      <c r="E213" s="35" t="n">
        <v>576</v>
      </c>
      <c r="F213" s="33" t="n">
        <v>69</v>
      </c>
      <c r="G213" s="36" t="n">
        <v>24.31372549</v>
      </c>
      <c r="H213" s="37" t="n">
        <v>54.11764706</v>
      </c>
      <c r="I213" s="32">
        <f>IF(G213&lt;0,"negative profit",IF(G213&gt;Notes!$B$4,"unusually high - verify",""))</f>
        <v/>
      </c>
      <c r="J213" s="32" t="inlineStr">
        <is>
          <t>hayday.info /api/production-data (https://hayday.info/api/production-data)</t>
        </is>
      </c>
    </row>
    <row r="214" ht="15" customHeight="1" s="29">
      <c r="A214" s="32" t="inlineStr">
        <is>
          <t>Mushroom pasta</t>
        </is>
      </c>
      <c r="B214" s="32" t="inlineStr">
        <is>
          <t>Pasta Kitchen</t>
        </is>
      </c>
      <c r="C214" s="33" t="n">
        <v>101</v>
      </c>
      <c r="D214" s="34" t="n">
        <v>63</v>
      </c>
      <c r="E214" s="35" t="n">
        <v>280</v>
      </c>
      <c r="F214" s="33" t="n">
        <v>33</v>
      </c>
      <c r="G214" s="36" t="n">
        <v>34.82352941</v>
      </c>
      <c r="H214" s="37" t="n">
        <v>31.05882353</v>
      </c>
      <c r="I214" s="32">
        <f>IF(G214&lt;0,"negative profit",IF(G214&gt;Notes!$B$4,"unusually high - verify",""))</f>
        <v/>
      </c>
      <c r="J214" s="32" t="inlineStr">
        <is>
          <t>hayday.info /api/production-data (https://hayday.info/api/production-data)</t>
        </is>
      </c>
    </row>
    <row r="215" ht="15" customHeight="1" s="29">
      <c r="A215" s="32" t="inlineStr">
        <is>
          <t>Fresh pasta</t>
        </is>
      </c>
      <c r="B215" s="32" t="inlineStr">
        <is>
          <t>Pasta Maker</t>
        </is>
      </c>
      <c r="C215" s="33" t="n">
        <v>67</v>
      </c>
      <c r="D215" s="34" t="n">
        <v>12</v>
      </c>
      <c r="E215" s="35" t="n">
        <v>43</v>
      </c>
      <c r="F215" s="33" t="n">
        <v>5</v>
      </c>
      <c r="G215" s="36" t="n">
        <v>89.41176471</v>
      </c>
      <c r="H215" s="37" t="n">
        <v>23.52941176</v>
      </c>
      <c r="I215" s="32">
        <f>IF(G215&lt;0,"negative profit",IF(G215&gt;Notes!$B$4,"unusually high - verify",""))</f>
        <v/>
      </c>
      <c r="J215" s="32" t="inlineStr">
        <is>
          <t>hayday.info /api/production-data (https://hayday.info/api/production-data)</t>
        </is>
      </c>
    </row>
    <row r="216" ht="15" customHeight="1" s="29">
      <c r="A216" s="32" t="inlineStr">
        <is>
          <t>Rice noodles</t>
        </is>
      </c>
      <c r="B216" s="32" t="inlineStr">
        <is>
          <t>Pasta Maker</t>
        </is>
      </c>
      <c r="C216" s="33" t="n">
        <v>73</v>
      </c>
      <c r="D216" s="34" t="n">
        <v>17</v>
      </c>
      <c r="E216" s="35" t="n">
        <v>100</v>
      </c>
      <c r="F216" s="33" t="n">
        <v>12</v>
      </c>
      <c r="G216" s="36" t="n">
        <v>35.29411765</v>
      </c>
      <c r="H216" s="37" t="n">
        <v>42.35294118</v>
      </c>
      <c r="I216" s="32">
        <f>IF(G216&lt;0,"negative profit",IF(G216&gt;Notes!$B$4,"unusually high - verify",""))</f>
        <v/>
      </c>
      <c r="J216" s="32" t="inlineStr">
        <is>
          <t>hayday.info /api/production-data (https://hayday.info/api/production-data)</t>
        </is>
      </c>
    </row>
    <row r="217" ht="15" customHeight="1" s="29">
      <c r="A217" s="32" t="inlineStr">
        <is>
          <t>Carrot pie</t>
        </is>
      </c>
      <c r="B217" s="32" t="inlineStr">
        <is>
          <t>Pie Oven</t>
        </is>
      </c>
      <c r="C217" s="33" t="n">
        <v>14</v>
      </c>
      <c r="D217" s="34" t="n">
        <v>51</v>
      </c>
      <c r="E217" s="35" t="n">
        <v>82</v>
      </c>
      <c r="F217" s="33" t="n">
        <v>10</v>
      </c>
      <c r="G217" s="36" t="n">
        <v>43.52941176</v>
      </c>
      <c r="H217" s="37" t="n">
        <v>11.76470588</v>
      </c>
      <c r="I217" s="32">
        <f>IF(G217&lt;0,"negative profit",IF(G217&gt;Notes!$B$4,"unusually high - verify",""))</f>
        <v/>
      </c>
      <c r="J217" s="32" t="inlineStr">
        <is>
          <t>hayday.info /api/production-data (https://hayday.info/api/production-data)</t>
        </is>
      </c>
    </row>
    <row r="218" ht="15" customHeight="1" s="29">
      <c r="A218" s="32" t="inlineStr">
        <is>
          <t>Pumpkin pie</t>
        </is>
      </c>
      <c r="B218" s="32" t="inlineStr">
        <is>
          <t>Pie Oven</t>
        </is>
      </c>
      <c r="C218" s="33" t="n">
        <v>15</v>
      </c>
      <c r="D218" s="34" t="n">
        <v>102</v>
      </c>
      <c r="E218" s="35" t="n">
        <v>158</v>
      </c>
      <c r="F218" s="33" t="n">
        <v>19</v>
      </c>
      <c r="G218" s="36" t="n">
        <v>22.35294118</v>
      </c>
      <c r="H218" s="37" t="n">
        <v>11.17647059</v>
      </c>
      <c r="I218" s="32">
        <f>IF(G218&lt;0,"negative profit",IF(G218&gt;Notes!$B$4,"unusually high - verify",""))</f>
        <v/>
      </c>
      <c r="J218" s="32" t="inlineStr">
        <is>
          <t>hayday.info /api/production-data (https://hayday.info/api/production-data)</t>
        </is>
      </c>
    </row>
    <row r="219" ht="15" customHeight="1" s="29">
      <c r="A219" s="32" t="inlineStr">
        <is>
          <t>Bacon pie</t>
        </is>
      </c>
      <c r="B219" s="32" t="inlineStr">
        <is>
          <t>Pie Oven</t>
        </is>
      </c>
      <c r="C219" s="33" t="n">
        <v>18</v>
      </c>
      <c r="D219" s="34" t="n">
        <v>153</v>
      </c>
      <c r="E219" s="35" t="n">
        <v>219</v>
      </c>
      <c r="F219" s="33" t="n">
        <v>26</v>
      </c>
      <c r="G219" s="36" t="n">
        <v>17.64705882</v>
      </c>
      <c r="H219" s="37" t="n">
        <v>10.19607843</v>
      </c>
      <c r="I219" s="32">
        <f>IF(G219&lt;0,"negative profit",IF(G219&gt;Notes!$B$4,"unusually high - verify",""))</f>
        <v/>
      </c>
      <c r="J219" s="32" t="inlineStr">
        <is>
          <t>hayday.info /api/production-data (https://hayday.info/api/production-data)</t>
        </is>
      </c>
    </row>
    <row r="220" ht="15" customHeight="1" s="29">
      <c r="A220" s="32" t="inlineStr">
        <is>
          <t>Apple pie</t>
        </is>
      </c>
      <c r="B220" s="32" t="inlineStr">
        <is>
          <t>Pie Oven</t>
        </is>
      </c>
      <c r="C220" s="33" t="n">
        <v>28</v>
      </c>
      <c r="D220" s="34" t="n">
        <v>127</v>
      </c>
      <c r="E220" s="35" t="n">
        <v>270</v>
      </c>
      <c r="F220" s="33" t="n">
        <v>32</v>
      </c>
      <c r="G220" s="36" t="n">
        <v>18.35294118</v>
      </c>
      <c r="H220" s="37" t="n">
        <v>15.05882353</v>
      </c>
      <c r="I220" s="32">
        <f>IF(G220&lt;0,"negative profit",IF(G220&gt;Notes!$B$4,"unusually high - verify",""))</f>
        <v/>
      </c>
      <c r="J220" s="32" t="inlineStr">
        <is>
          <t>hayday.info /api/production-data (https://hayday.info/api/production-data)</t>
        </is>
      </c>
    </row>
    <row r="221" ht="15" customHeight="1" s="29">
      <c r="A221" s="32" t="inlineStr">
        <is>
          <t>Fish pie</t>
        </is>
      </c>
      <c r="B221" s="32" t="inlineStr">
        <is>
          <t>Pie Oven</t>
        </is>
      </c>
      <c r="C221" s="33" t="n">
        <v>28</v>
      </c>
      <c r="D221" s="34" t="n">
        <v>102</v>
      </c>
      <c r="E221" s="35" t="n">
        <v>226</v>
      </c>
      <c r="F221" s="33" t="n">
        <v>27</v>
      </c>
      <c r="G221" s="36" t="n">
        <v>23.52941176</v>
      </c>
      <c r="H221" s="37" t="n">
        <v>15.88235294</v>
      </c>
      <c r="I221" s="32">
        <f>IF(G221&lt;0,"negative profit",IF(G221&gt;Notes!$B$4,"unusually high - verify",""))</f>
        <v/>
      </c>
      <c r="J221" s="32" t="inlineStr">
        <is>
          <t>hayday.info /api/production-data (https://hayday.info/api/production-data)</t>
        </is>
      </c>
    </row>
    <row r="222" ht="15" customHeight="1" s="29">
      <c r="A222" s="32" t="inlineStr">
        <is>
          <t>Feta pie</t>
        </is>
      </c>
      <c r="B222" s="32" t="inlineStr">
        <is>
          <t>Pie Oven</t>
        </is>
      </c>
      <c r="C222" s="33" t="n">
        <v>34</v>
      </c>
      <c r="D222" s="34" t="n">
        <v>76</v>
      </c>
      <c r="E222" s="35" t="n">
        <v>223</v>
      </c>
      <c r="F222" s="33" t="n">
        <v>26</v>
      </c>
      <c r="G222" s="36" t="n">
        <v>29.01960784</v>
      </c>
      <c r="H222" s="37" t="n">
        <v>20.39215686</v>
      </c>
      <c r="I222" s="32">
        <f>IF(G222&lt;0,"negative profit",IF(G222&gt;Notes!$B$4,"unusually high - verify",""))</f>
        <v/>
      </c>
      <c r="J222" s="32" t="inlineStr">
        <is>
          <t>hayday.info /api/production-data (https://hayday.info/api/production-data)</t>
        </is>
      </c>
    </row>
    <row r="223" ht="15" customHeight="1" s="29">
      <c r="A223" s="32" t="inlineStr">
        <is>
          <t>Casserole</t>
        </is>
      </c>
      <c r="B223" s="32" t="inlineStr">
        <is>
          <t>Pie Oven</t>
        </is>
      </c>
      <c r="C223" s="33" t="n">
        <v>36</v>
      </c>
      <c r="D223" s="34" t="n">
        <v>102</v>
      </c>
      <c r="E223" s="35" t="n">
        <v>367</v>
      </c>
      <c r="F223" s="33" t="n">
        <v>44</v>
      </c>
      <c r="G223" s="36" t="n">
        <v>21.76470588</v>
      </c>
      <c r="H223" s="37" t="n">
        <v>25.88235294</v>
      </c>
      <c r="I223" s="32">
        <f>IF(G223&lt;0,"negative profit",IF(G223&gt;Notes!$B$4,"unusually high - verify",""))</f>
        <v/>
      </c>
      <c r="J223" s="32" t="inlineStr">
        <is>
          <t>hayday.info /api/production-data (https://hayday.info/api/production-data)</t>
        </is>
      </c>
    </row>
    <row r="224" ht="15" customHeight="1" s="29">
      <c r="A224" s="32" t="inlineStr">
        <is>
          <t>Shepherd's pie</t>
        </is>
      </c>
      <c r="B224" s="32" t="inlineStr">
        <is>
          <t>Pie Oven</t>
        </is>
      </c>
      <c r="C224" s="33" t="n">
        <v>39</v>
      </c>
      <c r="D224" s="34" t="n">
        <v>85</v>
      </c>
      <c r="E224" s="35" t="n">
        <v>280</v>
      </c>
      <c r="F224" s="33" t="n">
        <v>34</v>
      </c>
      <c r="G224" s="36" t="n">
        <v>21.17647059</v>
      </c>
      <c r="H224" s="37" t="n">
        <v>24</v>
      </c>
      <c r="I224" s="32">
        <f>IF(G224&lt;0,"negative profit",IF(G224&gt;Notes!$B$4,"unusually high - verify",""))</f>
        <v/>
      </c>
      <c r="J224" s="32" t="inlineStr">
        <is>
          <t>hayday.info /api/production-data (https://hayday.info/api/production-data)</t>
        </is>
      </c>
    </row>
    <row r="225" ht="15" customHeight="1" s="29">
      <c r="A225" s="32" t="inlineStr">
        <is>
          <t>Chocolate pie</t>
        </is>
      </c>
      <c r="B225" s="32" t="inlineStr">
        <is>
          <t>Pie Oven</t>
        </is>
      </c>
      <c r="C225" s="33" t="n">
        <v>65</v>
      </c>
      <c r="D225" s="34" t="n">
        <v>63</v>
      </c>
      <c r="E225" s="35" t="n">
        <v>514</v>
      </c>
      <c r="F225" s="33" t="n">
        <v>70</v>
      </c>
      <c r="G225" s="36" t="n">
        <v>76.23529412000001</v>
      </c>
      <c r="H225" s="37" t="n">
        <v>65.88235294</v>
      </c>
      <c r="I225" s="32">
        <f>IF(G225&lt;0,"negative profit",IF(G225&gt;Notes!$B$4,"unusually high - verify",""))</f>
        <v/>
      </c>
      <c r="J225" s="32" t="inlineStr">
        <is>
          <t>hayday.info /api/production-data (https://hayday.info/api/production-data)</t>
        </is>
      </c>
    </row>
    <row r="226" ht="15" customHeight="1" s="29">
      <c r="A226" s="32" t="inlineStr">
        <is>
          <t>Lemon pie</t>
        </is>
      </c>
      <c r="B226" s="32" t="inlineStr">
        <is>
          <t>Pie Oven</t>
        </is>
      </c>
      <c r="C226" s="33" t="n">
        <v>67</v>
      </c>
      <c r="D226" s="34" t="n">
        <v>114</v>
      </c>
      <c r="E226" s="35" t="n">
        <v>446</v>
      </c>
      <c r="F226" s="33" t="n">
        <v>53</v>
      </c>
      <c r="G226" s="36" t="n">
        <v>23.00653595</v>
      </c>
      <c r="H226" s="37" t="n">
        <v>27.7124183</v>
      </c>
      <c r="I226" s="32">
        <f>IF(G226&lt;0,"negative profit",IF(G226&gt;Notes!$B$4,"unusually high - verify",""))</f>
        <v/>
      </c>
      <c r="J226" s="32" t="inlineStr">
        <is>
          <t>hayday.info /api/production-data (https://hayday.info/api/production-data)</t>
        </is>
      </c>
    </row>
    <row r="227" ht="15" customHeight="1" s="29">
      <c r="A227" s="32" t="inlineStr">
        <is>
          <t>Peach tart</t>
        </is>
      </c>
      <c r="B227" s="32" t="inlineStr">
        <is>
          <t>Pie Oven</t>
        </is>
      </c>
      <c r="C227" s="33" t="n">
        <v>76</v>
      </c>
      <c r="D227" s="34" t="n">
        <v>127</v>
      </c>
      <c r="E227" s="35" t="n">
        <v>435</v>
      </c>
      <c r="F227" s="33" t="n">
        <v>52</v>
      </c>
      <c r="G227" s="36" t="n">
        <v>20.23529412</v>
      </c>
      <c r="H227" s="37" t="n">
        <v>24.47058824</v>
      </c>
      <c r="I227" s="32">
        <f>IF(G227&lt;0,"negative profit",IF(G227&gt;Notes!$B$4,"unusually high - verify",""))</f>
        <v/>
      </c>
      <c r="J227" s="32" t="inlineStr">
        <is>
          <t>hayday.info /api/production-data (https://hayday.info/api/production-data)</t>
        </is>
      </c>
    </row>
    <row r="228" ht="15" customHeight="1" s="29">
      <c r="A228" s="32" t="inlineStr">
        <is>
          <t>Passion fruit pie</t>
        </is>
      </c>
      <c r="B228" s="32" t="inlineStr">
        <is>
          <t>Pie Oven</t>
        </is>
      </c>
      <c r="C228" s="33" t="n">
        <v>92</v>
      </c>
      <c r="D228" s="34" t="n">
        <v>42</v>
      </c>
      <c r="E228" s="35" t="n">
        <v>111</v>
      </c>
      <c r="F228" s="33" t="n">
        <v>13</v>
      </c>
      <c r="G228" s="36" t="n">
        <v>46.58823529</v>
      </c>
      <c r="H228" s="37" t="n">
        <v>18.35294118</v>
      </c>
      <c r="I228" s="32">
        <f>IF(G228&lt;0,"negative profit",IF(G228&gt;Notes!$B$4,"unusually high - verify",""))</f>
        <v/>
      </c>
      <c r="J228" s="32" t="inlineStr">
        <is>
          <t>hayday.info /api/production-data (https://hayday.info/api/production-data)</t>
        </is>
      </c>
    </row>
    <row r="229" ht="15" customHeight="1" s="29">
      <c r="A229" s="32" t="inlineStr">
        <is>
          <t>Mushroom pot pie</t>
        </is>
      </c>
      <c r="B229" s="32" t="inlineStr">
        <is>
          <t>Pie Oven</t>
        </is>
      </c>
      <c r="C229" s="33" t="n">
        <v>97</v>
      </c>
      <c r="D229" s="34" t="n">
        <v>51</v>
      </c>
      <c r="E229" s="35" t="n">
        <v>162</v>
      </c>
      <c r="F229" s="33" t="n">
        <v>19</v>
      </c>
      <c r="G229" s="36" t="n">
        <v>38.82352941</v>
      </c>
      <c r="H229" s="37" t="n">
        <v>22.35294118</v>
      </c>
      <c r="I229" s="32">
        <f>IF(G229&lt;0,"negative profit",IF(G229&gt;Notes!$B$4,"unusually high - verify",""))</f>
        <v/>
      </c>
      <c r="J229" s="32" t="inlineStr">
        <is>
          <t>hayday.info /api/production-data (https://hayday.info/api/production-data)</t>
        </is>
      </c>
    </row>
    <row r="230" ht="15" customHeight="1" s="29">
      <c r="A230" s="32" t="inlineStr">
        <is>
          <t>Eggplant parmesan</t>
        </is>
      </c>
      <c r="B230" s="32" t="inlineStr">
        <is>
          <t>Pie Oven</t>
        </is>
      </c>
      <c r="C230" s="33" t="n">
        <v>99</v>
      </c>
      <c r="D230" s="34" t="n">
        <v>38</v>
      </c>
      <c r="E230" s="35" t="n">
        <v>442</v>
      </c>
      <c r="F230" s="33" t="n">
        <v>53</v>
      </c>
      <c r="G230" s="36" t="n">
        <v>75.29411765</v>
      </c>
      <c r="H230" s="37" t="n">
        <v>83.1372549</v>
      </c>
      <c r="I230" s="32">
        <f>IF(G230&lt;0,"negative profit",IF(G230&gt;Notes!$B$4,"unusually high - verify",""))</f>
        <v/>
      </c>
      <c r="J230" s="32" t="inlineStr">
        <is>
          <t>hayday.info /api/production-data (https://hayday.info/api/production-data)</t>
        </is>
      </c>
    </row>
    <row r="231" ht="15" customHeight="1" s="29">
      <c r="A231" s="32" t="inlineStr">
        <is>
          <t>Popcorn</t>
        </is>
      </c>
      <c r="B231" s="32" t="inlineStr">
        <is>
          <t>Popcorn Pot</t>
        </is>
      </c>
      <c r="C231" s="33" t="n">
        <v>8</v>
      </c>
      <c r="D231" s="34" t="n">
        <v>25</v>
      </c>
      <c r="E231" s="35" t="n">
        <v>32</v>
      </c>
      <c r="F231" s="33" t="n">
        <v>4</v>
      </c>
      <c r="G231" s="36" t="n">
        <v>42.35294118</v>
      </c>
      <c r="H231" s="37" t="n">
        <v>9.411764706</v>
      </c>
      <c r="I231" s="32">
        <f>IF(G231&lt;0,"negative profit",IF(G231&gt;Notes!$B$4,"unusually high - verify",""))</f>
        <v/>
      </c>
      <c r="J231" s="32" t="inlineStr">
        <is>
          <t>hayday.info /api/production-data (https://hayday.info/api/production-data)</t>
        </is>
      </c>
    </row>
    <row r="232" ht="15" customHeight="1" s="29">
      <c r="A232" s="32" t="inlineStr">
        <is>
          <t>Buttered popcorn</t>
        </is>
      </c>
      <c r="B232" s="32" t="inlineStr">
        <is>
          <t>Popcorn Pot</t>
        </is>
      </c>
      <c r="C232" s="33" t="n">
        <v>16</v>
      </c>
      <c r="D232" s="34" t="n">
        <v>51</v>
      </c>
      <c r="E232" s="35" t="n">
        <v>126</v>
      </c>
      <c r="F232" s="33" t="n">
        <v>15</v>
      </c>
      <c r="G232" s="36" t="n">
        <v>35.29411765</v>
      </c>
      <c r="H232" s="37" t="n">
        <v>17.64705882</v>
      </c>
      <c r="I232" s="32">
        <f>IF(G232&lt;0,"negative profit",IF(G232&gt;Notes!$B$4,"unusually high - verify",""))</f>
        <v/>
      </c>
      <c r="J232" s="32" t="inlineStr">
        <is>
          <t>hayday.info /api/production-data (https://hayday.info/api/production-data)</t>
        </is>
      </c>
    </row>
    <row r="233" ht="15" customHeight="1" s="29">
      <c r="A233" s="32" t="inlineStr">
        <is>
          <t>Chili popcorn</t>
        </is>
      </c>
      <c r="B233" s="32" t="inlineStr">
        <is>
          <t>Popcorn Pot</t>
        </is>
      </c>
      <c r="C233" s="33" t="n">
        <v>25</v>
      </c>
      <c r="D233" s="34" t="n">
        <v>102</v>
      </c>
      <c r="E233" s="35" t="n">
        <v>122</v>
      </c>
      <c r="F233" s="33" t="n">
        <v>15</v>
      </c>
      <c r="G233" s="36" t="n">
        <v>21.17647059</v>
      </c>
      <c r="H233" s="37" t="n">
        <v>8.823529411999999</v>
      </c>
      <c r="I233" s="32">
        <f>IF(G233&lt;0,"negative profit",IF(G233&gt;Notes!$B$4,"unusually high - verify",""))</f>
        <v/>
      </c>
      <c r="J233" s="32" t="inlineStr">
        <is>
          <t>hayday.info /api/production-data (https://hayday.info/api/production-data)</t>
        </is>
      </c>
    </row>
    <row r="234" ht="15" customHeight="1" s="29">
      <c r="A234" s="32" t="inlineStr">
        <is>
          <t>Honey popcorn</t>
        </is>
      </c>
      <c r="B234" s="32" t="inlineStr">
        <is>
          <t>Popcorn Pot</t>
        </is>
      </c>
      <c r="C234" s="33" t="n">
        <v>40</v>
      </c>
      <c r="D234" s="34" t="n">
        <v>76</v>
      </c>
      <c r="E234" s="35" t="n">
        <v>360</v>
      </c>
      <c r="F234" s="33" t="n">
        <v>43</v>
      </c>
      <c r="G234" s="36" t="n">
        <v>29.80392157</v>
      </c>
      <c r="H234" s="37" t="n">
        <v>33.7254902</v>
      </c>
      <c r="I234" s="32">
        <f>IF(G234&lt;0,"negative profit",IF(G234&gt;Notes!$B$4,"unusually high - verify",""))</f>
        <v/>
      </c>
      <c r="J234" s="32" t="inlineStr">
        <is>
          <t>hayday.info /api/production-data (https://hayday.info/api/production-data)</t>
        </is>
      </c>
    </row>
    <row r="235" ht="15" customHeight="1" s="29">
      <c r="A235" s="32" t="inlineStr">
        <is>
          <t>Chocolate popcorn</t>
        </is>
      </c>
      <c r="B235" s="32" t="inlineStr">
        <is>
          <t>Popcorn Pot</t>
        </is>
      </c>
      <c r="C235" s="33" t="n">
        <v>44</v>
      </c>
      <c r="D235" s="34" t="n">
        <v>127</v>
      </c>
      <c r="E235" s="35" t="n">
        <v>248</v>
      </c>
      <c r="F235" s="33" t="n">
        <v>29</v>
      </c>
      <c r="G235" s="36" t="n">
        <v>29.17647059</v>
      </c>
      <c r="H235" s="37" t="n">
        <v>13.64705882</v>
      </c>
      <c r="I235" s="32">
        <f>IF(G235&lt;0,"negative profit",IF(G235&gt;Notes!$B$4,"unusually high - verify",""))</f>
        <v/>
      </c>
      <c r="J235" s="32" t="inlineStr">
        <is>
          <t>hayday.info /api/production-data (https://hayday.info/api/production-data)</t>
        </is>
      </c>
    </row>
    <row r="236" ht="15" customHeight="1" s="29">
      <c r="A236" s="32" t="inlineStr">
        <is>
          <t>Snack mix</t>
        </is>
      </c>
      <c r="B236" s="32" t="inlineStr">
        <is>
          <t>Popcorn Pot</t>
        </is>
      </c>
      <c r="C236" s="33" t="n">
        <v>64</v>
      </c>
      <c r="D236" s="34" t="n">
        <v>38</v>
      </c>
      <c r="E236" s="35" t="n">
        <v>309</v>
      </c>
      <c r="F236" s="33" t="n">
        <v>50</v>
      </c>
      <c r="G236" s="36" t="n">
        <v>67.45098039</v>
      </c>
      <c r="H236" s="37" t="n">
        <v>78.43137255000001</v>
      </c>
      <c r="I236" s="32">
        <f>IF(G236&lt;0,"negative profit",IF(G236&gt;Notes!$B$4,"unusually high - verify",""))</f>
        <v/>
      </c>
      <c r="J236" s="32" t="inlineStr">
        <is>
          <t>hayday.info /api/production-data (https://hayday.info/api/production-data)</t>
        </is>
      </c>
    </row>
    <row r="237" ht="15" customHeight="1" s="29">
      <c r="A237" s="32" t="inlineStr">
        <is>
          <t>Tea pot</t>
        </is>
      </c>
      <c r="B237" s="32" t="inlineStr">
        <is>
          <t>Pottery Studio</t>
        </is>
      </c>
      <c r="C237" s="33" t="n">
        <v>94</v>
      </c>
      <c r="D237" s="34" t="n">
        <v>187</v>
      </c>
      <c r="E237" s="35" t="n">
        <v>219</v>
      </c>
      <c r="F237" s="33" t="n">
        <v>26</v>
      </c>
      <c r="G237" s="36" t="n">
        <v>25.6684492</v>
      </c>
      <c r="H237" s="37" t="n">
        <v>8.342245989</v>
      </c>
      <c r="I237" s="32">
        <f>IF(G237&lt;0,"negative profit",IF(G237&gt;Notes!$B$4,"unusually high - verify",""))</f>
        <v/>
      </c>
      <c r="J237" s="32" t="inlineStr">
        <is>
          <t>hayday.info /api/production-data (https://hayday.info/api/production-data)</t>
        </is>
      </c>
    </row>
    <row r="238" ht="15" customHeight="1" s="29">
      <c r="A238" s="32" t="inlineStr">
        <is>
          <t>Potted plant</t>
        </is>
      </c>
      <c r="B238" s="32" t="inlineStr">
        <is>
          <t>Pottery Studio</t>
        </is>
      </c>
      <c r="C238" s="33" t="n">
        <v>96</v>
      </c>
      <c r="D238" s="34" t="n">
        <v>187</v>
      </c>
      <c r="E238" s="35" t="n">
        <v>151</v>
      </c>
      <c r="F238" s="33" t="n">
        <v>26</v>
      </c>
      <c r="G238" s="36" t="n">
        <v>24.38502674</v>
      </c>
      <c r="H238" s="37" t="n">
        <v>8.342245989</v>
      </c>
      <c r="I238" s="32">
        <f>IF(G238&lt;0,"negative profit",IF(G238&gt;Notes!$B$4,"unusually high - verify",""))</f>
        <v/>
      </c>
      <c r="J238" s="32" t="inlineStr">
        <is>
          <t>hayday.info /api/production-data (https://hayday.info/api/production-data)</t>
        </is>
      </c>
    </row>
    <row r="239" ht="15" customHeight="1" s="29">
      <c r="A239" s="32" t="inlineStr">
        <is>
          <t>Clay mug</t>
        </is>
      </c>
      <c r="B239" s="32" t="inlineStr">
        <is>
          <t>Pottery Studio</t>
        </is>
      </c>
      <c r="C239" s="33" t="n">
        <v>99</v>
      </c>
      <c r="D239" s="34" t="n">
        <v>170</v>
      </c>
      <c r="E239" s="35" t="n">
        <v>212</v>
      </c>
      <c r="F239" s="33" t="n">
        <v>25</v>
      </c>
      <c r="G239" s="36" t="n">
        <v>25.41176471</v>
      </c>
      <c r="H239" s="37" t="n">
        <v>8.823529411999999</v>
      </c>
      <c r="I239" s="32">
        <f>IF(G239&lt;0,"negative profit",IF(G239&gt;Notes!$B$4,"unusually high - verify",""))</f>
        <v/>
      </c>
      <c r="J239" s="32" t="inlineStr">
        <is>
          <t>hayday.info /api/production-data (https://hayday.info/api/production-data)</t>
        </is>
      </c>
    </row>
    <row r="240" ht="15" customHeight="1" s="29">
      <c r="A240" s="32" t="inlineStr">
        <is>
          <t>Pickles</t>
        </is>
      </c>
      <c r="B240" s="32" t="inlineStr">
        <is>
          <t>Preservation station</t>
        </is>
      </c>
      <c r="C240" s="33" t="n">
        <v>91</v>
      </c>
      <c r="D240" s="34" t="n">
        <v>204</v>
      </c>
      <c r="E240" s="35" t="n">
        <v>270</v>
      </c>
      <c r="F240" s="33" t="n">
        <v>32</v>
      </c>
      <c r="G240" s="36" t="n">
        <v>16.76470588</v>
      </c>
      <c r="H240" s="37" t="n">
        <v>9.411764706</v>
      </c>
      <c r="I240" s="32">
        <f>IF(G240&lt;0,"negative profit",IF(G240&gt;Notes!$B$4,"unusually high - verify",""))</f>
        <v/>
      </c>
      <c r="J240" s="32" t="inlineStr">
        <is>
          <t>hayday.info /api/production-data (https://hayday.info/api/production-data)</t>
        </is>
      </c>
    </row>
    <row r="241" ht="15" customHeight="1" s="29">
      <c r="A241" s="32" t="inlineStr">
        <is>
          <t>Canned fish</t>
        </is>
      </c>
      <c r="B241" s="32" t="inlineStr">
        <is>
          <t>Preservation station</t>
        </is>
      </c>
      <c r="C241" s="33" t="n">
        <v>95</v>
      </c>
      <c r="D241" s="34" t="n">
        <v>187</v>
      </c>
      <c r="E241" s="35" t="n">
        <v>471</v>
      </c>
      <c r="F241" s="33" t="n">
        <v>56</v>
      </c>
      <c r="G241" s="36" t="n">
        <v>16.04278075</v>
      </c>
      <c r="H241" s="37" t="n">
        <v>17.96791444</v>
      </c>
      <c r="I241" s="32">
        <f>IF(G241&lt;0,"negative profit",IF(G241&gt;Notes!$B$4,"unusually high - verify",""))</f>
        <v/>
      </c>
      <c r="J241" s="32" t="inlineStr">
        <is>
          <t>hayday.info /api/production-data (https://hayday.info/api/production-data)</t>
        </is>
      </c>
    </row>
    <row r="242" ht="15" customHeight="1" s="29">
      <c r="A242" s="32" t="inlineStr">
        <is>
          <t>Kimchi</t>
        </is>
      </c>
      <c r="B242" s="32" t="inlineStr">
        <is>
          <t>Preservation station</t>
        </is>
      </c>
      <c r="C242" s="33" t="n">
        <v>98</v>
      </c>
      <c r="D242" s="34" t="n">
        <v>255</v>
      </c>
      <c r="E242" s="35" t="n">
        <v>219</v>
      </c>
      <c r="F242" s="33" t="n">
        <v>26</v>
      </c>
      <c r="G242" s="36" t="n">
        <v>12</v>
      </c>
      <c r="H242" s="37" t="n">
        <v>6.117647059</v>
      </c>
      <c r="I242" s="32">
        <f>IF(G242&lt;0,"negative profit",IF(G242&gt;Notes!$B$4,"unusually high - verify",""))</f>
        <v/>
      </c>
      <c r="J242" s="32" t="inlineStr">
        <is>
          <t>hayday.info /api/production-data (https://hayday.info/api/production-data)</t>
        </is>
      </c>
    </row>
    <row r="243" ht="15" customHeight="1" s="29">
      <c r="A243" s="32" t="inlineStr">
        <is>
          <t>Dried fruit</t>
        </is>
      </c>
      <c r="B243" s="32" t="inlineStr">
        <is>
          <t>Preservation station</t>
        </is>
      </c>
      <c r="C243" s="33" t="n">
        <v>102</v>
      </c>
      <c r="D243" s="34" t="n">
        <v>153</v>
      </c>
      <c r="E243" s="35" t="n">
        <v>266</v>
      </c>
      <c r="F243" s="33" t="n">
        <v>32</v>
      </c>
      <c r="G243" s="36" t="n">
        <v>16.07843137</v>
      </c>
      <c r="H243" s="37" t="n">
        <v>12.54901961</v>
      </c>
      <c r="I243" s="32">
        <f>IF(G243&lt;0,"negative profit",IF(G243&gt;Notes!$B$4,"unusually high - verify",""))</f>
        <v/>
      </c>
      <c r="J243" s="32" t="inlineStr">
        <is>
          <t>hayday.info /api/production-data (https://hayday.info/api/production-data)</t>
        </is>
      </c>
    </row>
    <row r="244" ht="15" customHeight="1" s="29">
      <c r="A244" s="32" t="inlineStr">
        <is>
          <t>Guava Compote</t>
        </is>
      </c>
      <c r="B244" s="32" t="inlineStr">
        <is>
          <t>Preservation station</t>
        </is>
      </c>
      <c r="C244" s="33" t="n">
        <v>104</v>
      </c>
      <c r="D244" s="34" t="n">
        <v>260</v>
      </c>
      <c r="E244" s="35" t="n">
        <v>421</v>
      </c>
      <c r="F244" s="33" t="n">
        <v>50</v>
      </c>
      <c r="G244" s="36" t="n">
        <v>12.92307692</v>
      </c>
      <c r="H244" s="37" t="n">
        <v>11.53846154</v>
      </c>
      <c r="I244" s="32">
        <f>IF(G244&lt;0,"negative profit",IF(G244&gt;Notes!$B$4,"unusually high - verify",""))</f>
        <v/>
      </c>
      <c r="J244" s="32" t="inlineStr">
        <is>
          <t>hayday.info /api/production-data (https://hayday.info/api/production-data)</t>
        </is>
      </c>
    </row>
    <row r="245" ht="15" customHeight="1" s="29">
      <c r="A245" s="32" t="inlineStr">
        <is>
          <t>Feta salad</t>
        </is>
      </c>
      <c r="B245" s="32" t="inlineStr">
        <is>
          <t>Salad Bar</t>
        </is>
      </c>
      <c r="C245" s="33" t="n">
        <v>58</v>
      </c>
      <c r="D245" s="34" t="n">
        <v>76</v>
      </c>
      <c r="E245" s="35" t="n">
        <v>745</v>
      </c>
      <c r="F245" s="33" t="n">
        <v>89</v>
      </c>
      <c r="G245" s="36" t="n">
        <v>33.7254902</v>
      </c>
      <c r="H245" s="37" t="n">
        <v>69.80392157</v>
      </c>
      <c r="I245" s="32">
        <f>IF(G245&lt;0,"negative profit",IF(G245&gt;Notes!$B$4,"unusually high - verify",""))</f>
        <v/>
      </c>
      <c r="J245" s="32" t="inlineStr">
        <is>
          <t>hayday.info /api/production-data (https://hayday.info/api/production-data)</t>
        </is>
      </c>
    </row>
    <row r="246" ht="15" customHeight="1" s="29">
      <c r="A246" s="32" t="inlineStr">
        <is>
          <t>BLT salad</t>
        </is>
      </c>
      <c r="B246" s="32" t="inlineStr">
        <is>
          <t>Salad Bar</t>
        </is>
      </c>
      <c r="C246" s="33" t="n">
        <v>62</v>
      </c>
      <c r="D246" s="34" t="n">
        <v>89</v>
      </c>
      <c r="E246" s="35" t="n">
        <v>723</v>
      </c>
      <c r="F246" s="33" t="n">
        <v>86</v>
      </c>
      <c r="G246" s="36" t="n">
        <v>28.23529412</v>
      </c>
      <c r="H246" s="37" t="n">
        <v>57.81512605</v>
      </c>
      <c r="I246" s="32">
        <f>IF(G246&lt;0,"negative profit",IF(G246&gt;Notes!$B$4,"unusually high - verify",""))</f>
        <v/>
      </c>
      <c r="J246" s="32" t="inlineStr">
        <is>
          <t>hayday.info /api/production-data (https://hayday.info/api/production-data)</t>
        </is>
      </c>
    </row>
    <row r="247" ht="15" customHeight="1" s="29">
      <c r="A247" s="32" t="inlineStr">
        <is>
          <t>Seafood salad</t>
        </is>
      </c>
      <c r="B247" s="32" t="inlineStr">
        <is>
          <t>Salad Bar</t>
        </is>
      </c>
      <c r="C247" s="33" t="n">
        <v>64</v>
      </c>
      <c r="D247" s="34" t="n">
        <v>102</v>
      </c>
      <c r="E247" s="35" t="n">
        <v>763</v>
      </c>
      <c r="F247" s="33" t="n">
        <v>91</v>
      </c>
      <c r="G247" s="36" t="n">
        <v>26.47058824</v>
      </c>
      <c r="H247" s="37" t="n">
        <v>53.52941176</v>
      </c>
      <c r="I247" s="32">
        <f>IF(G247&lt;0,"negative profit",IF(G247&gt;Notes!$B$4,"unusually high - verify",""))</f>
        <v/>
      </c>
      <c r="J247" s="32" t="inlineStr">
        <is>
          <t>hayday.info /api/production-data (https://hayday.info/api/production-data)</t>
        </is>
      </c>
    </row>
    <row r="248" ht="15" customHeight="1" s="29">
      <c r="A248" s="32" t="inlineStr">
        <is>
          <t>Pasta salad</t>
        </is>
      </c>
      <c r="B248" s="32" t="inlineStr">
        <is>
          <t>Salad Bar</t>
        </is>
      </c>
      <c r="C248" s="33" t="n">
        <v>67</v>
      </c>
      <c r="D248" s="34" t="n">
        <v>127</v>
      </c>
      <c r="E248" s="35" t="n">
        <v>759</v>
      </c>
      <c r="F248" s="33" t="n">
        <v>90</v>
      </c>
      <c r="G248" s="36" t="n">
        <v>17.88235294</v>
      </c>
      <c r="H248" s="37" t="n">
        <v>42.35294118</v>
      </c>
      <c r="I248" s="32">
        <f>IF(G248&lt;0,"negative profit",IF(G248&gt;Notes!$B$4,"unusually high - verify",""))</f>
        <v/>
      </c>
      <c r="J248" s="32" t="inlineStr">
        <is>
          <t>hayday.info /api/production-data (https://hayday.info/api/production-data)</t>
        </is>
      </c>
    </row>
    <row r="249" ht="15" customHeight="1" s="29">
      <c r="A249" s="32" t="inlineStr">
        <is>
          <t>Veggie platter</t>
        </is>
      </c>
      <c r="B249" s="32" t="inlineStr">
        <is>
          <t>Salad Bar</t>
        </is>
      </c>
      <c r="C249" s="33" t="n">
        <v>74</v>
      </c>
      <c r="D249" s="34" t="n">
        <v>102</v>
      </c>
      <c r="E249" s="35" t="n">
        <v>266</v>
      </c>
      <c r="F249" s="33" t="n">
        <v>32</v>
      </c>
      <c r="G249" s="36" t="n">
        <v>25.88235294</v>
      </c>
      <c r="H249" s="37" t="n">
        <v>18.82352941</v>
      </c>
      <c r="I249" s="32">
        <f>IF(G249&lt;0,"negative profit",IF(G249&gt;Notes!$B$4,"unusually high - verify",""))</f>
        <v/>
      </c>
      <c r="J249" s="32" t="inlineStr">
        <is>
          <t>hayday.info /api/production-data (https://hayday.info/api/production-data)</t>
        </is>
      </c>
    </row>
    <row r="250" ht="15" customHeight="1" s="29">
      <c r="A250" s="32" t="inlineStr">
        <is>
          <t>Coleslaw</t>
        </is>
      </c>
      <c r="B250" s="32" t="inlineStr">
        <is>
          <t>Salad Bar</t>
        </is>
      </c>
      <c r="C250" s="33" t="n">
        <v>75</v>
      </c>
      <c r="D250" s="34" t="n">
        <v>63</v>
      </c>
      <c r="E250" s="35" t="n">
        <v>468</v>
      </c>
      <c r="F250" s="33" t="n">
        <v>56</v>
      </c>
      <c r="G250" s="36" t="n">
        <v>31.05882353</v>
      </c>
      <c r="H250" s="37" t="n">
        <v>52.70588235</v>
      </c>
      <c r="I250" s="32">
        <f>IF(G250&lt;0,"negative profit",IF(G250&gt;Notes!$B$4,"unusually high - verify",""))</f>
        <v/>
      </c>
      <c r="J250" s="32" t="inlineStr">
        <is>
          <t>hayday.info /api/production-data (https://hayday.info/api/production-data)</t>
        </is>
      </c>
    </row>
    <row r="251" ht="15" customHeight="1" s="29">
      <c r="A251" s="32" t="inlineStr">
        <is>
          <t>Beetroot salad</t>
        </is>
      </c>
      <c r="B251" s="32" t="inlineStr">
        <is>
          <t>Salad Bar</t>
        </is>
      </c>
      <c r="C251" s="33" t="n">
        <v>76</v>
      </c>
      <c r="D251" s="34" t="n">
        <v>38</v>
      </c>
      <c r="E251" s="35" t="n">
        <v>234</v>
      </c>
      <c r="F251" s="33" t="n">
        <v>28</v>
      </c>
      <c r="G251" s="36" t="n">
        <v>47.05882353</v>
      </c>
      <c r="H251" s="37" t="n">
        <v>43.92156863</v>
      </c>
      <c r="I251" s="32">
        <f>IF(G251&lt;0,"negative profit",IF(G251&gt;Notes!$B$4,"unusually high - verify",""))</f>
        <v/>
      </c>
      <c r="J251" s="32" t="inlineStr">
        <is>
          <t>hayday.info /api/production-data (https://hayday.info/api/production-data)</t>
        </is>
      </c>
    </row>
    <row r="252" ht="15" customHeight="1" s="29">
      <c r="A252" s="32" t="inlineStr">
        <is>
          <t>Summer rolls</t>
        </is>
      </c>
      <c r="B252" s="32" t="inlineStr">
        <is>
          <t>Salad Bar</t>
        </is>
      </c>
      <c r="C252" s="33" t="n">
        <v>78</v>
      </c>
      <c r="D252" s="34" t="n">
        <v>51</v>
      </c>
      <c r="E252" s="35" t="n">
        <v>316</v>
      </c>
      <c r="F252" s="33" t="n">
        <v>38</v>
      </c>
      <c r="G252" s="36" t="n">
        <v>40</v>
      </c>
      <c r="H252" s="37" t="n">
        <v>44.70588235</v>
      </c>
      <c r="I252" s="32">
        <f>IF(G252&lt;0,"negative profit",IF(G252&gt;Notes!$B$4,"unusually high - verify",""))</f>
        <v/>
      </c>
      <c r="J252" s="32" t="inlineStr">
        <is>
          <t>hayday.info /api/production-data (https://hayday.info/api/production-data)</t>
        </is>
      </c>
    </row>
    <row r="253" ht="15" customHeight="1" s="29">
      <c r="A253" s="32" t="inlineStr">
        <is>
          <t>Fruit salad</t>
        </is>
      </c>
      <c r="B253" s="32" t="inlineStr">
        <is>
          <t>Salad Bar</t>
        </is>
      </c>
      <c r="C253" s="33" t="n">
        <v>82</v>
      </c>
      <c r="D253" s="34" t="n">
        <v>102</v>
      </c>
      <c r="E253" s="35" t="n">
        <v>597</v>
      </c>
      <c r="F253" s="33" t="n">
        <v>71</v>
      </c>
      <c r="G253" s="36" t="n">
        <v>18.82352941</v>
      </c>
      <c r="H253" s="37" t="n">
        <v>41.76470588</v>
      </c>
      <c r="I253" s="32">
        <f>IF(G253&lt;0,"negative profit",IF(G253&gt;Notes!$B$4,"unusually high - verify",""))</f>
        <v/>
      </c>
      <c r="J253" s="32" t="inlineStr">
        <is>
          <t>hayday.info /api/production-data (https://hayday.info/api/production-data)</t>
        </is>
      </c>
    </row>
    <row r="254" ht="15" customHeight="1" s="29">
      <c r="A254" s="32" t="inlineStr">
        <is>
          <t>Summer salad</t>
        </is>
      </c>
      <c r="B254" s="32" t="inlineStr">
        <is>
          <t>Salad Bar</t>
        </is>
      </c>
      <c r="C254" s="33" t="n">
        <v>84</v>
      </c>
      <c r="D254" s="34" t="n">
        <v>153</v>
      </c>
      <c r="E254" s="35" t="n">
        <v>554</v>
      </c>
      <c r="F254" s="33" t="n">
        <v>66</v>
      </c>
      <c r="G254" s="36" t="n">
        <v>18.03921569</v>
      </c>
      <c r="H254" s="37" t="n">
        <v>25.88235294</v>
      </c>
      <c r="I254" s="32">
        <f>IF(G254&lt;0,"negative profit",IF(G254&gt;Notes!$B$4,"unusually high - verify",""))</f>
        <v/>
      </c>
      <c r="J254" s="32" t="inlineStr">
        <is>
          <t>hayday.info /api/production-data (https://hayday.info/api/production-data)</t>
        </is>
      </c>
    </row>
    <row r="255" ht="15" customHeight="1" s="29">
      <c r="A255" s="32" t="inlineStr">
        <is>
          <t>Mushroom salad</t>
        </is>
      </c>
      <c r="B255" s="32" t="inlineStr">
        <is>
          <t>Salad Bar</t>
        </is>
      </c>
      <c r="C255" s="33" t="n">
        <v>89</v>
      </c>
      <c r="D255" s="34" t="n">
        <v>51</v>
      </c>
      <c r="E255" s="35" t="n">
        <v>216</v>
      </c>
      <c r="F255" s="33" t="n">
        <v>26</v>
      </c>
      <c r="G255" s="36" t="n">
        <v>37.64705882</v>
      </c>
      <c r="H255" s="37" t="n">
        <v>30.58823529</v>
      </c>
      <c r="I255" s="32">
        <f>IF(G255&lt;0,"negative profit",IF(G255&gt;Notes!$B$4,"unusually high - verify",""))</f>
        <v/>
      </c>
      <c r="J255" s="32" t="inlineStr">
        <is>
          <t>hayday.info /api/production-data (https://hayday.info/api/production-data)</t>
        </is>
      </c>
    </row>
    <row r="256" ht="15" customHeight="1" s="29">
      <c r="A256" s="32" t="inlineStr">
        <is>
          <t>Veggie bagel</t>
        </is>
      </c>
      <c r="B256" s="32" t="inlineStr">
        <is>
          <t>Sandwich Bar</t>
        </is>
      </c>
      <c r="C256" s="33" t="n">
        <v>61</v>
      </c>
      <c r="D256" s="34" t="n">
        <v>34</v>
      </c>
      <c r="E256" s="35" t="n">
        <v>532</v>
      </c>
      <c r="F256" s="33" t="n">
        <v>63</v>
      </c>
      <c r="G256" s="36" t="n">
        <v>54.70588235</v>
      </c>
      <c r="H256" s="37" t="n">
        <v>111.1764706</v>
      </c>
      <c r="I256" s="32">
        <f>IF(G256&lt;0,"negative profit",IF(G256&gt;Notes!$B$4,"unusually high - verify",""))</f>
        <v/>
      </c>
      <c r="J256" s="32" t="inlineStr">
        <is>
          <t>hayday.info /api/production-data (https://hayday.info/api/production-data)</t>
        </is>
      </c>
    </row>
    <row r="257" ht="15" customHeight="1" s="29">
      <c r="A257" s="32" t="inlineStr">
        <is>
          <t>Bacon toast</t>
        </is>
      </c>
      <c r="B257" s="32" t="inlineStr">
        <is>
          <t>Sandwich Bar</t>
        </is>
      </c>
      <c r="C257" s="33" t="n">
        <v>65</v>
      </c>
      <c r="D257" s="34" t="n">
        <v>85</v>
      </c>
      <c r="E257" s="35" t="n">
        <v>648</v>
      </c>
      <c r="F257" s="33" t="n">
        <v>77</v>
      </c>
      <c r="G257" s="36" t="n">
        <v>30.35294118</v>
      </c>
      <c r="H257" s="37" t="n">
        <v>54.35294118</v>
      </c>
      <c r="I257" s="32">
        <f>IF(G257&lt;0,"negative profit",IF(G257&gt;Notes!$B$4,"unusually high - verify",""))</f>
        <v/>
      </c>
      <c r="J257" s="32" t="inlineStr">
        <is>
          <t>hayday.info /api/production-data (https://hayday.info/api/production-data)</t>
        </is>
      </c>
    </row>
    <row r="258" ht="15" customHeight="1" s="29">
      <c r="A258" s="32" t="inlineStr">
        <is>
          <t>Egg sandwich</t>
        </is>
      </c>
      <c r="B258" s="32" t="inlineStr">
        <is>
          <t>Sandwich Bar</t>
        </is>
      </c>
      <c r="C258" s="33" t="n">
        <v>66</v>
      </c>
      <c r="D258" s="34" t="n">
        <v>68</v>
      </c>
      <c r="E258" s="35" t="n">
        <v>583</v>
      </c>
      <c r="F258" s="33" t="n">
        <v>69</v>
      </c>
      <c r="G258" s="36" t="n">
        <v>37.05882353</v>
      </c>
      <c r="H258" s="37" t="n">
        <v>60.88235294</v>
      </c>
      <c r="I258" s="32">
        <f>IF(G258&lt;0,"negative profit",IF(G258&gt;Notes!$B$4,"unusually high - verify",""))</f>
        <v/>
      </c>
      <c r="J258" s="32" t="inlineStr">
        <is>
          <t>hayday.info /api/production-data (https://hayday.info/api/production-data)</t>
        </is>
      </c>
    </row>
    <row r="259" ht="15" customHeight="1" s="29">
      <c r="A259" s="32" t="inlineStr">
        <is>
          <t>Honey toast</t>
        </is>
      </c>
      <c r="B259" s="32" t="inlineStr">
        <is>
          <t>Sandwich Bar</t>
        </is>
      </c>
      <c r="C259" s="33" t="n">
        <v>69</v>
      </c>
      <c r="D259" s="34" t="n">
        <v>51</v>
      </c>
      <c r="E259" s="35" t="n">
        <v>255</v>
      </c>
      <c r="F259" s="33" t="n">
        <v>31</v>
      </c>
      <c r="G259" s="36" t="n">
        <v>35.29411765</v>
      </c>
      <c r="H259" s="37" t="n">
        <v>36.47058824</v>
      </c>
      <c r="I259" s="32">
        <f>IF(G259&lt;0,"negative profit",IF(G259&gt;Notes!$B$4,"unusually high - verify",""))</f>
        <v/>
      </c>
      <c r="J259" s="32" t="inlineStr">
        <is>
          <t>hayday.info /api/production-data (https://hayday.info/api/production-data)</t>
        </is>
      </c>
    </row>
    <row r="260" ht="15" customHeight="1" s="29">
      <c r="A260" s="32" t="inlineStr">
        <is>
          <t>Peanut butter and jelly sandwich</t>
        </is>
      </c>
      <c r="B260" s="32" t="inlineStr">
        <is>
          <t>Sandwich Bar</t>
        </is>
      </c>
      <c r="C260" s="33" t="n">
        <v>71</v>
      </c>
      <c r="D260" s="34" t="n">
        <v>21</v>
      </c>
      <c r="E260" s="35" t="n">
        <v>673</v>
      </c>
      <c r="F260" s="33" t="n">
        <v>80</v>
      </c>
      <c r="G260" s="36" t="n">
        <v>409.4117647</v>
      </c>
      <c r="H260" s="37" t="n">
        <v>225.8823529</v>
      </c>
      <c r="I260" s="32">
        <f>IF(G260&lt;0,"negative profit",IF(G260&gt;Notes!$B$4,"unusually high - verify",""))</f>
        <v/>
      </c>
      <c r="J260" s="32" t="inlineStr">
        <is>
          <t>hayday.info /api/production-data (https://hayday.info/api/production-data)</t>
        </is>
      </c>
    </row>
    <row r="261" ht="15" customHeight="1" s="29">
      <c r="A261" s="32" t="inlineStr">
        <is>
          <t>Cucumber sandwich</t>
        </is>
      </c>
      <c r="B261" s="32" t="inlineStr">
        <is>
          <t>Sandwich Bar</t>
        </is>
      </c>
      <c r="C261" s="33" t="n">
        <v>79</v>
      </c>
      <c r="D261" s="34" t="n">
        <v>29</v>
      </c>
      <c r="E261" s="35" t="n">
        <v>464</v>
      </c>
      <c r="F261" s="33" t="n">
        <v>55</v>
      </c>
      <c r="G261" s="36" t="n">
        <v>54.45378151</v>
      </c>
      <c r="H261" s="37" t="n">
        <v>110.9243697</v>
      </c>
      <c r="I261" s="32">
        <f>IF(G261&lt;0,"negative profit",IF(G261&gt;Notes!$B$4,"unusually high - verify",""))</f>
        <v/>
      </c>
      <c r="J261" s="32" t="inlineStr">
        <is>
          <t>hayday.info /api/production-data (https://hayday.info/api/production-data)</t>
        </is>
      </c>
    </row>
    <row r="262" ht="15" customHeight="1" s="29">
      <c r="A262" s="32" t="inlineStr">
        <is>
          <t>Onion melt</t>
        </is>
      </c>
      <c r="B262" s="32" t="inlineStr">
        <is>
          <t>Sandwich Bar</t>
        </is>
      </c>
      <c r="C262" s="33" t="n">
        <v>84</v>
      </c>
      <c r="D262" s="34" t="n">
        <v>76</v>
      </c>
      <c r="E262" s="35" t="n">
        <v>471</v>
      </c>
      <c r="F262" s="33" t="n">
        <v>50</v>
      </c>
      <c r="G262" s="36" t="n">
        <v>69.01960784000001</v>
      </c>
      <c r="H262" s="37" t="n">
        <v>39.21568627</v>
      </c>
      <c r="I262" s="32">
        <f>IF(G262&lt;0,"negative profit",IF(G262&gt;Notes!$B$4,"unusually high - verify",""))</f>
        <v/>
      </c>
      <c r="J262" s="32" t="inlineStr">
        <is>
          <t>hayday.info /api/production-data (https://hayday.info/api/production-data)</t>
        </is>
      </c>
    </row>
    <row r="263" ht="15" customHeight="1" s="29">
      <c r="A263" s="32" t="inlineStr">
        <is>
          <t>Goat cheese toast</t>
        </is>
      </c>
      <c r="B263" s="32" t="inlineStr">
        <is>
          <t>Sandwich Bar</t>
        </is>
      </c>
      <c r="C263" s="33" t="n">
        <v>92</v>
      </c>
      <c r="D263" s="34" t="n">
        <v>42</v>
      </c>
      <c r="E263" s="35" t="n">
        <v>302</v>
      </c>
      <c r="F263" s="33" t="n">
        <v>36</v>
      </c>
      <c r="G263" s="36" t="n">
        <v>32.47058824</v>
      </c>
      <c r="H263" s="37" t="n">
        <v>50.82352941</v>
      </c>
      <c r="I263" s="32">
        <f>IF(G263&lt;0,"negative profit",IF(G263&gt;Notes!$B$4,"unusually high - verify",""))</f>
        <v/>
      </c>
      <c r="J263" s="32" t="inlineStr">
        <is>
          <t>hayday.info /api/production-data (https://hayday.info/api/production-data)</t>
        </is>
      </c>
    </row>
    <row r="264" ht="15" customHeight="1" s="29">
      <c r="A264" s="32" t="inlineStr">
        <is>
          <t>Hummus wrap</t>
        </is>
      </c>
      <c r="B264" s="32" t="inlineStr">
        <is>
          <t>Sandwich Bar</t>
        </is>
      </c>
      <c r="C264" s="33" t="n">
        <v>109</v>
      </c>
      <c r="D264" s="34" t="n">
        <v>25</v>
      </c>
      <c r="E264" s="35" t="n">
        <v>374</v>
      </c>
      <c r="F264" s="33" t="n">
        <v>45</v>
      </c>
      <c r="G264" s="36" t="n">
        <v>54.11764706</v>
      </c>
      <c r="H264" s="37" t="n">
        <v>105.8823529</v>
      </c>
      <c r="I264" s="32">
        <f>IF(G264&lt;0,"negative profit",IF(G264&gt;Notes!$B$4,"unusually high - verify",""))</f>
        <v/>
      </c>
      <c r="J264" s="32" t="inlineStr">
        <is>
          <t>hayday.info /api/production-data (https://hayday.info/api/production-data)</t>
        </is>
      </c>
    </row>
    <row r="265" ht="15" customHeight="1" s="29">
      <c r="A265" s="32" t="inlineStr">
        <is>
          <t>Soy sauce</t>
        </is>
      </c>
      <c r="B265" s="32" t="inlineStr">
        <is>
          <t>Sauce Maker</t>
        </is>
      </c>
      <c r="C265" s="33" t="n">
        <v>54</v>
      </c>
      <c r="D265" s="34" t="n">
        <v>153</v>
      </c>
      <c r="E265" s="35" t="n">
        <v>154</v>
      </c>
      <c r="F265" s="33" t="n">
        <v>19</v>
      </c>
      <c r="G265" s="36" t="n">
        <v>23.92156863</v>
      </c>
      <c r="H265" s="37" t="n">
        <v>7.450980392</v>
      </c>
      <c r="I265" s="32">
        <f>IF(G265&lt;0,"negative profit",IF(G265&gt;Notes!$B$4,"unusually high - verify",""))</f>
        <v/>
      </c>
      <c r="J265" s="32" t="inlineStr">
        <is>
          <t>hayday.info /api/production-data (https://hayday.info/api/production-data)</t>
        </is>
      </c>
    </row>
    <row r="266" ht="15" customHeight="1" s="29">
      <c r="A266" s="32" t="inlineStr">
        <is>
          <t>Olive oil</t>
        </is>
      </c>
      <c r="B266" s="32" t="inlineStr">
        <is>
          <t>Sauce Maker</t>
        </is>
      </c>
      <c r="C266" s="33" t="n">
        <v>60</v>
      </c>
      <c r="D266" s="34" t="n">
        <v>38</v>
      </c>
      <c r="E266" s="35" t="n">
        <v>277</v>
      </c>
      <c r="F266" s="33" t="n">
        <v>33</v>
      </c>
      <c r="G266" s="36" t="n">
        <v>48.62745098</v>
      </c>
      <c r="H266" s="37" t="n">
        <v>51.76470588</v>
      </c>
      <c r="I266" s="32">
        <f>IF(G266&lt;0,"negative profit",IF(G266&gt;Notes!$B$4,"unusually high - verify",""))</f>
        <v/>
      </c>
      <c r="J266" s="32" t="inlineStr">
        <is>
          <t>hayday.info /api/production-data (https://hayday.info/api/production-data)</t>
        </is>
      </c>
    </row>
    <row r="267" ht="15" customHeight="1" s="29">
      <c r="A267" s="32" t="inlineStr">
        <is>
          <t>Mayonnaise</t>
        </is>
      </c>
      <c r="B267" s="32" t="inlineStr">
        <is>
          <t>Sauce Maker</t>
        </is>
      </c>
      <c r="C267" s="33" t="n">
        <v>62</v>
      </c>
      <c r="D267" s="34" t="n">
        <v>12</v>
      </c>
      <c r="E267" s="35" t="n">
        <v>367</v>
      </c>
      <c r="F267" s="33" t="n">
        <v>44</v>
      </c>
      <c r="G267" s="36" t="n">
        <v>84.70588235</v>
      </c>
      <c r="H267" s="37" t="n">
        <v>207.0588235</v>
      </c>
      <c r="I267" s="32">
        <f>IF(G267&lt;0,"negative profit",IF(G267&gt;Notes!$B$4,"unusually high - verify",""))</f>
        <v/>
      </c>
      <c r="J267" s="32" t="inlineStr">
        <is>
          <t>hayday.info /api/production-data (https://hayday.info/api/production-data)</t>
        </is>
      </c>
    </row>
    <row r="268" ht="15" customHeight="1" s="29">
      <c r="A268" s="32" t="inlineStr">
        <is>
          <t>Lemon curd</t>
        </is>
      </c>
      <c r="B268" s="32" t="inlineStr">
        <is>
          <t>Sauce Maker</t>
        </is>
      </c>
      <c r="C268" s="33" t="n">
        <v>66</v>
      </c>
      <c r="D268" s="34" t="n">
        <v>21</v>
      </c>
      <c r="E268" s="35" t="n">
        <v>378</v>
      </c>
      <c r="F268" s="33" t="n">
        <v>45</v>
      </c>
      <c r="G268" s="36" t="n">
        <v>67.76470587999999</v>
      </c>
      <c r="H268" s="37" t="n">
        <v>127.0588235</v>
      </c>
      <c r="I268" s="32">
        <f>IF(G268&lt;0,"negative profit",IF(G268&gt;Notes!$B$4,"unusually high - verify",""))</f>
        <v/>
      </c>
      <c r="J268" s="32" t="inlineStr">
        <is>
          <t>hayday.info /api/production-data (https://hayday.info/api/production-data)</t>
        </is>
      </c>
    </row>
    <row r="269" ht="15" customHeight="1" s="29">
      <c r="A269" s="32" t="inlineStr">
        <is>
          <t>Olive dip</t>
        </is>
      </c>
      <c r="B269" s="32" t="inlineStr">
        <is>
          <t>Sauce Maker</t>
        </is>
      </c>
      <c r="C269" s="33" t="n">
        <v>66</v>
      </c>
      <c r="D269" s="34" t="n">
        <v>38</v>
      </c>
      <c r="E269" s="35" t="n">
        <v>468</v>
      </c>
      <c r="F269" s="33" t="n">
        <v>56</v>
      </c>
      <c r="G269" s="36" t="n">
        <v>51.76470588</v>
      </c>
      <c r="H269" s="37" t="n">
        <v>87.84313725</v>
      </c>
      <c r="I269" s="32">
        <f>IF(G269&lt;0,"negative profit",IF(G269&gt;Notes!$B$4,"unusually high - verify",""))</f>
        <v/>
      </c>
      <c r="J269" s="32" t="inlineStr">
        <is>
          <t>hayday.info /api/production-data (https://hayday.info/api/production-data)</t>
        </is>
      </c>
    </row>
    <row r="270" ht="15" customHeight="1" s="29">
      <c r="A270" s="32" t="inlineStr">
        <is>
          <t>Tomato sauce</t>
        </is>
      </c>
      <c r="B270" s="32" t="inlineStr">
        <is>
          <t>Sauce Maker</t>
        </is>
      </c>
      <c r="C270" s="33" t="n">
        <v>69</v>
      </c>
      <c r="D270" s="34" t="n">
        <v>25</v>
      </c>
      <c r="E270" s="35" t="n">
        <v>230</v>
      </c>
      <c r="F270" s="33" t="n">
        <v>27</v>
      </c>
      <c r="G270" s="36" t="n">
        <v>44.70588235</v>
      </c>
      <c r="H270" s="37" t="n">
        <v>63.52941176</v>
      </c>
      <c r="I270" s="32">
        <f>IF(G270&lt;0,"negative profit",IF(G270&gt;Notes!$B$4,"unusually high - verify",""))</f>
        <v/>
      </c>
      <c r="J270" s="32" t="inlineStr">
        <is>
          <t>hayday.info /api/production-data (https://hayday.info/api/production-data)</t>
        </is>
      </c>
    </row>
    <row r="271" ht="15" customHeight="1" s="29">
      <c r="A271" s="32" t="inlineStr">
        <is>
          <t>Salsa</t>
        </is>
      </c>
      <c r="B271" s="32" t="inlineStr">
        <is>
          <t>Sauce Maker</t>
        </is>
      </c>
      <c r="C271" s="33" t="n">
        <v>77</v>
      </c>
      <c r="D271" s="34" t="n">
        <v>17</v>
      </c>
      <c r="E271" s="35" t="n">
        <v>252</v>
      </c>
      <c r="F271" s="33" t="n">
        <v>30</v>
      </c>
      <c r="G271" s="36" t="n">
        <v>56.47058824</v>
      </c>
      <c r="H271" s="37" t="n">
        <v>105.8823529</v>
      </c>
      <c r="I271" s="32">
        <f>IF(G271&lt;0,"negative profit",IF(G271&gt;Notes!$B$4,"unusually high - verify",""))</f>
        <v/>
      </c>
      <c r="J271" s="32" t="inlineStr">
        <is>
          <t>hayday.info /api/production-data (https://hayday.info/api/production-data)</t>
        </is>
      </c>
    </row>
    <row r="272" ht="15" customHeight="1" s="29">
      <c r="A272" s="32" t="inlineStr">
        <is>
          <t>Hummus</t>
        </is>
      </c>
      <c r="B272" s="32" t="inlineStr">
        <is>
          <t>Sauce Maker</t>
        </is>
      </c>
      <c r="C272" s="33" t="n">
        <v>95</v>
      </c>
      <c r="D272" s="34" t="n">
        <v>25</v>
      </c>
      <c r="E272" s="35" t="n">
        <v>277</v>
      </c>
      <c r="F272" s="33" t="n">
        <v>33</v>
      </c>
      <c r="G272" s="36" t="n">
        <v>54.11764706</v>
      </c>
      <c r="H272" s="37" t="n">
        <v>77.64705882</v>
      </c>
      <c r="I272" s="32">
        <f>IF(G272&lt;0,"negative profit",IF(G272&gt;Notes!$B$4,"unusually high - verify",""))</f>
        <v/>
      </c>
      <c r="J272" s="32" t="inlineStr">
        <is>
          <t>hayday.info /api/production-data (https://hayday.info/api/production-data)</t>
        </is>
      </c>
    </row>
    <row r="273" ht="15" customHeight="1" s="29">
      <c r="A273" s="32" t="inlineStr">
        <is>
          <t>Tart dressing</t>
        </is>
      </c>
      <c r="B273" s="32" t="inlineStr">
        <is>
          <t>Sauce Maker</t>
        </is>
      </c>
      <c r="C273" s="33" t="n">
        <v>100</v>
      </c>
      <c r="D273" s="34" t="n">
        <v>25</v>
      </c>
      <c r="E273" s="35" t="n">
        <v>288</v>
      </c>
      <c r="F273" s="33" t="n">
        <v>34</v>
      </c>
      <c r="G273" s="36" t="n">
        <v>61.17647059</v>
      </c>
      <c r="H273" s="37" t="n">
        <v>80</v>
      </c>
      <c r="I273" s="32">
        <f>IF(G273&lt;0,"negative profit",IF(G273&gt;Notes!$B$4,"unusually high - verify",""))</f>
        <v/>
      </c>
      <c r="J273" s="32" t="inlineStr">
        <is>
          <t>hayday.info /api/production-data (https://hayday.info/api/production-data)</t>
        </is>
      </c>
    </row>
    <row r="274" ht="15" customHeight="1" s="29">
      <c r="A274" s="32" t="inlineStr">
        <is>
          <t>Cotton shirt</t>
        </is>
      </c>
      <c r="B274" s="32" t="inlineStr">
        <is>
          <t>Sewing Machine</t>
        </is>
      </c>
      <c r="C274" s="33" t="n">
        <v>19</v>
      </c>
      <c r="D274" s="34" t="n">
        <v>38</v>
      </c>
      <c r="E274" s="35" t="n">
        <v>241</v>
      </c>
      <c r="F274" s="33" t="n">
        <v>29</v>
      </c>
      <c r="G274" s="36" t="n">
        <v>39.21568627</v>
      </c>
      <c r="H274" s="37" t="n">
        <v>45.49019608</v>
      </c>
      <c r="I274" s="32">
        <f>IF(G274&lt;0,"negative profit",IF(G274&gt;Notes!$B$4,"unusually high - verify",""))</f>
        <v/>
      </c>
      <c r="J274" s="32" t="inlineStr">
        <is>
          <t>hayday.info /api/production-data (https://hayday.info/api/production-data)</t>
        </is>
      </c>
    </row>
    <row r="275" ht="15" customHeight="1" s="29">
      <c r="A275" s="32" t="inlineStr">
        <is>
          <t>Wooly chaps</t>
        </is>
      </c>
      <c r="B275" s="32" t="inlineStr">
        <is>
          <t>Sewing Machine</t>
        </is>
      </c>
      <c r="C275" s="33" t="n">
        <v>21</v>
      </c>
      <c r="D275" s="34" t="n">
        <v>76</v>
      </c>
      <c r="E275" s="35" t="n">
        <v>309</v>
      </c>
      <c r="F275" s="33" t="n">
        <v>37</v>
      </c>
      <c r="G275" s="36" t="n">
        <v>30.58823529</v>
      </c>
      <c r="H275" s="37" t="n">
        <v>29.01960784</v>
      </c>
      <c r="I275" s="32">
        <f>IF(G275&lt;0,"negative profit",IF(G275&gt;Notes!$B$4,"unusually high - verify",""))</f>
        <v/>
      </c>
      <c r="J275" s="32" t="inlineStr">
        <is>
          <t>hayday.info /api/production-data (https://hayday.info/api/production-data)</t>
        </is>
      </c>
    </row>
    <row r="276" ht="15" customHeight="1" s="29">
      <c r="A276" s="32" t="inlineStr">
        <is>
          <t>Violet dress</t>
        </is>
      </c>
      <c r="B276" s="32" t="inlineStr">
        <is>
          <t>Sewing Machine</t>
        </is>
      </c>
      <c r="C276" s="33" t="n">
        <v>25</v>
      </c>
      <c r="D276" s="34" t="n">
        <v>114</v>
      </c>
      <c r="E276" s="35" t="n">
        <v>327</v>
      </c>
      <c r="F276" s="33" t="n">
        <v>39</v>
      </c>
      <c r="G276" s="36" t="n">
        <v>20.91503268</v>
      </c>
      <c r="H276" s="37" t="n">
        <v>20.39215686</v>
      </c>
      <c r="I276" s="32">
        <f>IF(G276&lt;0,"negative profit",IF(G276&gt;Notes!$B$4,"unusually high - verify",""))</f>
        <v/>
      </c>
      <c r="J276" s="32" t="inlineStr">
        <is>
          <t>hayday.info /api/production-data (https://hayday.info/api/production-data)</t>
        </is>
      </c>
    </row>
    <row r="277" ht="15" customHeight="1" s="29">
      <c r="A277" s="32" t="inlineStr">
        <is>
          <t>Pillow</t>
        </is>
      </c>
      <c r="B277" s="32" t="inlineStr">
        <is>
          <t>Sewing Machine</t>
        </is>
      </c>
      <c r="C277" s="33" t="n">
        <v>51</v>
      </c>
      <c r="D277" s="34" t="n">
        <v>153</v>
      </c>
      <c r="E277" s="35" t="n">
        <v>676</v>
      </c>
      <c r="F277" s="33" t="n">
        <v>81</v>
      </c>
      <c r="G277" s="36" t="n">
        <v>15.68627451</v>
      </c>
      <c r="H277" s="37" t="n">
        <v>31.76470588</v>
      </c>
      <c r="I277" s="32">
        <f>IF(G277&lt;0,"negative profit",IF(G277&gt;Notes!$B$4,"unusually high - verify",""))</f>
        <v/>
      </c>
      <c r="J277" s="32" t="inlineStr">
        <is>
          <t>hayday.info /api/production-data (https://hayday.info/api/production-data)</t>
        </is>
      </c>
    </row>
    <row r="278" ht="15" customHeight="1" s="29">
      <c r="A278" s="32" t="inlineStr">
        <is>
          <t>Blanket</t>
        </is>
      </c>
      <c r="B278" s="32" t="inlineStr">
        <is>
          <t>Sewing Machine</t>
        </is>
      </c>
      <c r="C278" s="33" t="n">
        <v>59</v>
      </c>
      <c r="D278" s="34" t="n">
        <v>178</v>
      </c>
      <c r="E278" s="35" t="n">
        <v>1098</v>
      </c>
      <c r="F278" s="33" t="n">
        <v>131</v>
      </c>
      <c r="G278" s="36" t="n">
        <v>14.11764706</v>
      </c>
      <c r="H278" s="37" t="n">
        <v>44.03361345</v>
      </c>
      <c r="I278" s="32">
        <f>IF(G278&lt;0,"negative profit",IF(G278&gt;Notes!$B$4,"unusually high - verify",""))</f>
        <v/>
      </c>
      <c r="J278" s="32" t="inlineStr">
        <is>
          <t>hayday.info /api/production-data (https://hayday.info/api/production-data)</t>
        </is>
      </c>
    </row>
    <row r="279" ht="15" customHeight="1" s="29">
      <c r="A279" s="32" t="inlineStr">
        <is>
          <t>Silver bar</t>
        </is>
      </c>
      <c r="B279" s="32" t="inlineStr">
        <is>
          <t>Smelter</t>
        </is>
      </c>
      <c r="C279" s="33" t="n">
        <v>24</v>
      </c>
      <c r="D279" s="34" t="n">
        <v>408</v>
      </c>
      <c r="E279" s="35" t="n">
        <v>147</v>
      </c>
      <c r="F279" s="33" t="n">
        <v>14</v>
      </c>
      <c r="G279" s="36" t="n">
        <v>13.67647059</v>
      </c>
      <c r="H279" s="37" t="n">
        <v>2.058823529</v>
      </c>
      <c r="I279" s="32">
        <f>IF(G279&lt;0,"negative profit",IF(G279&gt;Notes!$B$4,"unusually high - verify",""))</f>
        <v/>
      </c>
      <c r="J279" s="32" t="inlineStr">
        <is>
          <t>hayday.info /api/production-data (https://hayday.info/api/production-data)</t>
        </is>
      </c>
    </row>
    <row r="280" ht="15" customHeight="1" s="29">
      <c r="A280" s="32" t="inlineStr">
        <is>
          <t>Gold bar</t>
        </is>
      </c>
      <c r="B280" s="32" t="inlineStr">
        <is>
          <t>Smelter</t>
        </is>
      </c>
      <c r="C280" s="33" t="n">
        <v>25</v>
      </c>
      <c r="D280" s="34" t="n">
        <v>612</v>
      </c>
      <c r="E280" s="35" t="n">
        <v>180</v>
      </c>
      <c r="F280" s="33" t="n">
        <v>18</v>
      </c>
      <c r="G280" s="36" t="n">
        <v>11.47058824</v>
      </c>
      <c r="H280" s="37" t="n">
        <v>1.764705882</v>
      </c>
      <c r="I280" s="32">
        <f>IF(G280&lt;0,"negative profit",IF(G280&gt;Notes!$B$4,"unusually high - verify",""))</f>
        <v/>
      </c>
      <c r="J280" s="32" t="inlineStr">
        <is>
          <t>hayday.info /api/production-data (https://hayday.info/api/production-data)</t>
        </is>
      </c>
    </row>
    <row r="281" ht="15" customHeight="1" s="29">
      <c r="A281" s="32" t="inlineStr">
        <is>
          <t>Platinum bar</t>
        </is>
      </c>
      <c r="B281" s="32" t="inlineStr">
        <is>
          <t>Smelter</t>
        </is>
      </c>
      <c r="C281" s="33" t="n">
        <v>25</v>
      </c>
      <c r="D281" s="34" t="n">
        <v>816</v>
      </c>
      <c r="E281" s="35" t="n">
        <v>205</v>
      </c>
      <c r="F281" s="33" t="n">
        <v>21</v>
      </c>
      <c r="G281" s="36" t="n">
        <v>8.014705881999999</v>
      </c>
      <c r="H281" s="37" t="n">
        <v>1.544117647</v>
      </c>
      <c r="I281" s="32">
        <f>IF(G281&lt;0,"negative profit",IF(G281&gt;Notes!$B$4,"unusually high - verify",""))</f>
        <v/>
      </c>
      <c r="J281" s="32" t="inlineStr">
        <is>
          <t>hayday.info /api/production-data (https://hayday.info/api/production-data)</t>
        </is>
      </c>
    </row>
    <row r="282" ht="15" customHeight="1" s="29">
      <c r="A282" s="32" t="inlineStr">
        <is>
          <t>Refined coal</t>
        </is>
      </c>
      <c r="B282" s="32" t="inlineStr">
        <is>
          <t>Smelter</t>
        </is>
      </c>
      <c r="C282" s="33" t="n">
        <v>33</v>
      </c>
      <c r="D282" s="34" t="n">
        <v>306</v>
      </c>
      <c r="E282" s="35" t="n">
        <v>108</v>
      </c>
      <c r="F282" s="33" t="n">
        <v>13</v>
      </c>
      <c r="G282" s="36" t="n">
        <v>15.29411765</v>
      </c>
      <c r="H282" s="37" t="n">
        <v>2.549019608</v>
      </c>
      <c r="I282" s="32">
        <f>IF(G282&lt;0,"negative profit",IF(G282&gt;Notes!$B$4,"unusually high - verify",""))</f>
        <v/>
      </c>
      <c r="J282" s="32" t="inlineStr">
        <is>
          <t>hayday.info /api/production-data (https://hayday.info/api/production-data)</t>
        </is>
      </c>
    </row>
    <row r="283" ht="15" customHeight="1" s="29">
      <c r="A283" s="32" t="inlineStr">
        <is>
          <t>Iron bar</t>
        </is>
      </c>
      <c r="B283" s="32" t="inlineStr">
        <is>
          <t>Smelter</t>
        </is>
      </c>
      <c r="C283" s="33" t="n">
        <v>34</v>
      </c>
      <c r="D283" s="34" t="n">
        <v>357</v>
      </c>
      <c r="E283" s="35" t="n">
        <v>129</v>
      </c>
      <c r="F283" s="33" t="n">
        <v>15</v>
      </c>
      <c r="G283" s="36" t="n">
        <v>14.62184874</v>
      </c>
      <c r="H283" s="37" t="n">
        <v>2.521008403</v>
      </c>
      <c r="I283" s="32">
        <f>IF(G283&lt;0,"negative profit",IF(G283&gt;Notes!$B$4,"unusually high - verify",""))</f>
        <v/>
      </c>
      <c r="J283" s="32" t="inlineStr">
        <is>
          <t>hayday.info /api/production-data (https://hayday.info/api/production-data)</t>
        </is>
      </c>
    </row>
    <row r="284" ht="15" customHeight="1" s="29">
      <c r="A284" s="32" t="inlineStr">
        <is>
          <t>Berry smoothie</t>
        </is>
      </c>
      <c r="B284" s="32" t="inlineStr">
        <is>
          <t>Smoothie Mixer</t>
        </is>
      </c>
      <c r="C284" s="33" t="n">
        <v>64</v>
      </c>
      <c r="D284" s="34" t="n">
        <v>63</v>
      </c>
      <c r="E284" s="35" t="n">
        <v>547</v>
      </c>
      <c r="F284" s="33" t="n">
        <v>65</v>
      </c>
      <c r="G284" s="36" t="n">
        <v>12.23529412</v>
      </c>
      <c r="H284" s="37" t="n">
        <v>61.17647059</v>
      </c>
      <c r="I284" s="32">
        <f>IF(G284&lt;0,"negative profit",IF(G284&gt;Notes!$B$4,"unusually high - verify",""))</f>
        <v/>
      </c>
      <c r="J284" s="32" t="inlineStr">
        <is>
          <t>hayday.info /api/production-data (https://hayday.info/api/production-data)</t>
        </is>
      </c>
    </row>
    <row r="285" ht="15" customHeight="1" s="29">
      <c r="A285" s="32" t="inlineStr">
        <is>
          <t>Green smoothie</t>
        </is>
      </c>
      <c r="B285" s="32" t="inlineStr">
        <is>
          <t>Smoothie Mixer</t>
        </is>
      </c>
      <c r="C285" s="33" t="n">
        <v>66</v>
      </c>
      <c r="D285" s="34" t="n">
        <v>38</v>
      </c>
      <c r="E285" s="35" t="n">
        <v>320</v>
      </c>
      <c r="F285" s="33" t="n">
        <v>38</v>
      </c>
      <c r="G285" s="36" t="n">
        <v>43.92156863</v>
      </c>
      <c r="H285" s="37" t="n">
        <v>59.60784314</v>
      </c>
      <c r="I285" s="32">
        <f>IF(G285&lt;0,"negative profit",IF(G285&gt;Notes!$B$4,"unusually high - verify",""))</f>
        <v/>
      </c>
      <c r="J285" s="32" t="inlineStr">
        <is>
          <t>hayday.info /api/production-data (https://hayday.info/api/production-data)</t>
        </is>
      </c>
    </row>
    <row r="286" ht="15" customHeight="1" s="29">
      <c r="A286" s="32" t="inlineStr">
        <is>
          <t>Cucumber smoothie</t>
        </is>
      </c>
      <c r="B286" s="32" t="inlineStr">
        <is>
          <t>Smoothie Mixer</t>
        </is>
      </c>
      <c r="C286" s="33" t="n">
        <v>70</v>
      </c>
      <c r="D286" s="34" t="n">
        <v>34</v>
      </c>
      <c r="E286" s="35" t="n">
        <v>266</v>
      </c>
      <c r="F286" s="33" t="n">
        <v>32</v>
      </c>
      <c r="G286" s="36" t="n">
        <v>49.41176471</v>
      </c>
      <c r="H286" s="37" t="n">
        <v>56.47058824</v>
      </c>
      <c r="I286" s="32">
        <f>IF(G286&lt;0,"negative profit",IF(G286&gt;Notes!$B$4,"unusually high - verify",""))</f>
        <v/>
      </c>
      <c r="J286" s="32" t="inlineStr">
        <is>
          <t>hayday.info /api/production-data (https://hayday.info/api/production-data)</t>
        </is>
      </c>
    </row>
    <row r="287" ht="15" customHeight="1" s="29">
      <c r="A287" s="32" t="inlineStr">
        <is>
          <t>Yogurt smoothie</t>
        </is>
      </c>
      <c r="B287" s="32" t="inlineStr">
        <is>
          <t>Smoothie Mixer</t>
        </is>
      </c>
      <c r="C287" s="33" t="n">
        <v>70</v>
      </c>
      <c r="D287" s="34" t="n">
        <v>51</v>
      </c>
      <c r="E287" s="35" t="n">
        <v>349</v>
      </c>
      <c r="F287" s="33" t="n">
        <v>42</v>
      </c>
      <c r="G287" s="36" t="n">
        <v>104.7058824</v>
      </c>
      <c r="H287" s="37" t="n">
        <v>49.41176471</v>
      </c>
      <c r="I287" s="32">
        <f>IF(G287&lt;0,"negative profit",IF(G287&gt;Notes!$B$4,"unusually high - verify",""))</f>
        <v/>
      </c>
      <c r="J287" s="32" t="inlineStr">
        <is>
          <t>hayday.info /api/production-data (https://hayday.info/api/production-data)</t>
        </is>
      </c>
    </row>
    <row r="288" ht="15" customHeight="1" s="29">
      <c r="A288" s="32" t="inlineStr">
        <is>
          <t>Mixed smoothie</t>
        </is>
      </c>
      <c r="B288" s="32" t="inlineStr">
        <is>
          <t>Smoothie Mixer</t>
        </is>
      </c>
      <c r="C288" s="33" t="n">
        <v>88</v>
      </c>
      <c r="D288" s="34" t="n">
        <v>25</v>
      </c>
      <c r="E288" s="35" t="n">
        <v>504</v>
      </c>
      <c r="F288" s="33" t="n">
        <v>60</v>
      </c>
      <c r="G288" s="36" t="n">
        <v>40</v>
      </c>
      <c r="H288" s="37" t="n">
        <v>141.1764706</v>
      </c>
      <c r="I288" s="32">
        <f>IF(G288&lt;0,"negative profit",IF(G288&gt;Notes!$B$4,"unusually high - verify",""))</f>
        <v/>
      </c>
      <c r="J288" s="32" t="inlineStr">
        <is>
          <t>hayday.info /api/production-data (https://hayday.info/api/production-data)</t>
        </is>
      </c>
    </row>
    <row r="289" ht="15" customHeight="1" s="29">
      <c r="A289" s="32" t="inlineStr">
        <is>
          <t>Black sesame smoothie</t>
        </is>
      </c>
      <c r="B289" s="32" t="inlineStr">
        <is>
          <t>Smoothie Mixer</t>
        </is>
      </c>
      <c r="C289" s="33" t="n">
        <v>93</v>
      </c>
      <c r="D289" s="34" t="n">
        <v>38</v>
      </c>
      <c r="E289" s="35" t="n">
        <v>313</v>
      </c>
      <c r="F289" s="33" t="n">
        <v>37</v>
      </c>
      <c r="G289" s="36" t="n">
        <v>42.35294118</v>
      </c>
      <c r="H289" s="37" t="n">
        <v>58.03921569</v>
      </c>
      <c r="I289" s="32">
        <f>IF(G289&lt;0,"negative profit",IF(G289&gt;Notes!$B$4,"unusually high - verify",""))</f>
        <v/>
      </c>
      <c r="J289" s="32" t="inlineStr">
        <is>
          <t>hayday.info /api/production-data (https://hayday.info/api/production-data)</t>
        </is>
      </c>
    </row>
    <row r="290" ht="15" customHeight="1" s="29">
      <c r="A290" s="32" t="inlineStr">
        <is>
          <t>Cocoa smoothie</t>
        </is>
      </c>
      <c r="B290" s="32" t="inlineStr">
        <is>
          <t>Smoothie Mixer</t>
        </is>
      </c>
      <c r="C290" s="33" t="n">
        <v>100</v>
      </c>
      <c r="D290" s="34" t="n">
        <v>34</v>
      </c>
      <c r="E290" s="35" t="n">
        <v>511</v>
      </c>
      <c r="F290" s="33" t="n">
        <v>61</v>
      </c>
      <c r="G290" s="36" t="n">
        <v>22.94117647</v>
      </c>
      <c r="H290" s="37" t="n">
        <v>107.6470588</v>
      </c>
      <c r="I290" s="32">
        <f>IF(G290&lt;0,"negative profit",IF(G290&gt;Notes!$B$4,"unusually high - verify",""))</f>
        <v/>
      </c>
      <c r="J290" s="32" t="inlineStr">
        <is>
          <t>hayday.info /api/production-data (https://hayday.info/api/production-data)</t>
        </is>
      </c>
    </row>
    <row r="291" ht="15" customHeight="1" s="29">
      <c r="A291" s="32" t="inlineStr">
        <is>
          <t>Plum smoothie</t>
        </is>
      </c>
      <c r="B291" s="32" t="inlineStr">
        <is>
          <t>Smoothie Mixer</t>
        </is>
      </c>
      <c r="C291" s="33" t="n">
        <v>102</v>
      </c>
      <c r="D291" s="34" t="n">
        <v>29</v>
      </c>
      <c r="E291" s="35" t="n">
        <v>522</v>
      </c>
      <c r="F291" s="33" t="n">
        <v>62</v>
      </c>
      <c r="G291" s="36" t="n">
        <v>116.9747899</v>
      </c>
      <c r="H291" s="37" t="n">
        <v>125.0420168</v>
      </c>
      <c r="I291" s="32">
        <f>IF(G291&lt;0,"negative profit",IF(G291&gt;Notes!$B$4,"unusually high - verify",""))</f>
        <v/>
      </c>
      <c r="J291" s="32" t="inlineStr">
        <is>
          <t>hayday.info /api/production-data (https://hayday.info/api/production-data)</t>
        </is>
      </c>
    </row>
    <row r="292" ht="15" customHeight="1" s="29">
      <c r="A292" s="32" t="inlineStr">
        <is>
          <t>Tropical Smoothie</t>
        </is>
      </c>
      <c r="B292" s="32" t="inlineStr">
        <is>
          <t>Smoothie Mixer</t>
        </is>
      </c>
      <c r="C292" s="33" t="n">
        <v>104</v>
      </c>
      <c r="D292" s="34" t="n">
        <v>40</v>
      </c>
      <c r="E292" s="35" t="n">
        <v>475</v>
      </c>
      <c r="F292" s="33" t="n">
        <v>57</v>
      </c>
      <c r="G292" s="36" t="n">
        <v>40.5</v>
      </c>
      <c r="H292" s="37" t="n">
        <v>85.5</v>
      </c>
      <c r="I292" s="32">
        <f>IF(G292&lt;0,"negative profit",IF(G292&gt;Notes!$B$4,"unusually high - verify",""))</f>
        <v/>
      </c>
      <c r="J292" s="32" t="inlineStr">
        <is>
          <t>hayday.info /api/production-data (https://hayday.info/api/production-data)</t>
        </is>
      </c>
    </row>
    <row r="293" ht="15" customHeight="1" s="29">
      <c r="A293" s="32" t="inlineStr">
        <is>
          <t>Lobster soup</t>
        </is>
      </c>
      <c r="B293" s="32" t="inlineStr">
        <is>
          <t>Soup Kitchen</t>
        </is>
      </c>
      <c r="C293" s="33" t="n">
        <v>46</v>
      </c>
      <c r="D293" s="34" t="n">
        <v>127</v>
      </c>
      <c r="E293" s="35" t="n">
        <v>612</v>
      </c>
      <c r="F293" s="33" t="n">
        <v>73</v>
      </c>
      <c r="G293" s="36" t="n">
        <v>21.17647059</v>
      </c>
      <c r="H293" s="37" t="n">
        <v>34.35294118</v>
      </c>
      <c r="I293" s="32">
        <f>IF(G293&lt;0,"negative profit",IF(G293&gt;Notes!$B$4,"unusually high - verify",""))</f>
        <v/>
      </c>
      <c r="J293" s="32" t="inlineStr">
        <is>
          <t>hayday.info /api/production-data (https://hayday.info/api/production-data)</t>
        </is>
      </c>
    </row>
    <row r="294" ht="15" customHeight="1" s="29">
      <c r="A294" s="32" t="inlineStr">
        <is>
          <t>Tomato soup</t>
        </is>
      </c>
      <c r="B294" s="32" t="inlineStr">
        <is>
          <t>Soup Kitchen</t>
        </is>
      </c>
      <c r="C294" s="33" t="n">
        <v>47</v>
      </c>
      <c r="D294" s="34" t="n">
        <v>76</v>
      </c>
      <c r="E294" s="35" t="n">
        <v>478</v>
      </c>
      <c r="F294" s="33" t="n">
        <v>57</v>
      </c>
      <c r="G294" s="36" t="n">
        <v>25.09803922</v>
      </c>
      <c r="H294" s="37" t="n">
        <v>44.70588235</v>
      </c>
      <c r="I294" s="32">
        <f>IF(G294&lt;0,"negative profit",IF(G294&gt;Notes!$B$4,"unusually high - verify",""))</f>
        <v/>
      </c>
      <c r="J294" s="32" t="inlineStr">
        <is>
          <t>hayday.info /api/production-data (https://hayday.info/api/production-data)</t>
        </is>
      </c>
    </row>
    <row r="295" ht="15" customHeight="1" s="29">
      <c r="A295" s="32" t="inlineStr">
        <is>
          <t>Pumpkin soup</t>
        </is>
      </c>
      <c r="B295" s="32" t="inlineStr">
        <is>
          <t>Soup Kitchen</t>
        </is>
      </c>
      <c r="C295" s="33" t="n">
        <v>49</v>
      </c>
      <c r="D295" s="34" t="n">
        <v>102</v>
      </c>
      <c r="E295" s="35" t="n">
        <v>392</v>
      </c>
      <c r="F295" s="33" t="n">
        <v>47</v>
      </c>
      <c r="G295" s="36" t="n">
        <v>27.05882353</v>
      </c>
      <c r="H295" s="37" t="n">
        <v>27.64705882</v>
      </c>
      <c r="I295" s="32">
        <f>IF(G295&lt;0,"negative profit",IF(G295&gt;Notes!$B$4,"unusually high - verify",""))</f>
        <v/>
      </c>
      <c r="J295" s="32" t="inlineStr">
        <is>
          <t>hayday.info /api/production-data (https://hayday.info/api/production-data)</t>
        </is>
      </c>
    </row>
    <row r="296" ht="15" customHeight="1" s="29">
      <c r="A296" s="32" t="inlineStr">
        <is>
          <t>Fish soup</t>
        </is>
      </c>
      <c r="B296" s="32" t="inlineStr">
        <is>
          <t>Soup Kitchen</t>
        </is>
      </c>
      <c r="C296" s="33" t="n">
        <v>53</v>
      </c>
      <c r="D296" s="34" t="n">
        <v>153</v>
      </c>
      <c r="E296" s="35" t="n">
        <v>298</v>
      </c>
      <c r="F296" s="33" t="n">
        <v>35</v>
      </c>
      <c r="G296" s="36" t="n">
        <v>16.8627451</v>
      </c>
      <c r="H296" s="37" t="n">
        <v>13.7254902</v>
      </c>
      <c r="I296" s="32">
        <f>IF(G296&lt;0,"negative profit",IF(G296&gt;Notes!$B$4,"unusually high - verify",""))</f>
        <v/>
      </c>
      <c r="J296" s="32" t="inlineStr">
        <is>
          <t>hayday.info /api/production-data (https://hayday.info/api/production-data)</t>
        </is>
      </c>
    </row>
    <row r="297" ht="15" customHeight="1" s="29">
      <c r="A297" s="32" t="inlineStr">
        <is>
          <t>Cabbage soup</t>
        </is>
      </c>
      <c r="B297" s="32" t="inlineStr">
        <is>
          <t>Soup Kitchen</t>
        </is>
      </c>
      <c r="C297" s="33" t="n">
        <v>65</v>
      </c>
      <c r="D297" s="34" t="n">
        <v>76</v>
      </c>
      <c r="E297" s="35" t="n">
        <v>270</v>
      </c>
      <c r="F297" s="33" t="n">
        <v>32</v>
      </c>
      <c r="G297" s="36" t="n">
        <v>23.52941176</v>
      </c>
      <c r="H297" s="37" t="n">
        <v>25.09803922</v>
      </c>
      <c r="I297" s="32">
        <f>IF(G297&lt;0,"negative profit",IF(G297&gt;Notes!$B$4,"unusually high - verify",""))</f>
        <v/>
      </c>
      <c r="J297" s="32" t="inlineStr">
        <is>
          <t>hayday.info /api/production-data (https://hayday.info/api/production-data)</t>
        </is>
      </c>
    </row>
    <row r="298" ht="15" customHeight="1" s="29">
      <c r="A298" s="32" t="inlineStr">
        <is>
          <t>Onion soup</t>
        </is>
      </c>
      <c r="B298" s="32" t="inlineStr">
        <is>
          <t>Soup Kitchen</t>
        </is>
      </c>
      <c r="C298" s="33" t="n">
        <v>72</v>
      </c>
      <c r="D298" s="34" t="n">
        <v>127</v>
      </c>
      <c r="E298" s="35" t="n">
        <v>327</v>
      </c>
      <c r="F298" s="33" t="n">
        <v>39</v>
      </c>
      <c r="G298" s="36" t="n">
        <v>21.64705882</v>
      </c>
      <c r="H298" s="37" t="n">
        <v>18.35294118</v>
      </c>
      <c r="I298" s="32">
        <f>IF(G298&lt;0,"negative profit",IF(G298&gt;Notes!$B$4,"unusually high - verify",""))</f>
        <v/>
      </c>
      <c r="J298" s="32" t="inlineStr">
        <is>
          <t>hayday.info /api/production-data (https://hayday.info/api/production-data)</t>
        </is>
      </c>
    </row>
    <row r="299" ht="15" customHeight="1" s="29">
      <c r="A299" s="32" t="inlineStr">
        <is>
          <t>Noodle soup</t>
        </is>
      </c>
      <c r="B299" s="32" t="inlineStr">
        <is>
          <t>Soup Kitchen</t>
        </is>
      </c>
      <c r="C299" s="33" t="n">
        <v>73</v>
      </c>
      <c r="D299" s="34" t="n">
        <v>102</v>
      </c>
      <c r="E299" s="35" t="n">
        <v>432</v>
      </c>
      <c r="F299" s="33" t="n">
        <v>52</v>
      </c>
      <c r="G299" s="36" t="n">
        <v>27.05882353</v>
      </c>
      <c r="H299" s="37" t="n">
        <v>30.58823529</v>
      </c>
      <c r="I299" s="32">
        <f>IF(G299&lt;0,"negative profit",IF(G299&gt;Notes!$B$4,"unusually high - verify",""))</f>
        <v/>
      </c>
      <c r="J299" s="32" t="inlineStr">
        <is>
          <t>hayday.info /api/production-data (https://hayday.info/api/production-data)</t>
        </is>
      </c>
    </row>
    <row r="300" ht="15" customHeight="1" s="29">
      <c r="A300" s="32" t="inlineStr">
        <is>
          <t>Potato soup</t>
        </is>
      </c>
      <c r="B300" s="32" t="inlineStr">
        <is>
          <t>Soup Kitchen</t>
        </is>
      </c>
      <c r="C300" s="33" t="n">
        <v>78</v>
      </c>
      <c r="D300" s="34" t="n">
        <v>127</v>
      </c>
      <c r="E300" s="35" t="n">
        <v>255</v>
      </c>
      <c r="F300" s="33" t="n">
        <v>31</v>
      </c>
      <c r="G300" s="36" t="n">
        <v>17.41176471</v>
      </c>
      <c r="H300" s="37" t="n">
        <v>14.58823529</v>
      </c>
      <c r="I300" s="32">
        <f>IF(G300&lt;0,"negative profit",IF(G300&gt;Notes!$B$4,"unusually high - verify",""))</f>
        <v/>
      </c>
      <c r="J300" s="32" t="inlineStr">
        <is>
          <t>hayday.info /api/production-data (https://hayday.info/api/production-data)</t>
        </is>
      </c>
    </row>
    <row r="301" ht="15" customHeight="1" s="29">
      <c r="A301" s="32" t="inlineStr">
        <is>
          <t>Bell pepper soup</t>
        </is>
      </c>
      <c r="B301" s="32" t="inlineStr">
        <is>
          <t>Soup Kitchen</t>
        </is>
      </c>
      <c r="C301" s="33" t="n">
        <v>81</v>
      </c>
      <c r="D301" s="34" t="n">
        <v>51</v>
      </c>
      <c r="E301" s="35" t="n">
        <v>439</v>
      </c>
      <c r="F301" s="33" t="n">
        <v>52</v>
      </c>
      <c r="G301" s="36" t="n">
        <v>38.82352941</v>
      </c>
      <c r="H301" s="37" t="n">
        <v>61.17647059</v>
      </c>
      <c r="I301" s="32">
        <f>IF(G301&lt;0,"negative profit",IF(G301&gt;Notes!$B$4,"unusually high - verify",""))</f>
        <v/>
      </c>
      <c r="J301" s="32" t="inlineStr">
        <is>
          <t>hayday.info /api/production-data (https://hayday.info/api/production-data)</t>
        </is>
      </c>
    </row>
    <row r="302" ht="15" customHeight="1" s="29">
      <c r="A302" s="32" t="inlineStr">
        <is>
          <t>Broccoli soup</t>
        </is>
      </c>
      <c r="B302" s="32" t="inlineStr">
        <is>
          <t>Soup Kitchen</t>
        </is>
      </c>
      <c r="C302" s="33" t="n">
        <v>87</v>
      </c>
      <c r="D302" s="34" t="n">
        <v>63</v>
      </c>
      <c r="E302" s="35" t="n">
        <v>237</v>
      </c>
      <c r="F302" s="33" t="n">
        <v>28</v>
      </c>
      <c r="G302" s="36" t="n">
        <v>25.41176471</v>
      </c>
      <c r="H302" s="37" t="n">
        <v>26.35294118</v>
      </c>
      <c r="I302" s="32">
        <f>IF(G302&lt;0,"negative profit",IF(G302&gt;Notes!$B$4,"unusually high - verify",""))</f>
        <v/>
      </c>
      <c r="J302" s="32" t="inlineStr">
        <is>
          <t>hayday.info /api/production-data (https://hayday.info/api/production-data)</t>
        </is>
      </c>
    </row>
    <row r="303" ht="15" customHeight="1" s="29">
      <c r="A303" s="32" t="inlineStr">
        <is>
          <t>Mushroom soup</t>
        </is>
      </c>
      <c r="B303" s="32" t="inlineStr">
        <is>
          <t>Soup Kitchen</t>
        </is>
      </c>
      <c r="C303" s="33" t="n">
        <v>104</v>
      </c>
      <c r="D303" s="34" t="n">
        <v>68</v>
      </c>
      <c r="E303" s="35" t="n">
        <v>176</v>
      </c>
      <c r="F303" s="33" t="n">
        <v>21</v>
      </c>
      <c r="G303" s="36" t="n">
        <v>31.76470588</v>
      </c>
      <c r="H303" s="37" t="n">
        <v>18.52941176</v>
      </c>
      <c r="I303" s="32">
        <f>IF(G303&lt;0,"negative profit",IF(G303&gt;Notes!$B$4,"unusually high - verify",""))</f>
        <v/>
      </c>
      <c r="J303" s="32" t="inlineStr">
        <is>
          <t>hayday.info /api/production-data (https://hayday.info/api/production-data)</t>
        </is>
      </c>
    </row>
    <row r="304" ht="15" customHeight="1" s="29">
      <c r="A304" s="32" t="inlineStr">
        <is>
          <t>Chickpea Stew</t>
        </is>
      </c>
      <c r="B304" s="32" t="inlineStr">
        <is>
          <t>Stew Pot</t>
        </is>
      </c>
      <c r="C304" s="33" t="n">
        <v>106</v>
      </c>
      <c r="D304" s="34" t="n">
        <v>90</v>
      </c>
      <c r="E304" s="35" t="n">
        <v>284</v>
      </c>
      <c r="F304" s="33" t="n">
        <v>34</v>
      </c>
      <c r="G304" s="36" t="n">
        <v>24</v>
      </c>
      <c r="H304" s="37" t="n">
        <v>22.66666667</v>
      </c>
      <c r="I304" s="32">
        <f>IF(G304&lt;0,"negative profit",IF(G304&gt;Notes!$B$4,"unusually high - verify",""))</f>
        <v/>
      </c>
      <c r="J304" s="32" t="inlineStr">
        <is>
          <t>hayday.info /api/production-data (https://hayday.info/api/production-data)</t>
        </is>
      </c>
    </row>
    <row r="305" ht="15" customHeight="1" s="29">
      <c r="A305" s="32" t="inlineStr">
        <is>
          <t>Chili Stew</t>
        </is>
      </c>
      <c r="B305" s="32" t="inlineStr">
        <is>
          <t>Stew Pot</t>
        </is>
      </c>
      <c r="C305" s="33" t="n">
        <v>109</v>
      </c>
      <c r="D305" s="34" t="n">
        <v>120</v>
      </c>
      <c r="E305" s="35" t="n">
        <v>370</v>
      </c>
      <c r="F305" s="33" t="n">
        <v>44</v>
      </c>
      <c r="G305" s="36" t="n">
        <v>17</v>
      </c>
      <c r="H305" s="37" t="n">
        <v>22</v>
      </c>
      <c r="I305" s="32">
        <f>IF(G305&lt;0,"negative profit",IF(G305&gt;Notes!$B$4,"unusually high - verify",""))</f>
        <v/>
      </c>
      <c r="J305" s="32" t="inlineStr">
        <is>
          <t>hayday.info /api/production-data (https://hayday.info/api/production-data)</t>
        </is>
      </c>
    </row>
    <row r="306" ht="15" customHeight="1" s="29">
      <c r="A306" s="32" t="inlineStr">
        <is>
          <t>Winter Stew</t>
        </is>
      </c>
      <c r="B306" s="32" t="inlineStr">
        <is>
          <t>Stew Pot</t>
        </is>
      </c>
      <c r="C306" s="33" t="n">
        <v>112</v>
      </c>
      <c r="D306" s="34" t="n">
        <v>240</v>
      </c>
      <c r="E306" s="35" t="n">
        <v>295</v>
      </c>
      <c r="F306" s="33" t="n">
        <v>35</v>
      </c>
      <c r="G306" s="36" t="n">
        <v>9.75</v>
      </c>
      <c r="H306" s="37" t="n">
        <v>8.75</v>
      </c>
      <c r="I306" s="32">
        <f>IF(G306&lt;0,"negative profit",IF(G306&gt;Notes!$B$4,"unusually high - verify",""))</f>
        <v/>
      </c>
      <c r="J306" s="32" t="inlineStr">
        <is>
          <t>hayday.info /api/production-data (https://hayday.info/api/production-data)</t>
        </is>
      </c>
    </row>
    <row r="307" ht="15" customHeight="1" s="29">
      <c r="A307" s="32" t="inlineStr">
        <is>
          <t>Brown sugar</t>
        </is>
      </c>
      <c r="B307" s="32" t="inlineStr">
        <is>
          <t>Sugar Mill</t>
        </is>
      </c>
      <c r="C307" s="33" t="n">
        <v>7</v>
      </c>
      <c r="D307" s="34" t="n">
        <v>17</v>
      </c>
      <c r="E307" s="35" t="n">
        <v>32</v>
      </c>
      <c r="F307" s="33" t="n">
        <v>4</v>
      </c>
      <c r="G307" s="36" t="n">
        <v>63.52941176</v>
      </c>
      <c r="H307" s="37" t="n">
        <v>14.11764706</v>
      </c>
      <c r="I307" s="32">
        <f>IF(G307&lt;0,"negative profit",IF(G307&gt;Notes!$B$4,"unusually high - verify",""))</f>
        <v/>
      </c>
      <c r="J307" s="32" t="inlineStr">
        <is>
          <t>hayday.info /api/production-data (https://hayday.info/api/production-data)</t>
        </is>
      </c>
    </row>
    <row r="308" ht="15" customHeight="1" s="29">
      <c r="A308" s="32" t="inlineStr">
        <is>
          <t>White sugar</t>
        </is>
      </c>
      <c r="B308" s="32" t="inlineStr">
        <is>
          <t>Sugar Mill</t>
        </is>
      </c>
      <c r="C308" s="33" t="n">
        <v>13</v>
      </c>
      <c r="D308" s="34" t="n">
        <v>34</v>
      </c>
      <c r="E308" s="35" t="n">
        <v>50</v>
      </c>
      <c r="F308" s="33" t="n">
        <v>6</v>
      </c>
      <c r="G308" s="36" t="n">
        <v>38.82352941</v>
      </c>
      <c r="H308" s="37" t="n">
        <v>10.58823529</v>
      </c>
      <c r="I308" s="32">
        <f>IF(G308&lt;0,"negative profit",IF(G308&gt;Notes!$B$4,"unusually high - verify",""))</f>
        <v/>
      </c>
      <c r="J308" s="32" t="inlineStr">
        <is>
          <t>hayday.info /api/production-data (https://hayday.info/api/production-data)</t>
        </is>
      </c>
    </row>
    <row r="309" ht="15" customHeight="1" s="29">
      <c r="A309" s="32" t="inlineStr">
        <is>
          <t>Syrup</t>
        </is>
      </c>
      <c r="B309" s="32" t="inlineStr">
        <is>
          <t>Sugar Mill</t>
        </is>
      </c>
      <c r="C309" s="33" t="n">
        <v>18</v>
      </c>
      <c r="D309" s="34" t="n">
        <v>76</v>
      </c>
      <c r="E309" s="35" t="n">
        <v>90</v>
      </c>
      <c r="F309" s="33" t="n">
        <v>11</v>
      </c>
      <c r="G309" s="36" t="n">
        <v>26.66666667</v>
      </c>
      <c r="H309" s="37" t="n">
        <v>8.627450980000001</v>
      </c>
      <c r="I309" s="32">
        <f>IF(G309&lt;0,"negative profit",IF(G309&gt;Notes!$B$4,"unusually high - verify",""))</f>
        <v/>
      </c>
      <c r="J309" s="32" t="inlineStr">
        <is>
          <t>hayday.info /api/production-data (https://hayday.info/api/production-data)</t>
        </is>
      </c>
    </row>
    <row r="310" ht="15" customHeight="1" s="29">
      <c r="A310" s="32" t="inlineStr">
        <is>
          <t>Sushi roll</t>
        </is>
      </c>
      <c r="B310" s="32" t="inlineStr">
        <is>
          <t>Sushi Bar</t>
        </is>
      </c>
      <c r="C310" s="33" t="n">
        <v>56</v>
      </c>
      <c r="D310" s="34" t="n">
        <v>51</v>
      </c>
      <c r="E310" s="35" t="n">
        <v>489</v>
      </c>
      <c r="F310" s="33" t="n">
        <v>58</v>
      </c>
      <c r="G310" s="36" t="n">
        <v>12.94117647</v>
      </c>
      <c r="H310" s="37" t="n">
        <v>68.23529412000001</v>
      </c>
      <c r="I310" s="32">
        <f>IF(G310&lt;0,"negative profit",IF(G310&gt;Notes!$B$4,"unusually high - verify",""))</f>
        <v/>
      </c>
      <c r="J310" s="32" t="inlineStr">
        <is>
          <t>hayday.info /api/production-data (https://hayday.info/api/production-data)</t>
        </is>
      </c>
    </row>
    <row r="311" ht="15" customHeight="1" s="29">
      <c r="A311" s="32" t="inlineStr">
        <is>
          <t>Lobster sushi</t>
        </is>
      </c>
      <c r="B311" s="32" t="inlineStr">
        <is>
          <t>Sushi Bar</t>
        </is>
      </c>
      <c r="C311" s="33" t="n">
        <v>59</v>
      </c>
      <c r="D311" s="34" t="n">
        <v>51</v>
      </c>
      <c r="E311" s="35" t="n">
        <v>637</v>
      </c>
      <c r="F311" s="33" t="n">
        <v>76</v>
      </c>
      <c r="G311" s="36" t="n">
        <v>14.11764706</v>
      </c>
      <c r="H311" s="37" t="n">
        <v>89.41176471</v>
      </c>
      <c r="I311" s="32">
        <f>IF(G311&lt;0,"negative profit",IF(G311&gt;Notes!$B$4,"unusually high - verify",""))</f>
        <v/>
      </c>
      <c r="J311" s="32" t="inlineStr">
        <is>
          <t>hayday.info /api/production-data (https://hayday.info/api/production-data)</t>
        </is>
      </c>
    </row>
    <row r="312" ht="15" customHeight="1" s="29">
      <c r="A312" s="32" t="inlineStr">
        <is>
          <t>Egg sushi</t>
        </is>
      </c>
      <c r="B312" s="32" t="inlineStr">
        <is>
          <t>Sushi Bar</t>
        </is>
      </c>
      <c r="C312" s="33" t="n">
        <v>63</v>
      </c>
      <c r="D312" s="34" t="n">
        <v>102</v>
      </c>
      <c r="E312" s="35" t="n">
        <v>550</v>
      </c>
      <c r="F312" s="33" t="n">
        <v>66</v>
      </c>
      <c r="G312" s="36" t="n">
        <v>12.94117647</v>
      </c>
      <c r="H312" s="37" t="n">
        <v>38.82352941</v>
      </c>
      <c r="I312" s="32">
        <f>IF(G312&lt;0,"negative profit",IF(G312&gt;Notes!$B$4,"unusually high - verify",""))</f>
        <v/>
      </c>
      <c r="J312" s="32" t="inlineStr">
        <is>
          <t>hayday.info /api/production-data (https://hayday.info/api/production-data)</t>
        </is>
      </c>
    </row>
    <row r="313" ht="15" customHeight="1" s="29">
      <c r="A313" s="32" t="inlineStr">
        <is>
          <t>Big sushi roll</t>
        </is>
      </c>
      <c r="B313" s="32" t="inlineStr">
        <is>
          <t>Sushi Bar</t>
        </is>
      </c>
      <c r="C313" s="33" t="n">
        <v>76</v>
      </c>
      <c r="D313" s="34" t="n">
        <v>76</v>
      </c>
      <c r="E313" s="35" t="n">
        <v>648</v>
      </c>
      <c r="F313" s="33" t="n">
        <v>77</v>
      </c>
      <c r="G313" s="36" t="n">
        <v>15.68627451</v>
      </c>
      <c r="H313" s="37" t="n">
        <v>60.39215686</v>
      </c>
      <c r="I313" s="32">
        <f>IF(G313&lt;0,"negative profit",IF(G313&gt;Notes!$B$4,"unusually high - verify",""))</f>
        <v/>
      </c>
      <c r="J313" s="32" t="inlineStr">
        <is>
          <t>hayday.info /api/production-data (https://hayday.info/api/production-data)</t>
        </is>
      </c>
    </row>
    <row r="314" ht="15" customHeight="1" s="29">
      <c r="A314" s="32" t="inlineStr">
        <is>
          <t>Rice ball</t>
        </is>
      </c>
      <c r="B314" s="32" t="inlineStr">
        <is>
          <t>Sushi Bar</t>
        </is>
      </c>
      <c r="C314" s="33" t="n">
        <v>110</v>
      </c>
      <c r="D314" s="34" t="n">
        <v>38</v>
      </c>
      <c r="E314" s="35" t="n">
        <v>464</v>
      </c>
      <c r="F314" s="33" t="n">
        <v>55</v>
      </c>
      <c r="G314" s="36" t="n">
        <v>6.274509804</v>
      </c>
      <c r="H314" s="37" t="n">
        <v>86.2745098</v>
      </c>
      <c r="I314" s="32">
        <f>IF(G314&lt;0,"negative profit",IF(G314&gt;Notes!$B$4,"unusually high - verify",""))</f>
        <v/>
      </c>
      <c r="J314" s="32" t="inlineStr">
        <is>
          <t>hayday.info /api/production-data (https://hayday.info/api/production-data)</t>
        </is>
      </c>
    </row>
    <row r="315" ht="15" customHeight="1" s="29">
      <c r="A315" s="32" t="inlineStr">
        <is>
          <t>Taco</t>
        </is>
      </c>
      <c r="B315" s="32" t="inlineStr">
        <is>
          <t>Taco Kitchen</t>
        </is>
      </c>
      <c r="C315" s="33" t="n">
        <v>77</v>
      </c>
      <c r="D315" s="34" t="n">
        <v>38</v>
      </c>
      <c r="E315" s="35" t="n">
        <v>396</v>
      </c>
      <c r="F315" s="33" t="n">
        <v>47</v>
      </c>
      <c r="G315" s="36" t="n">
        <v>34.50980392</v>
      </c>
      <c r="H315" s="37" t="n">
        <v>73.7254902</v>
      </c>
      <c r="I315" s="32">
        <f>IF(G315&lt;0,"negative profit",IF(G315&gt;Notes!$B$4,"unusually high - verify",""))</f>
        <v/>
      </c>
      <c r="J315" s="32" t="inlineStr">
        <is>
          <t>hayday.info /api/production-data (https://hayday.info/api/production-data)</t>
        </is>
      </c>
    </row>
    <row r="316" ht="15" customHeight="1" s="29">
      <c r="A316" s="32" t="inlineStr">
        <is>
          <t>Fish taco</t>
        </is>
      </c>
      <c r="B316" s="32" t="inlineStr">
        <is>
          <t>Taco Kitchen</t>
        </is>
      </c>
      <c r="C316" s="33" t="n">
        <v>79</v>
      </c>
      <c r="D316" s="34" t="n">
        <v>76</v>
      </c>
      <c r="E316" s="35" t="n">
        <v>392</v>
      </c>
      <c r="F316" s="33" t="n">
        <v>47</v>
      </c>
      <c r="G316" s="36" t="n">
        <v>22.74509804</v>
      </c>
      <c r="H316" s="37" t="n">
        <v>36.8627451</v>
      </c>
      <c r="I316" s="32">
        <f>IF(G316&lt;0,"negative profit",IF(G316&gt;Notes!$B$4,"unusually high - verify",""))</f>
        <v/>
      </c>
      <c r="J316" s="32" t="inlineStr">
        <is>
          <t>hayday.info /api/production-data (https://hayday.info/api/production-data)</t>
        </is>
      </c>
    </row>
    <row r="317" ht="15" customHeight="1" s="29">
      <c r="A317" s="32" t="inlineStr">
        <is>
          <t>Quesadilla</t>
        </is>
      </c>
      <c r="B317" s="32" t="inlineStr">
        <is>
          <t>Taco Kitchen</t>
        </is>
      </c>
      <c r="C317" s="33" t="n">
        <v>82</v>
      </c>
      <c r="D317" s="34" t="n">
        <v>51</v>
      </c>
      <c r="E317" s="35" t="n">
        <v>241</v>
      </c>
      <c r="F317" s="33" t="n">
        <v>29</v>
      </c>
      <c r="G317" s="36" t="n">
        <v>41.17647059</v>
      </c>
      <c r="H317" s="37" t="n">
        <v>34.11764706</v>
      </c>
      <c r="I317" s="32">
        <f>IF(G317&lt;0,"negative profit",IF(G317&gt;Notes!$B$4,"unusually high - verify",""))</f>
        <v/>
      </c>
      <c r="J317" s="32" t="inlineStr">
        <is>
          <t>hayday.info /api/production-data (https://hayday.info/api/production-data)</t>
        </is>
      </c>
    </row>
    <row r="318" ht="15" customHeight="1" s="29">
      <c r="A318" s="32" t="inlineStr">
        <is>
          <t>Nachos</t>
        </is>
      </c>
      <c r="B318" s="32" t="inlineStr">
        <is>
          <t>Taco Kitchen</t>
        </is>
      </c>
      <c r="C318" s="33" t="n">
        <v>87</v>
      </c>
      <c r="D318" s="34" t="n">
        <v>63</v>
      </c>
      <c r="E318" s="35" t="n">
        <v>432</v>
      </c>
      <c r="F318" s="33" t="n">
        <v>52</v>
      </c>
      <c r="G318" s="36" t="n">
        <v>28.23529412</v>
      </c>
      <c r="H318" s="37" t="n">
        <v>48.94117647</v>
      </c>
      <c r="I318" s="32">
        <f>IF(G318&lt;0,"negative profit",IF(G318&gt;Notes!$B$4,"unusually high - verify",""))</f>
        <v/>
      </c>
      <c r="J318" s="32" t="inlineStr">
        <is>
          <t>hayday.info /api/production-data (https://hayday.info/api/production-data)</t>
        </is>
      </c>
    </row>
    <row r="319" ht="15" customHeight="1" s="29">
      <c r="A319" s="32" t="inlineStr">
        <is>
          <t>Green tea</t>
        </is>
      </c>
      <c r="B319" s="32" t="inlineStr">
        <is>
          <t>Tea Stand</t>
        </is>
      </c>
      <c r="C319" s="33" t="n">
        <v>80</v>
      </c>
      <c r="D319" s="34" t="n">
        <v>25</v>
      </c>
      <c r="E319" s="35" t="n">
        <v>241</v>
      </c>
      <c r="F319" s="33" t="n">
        <v>29</v>
      </c>
      <c r="G319" s="36" t="n">
        <v>61.17647059</v>
      </c>
      <c r="H319" s="37" t="n">
        <v>68.23529412000001</v>
      </c>
      <c r="I319" s="32">
        <f>IF(G319&lt;0,"negative profit",IF(G319&gt;Notes!$B$4,"unusually high - verify",""))</f>
        <v/>
      </c>
      <c r="J319" s="32" t="inlineStr">
        <is>
          <t>hayday.info /api/production-data (https://hayday.info/api/production-data)</t>
        </is>
      </c>
    </row>
    <row r="320" ht="15" customHeight="1" s="29">
      <c r="A320" s="32" t="inlineStr">
        <is>
          <t>Milk tea</t>
        </is>
      </c>
      <c r="B320" s="32" t="inlineStr">
        <is>
          <t>Tea Stand</t>
        </is>
      </c>
      <c r="C320" s="33" t="n">
        <v>81</v>
      </c>
      <c r="D320" s="34" t="n">
        <v>38</v>
      </c>
      <c r="E320" s="35" t="n">
        <v>190</v>
      </c>
      <c r="F320" s="33" t="n">
        <v>23</v>
      </c>
      <c r="G320" s="36" t="n">
        <v>45.49019608</v>
      </c>
      <c r="H320" s="37" t="n">
        <v>36.07843137</v>
      </c>
      <c r="I320" s="32">
        <f>IF(G320&lt;0,"negative profit",IF(G320&gt;Notes!$B$4,"unusually high - verify",""))</f>
        <v/>
      </c>
      <c r="J320" s="32" t="inlineStr">
        <is>
          <t>hayday.info /api/production-data (https://hayday.info/api/production-data)</t>
        </is>
      </c>
    </row>
    <row r="321" ht="15" customHeight="1" s="29">
      <c r="A321" s="32" t="inlineStr">
        <is>
          <t>Honey tea</t>
        </is>
      </c>
      <c r="B321" s="32" t="inlineStr">
        <is>
          <t>Tea Stand</t>
        </is>
      </c>
      <c r="C321" s="33" t="n">
        <v>83</v>
      </c>
      <c r="D321" s="34" t="n">
        <v>34</v>
      </c>
      <c r="E321" s="35" t="n">
        <v>313</v>
      </c>
      <c r="F321" s="33" t="n">
        <v>37</v>
      </c>
      <c r="G321" s="36" t="n">
        <v>52.94117647</v>
      </c>
      <c r="H321" s="37" t="n">
        <v>65.29411765</v>
      </c>
      <c r="I321" s="32">
        <f>IF(G321&lt;0,"negative profit",IF(G321&gt;Notes!$B$4,"unusually high - verify",""))</f>
        <v/>
      </c>
      <c r="J321" s="32" t="inlineStr">
        <is>
          <t>hayday.info /api/production-data (https://hayday.info/api/production-data)</t>
        </is>
      </c>
    </row>
    <row r="322" ht="15" customHeight="1" s="29">
      <c r="A322" s="32" t="inlineStr">
        <is>
          <t>Lemon tea</t>
        </is>
      </c>
      <c r="B322" s="32" t="inlineStr">
        <is>
          <t>Tea Stand</t>
        </is>
      </c>
      <c r="C322" s="33" t="n">
        <v>86</v>
      </c>
      <c r="D322" s="34" t="n">
        <v>17</v>
      </c>
      <c r="E322" s="35" t="n">
        <v>241</v>
      </c>
      <c r="F322" s="33" t="n">
        <v>29</v>
      </c>
      <c r="G322" s="36" t="n">
        <v>67.05882353</v>
      </c>
      <c r="H322" s="37" t="n">
        <v>102.3529412</v>
      </c>
      <c r="I322" s="32">
        <f>IF(G322&lt;0,"negative profit",IF(G322&gt;Notes!$B$4,"unusually high - verify",""))</f>
        <v/>
      </c>
      <c r="J322" s="32" t="inlineStr">
        <is>
          <t>hayday.info /api/production-data (https://hayday.info/api/production-data)</t>
        </is>
      </c>
    </row>
    <row r="323" ht="15" customHeight="1" s="29">
      <c r="A323" s="32" t="inlineStr">
        <is>
          <t>Apple ginger tea</t>
        </is>
      </c>
      <c r="B323" s="32" t="inlineStr">
        <is>
          <t>Tea Stand</t>
        </is>
      </c>
      <c r="C323" s="33" t="n">
        <v>88</v>
      </c>
      <c r="D323" s="34" t="n">
        <v>25</v>
      </c>
      <c r="E323" s="35" t="n">
        <v>169</v>
      </c>
      <c r="F323" s="33" t="n">
        <v>20</v>
      </c>
      <c r="G323" s="36" t="n">
        <v>47.05882353</v>
      </c>
      <c r="H323" s="37" t="n">
        <v>47.05882353</v>
      </c>
      <c r="I323" s="32">
        <f>IF(G323&lt;0,"negative profit",IF(G323&gt;Notes!$B$4,"unusually high - verify",""))</f>
        <v/>
      </c>
      <c r="J323" s="32" t="inlineStr">
        <is>
          <t>hayday.info /api/production-data (https://hayday.info/api/production-data)</t>
        </is>
      </c>
    </row>
    <row r="324" ht="15" customHeight="1" s="29">
      <c r="A324" s="32" t="inlineStr">
        <is>
          <t>Orange tea</t>
        </is>
      </c>
      <c r="B324" s="32" t="inlineStr">
        <is>
          <t>Tea Stand</t>
        </is>
      </c>
      <c r="C324" s="33" t="n">
        <v>89</v>
      </c>
      <c r="D324" s="34" t="n">
        <v>34</v>
      </c>
      <c r="E324" s="35" t="n">
        <v>255</v>
      </c>
      <c r="F324" s="33" t="n">
        <v>30</v>
      </c>
      <c r="G324" s="36" t="n">
        <v>51.17647059</v>
      </c>
      <c r="H324" s="37" t="n">
        <v>52.94117647</v>
      </c>
      <c r="I324" s="32">
        <f>IF(G324&lt;0,"negative profit",IF(G324&gt;Notes!$B$4,"unusually high - verify",""))</f>
        <v/>
      </c>
      <c r="J324" s="32" t="inlineStr">
        <is>
          <t>hayday.info /api/production-data (https://hayday.info/api/production-data)</t>
        </is>
      </c>
    </row>
    <row r="325" ht="15" customHeight="1" s="29">
      <c r="A325" s="32" t="inlineStr">
        <is>
          <t>Iced tea</t>
        </is>
      </c>
      <c r="B325" s="32" t="inlineStr">
        <is>
          <t>Tea Stand</t>
        </is>
      </c>
      <c r="C325" s="33" t="n">
        <v>92</v>
      </c>
      <c r="D325" s="34" t="n">
        <v>25</v>
      </c>
      <c r="E325" s="35" t="n">
        <v>252</v>
      </c>
      <c r="F325" s="33" t="n">
        <v>30</v>
      </c>
      <c r="G325" s="36" t="n">
        <v>54.11764706</v>
      </c>
      <c r="H325" s="37" t="n">
        <v>70.58823529</v>
      </c>
      <c r="I325" s="32">
        <f>IF(G325&lt;0,"negative profit",IF(G325&gt;Notes!$B$4,"unusually high - verify",""))</f>
        <v/>
      </c>
      <c r="J325" s="32" t="inlineStr">
        <is>
          <t>hayday.info /api/production-data (https://hayday.info/api/production-data)</t>
        </is>
      </c>
    </row>
    <row r="326" ht="15" customHeight="1" s="29">
      <c r="A326" s="32" t="inlineStr">
        <is>
          <t>Mint tea</t>
        </is>
      </c>
      <c r="B326" s="32" t="inlineStr">
        <is>
          <t>Tea Stand</t>
        </is>
      </c>
      <c r="C326" s="33" t="n">
        <v>97</v>
      </c>
      <c r="D326" s="34" t="n">
        <v>29</v>
      </c>
      <c r="E326" s="35" t="n">
        <v>255</v>
      </c>
      <c r="F326" s="33" t="n">
        <v>31</v>
      </c>
      <c r="G326" s="36" t="n">
        <v>110.9243697</v>
      </c>
      <c r="H326" s="37" t="n">
        <v>62.5210084</v>
      </c>
      <c r="I326" s="32">
        <f>IF(G326&lt;0,"negative profit",IF(G326&gt;Notes!$B$4,"unusually high - verify",""))</f>
        <v/>
      </c>
      <c r="J326" s="32" t="inlineStr">
        <is>
          <t>hayday.info /api/production-data (https://hayday.info/api/production-data)</t>
        </is>
      </c>
    </row>
    <row r="327" ht="15" customHeight="1" s="29">
      <c r="A327" s="32" t="inlineStr">
        <is>
          <t>Apple</t>
        </is>
      </c>
      <c r="B327" s="32" t="inlineStr">
        <is>
          <t>Trees &amp; Bushes</t>
        </is>
      </c>
      <c r="C327" s="33" t="n">
        <v>15</v>
      </c>
      <c r="D327" s="34" t="n">
        <v>960</v>
      </c>
      <c r="E327" s="35" t="n">
        <v>39</v>
      </c>
      <c r="F327" s="33" t="n">
        <v>7</v>
      </c>
      <c r="G327" s="36" t="n">
        <v>22.175</v>
      </c>
      <c r="H327" s="37" t="n">
        <v>0.4375</v>
      </c>
      <c r="I327" s="32">
        <f>IF(G327&lt;0,"negative profit",IF(G327&gt;Notes!$B$4,"unusually high - verify",""))</f>
        <v/>
      </c>
      <c r="J327" s="32" t="inlineStr">
        <is>
          <t>hayday.info /api/production-data (https://hayday.info/api/production-data)</t>
        </is>
      </c>
    </row>
    <row r="328" ht="15" customHeight="1" s="29">
      <c r="A328" s="32" t="inlineStr">
        <is>
          <t>Raspberry</t>
        </is>
      </c>
      <c r="B328" s="32" t="inlineStr">
        <is>
          <t>Trees &amp; Bushes</t>
        </is>
      </c>
      <c r="C328" s="33" t="n">
        <v>19</v>
      </c>
      <c r="D328" s="34" t="n">
        <v>1080</v>
      </c>
      <c r="E328" s="35" t="n">
        <v>46</v>
      </c>
      <c r="F328" s="33" t="n">
        <v>9</v>
      </c>
      <c r="G328" s="36" t="n">
        <v>21.57777778</v>
      </c>
      <c r="H328" s="37" t="n">
        <v>0.5</v>
      </c>
      <c r="I328" s="32">
        <f>IF(G328&lt;0,"negative profit",IF(G328&gt;Notes!$B$4,"unusually high - verify",""))</f>
        <v/>
      </c>
      <c r="J328" s="32" t="inlineStr">
        <is>
          <t>hayday.info /api/production-data (https://hayday.info/api/production-data)</t>
        </is>
      </c>
    </row>
    <row r="329" ht="15" customHeight="1" s="29">
      <c r="A329" s="32" t="inlineStr">
        <is>
          <t>Cherry</t>
        </is>
      </c>
      <c r="B329" s="32" t="inlineStr">
        <is>
          <t>Trees &amp; Bushes</t>
        </is>
      </c>
      <c r="C329" s="33" t="n">
        <v>22</v>
      </c>
      <c r="D329" s="34" t="n">
        <v>1620</v>
      </c>
      <c r="E329" s="35" t="n">
        <v>68</v>
      </c>
      <c r="F329" s="33" t="n">
        <v>13</v>
      </c>
      <c r="G329" s="36" t="n">
        <v>17.74814815</v>
      </c>
      <c r="H329" s="37" t="n">
        <v>0.4814814815</v>
      </c>
      <c r="I329" s="32">
        <f>IF(G329&lt;0,"negative profit",IF(G329&gt;Notes!$B$4,"unusually high - verify",""))</f>
        <v/>
      </c>
      <c r="J329" s="32" t="inlineStr">
        <is>
          <t>hayday.info /api/production-data (https://hayday.info/api/production-data)</t>
        </is>
      </c>
    </row>
    <row r="330" ht="15" customHeight="1" s="29">
      <c r="A330" s="32" t="inlineStr">
        <is>
          <t>Blackberry</t>
        </is>
      </c>
      <c r="B330" s="32" t="inlineStr">
        <is>
          <t>Trees &amp; Bushes</t>
        </is>
      </c>
      <c r="C330" s="33" t="n">
        <v>26</v>
      </c>
      <c r="D330" s="34" t="n">
        <v>1920</v>
      </c>
      <c r="E330" s="35" t="n">
        <v>82</v>
      </c>
      <c r="F330" s="33" t="n">
        <v>16</v>
      </c>
      <c r="G330" s="36" t="n">
        <v>17.075</v>
      </c>
      <c r="H330" s="37" t="n">
        <v>0.5</v>
      </c>
      <c r="I330" s="32">
        <f>IF(G330&lt;0,"negative profit",IF(G330&gt;Notes!$B$4,"unusually high - verify",""))</f>
        <v/>
      </c>
      <c r="J330" s="32" t="inlineStr">
        <is>
          <t>hayday.info /api/production-data (https://hayday.info/api/production-data)</t>
        </is>
      </c>
    </row>
    <row r="331" ht="15" customHeight="1" s="29">
      <c r="A331" s="32" t="inlineStr">
        <is>
          <t>Cacao</t>
        </is>
      </c>
      <c r="B331" s="32" t="inlineStr">
        <is>
          <t>Trees &amp; Bushes</t>
        </is>
      </c>
      <c r="C331" s="33" t="n">
        <v>36</v>
      </c>
      <c r="D331" s="34" t="n">
        <v>2040</v>
      </c>
      <c r="E331" s="35" t="n">
        <v>86</v>
      </c>
      <c r="F331" s="33" t="n">
        <v>16</v>
      </c>
      <c r="G331" s="36" t="n">
        <v>16.85882353</v>
      </c>
      <c r="H331" s="37" t="n">
        <v>0.4705882353</v>
      </c>
      <c r="I331" s="32">
        <f>IF(G331&lt;0,"negative profit",IF(G331&gt;Notes!$B$4,"unusually high - verify",""))</f>
        <v/>
      </c>
      <c r="J331" s="32" t="inlineStr">
        <is>
          <t>hayday.info /api/production-data (https://hayday.info/api/production-data)</t>
        </is>
      </c>
    </row>
    <row r="332" ht="15" customHeight="1" s="29">
      <c r="A332" s="32" t="inlineStr">
        <is>
          <t>Honeycomb</t>
        </is>
      </c>
      <c r="B332" s="32" t="inlineStr">
        <is>
          <t>Trees &amp; Bushes</t>
        </is>
      </c>
      <c r="C332" s="33" t="n">
        <v>39</v>
      </c>
      <c r="D332" s="34" t="n">
        <v>35</v>
      </c>
      <c r="E332" s="35" t="n">
        <v>68</v>
      </c>
      <c r="F332" s="33" t="n">
        <v>8</v>
      </c>
      <c r="G332" s="36" t="n">
        <v>109.7142857</v>
      </c>
      <c r="H332" s="37" t="n">
        <v>13.71428571</v>
      </c>
      <c r="I332" s="32">
        <f>IF(G332&lt;0,"negative profit",IF(G332&gt;Notes!$B$4,"unusually high - verify",""))</f>
        <v/>
      </c>
      <c r="J332" s="32" t="inlineStr">
        <is>
          <t>hayday.info /api/production-data (https://hayday.info/api/production-data)</t>
        </is>
      </c>
    </row>
    <row r="333" ht="15" customHeight="1" s="29">
      <c r="A333" s="32" t="inlineStr">
        <is>
          <t>Coffee</t>
        </is>
      </c>
      <c r="B333" s="32" t="inlineStr">
        <is>
          <t>Trees &amp; Bushes</t>
        </is>
      </c>
      <c r="C333" s="33" t="n">
        <v>42</v>
      </c>
      <c r="D333" s="34" t="n">
        <v>1500</v>
      </c>
      <c r="E333" s="35" t="n">
        <v>64</v>
      </c>
      <c r="F333" s="33" t="n">
        <v>12</v>
      </c>
      <c r="G333" s="36" t="n">
        <v>18.696</v>
      </c>
      <c r="H333" s="37" t="n">
        <v>0.48</v>
      </c>
      <c r="I333" s="32">
        <f>IF(G333&lt;0,"negative profit",IF(G333&gt;Notes!$B$4,"unusually high - verify",""))</f>
        <v/>
      </c>
      <c r="J333" s="32" t="inlineStr">
        <is>
          <t>hayday.info /api/production-data (https://hayday.info/api/production-data)</t>
        </is>
      </c>
    </row>
    <row r="334" ht="15" customHeight="1" s="29">
      <c r="A334" s="32" t="inlineStr">
        <is>
          <t>Olive</t>
        </is>
      </c>
      <c r="B334" s="32" t="inlineStr">
        <is>
          <t>Trees &amp; Bushes</t>
        </is>
      </c>
      <c r="C334" s="33" t="n">
        <v>57</v>
      </c>
      <c r="D334" s="34" t="n">
        <v>1440</v>
      </c>
      <c r="E334" s="35" t="n">
        <v>82</v>
      </c>
      <c r="F334" s="33" t="n">
        <v>17</v>
      </c>
      <c r="G334" s="36" t="n">
        <v>19.01666667</v>
      </c>
      <c r="H334" s="37" t="n">
        <v>0.7083333333</v>
      </c>
      <c r="I334" s="32">
        <f>IF(G334&lt;0,"negative profit",IF(G334&gt;Notes!$B$4,"unusually high - verify",""))</f>
        <v/>
      </c>
      <c r="J334" s="32" t="inlineStr">
        <is>
          <t>hayday.info /api/production-data (https://hayday.info/api/production-data)</t>
        </is>
      </c>
    </row>
    <row r="335" ht="15" customHeight="1" s="29">
      <c r="A335" s="32" t="inlineStr">
        <is>
          <t>Lemon</t>
        </is>
      </c>
      <c r="B335" s="32" t="inlineStr">
        <is>
          <t>Trees &amp; Bushes</t>
        </is>
      </c>
      <c r="C335" s="33" t="n">
        <v>66</v>
      </c>
      <c r="D335" s="34" t="n">
        <v>1740</v>
      </c>
      <c r="E335" s="35" t="n">
        <v>93</v>
      </c>
      <c r="F335" s="33" t="n">
        <v>18</v>
      </c>
      <c r="G335" s="36" t="n">
        <v>18.85517241</v>
      </c>
      <c r="H335" s="37" t="n">
        <v>0.6206896552</v>
      </c>
      <c r="I335" s="32">
        <f>IF(G335&lt;0,"negative profit",IF(G335&gt;Notes!$B$4,"unusually high - verify",""))</f>
        <v/>
      </c>
      <c r="J335" s="32" t="inlineStr">
        <is>
          <t>hayday.info /api/production-data (https://hayday.info/api/production-data)</t>
        </is>
      </c>
    </row>
    <row r="336" ht="15" customHeight="1" s="29">
      <c r="A336" s="32" t="inlineStr">
        <is>
          <t>Orange</t>
        </is>
      </c>
      <c r="B336" s="32" t="inlineStr">
        <is>
          <t>Trees &amp; Bushes</t>
        </is>
      </c>
      <c r="C336" s="33" t="n">
        <v>71</v>
      </c>
      <c r="D336" s="34" t="n">
        <v>1860</v>
      </c>
      <c r="E336" s="35" t="n">
        <v>97</v>
      </c>
      <c r="F336" s="33" t="n">
        <v>19</v>
      </c>
      <c r="G336" s="36" t="n">
        <v>17.53548387</v>
      </c>
      <c r="H336" s="37" t="n">
        <v>0.6129032258</v>
      </c>
      <c r="I336" s="32">
        <f>IF(G336&lt;0,"negative profit",IF(G336&gt;Notes!$B$4,"unusually high - verify",""))</f>
        <v/>
      </c>
      <c r="J336" s="32" t="inlineStr">
        <is>
          <t>hayday.info /api/production-data (https://hayday.info/api/production-data)</t>
        </is>
      </c>
    </row>
    <row r="337" ht="15" customHeight="1" s="29">
      <c r="A337" s="32" t="inlineStr">
        <is>
          <t>Peach</t>
        </is>
      </c>
      <c r="B337" s="32" t="inlineStr">
        <is>
          <t>Trees &amp; Bushes</t>
        </is>
      </c>
      <c r="C337" s="33" t="n">
        <v>76</v>
      </c>
      <c r="D337" s="34" t="n">
        <v>1800</v>
      </c>
      <c r="E337" s="35" t="n">
        <v>100</v>
      </c>
      <c r="F337" s="33" t="n">
        <v>20</v>
      </c>
      <c r="G337" s="36" t="n">
        <v>18.68</v>
      </c>
      <c r="H337" s="37" t="n">
        <v>0.6666666667</v>
      </c>
      <c r="I337" s="32">
        <f>IF(G337&lt;0,"negative profit",IF(G337&gt;Notes!$B$4,"unusually high - verify",""))</f>
        <v/>
      </c>
      <c r="J337" s="32" t="inlineStr">
        <is>
          <t>hayday.info /api/production-data (https://hayday.info/api/production-data)</t>
        </is>
      </c>
    </row>
    <row r="338" ht="15" customHeight="1" s="29">
      <c r="A338" s="32" t="inlineStr">
        <is>
          <t>Banana</t>
        </is>
      </c>
      <c r="B338" s="32" t="inlineStr">
        <is>
          <t>Trees &amp; Bushes</t>
        </is>
      </c>
      <c r="C338" s="33" t="n">
        <v>88</v>
      </c>
      <c r="D338" s="34" t="n">
        <v>1620</v>
      </c>
      <c r="E338" s="35" t="n">
        <v>104</v>
      </c>
      <c r="F338" s="33" t="n">
        <v>20</v>
      </c>
      <c r="G338" s="36" t="n">
        <v>20.63703704</v>
      </c>
      <c r="H338" s="37" t="n">
        <v>0.7407407407</v>
      </c>
      <c r="I338" s="32">
        <f>IF(G338&lt;0,"negative profit",IF(G338&gt;Notes!$B$4,"unusually high - verify",""))</f>
        <v/>
      </c>
      <c r="J338" s="32" t="inlineStr">
        <is>
          <t>hayday.info /api/production-data (https://hayday.info/api/production-data)</t>
        </is>
      </c>
    </row>
    <row r="339" ht="15" customHeight="1" s="29">
      <c r="A339" s="32" t="inlineStr">
        <is>
          <t>Plum</t>
        </is>
      </c>
      <c r="B339" s="32" t="inlineStr">
        <is>
          <t>Trees &amp; Bushes</t>
        </is>
      </c>
      <c r="C339" s="33" t="n">
        <v>94</v>
      </c>
      <c r="D339" s="34" t="n">
        <v>1620</v>
      </c>
      <c r="E339" s="35" t="n">
        <v>82</v>
      </c>
      <c r="F339" s="33" t="n">
        <v>16</v>
      </c>
      <c r="G339" s="36" t="n">
        <v>17.64444444</v>
      </c>
      <c r="H339" s="37" t="n">
        <v>0.5925925926</v>
      </c>
      <c r="I339" s="32">
        <f>IF(G339&lt;0,"negative profit",IF(G339&gt;Notes!$B$4,"unusually high - verify",""))</f>
        <v/>
      </c>
      <c r="J339" s="32" t="inlineStr">
        <is>
          <t>hayday.info /api/production-data (https://hayday.info/api/production-data)</t>
        </is>
      </c>
    </row>
    <row r="340" ht="15" customHeight="1" s="29">
      <c r="A340" s="32" t="inlineStr">
        <is>
          <t>Mango</t>
        </is>
      </c>
      <c r="B340" s="32" t="inlineStr">
        <is>
          <t>Trees &amp; Bushes</t>
        </is>
      </c>
      <c r="C340" s="33" t="n">
        <v>97</v>
      </c>
      <c r="D340" s="34" t="n">
        <v>1920</v>
      </c>
      <c r="E340" s="35" t="n">
        <v>100</v>
      </c>
      <c r="F340" s="33" t="n">
        <v>20</v>
      </c>
      <c r="G340" s="36" t="n">
        <v>16.8875</v>
      </c>
      <c r="H340" s="37" t="n">
        <v>0.625</v>
      </c>
      <c r="I340" s="32">
        <f>IF(G340&lt;0,"negative profit",IF(G340&gt;Notes!$B$4,"unusually high - verify",""))</f>
        <v/>
      </c>
      <c r="J340" s="32" t="inlineStr">
        <is>
          <t>hayday.info /api/production-data (https://hayday.info/api/production-data)</t>
        </is>
      </c>
    </row>
    <row r="341" ht="15" customHeight="1" s="29">
      <c r="A341" s="32" t="inlineStr">
        <is>
          <t>Coconut</t>
        </is>
      </c>
      <c r="B341" s="32" t="inlineStr">
        <is>
          <t>Trees &amp; Bushes</t>
        </is>
      </c>
      <c r="C341" s="33" t="n">
        <v>101</v>
      </c>
      <c r="D341" s="34" t="n">
        <v>2160</v>
      </c>
      <c r="E341" s="35" t="n">
        <v>108</v>
      </c>
      <c r="F341" s="33" t="n">
        <v>21</v>
      </c>
      <c r="G341" s="36" t="n">
        <v>16.5</v>
      </c>
      <c r="H341" s="37" t="n">
        <v>0.5833333333</v>
      </c>
      <c r="I341" s="32">
        <f>IF(G341&lt;0,"negative profit",IF(G341&gt;Notes!$B$4,"unusually high - verify",""))</f>
        <v/>
      </c>
      <c r="J341" s="32" t="inlineStr">
        <is>
          <t>hayday.info /api/production-data (https://hayday.info/api/production-data)</t>
        </is>
      </c>
    </row>
    <row r="342" ht="15" customHeight="1" s="29">
      <c r="A342" s="32" t="inlineStr">
        <is>
          <t>Guava</t>
        </is>
      </c>
      <c r="B342" s="32" t="inlineStr">
        <is>
          <t>Trees &amp; Bushes</t>
        </is>
      </c>
      <c r="C342" s="33" t="n">
        <v>104</v>
      </c>
      <c r="D342" s="34" t="n">
        <v>2040</v>
      </c>
      <c r="E342" s="35" t="n">
        <v>111</v>
      </c>
      <c r="F342" s="33" t="n">
        <v>22</v>
      </c>
      <c r="G342" s="36" t="n">
        <v>17.37647059</v>
      </c>
      <c r="H342" s="37" t="n">
        <v>0.6470588235</v>
      </c>
      <c r="I342" s="32">
        <f>IF(G342&lt;0,"negative profit",IF(G342&gt;Notes!$B$4,"unusually high - verify",""))</f>
        <v/>
      </c>
      <c r="J342" s="32" t="inlineStr">
        <is>
          <t>hayday.info /api/production-data (https://hayday.info/api/production-data)</t>
        </is>
      </c>
    </row>
    <row r="343" ht="15" customHeight="1" s="29">
      <c r="A343" s="32" t="inlineStr">
        <is>
          <t>Fried rice</t>
        </is>
      </c>
      <c r="B343" s="32" t="inlineStr">
        <is>
          <t>Wok Kitchen</t>
        </is>
      </c>
      <c r="C343" s="33" t="n">
        <v>69</v>
      </c>
      <c r="D343" s="34" t="n">
        <v>51</v>
      </c>
      <c r="E343" s="35" t="n">
        <v>205</v>
      </c>
      <c r="F343" s="33" t="n">
        <v>24</v>
      </c>
      <c r="G343" s="36" t="n">
        <v>29.41176471</v>
      </c>
      <c r="H343" s="37" t="n">
        <v>28.23529412</v>
      </c>
      <c r="I343" s="32">
        <f>IF(G343&lt;0,"negative profit",IF(G343&gt;Notes!$B$4,"unusually high - verify",""))</f>
        <v/>
      </c>
      <c r="J343" s="32" t="inlineStr">
        <is>
          <t>hayday.info /api/production-data (https://hayday.info/api/production-data)</t>
        </is>
      </c>
    </row>
    <row r="344" ht="15" customHeight="1" s="29">
      <c r="A344" s="32" t="inlineStr">
        <is>
          <t>Spicy fish</t>
        </is>
      </c>
      <c r="B344" s="32" t="inlineStr">
        <is>
          <t>Wok Kitchen</t>
        </is>
      </c>
      <c r="C344" s="33" t="n">
        <v>79</v>
      </c>
      <c r="D344" s="34" t="n">
        <v>76</v>
      </c>
      <c r="E344" s="35" t="n">
        <v>543</v>
      </c>
      <c r="F344" s="33" t="n">
        <v>65</v>
      </c>
      <c r="G344" s="36" t="n">
        <v>26.66666667</v>
      </c>
      <c r="H344" s="37" t="n">
        <v>50.98039216</v>
      </c>
      <c r="I344" s="32">
        <f>IF(G344&lt;0,"negative profit",IF(G344&gt;Notes!$B$4,"unusually high - verify",""))</f>
        <v/>
      </c>
      <c r="J344" s="32" t="inlineStr">
        <is>
          <t>hayday.info /api/production-data (https://hayday.info/api/production-data)</t>
        </is>
      </c>
    </row>
    <row r="345" ht="15" customHeight="1" s="29">
      <c r="A345" s="32" t="inlineStr">
        <is>
          <t>Peanut noodles</t>
        </is>
      </c>
      <c r="B345" s="32" t="inlineStr">
        <is>
          <t>Wok Kitchen</t>
        </is>
      </c>
      <c r="C345" s="33" t="n">
        <v>86</v>
      </c>
      <c r="D345" s="34" t="n">
        <v>38</v>
      </c>
      <c r="E345" s="35" t="n">
        <v>669</v>
      </c>
      <c r="F345" s="33" t="n">
        <v>80</v>
      </c>
      <c r="G345" s="36" t="n">
        <v>240</v>
      </c>
      <c r="H345" s="37" t="n">
        <v>125.4901961</v>
      </c>
      <c r="I345" s="32">
        <f>IF(G345&lt;0,"negative profit",IF(G345&gt;Notes!$B$4,"unusually high - verify",""))</f>
        <v/>
      </c>
      <c r="J345" s="32" t="inlineStr">
        <is>
          <t>hayday.info /api/production-data (https://hayday.info/api/production-data)</t>
        </is>
      </c>
    </row>
    <row r="346" ht="15" customHeight="1" s="29">
      <c r="A346" s="32" t="inlineStr">
        <is>
          <t>Tofu stir fry</t>
        </is>
      </c>
      <c r="B346" s="32" t="inlineStr">
        <is>
          <t>Wok Kitchen</t>
        </is>
      </c>
      <c r="C346" s="33" t="n">
        <v>89</v>
      </c>
      <c r="D346" s="34" t="n">
        <v>63</v>
      </c>
      <c r="E346" s="35" t="n">
        <v>306</v>
      </c>
      <c r="F346" s="33" t="n">
        <v>37</v>
      </c>
      <c r="G346" s="36" t="n">
        <v>39.52941176</v>
      </c>
      <c r="H346" s="37" t="n">
        <v>34.82352941</v>
      </c>
      <c r="I346" s="32">
        <f>IF(G346&lt;0,"negative profit",IF(G346&gt;Notes!$B$4,"unusually high - verify",""))</f>
        <v/>
      </c>
      <c r="J346" s="32" t="inlineStr">
        <is>
          <t>hayday.info /api/production-data (https://hayday.info/api/production-data)</t>
        </is>
      </c>
    </row>
    <row r="347" ht="15" customHeight="1" s="29">
      <c r="A347" s="32" t="inlineStr">
        <is>
          <t>Plain Yogurt</t>
        </is>
      </c>
      <c r="B347" s="32" t="inlineStr">
        <is>
          <t>Yogurt Maker</t>
        </is>
      </c>
      <c r="C347" s="33" t="n">
        <v>103</v>
      </c>
      <c r="D347" s="34" t="n">
        <v>102</v>
      </c>
      <c r="E347" s="35" t="n">
        <v>234</v>
      </c>
      <c r="F347" s="33" t="n">
        <v>28</v>
      </c>
      <c r="G347" s="36" t="n">
        <v>22.35294118</v>
      </c>
      <c r="H347" s="37" t="n">
        <v>16.47058824</v>
      </c>
      <c r="I347" s="32">
        <f>IF(G347&lt;0,"negative profit",IF(G347&gt;Notes!$B$4,"unusually high - verify",""))</f>
        <v/>
      </c>
      <c r="J347" s="32" t="inlineStr">
        <is>
          <t>hayday.info /api/production-data (https://hayday.info/api/production-data)</t>
        </is>
      </c>
    </row>
    <row r="348" ht="15" customHeight="1" s="29">
      <c r="A348" s="32" t="inlineStr">
        <is>
          <t>Strawberry Yogurt</t>
        </is>
      </c>
      <c r="B348" s="32" t="inlineStr">
        <is>
          <t>Yogurt Maker</t>
        </is>
      </c>
      <c r="C348" s="33" t="n">
        <v>105</v>
      </c>
      <c r="D348" s="34" t="n">
        <v>34</v>
      </c>
      <c r="E348" s="35" t="n">
        <v>529</v>
      </c>
      <c r="F348" s="33" t="n">
        <v>63</v>
      </c>
      <c r="G348" s="36" t="n">
        <v>44.11764706</v>
      </c>
      <c r="H348" s="37" t="n">
        <v>111.1764706</v>
      </c>
      <c r="I348" s="32">
        <f>IF(G348&lt;0,"negative profit",IF(G348&gt;Notes!$B$4,"unusually high - verify",""))</f>
        <v/>
      </c>
      <c r="J348" s="32" t="inlineStr">
        <is>
          <t>hayday.info /api/production-data (https://hayday.info/api/production-data)</t>
        </is>
      </c>
    </row>
    <row r="349" ht="15" customHeight="1" s="29">
      <c r="A349" s="32" t="inlineStr">
        <is>
          <t>Tropical Yogurt</t>
        </is>
      </c>
      <c r="B349" s="32" t="inlineStr">
        <is>
          <t>Yogurt Maker</t>
        </is>
      </c>
      <c r="C349" s="33" t="n">
        <v>109</v>
      </c>
      <c r="D349" s="34" t="n">
        <v>51</v>
      </c>
      <c r="E349" s="35" t="n">
        <v>457</v>
      </c>
      <c r="F349" s="33" t="n">
        <v>54</v>
      </c>
      <c r="G349" s="36" t="n">
        <v>-210.5882353</v>
      </c>
      <c r="H349" s="37" t="n">
        <v>63.52941176</v>
      </c>
      <c r="I349" s="32">
        <f>IF(G349&lt;0,"negative profit",IF(G349&gt;Notes!$B$4,"unusually high - verify",""))</f>
        <v/>
      </c>
      <c r="J349" s="32" t="inlineStr">
        <is>
          <t>hayday.info /api/production-data (https://hayday.info/api/production-data)</t>
        </is>
      </c>
    </row>
  </sheetData>
  <autoFilter ref="A1:J34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P23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2" customWidth="1" style="28" min="1" max="1"/>
    <col width="22" customWidth="1" style="28" min="2" max="2"/>
    <col width="8" customWidth="1" style="28" min="3" max="3"/>
    <col width="12" customWidth="1" style="28" min="4" max="4"/>
    <col width="13" customWidth="1" style="28" min="5" max="5"/>
    <col width="10" customWidth="1" style="28" min="6" max="6"/>
    <col width="7" customWidth="1" style="28" min="7" max="7"/>
    <col width="46" customWidth="1" style="28" min="8" max="8"/>
    <col width="66" customWidth="1" style="28" min="9" max="9"/>
    <col width="12" customWidth="1" style="28" min="10" max="10"/>
    <col width="18" customWidth="1" style="28" min="11" max="11"/>
    <col width="12" customWidth="1" style="28" min="12" max="12"/>
    <col width="18" customWidth="1" style="28" min="13" max="13"/>
    <col width="12" customWidth="1" style="28" min="14" max="14"/>
    <col width="18" customWidth="1" style="28" min="15" max="16"/>
  </cols>
  <sheetData>
    <row r="1" ht="42" customHeight="1" s="29">
      <c r="A1" s="30" t="inlineStr">
        <is>
          <t>Product</t>
        </is>
      </c>
      <c r="B1" s="30" t="inlineStr">
        <is>
          <t>Machine</t>
        </is>
      </c>
      <c r="C1" s="30" t="inlineStr">
        <is>
          <t>Level</t>
        </is>
      </c>
      <c r="D1" s="30" t="inlineStr">
        <is>
          <t>Time normal (min)</t>
        </is>
      </c>
      <c r="E1" s="30" t="inlineStr">
        <is>
          <t>Time mastered (min)</t>
        </is>
      </c>
      <c r="F1" s="30" t="inlineStr">
        <is>
          <t>Sell price</t>
        </is>
      </c>
      <c r="G1" s="30" t="inlineStr">
        <is>
          <t>XP</t>
        </is>
      </c>
      <c r="H1" s="30" t="inlineStr">
        <is>
          <t>Note</t>
        </is>
      </c>
      <c r="I1" s="30" t="inlineStr">
        <is>
          <t>Source</t>
        </is>
      </c>
      <c r="J1" s="38" t="inlineStr">
        <is>
          <t>hayday.info time</t>
        </is>
      </c>
      <c r="K1" s="38" t="inlineStr">
        <is>
          <t>Time check</t>
        </is>
      </c>
      <c r="L1" s="38" t="inlineStr">
        <is>
          <t>hayday.info price</t>
        </is>
      </c>
      <c r="M1" s="38" t="inlineStr">
        <is>
          <t>Price check</t>
        </is>
      </c>
      <c r="N1" s="38" t="inlineStr">
        <is>
          <t>hayday.info XP</t>
        </is>
      </c>
      <c r="O1" s="38" t="inlineStr">
        <is>
          <t>XP check</t>
        </is>
      </c>
      <c r="P1" s="38" t="inlineStr">
        <is>
          <t>Level check</t>
        </is>
      </c>
    </row>
    <row r="2" ht="15" customHeight="1" s="29">
      <c r="A2" s="32" t="inlineStr">
        <is>
          <t>Bread</t>
        </is>
      </c>
      <c r="B2" s="32" t="inlineStr">
        <is>
          <t>Bakery</t>
        </is>
      </c>
      <c r="C2" s="33" t="n">
        <v>2</v>
      </c>
      <c r="D2" s="33" t="n">
        <v>5</v>
      </c>
      <c r="E2" s="33" t="n">
        <v>4</v>
      </c>
      <c r="F2" s="35" t="n">
        <v>21</v>
      </c>
      <c r="G2" s="33" t="n">
        <v>3</v>
      </c>
      <c r="H2" s="32" t="n"/>
      <c r="I2" s="32" t="inlineStr">
        <is>
          <t>Hay Day Wiki (Fandom) https://hayday.fandom.com/wiki/Bakery</t>
        </is>
      </c>
      <c r="J2" s="39">
        <f>IFERROR(INDEX(hayday_info!$D$2:$D$349,MATCH($A2,hayday_info!$A$2:$A$349,0)),"not found")</f>
        <v/>
      </c>
      <c r="K2" s="32">
        <f>IF(J2="not found","not in hayday.info",IF(J2=E2,"matches mastered",IF(J2=D2,"matches normal","differs")))</f>
        <v/>
      </c>
      <c r="L2" s="40">
        <f>IFERROR(INDEX(hayday_info!$E$2:$E$349,MATCH($A2,hayday_info!$A$2:$A$349,0)),"not found")</f>
        <v/>
      </c>
      <c r="M2" s="32">
        <f>IF(L2="not found","not in hayday.info",IF(F2="","no Fandom value",IF(L2=F2,"match","differs")))</f>
        <v/>
      </c>
      <c r="N2" s="32">
        <f>IFERROR(INDEX(hayday_info!$F$2:$F$349,MATCH($A2,hayday_info!$A$2:$A$349,0)),"not found")</f>
        <v/>
      </c>
      <c r="O2" s="32">
        <f>IF(N2="not found","not in hayday.info",IF(G2="","no Fandom value",IF(N2=G2,"match","differs")))</f>
        <v/>
      </c>
      <c r="P2" s="32">
        <f>IF(J2="not found","not in hayday.info",IF(C2="","no Fandom value",IF(IFERROR(INDEX(hayday_info!$C$2:$C$349,MATCH($A2,hayday_info!$A$2:$A$349,0)),"not found")=C2,"match","differs")))</f>
        <v/>
      </c>
    </row>
    <row r="3" ht="15" customHeight="1" s="29">
      <c r="A3" s="32" t="inlineStr">
        <is>
          <t>Corn Bread</t>
        </is>
      </c>
      <c r="B3" s="32" t="inlineStr">
        <is>
          <t>Bakery</t>
        </is>
      </c>
      <c r="C3" s="33" t="n">
        <v>7</v>
      </c>
      <c r="D3" s="33" t="n">
        <v>30</v>
      </c>
      <c r="E3" s="33" t="n">
        <v>25</v>
      </c>
      <c r="F3" s="35" t="n">
        <v>72</v>
      </c>
      <c r="G3" s="33" t="n">
        <v>8</v>
      </c>
      <c r="H3" s="32" t="n"/>
      <c r="I3" s="32" t="inlineStr">
        <is>
          <t>Hay Day Wiki (Fandom) https://hayday.fandom.com/wiki/Bakery</t>
        </is>
      </c>
      <c r="J3" s="39">
        <f>IFERROR(INDEX(hayday_info!$D$2:$D$349,MATCH($A3,hayday_info!$A$2:$A$349,0)),"not found")</f>
        <v/>
      </c>
      <c r="K3" s="32">
        <f>IF(J3="not found","not in hayday.info",IF(J3=E3,"matches mastered",IF(J3=D3,"matches normal","differs")))</f>
        <v/>
      </c>
      <c r="L3" s="40">
        <f>IFERROR(INDEX(hayday_info!$E$2:$E$349,MATCH($A3,hayday_info!$A$2:$A$349,0)),"not found")</f>
        <v/>
      </c>
      <c r="M3" s="32">
        <f>IF(L3="not found","not in hayday.info",IF(F3="","no Fandom value",IF(L3=F3,"match","differs")))</f>
        <v/>
      </c>
      <c r="N3" s="32">
        <f>IFERROR(INDEX(hayday_info!$F$2:$F$349,MATCH($A3,hayday_info!$A$2:$A$349,0)),"not found")</f>
        <v/>
      </c>
      <c r="O3" s="32">
        <f>IF(N3="not found","not in hayday.info",IF(G3="","no Fandom value",IF(N3=G3,"match","differs")))</f>
        <v/>
      </c>
      <c r="P3" s="32">
        <f>IF(J3="not found","not in hayday.info",IF(C3="","no Fandom value",IF(IFERROR(INDEX(hayday_info!$C$2:$C$349,MATCH($A3,hayday_info!$A$2:$A$349,0)),"not found")=C3,"match","differs")))</f>
        <v/>
      </c>
    </row>
    <row r="4" ht="15" customHeight="1" s="29">
      <c r="A4" s="32" t="inlineStr">
        <is>
          <t>Cookie</t>
        </is>
      </c>
      <c r="B4" s="32" t="inlineStr">
        <is>
          <t>Bakery</t>
        </is>
      </c>
      <c r="C4" s="33" t="n">
        <v>10</v>
      </c>
      <c r="D4" s="33" t="n">
        <v>60</v>
      </c>
      <c r="E4" s="33" t="n">
        <v>51</v>
      </c>
      <c r="F4" s="35" t="n">
        <v>104</v>
      </c>
      <c r="G4" s="33" t="n">
        <v>13</v>
      </c>
      <c r="H4" s="32" t="n"/>
      <c r="I4" s="32" t="inlineStr">
        <is>
          <t>Hay Day Wiki (Fandom) https://hayday.fandom.com/wiki/Bakery</t>
        </is>
      </c>
      <c r="J4" s="39">
        <f>IFERROR(INDEX(hayday_info!$D$2:$D$349,MATCH($A4,hayday_info!$A$2:$A$349,0)),"not found")</f>
        <v/>
      </c>
      <c r="K4" s="32">
        <f>IF(J4="not found","not in hayday.info",IF(J4=E4,"matches mastered",IF(J4=D4,"matches normal","differs")))</f>
        <v/>
      </c>
      <c r="L4" s="40">
        <f>IFERROR(INDEX(hayday_info!$E$2:$E$349,MATCH($A4,hayday_info!$A$2:$A$349,0)),"not found")</f>
        <v/>
      </c>
      <c r="M4" s="32">
        <f>IF(L4="not found","not in hayday.info",IF(F4="","no Fandom value",IF(L4=F4,"match","differs")))</f>
        <v/>
      </c>
      <c r="N4" s="32">
        <f>IFERROR(INDEX(hayday_info!$F$2:$F$349,MATCH($A4,hayday_info!$A$2:$A$349,0)),"not found")</f>
        <v/>
      </c>
      <c r="O4" s="32">
        <f>IF(N4="not found","not in hayday.info",IF(G4="","no Fandom value",IF(N4=G4,"match","differs")))</f>
        <v/>
      </c>
      <c r="P4" s="32">
        <f>IF(J4="not found","not in hayday.info",IF(C4="","no Fandom value",IF(IFERROR(INDEX(hayday_info!$C$2:$C$349,MATCH($A4,hayday_info!$A$2:$A$349,0)),"not found")=C4,"match","differs")))</f>
        <v/>
      </c>
    </row>
    <row r="5" ht="15" customHeight="1" s="29">
      <c r="A5" s="32" t="inlineStr">
        <is>
          <t>Raspberry Muffin</t>
        </is>
      </c>
      <c r="B5" s="32" t="inlineStr">
        <is>
          <t>Bakery</t>
        </is>
      </c>
      <c r="C5" s="33" t="n">
        <v>19</v>
      </c>
      <c r="D5" s="33" t="n">
        <v>45</v>
      </c>
      <c r="E5" s="33" t="n">
        <v>38</v>
      </c>
      <c r="F5" s="35" t="n">
        <v>140</v>
      </c>
      <c r="G5" s="33" t="n">
        <v>17</v>
      </c>
      <c r="H5" s="32" t="n"/>
      <c r="I5" s="32" t="inlineStr">
        <is>
          <t>Hay Day Wiki (Fandom) https://hayday.fandom.com/wiki/Bakery</t>
        </is>
      </c>
      <c r="J5" s="39">
        <f>IFERROR(INDEX(hayday_info!$D$2:$D$349,MATCH($A5,hayday_info!$A$2:$A$349,0)),"not found")</f>
        <v/>
      </c>
      <c r="K5" s="32">
        <f>IF(J5="not found","not in hayday.info",IF(J5=E5,"matches mastered",IF(J5=D5,"matches normal","differs")))</f>
        <v/>
      </c>
      <c r="L5" s="40">
        <f>IFERROR(INDEX(hayday_info!$E$2:$E$349,MATCH($A5,hayday_info!$A$2:$A$349,0)),"not found")</f>
        <v/>
      </c>
      <c r="M5" s="32">
        <f>IF(L5="not found","not in hayday.info",IF(F5="","no Fandom value",IF(L5=F5,"match","differs")))</f>
        <v/>
      </c>
      <c r="N5" s="32">
        <f>IFERROR(INDEX(hayday_info!$F$2:$F$349,MATCH($A5,hayday_info!$A$2:$A$349,0)),"not found")</f>
        <v/>
      </c>
      <c r="O5" s="32">
        <f>IF(N5="not found","not in hayday.info",IF(G5="","no Fandom value",IF(N5=G5,"match","differs")))</f>
        <v/>
      </c>
      <c r="P5" s="32">
        <f>IF(J5="not found","not in hayday.info",IF(C5="","no Fandom value",IF(IFERROR(INDEX(hayday_info!$C$2:$C$349,MATCH($A5,hayday_info!$A$2:$A$349,0)),"not found")=C5,"match","differs")))</f>
        <v/>
      </c>
    </row>
    <row r="6" ht="15" customHeight="1" s="29">
      <c r="A6" s="32" t="inlineStr">
        <is>
          <t>Blackberry Muffin</t>
        </is>
      </c>
      <c r="B6" s="32" t="inlineStr">
        <is>
          <t>Bakery</t>
        </is>
      </c>
      <c r="C6" s="33" t="n">
        <v>26</v>
      </c>
      <c r="D6" s="33" t="n">
        <v>45</v>
      </c>
      <c r="E6" s="33" t="n">
        <v>38</v>
      </c>
      <c r="F6" s="35" t="n">
        <v>226</v>
      </c>
      <c r="G6" s="33" t="n">
        <v>27</v>
      </c>
      <c r="H6" s="32" t="n"/>
      <c r="I6" s="32" t="inlineStr">
        <is>
          <t>Hay Day Wiki (Fandom) https://hayday.fandom.com/wiki/Bakery</t>
        </is>
      </c>
      <c r="J6" s="39">
        <f>IFERROR(INDEX(hayday_info!$D$2:$D$349,MATCH($A6,hayday_info!$A$2:$A$349,0)),"not found")</f>
        <v/>
      </c>
      <c r="K6" s="32">
        <f>IF(J6="not found","not in hayday.info",IF(J6=E6,"matches mastered",IF(J6=D6,"matches normal","differs")))</f>
        <v/>
      </c>
      <c r="L6" s="40">
        <f>IFERROR(INDEX(hayday_info!$E$2:$E$349,MATCH($A6,hayday_info!$A$2:$A$349,0)),"not found")</f>
        <v/>
      </c>
      <c r="M6" s="32">
        <f>IF(L6="not found","not in hayday.info",IF(F6="","no Fandom value",IF(L6=F6,"match","differs")))</f>
        <v/>
      </c>
      <c r="N6" s="32">
        <f>IFERROR(INDEX(hayday_info!$F$2:$F$349,MATCH($A6,hayday_info!$A$2:$A$349,0)),"not found")</f>
        <v/>
      </c>
      <c r="O6" s="32">
        <f>IF(N6="not found","not in hayday.info",IF(G6="","no Fandom value",IF(N6=G6,"match","differs")))</f>
        <v/>
      </c>
      <c r="P6" s="32">
        <f>IF(J6="not found","not in hayday.info",IF(C6="","no Fandom value",IF(IFERROR(INDEX(hayday_info!$C$2:$C$349,MATCH($A6,hayday_info!$A$2:$A$349,0)),"not found")=C6,"match","differs")))</f>
        <v/>
      </c>
    </row>
    <row r="7" ht="15" customHeight="1" s="29">
      <c r="A7" s="32" t="inlineStr">
        <is>
          <t>Pizza</t>
        </is>
      </c>
      <c r="B7" s="32" t="inlineStr">
        <is>
          <t>Bakery</t>
        </is>
      </c>
      <c r="C7" s="33" t="n">
        <v>33</v>
      </c>
      <c r="D7" s="33" t="n">
        <v>15</v>
      </c>
      <c r="E7" s="33" t="n">
        <v>12</v>
      </c>
      <c r="F7" s="35" t="n">
        <v>190</v>
      </c>
      <c r="G7" s="33" t="n">
        <v>23</v>
      </c>
      <c r="H7" s="32" t="n"/>
      <c r="I7" s="32" t="inlineStr">
        <is>
          <t>Hay Day Wiki (Fandom) https://hayday.fandom.com/wiki/Bakery</t>
        </is>
      </c>
      <c r="J7" s="39">
        <f>IFERROR(INDEX(hayday_info!$D$2:$D$349,MATCH($A7,hayday_info!$A$2:$A$349,0)),"not found")</f>
        <v/>
      </c>
      <c r="K7" s="32">
        <f>IF(J7="not found","not in hayday.info",IF(J7=E7,"matches mastered",IF(J7=D7,"matches normal","differs")))</f>
        <v/>
      </c>
      <c r="L7" s="40">
        <f>IFERROR(INDEX(hayday_info!$E$2:$E$349,MATCH($A7,hayday_info!$A$2:$A$349,0)),"not found")</f>
        <v/>
      </c>
      <c r="M7" s="32">
        <f>IF(L7="not found","not in hayday.info",IF(F7="","no Fandom value",IF(L7=F7,"match","differs")))</f>
        <v/>
      </c>
      <c r="N7" s="32">
        <f>IFERROR(INDEX(hayday_info!$F$2:$F$349,MATCH($A7,hayday_info!$A$2:$A$349,0)),"not found")</f>
        <v/>
      </c>
      <c r="O7" s="32">
        <f>IF(N7="not found","not in hayday.info",IF(G7="","no Fandom value",IF(N7=G7,"match","differs")))</f>
        <v/>
      </c>
      <c r="P7" s="32">
        <f>IF(J7="not found","not in hayday.info",IF(C7="","no Fandom value",IF(IFERROR(INDEX(hayday_info!$C$2:$C$349,MATCH($A7,hayday_info!$A$2:$A$349,0)),"not found")=C7,"match","differs")))</f>
        <v/>
      </c>
    </row>
    <row r="8" ht="15" customHeight="1" s="29">
      <c r="A8" s="32" t="inlineStr">
        <is>
          <t>Spicy Pizza</t>
        </is>
      </c>
      <c r="B8" s="32" t="inlineStr">
        <is>
          <t>Bakery</t>
        </is>
      </c>
      <c r="C8" s="33" t="n">
        <v>37</v>
      </c>
      <c r="D8" s="33" t="n">
        <v>15</v>
      </c>
      <c r="E8" s="33" t="n">
        <v>12</v>
      </c>
      <c r="F8" s="35" t="n">
        <v>226</v>
      </c>
      <c r="G8" s="33" t="n">
        <v>27</v>
      </c>
      <c r="H8" s="32" t="n"/>
      <c r="I8" s="32" t="inlineStr">
        <is>
          <t>Hay Day Wiki (Fandom) https://hayday.fandom.com/wiki/Bakery</t>
        </is>
      </c>
      <c r="J8" s="39">
        <f>IFERROR(INDEX(hayday_info!$D$2:$D$349,MATCH($A8,hayday_info!$A$2:$A$349,0)),"not found")</f>
        <v/>
      </c>
      <c r="K8" s="32">
        <f>IF(J8="not found","not in hayday.info",IF(J8=E8,"matches mastered",IF(J8=D8,"matches normal","differs")))</f>
        <v/>
      </c>
      <c r="L8" s="40">
        <f>IFERROR(INDEX(hayday_info!$E$2:$E$349,MATCH($A8,hayday_info!$A$2:$A$349,0)),"not found")</f>
        <v/>
      </c>
      <c r="M8" s="32">
        <f>IF(L8="not found","not in hayday.info",IF(F8="","no Fandom value",IF(L8=F8,"match","differs")))</f>
        <v/>
      </c>
      <c r="N8" s="32">
        <f>IFERROR(INDEX(hayday_info!$F$2:$F$349,MATCH($A8,hayday_info!$A$2:$A$349,0)),"not found")</f>
        <v/>
      </c>
      <c r="O8" s="32">
        <f>IF(N8="not found","not in hayday.info",IF(G8="","no Fandom value",IF(N8=G8,"match","differs")))</f>
        <v/>
      </c>
      <c r="P8" s="32">
        <f>IF(J8="not found","not in hayday.info",IF(C8="","no Fandom value",IF(IFERROR(INDEX(hayday_info!$C$2:$C$349,MATCH($A8,hayday_info!$A$2:$A$349,0)),"not found")=C8,"match","differs")))</f>
        <v/>
      </c>
    </row>
    <row r="9" ht="15" customHeight="1" s="29">
      <c r="A9" s="32" t="inlineStr">
        <is>
          <t>Potato Bread</t>
        </is>
      </c>
      <c r="B9" s="32" t="inlineStr">
        <is>
          <t>Bakery</t>
        </is>
      </c>
      <c r="C9" s="33" t="n">
        <v>39</v>
      </c>
      <c r="D9" s="33" t="n">
        <v>45</v>
      </c>
      <c r="E9" s="33" t="n">
        <v>38</v>
      </c>
      <c r="F9" s="35" t="n">
        <v>284</v>
      </c>
      <c r="G9" s="33" t="n">
        <v>34</v>
      </c>
      <c r="H9" s="32" t="n"/>
      <c r="I9" s="32" t="inlineStr">
        <is>
          <t>Hay Day Wiki (Fandom) https://hayday.fandom.com/wiki/Bakery</t>
        </is>
      </c>
      <c r="J9" s="39">
        <f>IFERROR(INDEX(hayday_info!$D$2:$D$349,MATCH($A9,hayday_info!$A$2:$A$349,0)),"not found")</f>
        <v/>
      </c>
      <c r="K9" s="32">
        <f>IF(J9="not found","not in hayday.info",IF(J9=E9,"matches mastered",IF(J9=D9,"matches normal","differs")))</f>
        <v/>
      </c>
      <c r="L9" s="40">
        <f>IFERROR(INDEX(hayday_info!$E$2:$E$349,MATCH($A9,hayday_info!$A$2:$A$349,0)),"not found")</f>
        <v/>
      </c>
      <c r="M9" s="32">
        <f>IF(L9="not found","not in hayday.info",IF(F9="","no Fandom value",IF(L9=F9,"match","differs")))</f>
        <v/>
      </c>
      <c r="N9" s="32">
        <f>IFERROR(INDEX(hayday_info!$F$2:$F$349,MATCH($A9,hayday_info!$A$2:$A$349,0)),"not found")</f>
        <v/>
      </c>
      <c r="O9" s="32">
        <f>IF(N9="not found","not in hayday.info",IF(G9="","no Fandom value",IF(N9=G9,"match","differs")))</f>
        <v/>
      </c>
      <c r="P9" s="32">
        <f>IF(J9="not found","not in hayday.info",IF(C9="","no Fandom value",IF(IFERROR(INDEX(hayday_info!$C$2:$C$349,MATCH($A9,hayday_info!$A$2:$A$349,0)),"not found")=C9,"match","differs")))</f>
        <v/>
      </c>
    </row>
    <row r="10" ht="15" customHeight="1" s="29">
      <c r="A10" s="32" t="inlineStr">
        <is>
          <t>Cream</t>
        </is>
      </c>
      <c r="B10" s="32" t="inlineStr">
        <is>
          <t>Dairy</t>
        </is>
      </c>
      <c r="C10" s="33" t="n">
        <v>6</v>
      </c>
      <c r="D10" s="33" t="n">
        <v>20</v>
      </c>
      <c r="E10" s="33" t="n">
        <v>17</v>
      </c>
      <c r="F10" s="35" t="n">
        <v>50</v>
      </c>
      <c r="G10" s="33" t="n">
        <v>6</v>
      </c>
      <c r="H10" s="32" t="n"/>
      <c r="I10" s="32" t="inlineStr">
        <is>
          <t>Hay Day Wiki (Fandom) https://hayday.fandom.com/wiki/Dairy</t>
        </is>
      </c>
      <c r="J10" s="39">
        <f>IFERROR(INDEX(hayday_info!$D$2:$D$349,MATCH($A10,hayday_info!$A$2:$A$349,0)),"not found")</f>
        <v/>
      </c>
      <c r="K10" s="32">
        <f>IF(J10="not found","not in hayday.info",IF(J10=E10,"matches mastered",IF(J10=D10,"matches normal","differs")))</f>
        <v/>
      </c>
      <c r="L10" s="40">
        <f>IFERROR(INDEX(hayday_info!$E$2:$E$349,MATCH($A10,hayday_info!$A$2:$A$349,0)),"not found")</f>
        <v/>
      </c>
      <c r="M10" s="32">
        <f>IF(L10="not found","not in hayday.info",IF(F10="","no Fandom value",IF(L10=F10,"match","differs")))</f>
        <v/>
      </c>
      <c r="N10" s="32">
        <f>IFERROR(INDEX(hayday_info!$F$2:$F$349,MATCH($A10,hayday_info!$A$2:$A$349,0)),"not found")</f>
        <v/>
      </c>
      <c r="O10" s="32">
        <f>IF(N10="not found","not in hayday.info",IF(G10="","no Fandom value",IF(N10=G10,"match","differs")))</f>
        <v/>
      </c>
      <c r="P10" s="32">
        <f>IF(J10="not found","not in hayday.info",IF(C10="","no Fandom value",IF(IFERROR(INDEX(hayday_info!$C$2:$C$349,MATCH($A10,hayday_info!$A$2:$A$349,0)),"not found")=C10,"match","differs")))</f>
        <v/>
      </c>
    </row>
    <row r="11" ht="15" customHeight="1" s="29">
      <c r="A11" s="32" t="inlineStr">
        <is>
          <t>Butter</t>
        </is>
      </c>
      <c r="B11" s="32" t="inlineStr">
        <is>
          <t>Dairy</t>
        </is>
      </c>
      <c r="C11" s="33" t="n">
        <v>9</v>
      </c>
      <c r="D11" s="33" t="n">
        <v>30</v>
      </c>
      <c r="E11" s="33" t="n">
        <v>25</v>
      </c>
      <c r="F11" s="35" t="n">
        <v>82</v>
      </c>
      <c r="G11" s="33" t="n">
        <v>10</v>
      </c>
      <c r="H11" s="32" t="n"/>
      <c r="I11" s="32" t="inlineStr">
        <is>
          <t>Hay Day Wiki (Fandom) https://hayday.fandom.com/wiki/Dairy</t>
        </is>
      </c>
      <c r="J11" s="39">
        <f>IFERROR(INDEX(hayday_info!$D$2:$D$349,MATCH($A11,hayday_info!$A$2:$A$349,0)),"not found")</f>
        <v/>
      </c>
      <c r="K11" s="32">
        <f>IF(J11="not found","not in hayday.info",IF(J11=E11,"matches mastered",IF(J11=D11,"matches normal","differs")))</f>
        <v/>
      </c>
      <c r="L11" s="40">
        <f>IFERROR(INDEX(hayday_info!$E$2:$E$349,MATCH($A11,hayday_info!$A$2:$A$349,0)),"not found")</f>
        <v/>
      </c>
      <c r="M11" s="32">
        <f>IF(L11="not found","not in hayday.info",IF(F11="","no Fandom value",IF(L11=F11,"match","differs")))</f>
        <v/>
      </c>
      <c r="N11" s="32">
        <f>IFERROR(INDEX(hayday_info!$F$2:$F$349,MATCH($A11,hayday_info!$A$2:$A$349,0)),"not found")</f>
        <v/>
      </c>
      <c r="O11" s="32">
        <f>IF(N11="not found","not in hayday.info",IF(G11="","no Fandom value",IF(N11=G11,"match","differs")))</f>
        <v/>
      </c>
      <c r="P11" s="32">
        <f>IF(J11="not found","not in hayday.info",IF(C11="","no Fandom value",IF(IFERROR(INDEX(hayday_info!$C$2:$C$349,MATCH($A11,hayday_info!$A$2:$A$349,0)),"not found")=C11,"match","differs")))</f>
        <v/>
      </c>
    </row>
    <row r="12" ht="15" customHeight="1" s="29">
      <c r="A12" s="32" t="inlineStr">
        <is>
          <t>Cheese</t>
        </is>
      </c>
      <c r="B12" s="32" t="inlineStr">
        <is>
          <t>Dairy</t>
        </is>
      </c>
      <c r="C12" s="33" t="n">
        <v>12</v>
      </c>
      <c r="D12" s="33" t="n">
        <v>60</v>
      </c>
      <c r="E12" s="33" t="n">
        <v>51</v>
      </c>
      <c r="F12" s="35" t="n">
        <v>122</v>
      </c>
      <c r="G12" s="33" t="n">
        <v>15</v>
      </c>
      <c r="H12" s="32" t="n"/>
      <c r="I12" s="32" t="inlineStr">
        <is>
          <t>Hay Day Wiki (Fandom) https://hayday.fandom.com/wiki/Dairy</t>
        </is>
      </c>
      <c r="J12" s="39">
        <f>IFERROR(INDEX(hayday_info!$D$2:$D$349,MATCH($A12,hayday_info!$A$2:$A$349,0)),"not found")</f>
        <v/>
      </c>
      <c r="K12" s="32">
        <f>IF(J12="not found","not in hayday.info",IF(J12=E12,"matches mastered",IF(J12=D12,"matches normal","differs")))</f>
        <v/>
      </c>
      <c r="L12" s="40">
        <f>IFERROR(INDEX(hayday_info!$E$2:$E$349,MATCH($A12,hayday_info!$A$2:$A$349,0)),"not found")</f>
        <v/>
      </c>
      <c r="M12" s="32">
        <f>IF(L12="not found","not in hayday.info",IF(F12="","no Fandom value",IF(L12=F12,"match","differs")))</f>
        <v/>
      </c>
      <c r="N12" s="32">
        <f>IFERROR(INDEX(hayday_info!$F$2:$F$349,MATCH($A12,hayday_info!$A$2:$A$349,0)),"not found")</f>
        <v/>
      </c>
      <c r="O12" s="32">
        <f>IF(N12="not found","not in hayday.info",IF(G12="","no Fandom value",IF(N12=G12,"match","differs")))</f>
        <v/>
      </c>
      <c r="P12" s="32">
        <f>IF(J12="not found","not in hayday.info",IF(C12="","no Fandom value",IF(IFERROR(INDEX(hayday_info!$C$2:$C$349,MATCH($A12,hayday_info!$A$2:$A$349,0)),"not found")=C12,"match","differs")))</f>
        <v/>
      </c>
    </row>
    <row r="13" ht="15" customHeight="1" s="29">
      <c r="A13" s="32" t="inlineStr">
        <is>
          <t>Goat Cheese</t>
        </is>
      </c>
      <c r="B13" s="32" t="inlineStr">
        <is>
          <t>Dairy</t>
        </is>
      </c>
      <c r="C13" s="33" t="n">
        <v>33</v>
      </c>
      <c r="D13" s="33" t="n">
        <v>90</v>
      </c>
      <c r="E13" s="33" t="n">
        <v>76</v>
      </c>
      <c r="F13" s="35" t="n">
        <v>162</v>
      </c>
      <c r="G13" s="33" t="n">
        <v>19</v>
      </c>
      <c r="H13" s="32" t="n"/>
      <c r="I13" s="32" t="inlineStr">
        <is>
          <t>Hay Day Wiki (Fandom) https://hayday.fandom.com/wiki/Dairy</t>
        </is>
      </c>
      <c r="J13" s="39">
        <f>IFERROR(INDEX(hayday_info!$D$2:$D$349,MATCH($A13,hayday_info!$A$2:$A$349,0)),"not found")</f>
        <v/>
      </c>
      <c r="K13" s="32">
        <f>IF(J13="not found","not in hayday.info",IF(J13=E13,"matches mastered",IF(J13=D13,"matches normal","differs")))</f>
        <v/>
      </c>
      <c r="L13" s="40">
        <f>IFERROR(INDEX(hayday_info!$E$2:$E$349,MATCH($A13,hayday_info!$A$2:$A$349,0)),"not found")</f>
        <v/>
      </c>
      <c r="M13" s="32">
        <f>IF(L13="not found","not in hayday.info",IF(F13="","no Fandom value",IF(L13=F13,"match","differs")))</f>
        <v/>
      </c>
      <c r="N13" s="32">
        <f>IFERROR(INDEX(hayday_info!$F$2:$F$349,MATCH($A13,hayday_info!$A$2:$A$349,0)),"not found")</f>
        <v/>
      </c>
      <c r="O13" s="32">
        <f>IF(N13="not found","not in hayday.info",IF(G13="","no Fandom value",IF(N13=G13,"match","differs")))</f>
        <v/>
      </c>
      <c r="P13" s="32">
        <f>IF(J13="not found","not in hayday.info",IF(C13="","no Fandom value",IF(IFERROR(INDEX(hayday_info!$C$2:$C$349,MATCH($A13,hayday_info!$A$2:$A$349,0)),"not found")=C13,"match","differs")))</f>
        <v/>
      </c>
    </row>
    <row r="14" ht="15" customHeight="1" s="29">
      <c r="A14" s="32" t="inlineStr">
        <is>
          <t>Carrot pie</t>
        </is>
      </c>
      <c r="B14" s="32" t="inlineStr">
        <is>
          <t>Pie Oven</t>
        </is>
      </c>
      <c r="C14" s="33" t="n">
        <v>14</v>
      </c>
      <c r="D14" s="33" t="n">
        <v>60</v>
      </c>
      <c r="E14" s="33" t="n">
        <v>51</v>
      </c>
      <c r="F14" s="35" t="n">
        <v>82</v>
      </c>
      <c r="G14" s="33" t="n">
        <v>10</v>
      </c>
      <c r="H14" s="32" t="n"/>
      <c r="I14" s="32" t="inlineStr">
        <is>
          <t>Hay Day Wiki (Fandom) https://hayday.fandom.com/wiki/Pie_Oven</t>
        </is>
      </c>
      <c r="J14" s="39">
        <f>IFERROR(INDEX(hayday_info!$D$2:$D$349,MATCH($A14,hayday_info!$A$2:$A$349,0)),"not found")</f>
        <v/>
      </c>
      <c r="K14" s="32">
        <f>IF(J14="not found","not in hayday.info",IF(J14=E14,"matches mastered",IF(J14=D14,"matches normal","differs")))</f>
        <v/>
      </c>
      <c r="L14" s="40">
        <f>IFERROR(INDEX(hayday_info!$E$2:$E$349,MATCH($A14,hayday_info!$A$2:$A$349,0)),"not found")</f>
        <v/>
      </c>
      <c r="M14" s="32">
        <f>IF(L14="not found","not in hayday.info",IF(F14="","no Fandom value",IF(L14=F14,"match","differs")))</f>
        <v/>
      </c>
      <c r="N14" s="32">
        <f>IFERROR(INDEX(hayday_info!$F$2:$F$349,MATCH($A14,hayday_info!$A$2:$A$349,0)),"not found")</f>
        <v/>
      </c>
      <c r="O14" s="32">
        <f>IF(N14="not found","not in hayday.info",IF(G14="","no Fandom value",IF(N14=G14,"match","differs")))</f>
        <v/>
      </c>
      <c r="P14" s="32">
        <f>IF(J14="not found","not in hayday.info",IF(C14="","no Fandom value",IF(IFERROR(INDEX(hayday_info!$C$2:$C$349,MATCH($A14,hayday_info!$A$2:$A$349,0)),"not found")=C14,"match","differs")))</f>
        <v/>
      </c>
    </row>
    <row r="15" ht="15" customHeight="1" s="29">
      <c r="A15" s="32" t="inlineStr">
        <is>
          <t>Pumpkin pie</t>
        </is>
      </c>
      <c r="B15" s="32" t="inlineStr">
        <is>
          <t>Pie Oven</t>
        </is>
      </c>
      <c r="C15" s="33" t="n">
        <v>15</v>
      </c>
      <c r="D15" s="33" t="n">
        <v>120</v>
      </c>
      <c r="E15" s="33" t="n">
        <v>102</v>
      </c>
      <c r="F15" s="35" t="n">
        <v>158</v>
      </c>
      <c r="G15" s="33" t="n">
        <v>19</v>
      </c>
      <c r="H15" s="32" t="n"/>
      <c r="I15" s="32" t="inlineStr">
        <is>
          <t>Hay Day Wiki (Fandom) https://hayday.fandom.com/wiki/Pie_Oven</t>
        </is>
      </c>
      <c r="J15" s="39">
        <f>IFERROR(INDEX(hayday_info!$D$2:$D$349,MATCH($A15,hayday_info!$A$2:$A$349,0)),"not found")</f>
        <v/>
      </c>
      <c r="K15" s="32">
        <f>IF(J15="not found","not in hayday.info",IF(J15=E15,"matches mastered",IF(J15=D15,"matches normal","differs")))</f>
        <v/>
      </c>
      <c r="L15" s="40">
        <f>IFERROR(INDEX(hayday_info!$E$2:$E$349,MATCH($A15,hayday_info!$A$2:$A$349,0)),"not found")</f>
        <v/>
      </c>
      <c r="M15" s="32">
        <f>IF(L15="not found","not in hayday.info",IF(F15="","no Fandom value",IF(L15=F15,"match","differs")))</f>
        <v/>
      </c>
      <c r="N15" s="32">
        <f>IFERROR(INDEX(hayday_info!$F$2:$F$349,MATCH($A15,hayday_info!$A$2:$A$349,0)),"not found")</f>
        <v/>
      </c>
      <c r="O15" s="32">
        <f>IF(N15="not found","not in hayday.info",IF(G15="","no Fandom value",IF(N15=G15,"match","differs")))</f>
        <v/>
      </c>
      <c r="P15" s="32">
        <f>IF(J15="not found","not in hayday.info",IF(C15="","no Fandom value",IF(IFERROR(INDEX(hayday_info!$C$2:$C$349,MATCH($A15,hayday_info!$A$2:$A$349,0)),"not found")=C15,"match","differs")))</f>
        <v/>
      </c>
    </row>
    <row r="16" ht="15" customHeight="1" s="29">
      <c r="A16" s="32" t="inlineStr">
        <is>
          <t>Bacon pie</t>
        </is>
      </c>
      <c r="B16" s="32" t="inlineStr">
        <is>
          <t>Pie Oven</t>
        </is>
      </c>
      <c r="C16" s="33" t="n">
        <v>18</v>
      </c>
      <c r="D16" s="33" t="n">
        <v>180</v>
      </c>
      <c r="E16" s="33" t="n">
        <v>153</v>
      </c>
      <c r="F16" s="35" t="n">
        <v>219</v>
      </c>
      <c r="G16" s="33" t="n">
        <v>26</v>
      </c>
      <c r="H16" s="32" t="n"/>
      <c r="I16" s="32" t="inlineStr">
        <is>
          <t>Hay Day Wiki (Fandom) https://hayday.fandom.com/wiki/Pie_Oven</t>
        </is>
      </c>
      <c r="J16" s="39">
        <f>IFERROR(INDEX(hayday_info!$D$2:$D$349,MATCH($A16,hayday_info!$A$2:$A$349,0)),"not found")</f>
        <v/>
      </c>
      <c r="K16" s="32">
        <f>IF(J16="not found","not in hayday.info",IF(J16=E16,"matches mastered",IF(J16=D16,"matches normal","differs")))</f>
        <v/>
      </c>
      <c r="L16" s="40">
        <f>IFERROR(INDEX(hayday_info!$E$2:$E$349,MATCH($A16,hayday_info!$A$2:$A$349,0)),"not found")</f>
        <v/>
      </c>
      <c r="M16" s="32">
        <f>IF(L16="not found","not in hayday.info",IF(F16="","no Fandom value",IF(L16=F16,"match","differs")))</f>
        <v/>
      </c>
      <c r="N16" s="32">
        <f>IFERROR(INDEX(hayday_info!$F$2:$F$349,MATCH($A16,hayday_info!$A$2:$A$349,0)),"not found")</f>
        <v/>
      </c>
      <c r="O16" s="32">
        <f>IF(N16="not found","not in hayday.info",IF(G16="","no Fandom value",IF(N16=G16,"match","differs")))</f>
        <v/>
      </c>
      <c r="P16" s="32">
        <f>IF(J16="not found","not in hayday.info",IF(C16="","no Fandom value",IF(IFERROR(INDEX(hayday_info!$C$2:$C$349,MATCH($A16,hayday_info!$A$2:$A$349,0)),"not found")=C16,"match","differs")))</f>
        <v/>
      </c>
    </row>
    <row r="17" ht="15" customHeight="1" s="29">
      <c r="A17" s="32" t="inlineStr">
        <is>
          <t>Apple pie</t>
        </is>
      </c>
      <c r="B17" s="32" t="inlineStr">
        <is>
          <t>Pie Oven</t>
        </is>
      </c>
      <c r="C17" s="33" t="n">
        <v>28</v>
      </c>
      <c r="D17" s="33" t="n">
        <v>150</v>
      </c>
      <c r="E17" s="33" t="n">
        <v>127</v>
      </c>
      <c r="F17" s="35" t="n">
        <v>270</v>
      </c>
      <c r="G17" s="33" t="n">
        <v>32</v>
      </c>
      <c r="H17" s="32" t="n"/>
      <c r="I17" s="32" t="inlineStr">
        <is>
          <t>Hay Day Wiki (Fandom) https://hayday.fandom.com/wiki/Pie_Oven</t>
        </is>
      </c>
      <c r="J17" s="39">
        <f>IFERROR(INDEX(hayday_info!$D$2:$D$349,MATCH($A17,hayday_info!$A$2:$A$349,0)),"not found")</f>
        <v/>
      </c>
      <c r="K17" s="32">
        <f>IF(J17="not found","not in hayday.info",IF(J17=E17,"matches mastered",IF(J17=D17,"matches normal","differs")))</f>
        <v/>
      </c>
      <c r="L17" s="40">
        <f>IFERROR(INDEX(hayday_info!$E$2:$E$349,MATCH($A17,hayday_info!$A$2:$A$349,0)),"not found")</f>
        <v/>
      </c>
      <c r="M17" s="32">
        <f>IF(L17="not found","not in hayday.info",IF(F17="","no Fandom value",IF(L17=F17,"match","differs")))</f>
        <v/>
      </c>
      <c r="N17" s="32">
        <f>IFERROR(INDEX(hayday_info!$F$2:$F$349,MATCH($A17,hayday_info!$A$2:$A$349,0)),"not found")</f>
        <v/>
      </c>
      <c r="O17" s="32">
        <f>IF(N17="not found","not in hayday.info",IF(G17="","no Fandom value",IF(N17=G17,"match","differs")))</f>
        <v/>
      </c>
      <c r="P17" s="32">
        <f>IF(J17="not found","not in hayday.info",IF(C17="","no Fandom value",IF(IFERROR(INDEX(hayday_info!$C$2:$C$349,MATCH($A17,hayday_info!$A$2:$A$349,0)),"not found")=C17,"match","differs")))</f>
        <v/>
      </c>
    </row>
    <row r="18" ht="15" customHeight="1" s="29">
      <c r="A18" s="32" t="inlineStr">
        <is>
          <t>Fish pie</t>
        </is>
      </c>
      <c r="B18" s="32" t="inlineStr">
        <is>
          <t>Pie Oven</t>
        </is>
      </c>
      <c r="C18" s="33" t="n">
        <v>28</v>
      </c>
      <c r="D18" s="33" t="n">
        <v>120</v>
      </c>
      <c r="E18" s="33" t="n">
        <v>102</v>
      </c>
      <c r="F18" s="35" t="n">
        <v>226</v>
      </c>
      <c r="G18" s="33" t="n">
        <v>27</v>
      </c>
      <c r="H18" s="32" t="n"/>
      <c r="I18" s="32" t="inlineStr">
        <is>
          <t>Hay Day Wiki (Fandom) https://hayday.fandom.com/wiki/Pie_Oven</t>
        </is>
      </c>
      <c r="J18" s="39">
        <f>IFERROR(INDEX(hayday_info!$D$2:$D$349,MATCH($A18,hayday_info!$A$2:$A$349,0)),"not found")</f>
        <v/>
      </c>
      <c r="K18" s="32">
        <f>IF(J18="not found","not in hayday.info",IF(J18=E18,"matches mastered",IF(J18=D18,"matches normal","differs")))</f>
        <v/>
      </c>
      <c r="L18" s="40">
        <f>IFERROR(INDEX(hayday_info!$E$2:$E$349,MATCH($A18,hayday_info!$A$2:$A$349,0)),"not found")</f>
        <v/>
      </c>
      <c r="M18" s="32">
        <f>IF(L18="not found","not in hayday.info",IF(F18="","no Fandom value",IF(L18=F18,"match","differs")))</f>
        <v/>
      </c>
      <c r="N18" s="32">
        <f>IFERROR(INDEX(hayday_info!$F$2:$F$349,MATCH($A18,hayday_info!$A$2:$A$349,0)),"not found")</f>
        <v/>
      </c>
      <c r="O18" s="32">
        <f>IF(N18="not found","not in hayday.info",IF(G18="","no Fandom value",IF(N18=G18,"match","differs")))</f>
        <v/>
      </c>
      <c r="P18" s="32">
        <f>IF(J18="not found","not in hayday.info",IF(C18="","no Fandom value",IF(IFERROR(INDEX(hayday_info!$C$2:$C$349,MATCH($A18,hayday_info!$A$2:$A$349,0)),"not found")=C18,"match","differs")))</f>
        <v/>
      </c>
    </row>
    <row r="19" ht="15" customHeight="1" s="29">
      <c r="A19" s="32" t="inlineStr">
        <is>
          <t>Feta pie</t>
        </is>
      </c>
      <c r="B19" s="32" t="inlineStr">
        <is>
          <t>Pie Oven</t>
        </is>
      </c>
      <c r="C19" s="33" t="n">
        <v>34</v>
      </c>
      <c r="D19" s="33" t="n">
        <v>90</v>
      </c>
      <c r="E19" s="33" t="n">
        <v>76</v>
      </c>
      <c r="F19" s="35" t="n">
        <v>223</v>
      </c>
      <c r="G19" s="33" t="n">
        <v>26</v>
      </c>
      <c r="H19" s="32" t="n"/>
      <c r="I19" s="32" t="inlineStr">
        <is>
          <t>Hay Day Wiki (Fandom) https://hayday.fandom.com/wiki/Pie_Oven</t>
        </is>
      </c>
      <c r="J19" s="39">
        <f>IFERROR(INDEX(hayday_info!$D$2:$D$349,MATCH($A19,hayday_info!$A$2:$A$349,0)),"not found")</f>
        <v/>
      </c>
      <c r="K19" s="32">
        <f>IF(J19="not found","not in hayday.info",IF(J19=E19,"matches mastered",IF(J19=D19,"matches normal","differs")))</f>
        <v/>
      </c>
      <c r="L19" s="40">
        <f>IFERROR(INDEX(hayday_info!$E$2:$E$349,MATCH($A19,hayday_info!$A$2:$A$349,0)),"not found")</f>
        <v/>
      </c>
      <c r="M19" s="32">
        <f>IF(L19="not found","not in hayday.info",IF(F19="","no Fandom value",IF(L19=F19,"match","differs")))</f>
        <v/>
      </c>
      <c r="N19" s="32">
        <f>IFERROR(INDEX(hayday_info!$F$2:$F$349,MATCH($A19,hayday_info!$A$2:$A$349,0)),"not found")</f>
        <v/>
      </c>
      <c r="O19" s="32">
        <f>IF(N19="not found","not in hayday.info",IF(G19="","no Fandom value",IF(N19=G19,"match","differs")))</f>
        <v/>
      </c>
      <c r="P19" s="32">
        <f>IF(J19="not found","not in hayday.info",IF(C19="","no Fandom value",IF(IFERROR(INDEX(hayday_info!$C$2:$C$349,MATCH($A19,hayday_info!$A$2:$A$349,0)),"not found")=C19,"match","differs")))</f>
        <v/>
      </c>
    </row>
    <row r="20" ht="15" customHeight="1" s="29">
      <c r="A20" s="32" t="inlineStr">
        <is>
          <t>Casserole</t>
        </is>
      </c>
      <c r="B20" s="32" t="inlineStr">
        <is>
          <t>Pie Oven</t>
        </is>
      </c>
      <c r="C20" s="33" t="n">
        <v>36</v>
      </c>
      <c r="D20" s="33" t="n">
        <v>120</v>
      </c>
      <c r="E20" s="33" t="n">
        <v>102</v>
      </c>
      <c r="F20" s="35" t="n">
        <v>367</v>
      </c>
      <c r="G20" s="33" t="n">
        <v>44</v>
      </c>
      <c r="H20" s="32" t="n"/>
      <c r="I20" s="32" t="inlineStr">
        <is>
          <t>Hay Day Wiki (Fandom) https://hayday.fandom.com/wiki/Pie_Oven</t>
        </is>
      </c>
      <c r="J20" s="39">
        <f>IFERROR(INDEX(hayday_info!$D$2:$D$349,MATCH($A20,hayday_info!$A$2:$A$349,0)),"not found")</f>
        <v/>
      </c>
      <c r="K20" s="32">
        <f>IF(J20="not found","not in hayday.info",IF(J20=E20,"matches mastered",IF(J20=D20,"matches normal","differs")))</f>
        <v/>
      </c>
      <c r="L20" s="40">
        <f>IFERROR(INDEX(hayday_info!$E$2:$E$349,MATCH($A20,hayday_info!$A$2:$A$349,0)),"not found")</f>
        <v/>
      </c>
      <c r="M20" s="32">
        <f>IF(L20="not found","not in hayday.info",IF(F20="","no Fandom value",IF(L20=F20,"match","differs")))</f>
        <v/>
      </c>
      <c r="N20" s="32">
        <f>IFERROR(INDEX(hayday_info!$F$2:$F$349,MATCH($A20,hayday_info!$A$2:$A$349,0)),"not found")</f>
        <v/>
      </c>
      <c r="O20" s="32">
        <f>IF(N20="not found","not in hayday.info",IF(G20="","no Fandom value",IF(N20=G20,"match","differs")))</f>
        <v/>
      </c>
      <c r="P20" s="32">
        <f>IF(J20="not found","not in hayday.info",IF(C20="","no Fandom value",IF(IFERROR(INDEX(hayday_info!$C$2:$C$349,MATCH($A20,hayday_info!$A$2:$A$349,0)),"not found")=C20,"match","differs")))</f>
        <v/>
      </c>
    </row>
    <row r="21" ht="15" customHeight="1" s="29">
      <c r="A21" s="32" t="inlineStr">
        <is>
          <t>Shepherd's pie</t>
        </is>
      </c>
      <c r="B21" s="32" t="inlineStr">
        <is>
          <t>Pie Oven</t>
        </is>
      </c>
      <c r="C21" s="33" t="n">
        <v>39</v>
      </c>
      <c r="D21" s="33" t="n">
        <v>100</v>
      </c>
      <c r="E21" s="33" t="n">
        <v>85</v>
      </c>
      <c r="F21" s="35" t="n">
        <v>280</v>
      </c>
      <c r="G21" s="33" t="n">
        <v>34</v>
      </c>
      <c r="H21" s="32" t="n"/>
      <c r="I21" s="32" t="inlineStr">
        <is>
          <t>Hay Day Wiki (Fandom) https://hayday.fandom.com/wiki/Pie_Oven</t>
        </is>
      </c>
      <c r="J21" s="39">
        <f>IFERROR(INDEX(hayday_info!$D$2:$D$349,MATCH($A21,hayday_info!$A$2:$A$349,0)),"not found")</f>
        <v/>
      </c>
      <c r="K21" s="32">
        <f>IF(J21="not found","not in hayday.info",IF(J21=E21,"matches mastered",IF(J21=D21,"matches normal","differs")))</f>
        <v/>
      </c>
      <c r="L21" s="40">
        <f>IFERROR(INDEX(hayday_info!$E$2:$E$349,MATCH($A21,hayday_info!$A$2:$A$349,0)),"not found")</f>
        <v/>
      </c>
      <c r="M21" s="32">
        <f>IF(L21="not found","not in hayday.info",IF(F21="","no Fandom value",IF(L21=F21,"match","differs")))</f>
        <v/>
      </c>
      <c r="N21" s="32">
        <f>IFERROR(INDEX(hayday_info!$F$2:$F$349,MATCH($A21,hayday_info!$A$2:$A$349,0)),"not found")</f>
        <v/>
      </c>
      <c r="O21" s="32">
        <f>IF(N21="not found","not in hayday.info",IF(G21="","no Fandom value",IF(N21=G21,"match","differs")))</f>
        <v/>
      </c>
      <c r="P21" s="32">
        <f>IF(J21="not found","not in hayday.info",IF(C21="","no Fandom value",IF(IFERROR(INDEX(hayday_info!$C$2:$C$349,MATCH($A21,hayday_info!$A$2:$A$349,0)),"not found")=C21,"match","differs")))</f>
        <v/>
      </c>
    </row>
    <row r="22" ht="15" customHeight="1" s="29">
      <c r="A22" s="32" t="inlineStr">
        <is>
          <t>Lemon pie</t>
        </is>
      </c>
      <c r="B22" s="32" t="inlineStr">
        <is>
          <t>Pie Oven</t>
        </is>
      </c>
      <c r="C22" s="33" t="n">
        <v>67</v>
      </c>
      <c r="D22" s="33" t="n">
        <v>135</v>
      </c>
      <c r="E22" s="33" t="n">
        <v>114</v>
      </c>
      <c r="F22" s="35" t="n">
        <v>446</v>
      </c>
      <c r="G22" s="33" t="n">
        <v>53</v>
      </c>
      <c r="H22" s="32" t="n"/>
      <c r="I22" s="32" t="inlineStr">
        <is>
          <t>Hay Day Wiki (Fandom) https://hayday.fandom.com/wiki/Pie_Oven</t>
        </is>
      </c>
      <c r="J22" s="39">
        <f>IFERROR(INDEX(hayday_info!$D$2:$D$349,MATCH($A22,hayday_info!$A$2:$A$349,0)),"not found")</f>
        <v/>
      </c>
      <c r="K22" s="32">
        <f>IF(J22="not found","not in hayday.info",IF(J22=E22,"matches mastered",IF(J22=D22,"matches normal","differs")))</f>
        <v/>
      </c>
      <c r="L22" s="40">
        <f>IFERROR(INDEX(hayday_info!$E$2:$E$349,MATCH($A22,hayday_info!$A$2:$A$349,0)),"not found")</f>
        <v/>
      </c>
      <c r="M22" s="32">
        <f>IF(L22="not found","not in hayday.info",IF(F22="","no Fandom value",IF(L22=F22,"match","differs")))</f>
        <v/>
      </c>
      <c r="N22" s="32">
        <f>IFERROR(INDEX(hayday_info!$F$2:$F$349,MATCH($A22,hayday_info!$A$2:$A$349,0)),"not found")</f>
        <v/>
      </c>
      <c r="O22" s="32">
        <f>IF(N22="not found","not in hayday.info",IF(G22="","no Fandom value",IF(N22=G22,"match","differs")))</f>
        <v/>
      </c>
      <c r="P22" s="32">
        <f>IF(J22="not found","not in hayday.info",IF(C22="","no Fandom value",IF(IFERROR(INDEX(hayday_info!$C$2:$C$349,MATCH($A22,hayday_info!$A$2:$A$349,0)),"not found")=C22,"match","differs")))</f>
        <v/>
      </c>
    </row>
    <row r="23" ht="15" customHeight="1" s="29">
      <c r="A23" s="32" t="inlineStr">
        <is>
          <t>Peach tart</t>
        </is>
      </c>
      <c r="B23" s="32" t="inlineStr">
        <is>
          <t>Pie Oven</t>
        </is>
      </c>
      <c r="C23" s="33" t="n">
        <v>76</v>
      </c>
      <c r="D23" s="33" t="n">
        <v>150</v>
      </c>
      <c r="E23" s="33" t="n">
        <v>127</v>
      </c>
      <c r="F23" s="35" t="n">
        <v>435</v>
      </c>
      <c r="G23" s="33" t="n">
        <v>52</v>
      </c>
      <c r="H23" s="32" t="n"/>
      <c r="I23" s="32" t="inlineStr">
        <is>
          <t>Hay Day Wiki (Fandom) https://hayday.fandom.com/wiki/Pie_Oven</t>
        </is>
      </c>
      <c r="J23" s="39">
        <f>IFERROR(INDEX(hayday_info!$D$2:$D$349,MATCH($A23,hayday_info!$A$2:$A$349,0)),"not found")</f>
        <v/>
      </c>
      <c r="K23" s="32">
        <f>IF(J23="not found","not in hayday.info",IF(J23=E23,"matches mastered",IF(J23=D23,"matches normal","differs")))</f>
        <v/>
      </c>
      <c r="L23" s="40">
        <f>IFERROR(INDEX(hayday_info!$E$2:$E$349,MATCH($A23,hayday_info!$A$2:$A$349,0)),"not found")</f>
        <v/>
      </c>
      <c r="M23" s="32">
        <f>IF(L23="not found","not in hayday.info",IF(F23="","no Fandom value",IF(L23=F23,"match","differs")))</f>
        <v/>
      </c>
      <c r="N23" s="32">
        <f>IFERROR(INDEX(hayday_info!$F$2:$F$349,MATCH($A23,hayday_info!$A$2:$A$349,0)),"not found")</f>
        <v/>
      </c>
      <c r="O23" s="32">
        <f>IF(N23="not found","not in hayday.info",IF(G23="","no Fandom value",IF(N23=G23,"match","differs")))</f>
        <v/>
      </c>
      <c r="P23" s="32">
        <f>IF(J23="not found","not in hayday.info",IF(C23="","no Fandom value",IF(IFERROR(INDEX(hayday_info!$C$2:$C$349,MATCH($A23,hayday_info!$A$2:$A$349,0)),"not found")=C23,"match","differs")))</f>
        <v/>
      </c>
    </row>
    <row r="24" ht="15" customHeight="1" s="29">
      <c r="A24" s="32" t="inlineStr">
        <is>
          <t>Eggplant parmesan</t>
        </is>
      </c>
      <c r="B24" s="32" t="inlineStr">
        <is>
          <t>Pie Oven</t>
        </is>
      </c>
      <c r="C24" s="33" t="n">
        <v>99</v>
      </c>
      <c r="D24" s="33" t="n">
        <v>45</v>
      </c>
      <c r="E24" s="33" t="n">
        <v>38</v>
      </c>
      <c r="F24" s="35" t="n">
        <v>442</v>
      </c>
      <c r="G24" s="33" t="n">
        <v>53</v>
      </c>
      <c r="H24" s="32" t="n"/>
      <c r="I24" s="32" t="inlineStr">
        <is>
          <t>Hay Day Wiki (Fandom) https://hayday.fandom.com/wiki/Pie_Oven</t>
        </is>
      </c>
      <c r="J24" s="39">
        <f>IFERROR(INDEX(hayday_info!$D$2:$D$349,MATCH($A24,hayday_info!$A$2:$A$349,0)),"not found")</f>
        <v/>
      </c>
      <c r="K24" s="32">
        <f>IF(J24="not found","not in hayday.info",IF(J24=E24,"matches mastered",IF(J24=D24,"matches normal","differs")))</f>
        <v/>
      </c>
      <c r="L24" s="40">
        <f>IFERROR(INDEX(hayday_info!$E$2:$E$349,MATCH($A24,hayday_info!$A$2:$A$349,0)),"not found")</f>
        <v/>
      </c>
      <c r="M24" s="32">
        <f>IF(L24="not found","not in hayday.info",IF(F24="","no Fandom value",IF(L24=F24,"match","differs")))</f>
        <v/>
      </c>
      <c r="N24" s="32">
        <f>IFERROR(INDEX(hayday_info!$F$2:$F$349,MATCH($A24,hayday_info!$A$2:$A$349,0)),"not found")</f>
        <v/>
      </c>
      <c r="O24" s="32">
        <f>IF(N24="not found","not in hayday.info",IF(G24="","no Fandom value",IF(N24=G24,"match","differs")))</f>
        <v/>
      </c>
      <c r="P24" s="32">
        <f>IF(J24="not found","not in hayday.info",IF(C24="","no Fandom value",IF(IFERROR(INDEX(hayday_info!$C$2:$C$349,MATCH($A24,hayday_info!$A$2:$A$349,0)),"not found")=C24,"match","differs")))</f>
        <v/>
      </c>
    </row>
    <row r="25" ht="15" customHeight="1" s="29">
      <c r="A25" s="32" t="inlineStr">
        <is>
          <t>Carrot cake</t>
        </is>
      </c>
      <c r="B25" s="32" t="inlineStr">
        <is>
          <t>Cake Oven</t>
        </is>
      </c>
      <c r="C25" s="33" t="n">
        <v>21</v>
      </c>
      <c r="D25" s="33" t="n">
        <v>90</v>
      </c>
      <c r="E25" s="33" t="n">
        <v>76</v>
      </c>
      <c r="F25" s="35" t="n">
        <v>165</v>
      </c>
      <c r="G25" s="33" t="n">
        <v>20</v>
      </c>
      <c r="H25" s="32" t="n"/>
      <c r="I25" s="32" t="inlineStr">
        <is>
          <t>Hay Day Wiki (Fandom) https://hayday.fandom.com/wiki/Cake_Oven</t>
        </is>
      </c>
      <c r="J25" s="39">
        <f>IFERROR(INDEX(hayday_info!$D$2:$D$349,MATCH($A25,hayday_info!$A$2:$A$349,0)),"not found")</f>
        <v/>
      </c>
      <c r="K25" s="32">
        <f>IF(J25="not found","not in hayday.info",IF(J25=E25,"matches mastered",IF(J25=D25,"matches normal","differs")))</f>
        <v/>
      </c>
      <c r="L25" s="40">
        <f>IFERROR(INDEX(hayday_info!$E$2:$E$349,MATCH($A25,hayday_info!$A$2:$A$349,0)),"not found")</f>
        <v/>
      </c>
      <c r="M25" s="32">
        <f>IF(L25="not found","not in hayday.info",IF(F25="","no Fandom value",IF(L25=F25,"match","differs")))</f>
        <v/>
      </c>
      <c r="N25" s="32">
        <f>IFERROR(INDEX(hayday_info!$F$2:$F$349,MATCH($A25,hayday_info!$A$2:$A$349,0)),"not found")</f>
        <v/>
      </c>
      <c r="O25" s="32">
        <f>IF(N25="not found","not in hayday.info",IF(G25="","no Fandom value",IF(N25=G25,"match","differs")))</f>
        <v/>
      </c>
      <c r="P25" s="32">
        <f>IF(J25="not found","not in hayday.info",IF(C25="","no Fandom value",IF(IFERROR(INDEX(hayday_info!$C$2:$C$349,MATCH($A25,hayday_info!$A$2:$A$349,0)),"not found")=C25,"match","differs")))</f>
        <v/>
      </c>
    </row>
    <row r="26" ht="15" customHeight="1" s="29">
      <c r="A26" s="32" t="inlineStr">
        <is>
          <t>Cream cake</t>
        </is>
      </c>
      <c r="B26" s="32" t="inlineStr">
        <is>
          <t>Cake Oven</t>
        </is>
      </c>
      <c r="C26" s="33" t="n">
        <v>23</v>
      </c>
      <c r="D26" s="33" t="n">
        <v>180</v>
      </c>
      <c r="E26" s="33" t="n">
        <v>153</v>
      </c>
      <c r="F26" s="35" t="n">
        <v>219</v>
      </c>
      <c r="G26" s="33" t="n">
        <v>26</v>
      </c>
      <c r="H26" s="32" t="n"/>
      <c r="I26" s="32" t="inlineStr">
        <is>
          <t>Hay Day Wiki (Fandom) https://hayday.fandom.com/wiki/Cake_Oven</t>
        </is>
      </c>
      <c r="J26" s="39">
        <f>IFERROR(INDEX(hayday_info!$D$2:$D$349,MATCH($A26,hayday_info!$A$2:$A$349,0)),"not found")</f>
        <v/>
      </c>
      <c r="K26" s="32">
        <f>IF(J26="not found","not in hayday.info",IF(J26=E26,"matches mastered",IF(J26=D26,"matches normal","differs")))</f>
        <v/>
      </c>
      <c r="L26" s="40">
        <f>IFERROR(INDEX(hayday_info!$E$2:$E$349,MATCH($A26,hayday_info!$A$2:$A$349,0)),"not found")</f>
        <v/>
      </c>
      <c r="M26" s="32">
        <f>IF(L26="not found","not in hayday.info",IF(F26="","no Fandom value",IF(L26=F26,"match","differs")))</f>
        <v/>
      </c>
      <c r="N26" s="32">
        <f>IFERROR(INDEX(hayday_info!$F$2:$F$349,MATCH($A26,hayday_info!$A$2:$A$349,0)),"not found")</f>
        <v/>
      </c>
      <c r="O26" s="32">
        <f>IF(N26="not found","not in hayday.info",IF(G26="","no Fandom value",IF(N26=G26,"match","differs")))</f>
        <v/>
      </c>
      <c r="P26" s="32">
        <f>IF(J26="not found","not in hayday.info",IF(C26="","no Fandom value",IF(IFERROR(INDEX(hayday_info!$C$2:$C$349,MATCH($A26,hayday_info!$A$2:$A$349,0)),"not found")=C26,"match","differs")))</f>
        <v/>
      </c>
    </row>
    <row r="27" ht="15" customHeight="1" s="29">
      <c r="A27" s="32" t="inlineStr">
        <is>
          <t>Red berry cake</t>
        </is>
      </c>
      <c r="B27" s="32" t="inlineStr">
        <is>
          <t>Cake Oven</t>
        </is>
      </c>
      <c r="C27" s="33" t="n">
        <v>23</v>
      </c>
      <c r="D27" s="33" t="n">
        <v>60</v>
      </c>
      <c r="E27" s="33" t="n">
        <v>51</v>
      </c>
      <c r="F27" s="35" t="n">
        <v>255</v>
      </c>
      <c r="G27" s="33" t="n">
        <v>31</v>
      </c>
      <c r="H27" s="32" t="n"/>
      <c r="I27" s="32" t="inlineStr">
        <is>
          <t>Hay Day Wiki (Fandom) https://hayday.fandom.com/wiki/Cake_Oven</t>
        </is>
      </c>
      <c r="J27" s="39">
        <f>IFERROR(INDEX(hayday_info!$D$2:$D$349,MATCH($A27,hayday_info!$A$2:$A$349,0)),"not found")</f>
        <v/>
      </c>
      <c r="K27" s="32">
        <f>IF(J27="not found","not in hayday.info",IF(J27=E27,"matches mastered",IF(J27=D27,"matches normal","differs")))</f>
        <v/>
      </c>
      <c r="L27" s="40">
        <f>IFERROR(INDEX(hayday_info!$E$2:$E$349,MATCH($A27,hayday_info!$A$2:$A$349,0)),"not found")</f>
        <v/>
      </c>
      <c r="M27" s="32">
        <f>IF(L27="not found","not in hayday.info",IF(F27="","no Fandom value",IF(L27=F27,"match","differs")))</f>
        <v/>
      </c>
      <c r="N27" s="32">
        <f>IFERROR(INDEX(hayday_info!$F$2:$F$349,MATCH($A27,hayday_info!$A$2:$A$349,0)),"not found")</f>
        <v/>
      </c>
      <c r="O27" s="32">
        <f>IF(N27="not found","not in hayday.info",IF(G27="","no Fandom value",IF(N27=G27,"match","differs")))</f>
        <v/>
      </c>
      <c r="P27" s="32">
        <f>IF(J27="not found","not in hayday.info",IF(C27="","no Fandom value",IF(IFERROR(INDEX(hayday_info!$C$2:$C$349,MATCH($A27,hayday_info!$A$2:$A$349,0)),"not found")=C27,"match","differs")))</f>
        <v/>
      </c>
    </row>
    <row r="28" ht="15" customHeight="1" s="29">
      <c r="A28" s="32" t="inlineStr">
        <is>
          <t>Cheesecake</t>
        </is>
      </c>
      <c r="B28" s="32" t="inlineStr">
        <is>
          <t>Cake Oven</t>
        </is>
      </c>
      <c r="C28" s="33" t="n">
        <v>24</v>
      </c>
      <c r="D28" s="33" t="n">
        <v>240</v>
      </c>
      <c r="E28" s="33" t="n">
        <v>204</v>
      </c>
      <c r="F28" s="35" t="n">
        <v>284</v>
      </c>
      <c r="G28" s="33" t="n">
        <v>34</v>
      </c>
      <c r="H28" s="32" t="n"/>
      <c r="I28" s="32" t="inlineStr">
        <is>
          <t>Hay Day Wiki (Fandom) https://hayday.fandom.com/wiki/Cake_Oven</t>
        </is>
      </c>
      <c r="J28" s="39">
        <f>IFERROR(INDEX(hayday_info!$D$2:$D$349,MATCH($A28,hayday_info!$A$2:$A$349,0)),"not found")</f>
        <v/>
      </c>
      <c r="K28" s="32">
        <f>IF(J28="not found","not in hayday.info",IF(J28=E28,"matches mastered",IF(J28=D28,"matches normal","differs")))</f>
        <v/>
      </c>
      <c r="L28" s="40">
        <f>IFERROR(INDEX(hayday_info!$E$2:$E$349,MATCH($A28,hayday_info!$A$2:$A$349,0)),"not found")</f>
        <v/>
      </c>
      <c r="M28" s="32">
        <f>IF(L28="not found","not in hayday.info",IF(F28="","no Fandom value",IF(L28=F28,"match","differs")))</f>
        <v/>
      </c>
      <c r="N28" s="32">
        <f>IFERROR(INDEX(hayday_info!$F$2:$F$349,MATCH($A28,hayday_info!$A$2:$A$349,0)),"not found")</f>
        <v/>
      </c>
      <c r="O28" s="32">
        <f>IF(N28="not found","not in hayday.info",IF(G28="","no Fandom value",IF(N28=G28,"match","differs")))</f>
        <v/>
      </c>
      <c r="P28" s="32">
        <f>IF(J28="not found","not in hayday.info",IF(C28="","no Fandom value",IF(IFERROR(INDEX(hayday_info!$C$2:$C$349,MATCH($A28,hayday_info!$A$2:$A$349,0)),"not found")=C28,"match","differs")))</f>
        <v/>
      </c>
    </row>
    <row r="29" ht="15" customHeight="1" s="29">
      <c r="A29" s="32" t="inlineStr">
        <is>
          <t>Strawberry cake</t>
        </is>
      </c>
      <c r="B29" s="32" t="inlineStr">
        <is>
          <t>Cake Oven</t>
        </is>
      </c>
      <c r="C29" s="33" t="n">
        <v>35</v>
      </c>
      <c r="D29" s="33" t="n">
        <v>180</v>
      </c>
      <c r="E29" s="33" t="n">
        <v>153</v>
      </c>
      <c r="F29" s="35" t="n">
        <v>316</v>
      </c>
      <c r="G29" s="33" t="n">
        <v>38</v>
      </c>
      <c r="H29" s="32" t="n"/>
      <c r="I29" s="32" t="inlineStr">
        <is>
          <t>Hay Day Wiki (Fandom) https://hayday.fandom.com/wiki/Cake_Oven</t>
        </is>
      </c>
      <c r="J29" s="39">
        <f>IFERROR(INDEX(hayday_info!$D$2:$D$349,MATCH($A29,hayday_info!$A$2:$A$349,0)),"not found")</f>
        <v/>
      </c>
      <c r="K29" s="32">
        <f>IF(J29="not found","not in hayday.info",IF(J29=E29,"matches mastered",IF(J29=D29,"matches normal","differs")))</f>
        <v/>
      </c>
      <c r="L29" s="40">
        <f>IFERROR(INDEX(hayday_info!$E$2:$E$349,MATCH($A29,hayday_info!$A$2:$A$349,0)),"not found")</f>
        <v/>
      </c>
      <c r="M29" s="32">
        <f>IF(L29="not found","not in hayday.info",IF(F29="","no Fandom value",IF(L29=F29,"match","differs")))</f>
        <v/>
      </c>
      <c r="N29" s="32">
        <f>IFERROR(INDEX(hayday_info!$F$2:$F$349,MATCH($A29,hayday_info!$A$2:$A$349,0)),"not found")</f>
        <v/>
      </c>
      <c r="O29" s="32">
        <f>IF(N29="not found","not in hayday.info",IF(G29="","no Fandom value",IF(N29=G29,"match","differs")))</f>
        <v/>
      </c>
      <c r="P29" s="32">
        <f>IF(J29="not found","not in hayday.info",IF(C29="","no Fandom value",IF(IFERROR(INDEX(hayday_info!$C$2:$C$349,MATCH($A29,hayday_info!$A$2:$A$349,0)),"not found")=C29,"match","differs")))</f>
        <v/>
      </c>
    </row>
    <row r="30" ht="15" customHeight="1" s="29">
      <c r="A30" s="32" t="inlineStr">
        <is>
          <t>Chocolate cake</t>
        </is>
      </c>
      <c r="B30" s="32" t="inlineStr">
        <is>
          <t>Cake Oven</t>
        </is>
      </c>
      <c r="C30" s="33" t="n">
        <v>36</v>
      </c>
      <c r="D30" s="33" t="n">
        <v>120</v>
      </c>
      <c r="E30" s="33" t="n">
        <v>102</v>
      </c>
      <c r="F30" s="35" t="n">
        <v>320</v>
      </c>
      <c r="G30" s="33" t="n">
        <v>38</v>
      </c>
      <c r="H30" s="32" t="n"/>
      <c r="I30" s="32" t="inlineStr">
        <is>
          <t>Hay Day Wiki (Fandom) https://hayday.fandom.com/wiki/Cake_Oven</t>
        </is>
      </c>
      <c r="J30" s="39">
        <f>IFERROR(INDEX(hayday_info!$D$2:$D$349,MATCH($A30,hayday_info!$A$2:$A$349,0)),"not found")</f>
        <v/>
      </c>
      <c r="K30" s="32">
        <f>IF(J30="not found","not in hayday.info",IF(J30=E30,"matches mastered",IF(J30=D30,"matches normal","differs")))</f>
        <v/>
      </c>
      <c r="L30" s="40">
        <f>IFERROR(INDEX(hayday_info!$E$2:$E$349,MATCH($A30,hayday_info!$A$2:$A$349,0)),"not found")</f>
        <v/>
      </c>
      <c r="M30" s="32">
        <f>IF(L30="not found","not in hayday.info",IF(F30="","no Fandom value",IF(L30=F30,"match","differs")))</f>
        <v/>
      </c>
      <c r="N30" s="32">
        <f>IFERROR(INDEX(hayday_info!$F$2:$F$349,MATCH($A30,hayday_info!$A$2:$A$349,0)),"not found")</f>
        <v/>
      </c>
      <c r="O30" s="32">
        <f>IF(N30="not found","not in hayday.info",IF(G30="","no Fandom value",IF(N30=G30,"match","differs")))</f>
        <v/>
      </c>
      <c r="P30" s="32">
        <f>IF(J30="not found","not in hayday.info",IF(C30="","no Fandom value",IF(IFERROR(INDEX(hayday_info!$C$2:$C$349,MATCH($A30,hayday_info!$A$2:$A$349,0)),"not found")=C30,"match","differs")))</f>
        <v/>
      </c>
    </row>
    <row r="31" ht="15" customHeight="1" s="29">
      <c r="A31" s="32" t="inlineStr">
        <is>
          <t>Potato feta cake</t>
        </is>
      </c>
      <c r="B31" s="32" t="inlineStr">
        <is>
          <t>Cake Oven</t>
        </is>
      </c>
      <c r="C31" s="33" t="n">
        <v>38</v>
      </c>
      <c r="D31" s="33" t="n">
        <v>120</v>
      </c>
      <c r="E31" s="33" t="n">
        <v>102</v>
      </c>
      <c r="F31" s="35" t="n">
        <v>309</v>
      </c>
      <c r="G31" s="33" t="n">
        <v>37</v>
      </c>
      <c r="H31" s="32" t="n"/>
      <c r="I31" s="32" t="inlineStr">
        <is>
          <t>Hay Day Wiki (Fandom) https://hayday.fandom.com/wiki/Cake_Oven</t>
        </is>
      </c>
      <c r="J31" s="39">
        <f>IFERROR(INDEX(hayday_info!$D$2:$D$349,MATCH($A31,hayday_info!$A$2:$A$349,0)),"not found")</f>
        <v/>
      </c>
      <c r="K31" s="32">
        <f>IF(J31="not found","not in hayday.info",IF(J31=E31,"matches mastered",IF(J31=D31,"matches normal","differs")))</f>
        <v/>
      </c>
      <c r="L31" s="40">
        <f>IFERROR(INDEX(hayday_info!$E$2:$E$349,MATCH($A31,hayday_info!$A$2:$A$349,0)),"not found")</f>
        <v/>
      </c>
      <c r="M31" s="32">
        <f>IF(L31="not found","not in hayday.info",IF(F31="","no Fandom value",IF(L31=F31,"match","differs")))</f>
        <v/>
      </c>
      <c r="N31" s="32">
        <f>IFERROR(INDEX(hayday_info!$F$2:$F$349,MATCH($A31,hayday_info!$A$2:$A$349,0)),"not found")</f>
        <v/>
      </c>
      <c r="O31" s="32">
        <f>IF(N31="not found","not in hayday.info",IF(G31="","no Fandom value",IF(N31=G31,"match","differs")))</f>
        <v/>
      </c>
      <c r="P31" s="32">
        <f>IF(J31="not found","not in hayday.info",IF(C31="","no Fandom value",IF(IFERROR(INDEX(hayday_info!$C$2:$C$349,MATCH($A31,hayday_info!$A$2:$A$349,0)),"not found")=C31,"match","differs")))</f>
        <v/>
      </c>
    </row>
    <row r="32" ht="15" customHeight="1" s="29">
      <c r="A32" s="32" t="inlineStr">
        <is>
          <t>Honey apple cake</t>
        </is>
      </c>
      <c r="B32" s="32" t="inlineStr">
        <is>
          <t>Cake Oven</t>
        </is>
      </c>
      <c r="C32" s="33" t="n">
        <v>42</v>
      </c>
      <c r="D32" s="33" t="n">
        <v>200</v>
      </c>
      <c r="E32" s="33" t="n">
        <v>170</v>
      </c>
      <c r="F32" s="35" t="n">
        <v>482</v>
      </c>
      <c r="G32" s="33" t="n">
        <v>57</v>
      </c>
      <c r="H32" s="32" t="n"/>
      <c r="I32" s="32" t="inlineStr">
        <is>
          <t>Hay Day Wiki (Fandom) https://hayday.fandom.com/wiki/Cake_Oven</t>
        </is>
      </c>
      <c r="J32" s="39">
        <f>IFERROR(INDEX(hayday_info!$D$2:$D$349,MATCH($A32,hayday_info!$A$2:$A$349,0)),"not found")</f>
        <v/>
      </c>
      <c r="K32" s="32">
        <f>IF(J32="not found","not in hayday.info",IF(J32=E32,"matches mastered",IF(J32=D32,"matches normal","differs")))</f>
        <v/>
      </c>
      <c r="L32" s="40">
        <f>IFERROR(INDEX(hayday_info!$E$2:$E$349,MATCH($A32,hayday_info!$A$2:$A$349,0)),"not found")</f>
        <v/>
      </c>
      <c r="M32" s="32">
        <f>IF(L32="not found","not in hayday.info",IF(F32="","no Fandom value",IF(L32=F32,"match","differs")))</f>
        <v/>
      </c>
      <c r="N32" s="32">
        <f>IFERROR(INDEX(hayday_info!$F$2:$F$349,MATCH($A32,hayday_info!$A$2:$A$349,0)),"not found")</f>
        <v/>
      </c>
      <c r="O32" s="32">
        <f>IF(N32="not found","not in hayday.info",IF(G32="","no Fandom value",IF(N32=G32,"match","differs")))</f>
        <v/>
      </c>
      <c r="P32" s="32">
        <f>IF(J32="not found","not in hayday.info",IF(C32="","no Fandom value",IF(IFERROR(INDEX(hayday_info!$C$2:$C$349,MATCH($A32,hayday_info!$A$2:$A$349,0)),"not found")=C32,"match","differs")))</f>
        <v/>
      </c>
    </row>
    <row r="33" ht="15" customHeight="1" s="29">
      <c r="A33" s="32" t="inlineStr">
        <is>
          <t>Fancy cake</t>
        </is>
      </c>
      <c r="B33" s="32" t="inlineStr">
        <is>
          <t>Cake Oven</t>
        </is>
      </c>
      <c r="C33" s="33" t="n">
        <v>54</v>
      </c>
      <c r="D33" s="33" t="n">
        <v>15</v>
      </c>
      <c r="E33" s="33" t="n">
        <v>12</v>
      </c>
      <c r="F33" s="35" t="n">
        <v>450</v>
      </c>
      <c r="G33" s="33" t="n">
        <v>49</v>
      </c>
      <c r="H33" s="32" t="n"/>
      <c r="I33" s="32" t="inlineStr">
        <is>
          <t>Hay Day Wiki (Fandom) https://hayday.fandom.com/wiki/Cake_Oven</t>
        </is>
      </c>
      <c r="J33" s="39">
        <f>IFERROR(INDEX(hayday_info!$D$2:$D$349,MATCH($A33,hayday_info!$A$2:$A$349,0)),"not found")</f>
        <v/>
      </c>
      <c r="K33" s="32">
        <f>IF(J33="not found","not in hayday.info",IF(J33=E33,"matches mastered",IF(J33=D33,"matches normal","differs")))</f>
        <v/>
      </c>
      <c r="L33" s="40">
        <f>IFERROR(INDEX(hayday_info!$E$2:$E$349,MATCH($A33,hayday_info!$A$2:$A$349,0)),"not found")</f>
        <v/>
      </c>
      <c r="M33" s="32">
        <f>IF(L33="not found","not in hayday.info",IF(F33="","no Fandom value",IF(L33=F33,"match","differs")))</f>
        <v/>
      </c>
      <c r="N33" s="32">
        <f>IFERROR(INDEX(hayday_info!$F$2:$F$349,MATCH($A33,hayday_info!$A$2:$A$349,0)),"not found")</f>
        <v/>
      </c>
      <c r="O33" s="32">
        <f>IF(N33="not found","not in hayday.info",IF(G33="","no Fandom value",IF(N33=G33,"match","differs")))</f>
        <v/>
      </c>
      <c r="P33" s="32">
        <f>IF(J33="not found","not in hayday.info",IF(C33="","no Fandom value",IF(IFERROR(INDEX(hayday_info!$C$2:$C$349,MATCH($A33,hayday_info!$A$2:$A$349,0)),"not found")=C33,"match","differs")))</f>
        <v/>
      </c>
    </row>
    <row r="34" ht="15" customHeight="1" s="29">
      <c r="A34" s="32" t="inlineStr">
        <is>
          <t>Pineapple cake</t>
        </is>
      </c>
      <c r="B34" s="32" t="inlineStr">
        <is>
          <t>Cake Oven</t>
        </is>
      </c>
      <c r="C34" s="33" t="n">
        <v>65</v>
      </c>
      <c r="D34" s="33" t="n">
        <v>75</v>
      </c>
      <c r="E34" s="33" t="n">
        <v>63</v>
      </c>
      <c r="F34" s="35" t="n">
        <v>259</v>
      </c>
      <c r="G34" s="33" t="n">
        <v>31</v>
      </c>
      <c r="H34" s="32" t="n"/>
      <c r="I34" s="32" t="inlineStr">
        <is>
          <t>Hay Day Wiki (Fandom) https://hayday.fandom.com/wiki/Cake_Oven</t>
        </is>
      </c>
      <c r="J34" s="39">
        <f>IFERROR(INDEX(hayday_info!$D$2:$D$349,MATCH($A34,hayday_info!$A$2:$A$349,0)),"not found")</f>
        <v/>
      </c>
      <c r="K34" s="32">
        <f>IF(J34="not found","not in hayday.info",IF(J34=E34,"matches mastered",IF(J34=D34,"matches normal","differs")))</f>
        <v/>
      </c>
      <c r="L34" s="40">
        <f>IFERROR(INDEX(hayday_info!$E$2:$E$349,MATCH($A34,hayday_info!$A$2:$A$349,0)),"not found")</f>
        <v/>
      </c>
      <c r="M34" s="32">
        <f>IF(L34="not found","not in hayday.info",IF(F34="","no Fandom value",IF(L34=F34,"match","differs")))</f>
        <v/>
      </c>
      <c r="N34" s="32">
        <f>IFERROR(INDEX(hayday_info!$F$2:$F$349,MATCH($A34,hayday_info!$A$2:$A$349,0)),"not found")</f>
        <v/>
      </c>
      <c r="O34" s="32">
        <f>IF(N34="not found","not in hayday.info",IF(G34="","no Fandom value",IF(N34=G34,"match","differs")))</f>
        <v/>
      </c>
      <c r="P34" s="32">
        <f>IF(J34="not found","not in hayday.info",IF(C34="","no Fandom value",IF(IFERROR(INDEX(hayday_info!$C$2:$C$349,MATCH($A34,hayday_info!$A$2:$A$349,0)),"not found")=C34,"match","differs")))</f>
        <v/>
      </c>
    </row>
    <row r="35" ht="15" customHeight="1" s="29">
      <c r="A35" s="32" t="inlineStr">
        <is>
          <t>Lemon cake</t>
        </is>
      </c>
      <c r="B35" s="32" t="inlineStr">
        <is>
          <t>Cake Oven</t>
        </is>
      </c>
      <c r="C35" s="33" t="n">
        <v>68</v>
      </c>
      <c r="D35" s="33" t="n">
        <v>150</v>
      </c>
      <c r="E35" s="33" t="n">
        <v>127</v>
      </c>
      <c r="F35" s="35" t="n">
        <v>896</v>
      </c>
      <c r="G35" s="33" t="n">
        <v>107</v>
      </c>
      <c r="H35" s="32" t="n"/>
      <c r="I35" s="32" t="inlineStr">
        <is>
          <t>Hay Day Wiki (Fandom) https://hayday.fandom.com/wiki/Cake_Oven</t>
        </is>
      </c>
      <c r="J35" s="39">
        <f>IFERROR(INDEX(hayday_info!$D$2:$D$349,MATCH($A35,hayday_info!$A$2:$A$349,0)),"not found")</f>
        <v/>
      </c>
      <c r="K35" s="32">
        <f>IF(J35="not found","not in hayday.info",IF(J35=E35,"matches mastered",IF(J35=D35,"matches normal","differs")))</f>
        <v/>
      </c>
      <c r="L35" s="40">
        <f>IFERROR(INDEX(hayday_info!$E$2:$E$349,MATCH($A35,hayday_info!$A$2:$A$349,0)),"not found")</f>
        <v/>
      </c>
      <c r="M35" s="32">
        <f>IF(L35="not found","not in hayday.info",IF(F35="","no Fandom value",IF(L35=F35,"match","differs")))</f>
        <v/>
      </c>
      <c r="N35" s="32">
        <f>IFERROR(INDEX(hayday_info!$F$2:$F$349,MATCH($A35,hayday_info!$A$2:$A$349,0)),"not found")</f>
        <v/>
      </c>
      <c r="O35" s="32">
        <f>IF(N35="not found","not in hayday.info",IF(G35="","no Fandom value",IF(N35=G35,"match","differs")))</f>
        <v/>
      </c>
      <c r="P35" s="32">
        <f>IF(J35="not found","not in hayday.info",IF(C35="","no Fandom value",IF(IFERROR(INDEX(hayday_info!$C$2:$C$349,MATCH($A35,hayday_info!$A$2:$A$349,0)),"not found")=C35,"match","differs")))</f>
        <v/>
      </c>
    </row>
    <row r="36" ht="15" customHeight="1" s="29">
      <c r="A36" s="32" t="inlineStr">
        <is>
          <t>Fruit cake</t>
        </is>
      </c>
      <c r="B36" s="32" t="inlineStr">
        <is>
          <t>Cake Oven</t>
        </is>
      </c>
      <c r="C36" s="33" t="n">
        <v>89</v>
      </c>
      <c r="D36" s="33" t="n">
        <v>180</v>
      </c>
      <c r="E36" s="33" t="n">
        <v>153</v>
      </c>
      <c r="F36" s="35" t="n">
        <v>450</v>
      </c>
      <c r="G36" s="33" t="n">
        <v>54</v>
      </c>
      <c r="H36" s="32" t="n"/>
      <c r="I36" s="32" t="inlineStr">
        <is>
          <t>Hay Day Wiki (Fandom) https://hayday.fandom.com/wiki/Cake_Oven</t>
        </is>
      </c>
      <c r="J36" s="39">
        <f>IFERROR(INDEX(hayday_info!$D$2:$D$349,MATCH($A36,hayday_info!$A$2:$A$349,0)),"not found")</f>
        <v/>
      </c>
      <c r="K36" s="32">
        <f>IF(J36="not found","not in hayday.info",IF(J36=E36,"matches mastered",IF(J36=D36,"matches normal","differs")))</f>
        <v/>
      </c>
      <c r="L36" s="40">
        <f>IFERROR(INDEX(hayday_info!$E$2:$E$349,MATCH($A36,hayday_info!$A$2:$A$349,0)),"not found")</f>
        <v/>
      </c>
      <c r="M36" s="32">
        <f>IF(L36="not found","not in hayday.info",IF(F36="","no Fandom value",IF(L36=F36,"match","differs")))</f>
        <v/>
      </c>
      <c r="N36" s="32">
        <f>IFERROR(INDEX(hayday_info!$F$2:$F$349,MATCH($A36,hayday_info!$A$2:$A$349,0)),"not found")</f>
        <v/>
      </c>
      <c r="O36" s="32">
        <f>IF(N36="not found","not in hayday.info",IF(G36="","no Fandom value",IF(N36=G36,"match","differs")))</f>
        <v/>
      </c>
      <c r="P36" s="32">
        <f>IF(J36="not found","not in hayday.info",IF(C36="","no Fandom value",IF(IFERROR(INDEX(hayday_info!$C$2:$C$349,MATCH($A36,hayday_info!$A$2:$A$349,0)),"not found")=C36,"match","differs")))</f>
        <v/>
      </c>
    </row>
    <row r="37" ht="15" customHeight="1" s="29">
      <c r="A37" s="32" t="inlineStr">
        <is>
          <t>Brown Sugar</t>
        </is>
      </c>
      <c r="B37" s="32" t="inlineStr">
        <is>
          <t>Sugar Mill</t>
        </is>
      </c>
      <c r="C37" s="33" t="n">
        <v>7</v>
      </c>
      <c r="D37" s="33" t="n">
        <v>20</v>
      </c>
      <c r="E37" s="33" t="n">
        <v>17</v>
      </c>
      <c r="F37" s="35" t="n">
        <v>32</v>
      </c>
      <c r="G37" s="33" t="n">
        <v>4</v>
      </c>
      <c r="H37" s="32" t="n"/>
      <c r="I37" s="32" t="inlineStr">
        <is>
          <t>Hay Day Wiki (Fandom) https://hayday.fandom.com/wiki/Sugar_Mill</t>
        </is>
      </c>
      <c r="J37" s="39">
        <f>IFERROR(INDEX(hayday_info!$D$2:$D$349,MATCH($A37,hayday_info!$A$2:$A$349,0)),"not found")</f>
        <v/>
      </c>
      <c r="K37" s="32">
        <f>IF(J37="not found","not in hayday.info",IF(J37=E37,"matches mastered",IF(J37=D37,"matches normal","differs")))</f>
        <v/>
      </c>
      <c r="L37" s="40">
        <f>IFERROR(INDEX(hayday_info!$E$2:$E$349,MATCH($A37,hayday_info!$A$2:$A$349,0)),"not found")</f>
        <v/>
      </c>
      <c r="M37" s="32">
        <f>IF(L37="not found","not in hayday.info",IF(F37="","no Fandom value",IF(L37=F37,"match","differs")))</f>
        <v/>
      </c>
      <c r="N37" s="32">
        <f>IFERROR(INDEX(hayday_info!$F$2:$F$349,MATCH($A37,hayday_info!$A$2:$A$349,0)),"not found")</f>
        <v/>
      </c>
      <c r="O37" s="32">
        <f>IF(N37="not found","not in hayday.info",IF(G37="","no Fandom value",IF(N37=G37,"match","differs")))</f>
        <v/>
      </c>
      <c r="P37" s="32">
        <f>IF(J37="not found","not in hayday.info",IF(C37="","no Fandom value",IF(IFERROR(INDEX(hayday_info!$C$2:$C$349,MATCH($A37,hayday_info!$A$2:$A$349,0)),"not found")=C37,"match","differs")))</f>
        <v/>
      </c>
    </row>
    <row r="38" ht="15" customHeight="1" s="29">
      <c r="A38" s="32" t="inlineStr">
        <is>
          <t>White Sugar</t>
        </is>
      </c>
      <c r="B38" s="32" t="inlineStr">
        <is>
          <t>Sugar Mill</t>
        </is>
      </c>
      <c r="C38" s="33" t="n">
        <v>13</v>
      </c>
      <c r="D38" s="33" t="n">
        <v>40</v>
      </c>
      <c r="E38" s="33" t="n">
        <v>34</v>
      </c>
      <c r="F38" s="35" t="n">
        <v>50</v>
      </c>
      <c r="G38" s="33" t="n">
        <v>6</v>
      </c>
      <c r="H38" s="32" t="n"/>
      <c r="I38" s="32" t="inlineStr">
        <is>
          <t>Hay Day Wiki (Fandom) https://hayday.fandom.com/wiki/Sugar_Mill</t>
        </is>
      </c>
      <c r="J38" s="39">
        <f>IFERROR(INDEX(hayday_info!$D$2:$D$349,MATCH($A38,hayday_info!$A$2:$A$349,0)),"not found")</f>
        <v/>
      </c>
      <c r="K38" s="32">
        <f>IF(J38="not found","not in hayday.info",IF(J38=E38,"matches mastered",IF(J38=D38,"matches normal","differs")))</f>
        <v/>
      </c>
      <c r="L38" s="40">
        <f>IFERROR(INDEX(hayday_info!$E$2:$E$349,MATCH($A38,hayday_info!$A$2:$A$349,0)),"not found")</f>
        <v/>
      </c>
      <c r="M38" s="32">
        <f>IF(L38="not found","not in hayday.info",IF(F38="","no Fandom value",IF(L38=F38,"match","differs")))</f>
        <v/>
      </c>
      <c r="N38" s="32">
        <f>IFERROR(INDEX(hayday_info!$F$2:$F$349,MATCH($A38,hayday_info!$A$2:$A$349,0)),"not found")</f>
        <v/>
      </c>
      <c r="O38" s="32">
        <f>IF(N38="not found","not in hayday.info",IF(G38="","no Fandom value",IF(N38=G38,"match","differs")))</f>
        <v/>
      </c>
      <c r="P38" s="32">
        <f>IF(J38="not found","not in hayday.info",IF(C38="","no Fandom value",IF(IFERROR(INDEX(hayday_info!$C$2:$C$349,MATCH($A38,hayday_info!$A$2:$A$349,0)),"not found")=C38,"match","differs")))</f>
        <v/>
      </c>
    </row>
    <row r="39" ht="15" customHeight="1" s="29">
      <c r="A39" s="32" t="inlineStr">
        <is>
          <t>Syrup</t>
        </is>
      </c>
      <c r="B39" s="32" t="inlineStr">
        <is>
          <t>Sugar Mill</t>
        </is>
      </c>
      <c r="C39" s="33" t="n">
        <v>18</v>
      </c>
      <c r="D39" s="33" t="n">
        <v>90</v>
      </c>
      <c r="E39" s="33" t="n">
        <v>76</v>
      </c>
      <c r="F39" s="35" t="n">
        <v>90</v>
      </c>
      <c r="G39" s="33" t="n">
        <v>11</v>
      </c>
      <c r="H39" s="32" t="n"/>
      <c r="I39" s="32" t="inlineStr">
        <is>
          <t>Hay Day Wiki (Fandom) https://hayday.fandom.com/wiki/Sugar_Mill</t>
        </is>
      </c>
      <c r="J39" s="39">
        <f>IFERROR(INDEX(hayday_info!$D$2:$D$349,MATCH($A39,hayday_info!$A$2:$A$349,0)),"not found")</f>
        <v/>
      </c>
      <c r="K39" s="32">
        <f>IF(J39="not found","not in hayday.info",IF(J39=E39,"matches mastered",IF(J39=D39,"matches normal","differs")))</f>
        <v/>
      </c>
      <c r="L39" s="40">
        <f>IFERROR(INDEX(hayday_info!$E$2:$E$349,MATCH($A39,hayday_info!$A$2:$A$349,0)),"not found")</f>
        <v/>
      </c>
      <c r="M39" s="32">
        <f>IF(L39="not found","not in hayday.info",IF(F39="","no Fandom value",IF(L39=F39,"match","differs")))</f>
        <v/>
      </c>
      <c r="N39" s="32">
        <f>IFERROR(INDEX(hayday_info!$F$2:$F$349,MATCH($A39,hayday_info!$A$2:$A$349,0)),"not found")</f>
        <v/>
      </c>
      <c r="O39" s="32">
        <f>IF(N39="not found","not in hayday.info",IF(G39="","no Fandom value",IF(N39=G39,"match","differs")))</f>
        <v/>
      </c>
      <c r="P39" s="32">
        <f>IF(J39="not found","not in hayday.info",IF(C39="","no Fandom value",IF(IFERROR(INDEX(hayday_info!$C$2:$C$349,MATCH($A39,hayday_info!$A$2:$A$349,0)),"not found")=C39,"match","differs")))</f>
        <v/>
      </c>
    </row>
    <row r="40" ht="15" customHeight="1" s="29">
      <c r="A40" s="32" t="inlineStr">
        <is>
          <t>Popcorn</t>
        </is>
      </c>
      <c r="B40" s="32" t="inlineStr">
        <is>
          <t>Popcorn Pot</t>
        </is>
      </c>
      <c r="C40" s="33" t="n">
        <v>8</v>
      </c>
      <c r="D40" s="33" t="n">
        <v>30</v>
      </c>
      <c r="E40" s="33" t="n">
        <v>25</v>
      </c>
      <c r="F40" s="35" t="n">
        <v>32</v>
      </c>
      <c r="G40" s="33" t="n">
        <v>4</v>
      </c>
      <c r="H40" s="32" t="n"/>
      <c r="I40" s="32" t="inlineStr">
        <is>
          <t>Hay Day Wiki (Fandom) https://hayday.fandom.com/wiki/Popcorn_Pot</t>
        </is>
      </c>
      <c r="J40" s="39">
        <f>IFERROR(INDEX(hayday_info!$D$2:$D$349,MATCH($A40,hayday_info!$A$2:$A$349,0)),"not found")</f>
        <v/>
      </c>
      <c r="K40" s="32">
        <f>IF(J40="not found","not in hayday.info",IF(J40=E40,"matches mastered",IF(J40=D40,"matches normal","differs")))</f>
        <v/>
      </c>
      <c r="L40" s="40">
        <f>IFERROR(INDEX(hayday_info!$E$2:$E$349,MATCH($A40,hayday_info!$A$2:$A$349,0)),"not found")</f>
        <v/>
      </c>
      <c r="M40" s="32">
        <f>IF(L40="not found","not in hayday.info",IF(F40="","no Fandom value",IF(L40=F40,"match","differs")))</f>
        <v/>
      </c>
      <c r="N40" s="32">
        <f>IFERROR(INDEX(hayday_info!$F$2:$F$349,MATCH($A40,hayday_info!$A$2:$A$349,0)),"not found")</f>
        <v/>
      </c>
      <c r="O40" s="32">
        <f>IF(N40="not found","not in hayday.info",IF(G40="","no Fandom value",IF(N40=G40,"match","differs")))</f>
        <v/>
      </c>
      <c r="P40" s="32">
        <f>IF(J40="not found","not in hayday.info",IF(C40="","no Fandom value",IF(IFERROR(INDEX(hayday_info!$C$2:$C$349,MATCH($A40,hayday_info!$A$2:$A$349,0)),"not found")=C40,"match","differs")))</f>
        <v/>
      </c>
    </row>
    <row r="41" ht="15" customHeight="1" s="29">
      <c r="A41" s="32" t="inlineStr">
        <is>
          <t>Buttered popcorn</t>
        </is>
      </c>
      <c r="B41" s="32" t="inlineStr">
        <is>
          <t>Popcorn Pot</t>
        </is>
      </c>
      <c r="C41" s="33" t="n">
        <v>16</v>
      </c>
      <c r="D41" s="33" t="n">
        <v>60</v>
      </c>
      <c r="E41" s="33" t="n">
        <v>51</v>
      </c>
      <c r="F41" s="35" t="n">
        <v>126</v>
      </c>
      <c r="G41" s="33" t="n">
        <v>15</v>
      </c>
      <c r="H41" s="32" t="n"/>
      <c r="I41" s="32" t="inlineStr">
        <is>
          <t>Hay Day Wiki (Fandom) https://hayday.fandom.com/wiki/Popcorn_Pot</t>
        </is>
      </c>
      <c r="J41" s="39">
        <f>IFERROR(INDEX(hayday_info!$D$2:$D$349,MATCH($A41,hayday_info!$A$2:$A$349,0)),"not found")</f>
        <v/>
      </c>
      <c r="K41" s="32">
        <f>IF(J41="not found","not in hayday.info",IF(J41=E41,"matches mastered",IF(J41=D41,"matches normal","differs")))</f>
        <v/>
      </c>
      <c r="L41" s="40">
        <f>IFERROR(INDEX(hayday_info!$E$2:$E$349,MATCH($A41,hayday_info!$A$2:$A$349,0)),"not found")</f>
        <v/>
      </c>
      <c r="M41" s="32">
        <f>IF(L41="not found","not in hayday.info",IF(F41="","no Fandom value",IF(L41=F41,"match","differs")))</f>
        <v/>
      </c>
      <c r="N41" s="32">
        <f>IFERROR(INDEX(hayday_info!$F$2:$F$349,MATCH($A41,hayday_info!$A$2:$A$349,0)),"not found")</f>
        <v/>
      </c>
      <c r="O41" s="32">
        <f>IF(N41="not found","not in hayday.info",IF(G41="","no Fandom value",IF(N41=G41,"match","differs")))</f>
        <v/>
      </c>
      <c r="P41" s="32">
        <f>IF(J41="not found","not in hayday.info",IF(C41="","no Fandom value",IF(IFERROR(INDEX(hayday_info!$C$2:$C$349,MATCH($A41,hayday_info!$A$2:$A$349,0)),"not found")=C41,"match","differs")))</f>
        <v/>
      </c>
    </row>
    <row r="42" ht="15" customHeight="1" s="29">
      <c r="A42" s="32" t="inlineStr">
        <is>
          <t>Chili popcorn</t>
        </is>
      </c>
      <c r="B42" s="32" t="inlineStr">
        <is>
          <t>Popcorn Pot</t>
        </is>
      </c>
      <c r="C42" s="33" t="n">
        <v>25</v>
      </c>
      <c r="D42" s="33" t="n">
        <v>120</v>
      </c>
      <c r="E42" s="33" t="n">
        <v>102</v>
      </c>
      <c r="F42" s="35" t="n">
        <v>122</v>
      </c>
      <c r="G42" s="33" t="n">
        <v>15</v>
      </c>
      <c r="H42" s="32" t="n"/>
      <c r="I42" s="32" t="inlineStr">
        <is>
          <t>Hay Day Wiki (Fandom) https://hayday.fandom.com/wiki/Popcorn_Pot</t>
        </is>
      </c>
      <c r="J42" s="39">
        <f>IFERROR(INDEX(hayday_info!$D$2:$D$349,MATCH($A42,hayday_info!$A$2:$A$349,0)),"not found")</f>
        <v/>
      </c>
      <c r="K42" s="32">
        <f>IF(J42="not found","not in hayday.info",IF(J42=E42,"matches mastered",IF(J42=D42,"matches normal","differs")))</f>
        <v/>
      </c>
      <c r="L42" s="40">
        <f>IFERROR(INDEX(hayday_info!$E$2:$E$349,MATCH($A42,hayday_info!$A$2:$A$349,0)),"not found")</f>
        <v/>
      </c>
      <c r="M42" s="32">
        <f>IF(L42="not found","not in hayday.info",IF(F42="","no Fandom value",IF(L42=F42,"match","differs")))</f>
        <v/>
      </c>
      <c r="N42" s="32">
        <f>IFERROR(INDEX(hayday_info!$F$2:$F$349,MATCH($A42,hayday_info!$A$2:$A$349,0)),"not found")</f>
        <v/>
      </c>
      <c r="O42" s="32">
        <f>IF(N42="not found","not in hayday.info",IF(G42="","no Fandom value",IF(N42=G42,"match","differs")))</f>
        <v/>
      </c>
      <c r="P42" s="32">
        <f>IF(J42="not found","not in hayday.info",IF(C42="","no Fandom value",IF(IFERROR(INDEX(hayday_info!$C$2:$C$349,MATCH($A42,hayday_info!$A$2:$A$349,0)),"not found")=C42,"match","differs")))</f>
        <v/>
      </c>
    </row>
    <row r="43" ht="15" customHeight="1" s="29">
      <c r="A43" s="32" t="inlineStr">
        <is>
          <t>Honey popcorn</t>
        </is>
      </c>
      <c r="B43" s="32" t="inlineStr">
        <is>
          <t>Popcorn Pot</t>
        </is>
      </c>
      <c r="C43" s="33" t="n">
        <v>40</v>
      </c>
      <c r="D43" s="33" t="n">
        <v>90</v>
      </c>
      <c r="E43" s="33" t="n">
        <v>76</v>
      </c>
      <c r="F43" s="35" t="n">
        <v>360</v>
      </c>
      <c r="G43" s="33" t="n">
        <v>43</v>
      </c>
      <c r="H43" s="32" t="n"/>
      <c r="I43" s="32" t="inlineStr">
        <is>
          <t>Hay Day Wiki (Fandom) https://hayday.fandom.com/wiki/Popcorn_Pot</t>
        </is>
      </c>
      <c r="J43" s="39">
        <f>IFERROR(INDEX(hayday_info!$D$2:$D$349,MATCH($A43,hayday_info!$A$2:$A$349,0)),"not found")</f>
        <v/>
      </c>
      <c r="K43" s="32">
        <f>IF(J43="not found","not in hayday.info",IF(J43=E43,"matches mastered",IF(J43=D43,"matches normal","differs")))</f>
        <v/>
      </c>
      <c r="L43" s="40">
        <f>IFERROR(INDEX(hayday_info!$E$2:$E$349,MATCH($A43,hayday_info!$A$2:$A$349,0)),"not found")</f>
        <v/>
      </c>
      <c r="M43" s="32">
        <f>IF(L43="not found","not in hayday.info",IF(F43="","no Fandom value",IF(L43=F43,"match","differs")))</f>
        <v/>
      </c>
      <c r="N43" s="32">
        <f>IFERROR(INDEX(hayday_info!$F$2:$F$349,MATCH($A43,hayday_info!$A$2:$A$349,0)),"not found")</f>
        <v/>
      </c>
      <c r="O43" s="32">
        <f>IF(N43="not found","not in hayday.info",IF(G43="","no Fandom value",IF(N43=G43,"match","differs")))</f>
        <v/>
      </c>
      <c r="P43" s="32">
        <f>IF(J43="not found","not in hayday.info",IF(C43="","no Fandom value",IF(IFERROR(INDEX(hayday_info!$C$2:$C$349,MATCH($A43,hayday_info!$A$2:$A$349,0)),"not found")=C43,"match","differs")))</f>
        <v/>
      </c>
    </row>
    <row r="44" ht="15" customHeight="1" s="29">
      <c r="A44" s="32" t="inlineStr">
        <is>
          <t>Chocolate popcorn</t>
        </is>
      </c>
      <c r="B44" s="32" t="inlineStr">
        <is>
          <t>Popcorn Pot</t>
        </is>
      </c>
      <c r="C44" s="33" t="n">
        <v>44</v>
      </c>
      <c r="D44" s="33" t="n">
        <v>150</v>
      </c>
      <c r="E44" s="33" t="n">
        <v>127</v>
      </c>
      <c r="F44" s="35" t="n">
        <v>248</v>
      </c>
      <c r="G44" s="33" t="n">
        <v>29</v>
      </c>
      <c r="H44" s="32" t="n"/>
      <c r="I44" s="32" t="inlineStr">
        <is>
          <t>Hay Day Wiki (Fandom) https://hayday.fandom.com/wiki/Popcorn_Pot</t>
        </is>
      </c>
      <c r="J44" s="39">
        <f>IFERROR(INDEX(hayday_info!$D$2:$D$349,MATCH($A44,hayday_info!$A$2:$A$349,0)),"not found")</f>
        <v/>
      </c>
      <c r="K44" s="32">
        <f>IF(J44="not found","not in hayday.info",IF(J44=E44,"matches mastered",IF(J44=D44,"matches normal","differs")))</f>
        <v/>
      </c>
      <c r="L44" s="40">
        <f>IFERROR(INDEX(hayday_info!$E$2:$E$349,MATCH($A44,hayday_info!$A$2:$A$349,0)),"not found")</f>
        <v/>
      </c>
      <c r="M44" s="32">
        <f>IF(L44="not found","not in hayday.info",IF(F44="","no Fandom value",IF(L44=F44,"match","differs")))</f>
        <v/>
      </c>
      <c r="N44" s="32">
        <f>IFERROR(INDEX(hayday_info!$F$2:$F$349,MATCH($A44,hayday_info!$A$2:$A$349,0)),"not found")</f>
        <v/>
      </c>
      <c r="O44" s="32">
        <f>IF(N44="not found","not in hayday.info",IF(G44="","no Fandom value",IF(N44=G44,"match","differs")))</f>
        <v/>
      </c>
      <c r="P44" s="32">
        <f>IF(J44="not found","not in hayday.info",IF(C44="","no Fandom value",IF(IFERROR(INDEX(hayday_info!$C$2:$C$349,MATCH($A44,hayday_info!$A$2:$A$349,0)),"not found")=C44,"match","differs")))</f>
        <v/>
      </c>
    </row>
    <row r="45" ht="15" customHeight="1" s="29">
      <c r="A45" s="32" t="inlineStr">
        <is>
          <t>Chicken feed</t>
        </is>
      </c>
      <c r="B45" s="32" t="inlineStr">
        <is>
          <t>Feed Mill</t>
        </is>
      </c>
      <c r="C45" s="33" t="n">
        <v>3</v>
      </c>
      <c r="D45" s="33" t="n">
        <v>5</v>
      </c>
      <c r="E45" s="33" t="n">
        <v>4</v>
      </c>
      <c r="F45" s="35" t="n">
        <v>7</v>
      </c>
      <c r="G45" s="33" t="n">
        <v>1</v>
      </c>
      <c r="H45" s="32" t="n"/>
      <c r="I45" s="32" t="inlineStr">
        <is>
          <t>Hay Day Wiki (Fandom) https://hayday.fandom.com/wiki/Feed_Mill</t>
        </is>
      </c>
      <c r="J45" s="39">
        <f>IFERROR(INDEX(hayday_info!$D$2:$D$349,MATCH($A45,hayday_info!$A$2:$A$349,0)),"not found")</f>
        <v/>
      </c>
      <c r="K45" s="32">
        <f>IF(J45="not found","not in hayday.info",IF(J45=E45,"matches mastered",IF(J45=D45,"matches normal","differs")))</f>
        <v/>
      </c>
      <c r="L45" s="40">
        <f>IFERROR(INDEX(hayday_info!$E$2:$E$349,MATCH($A45,hayday_info!$A$2:$A$349,0)),"not found")</f>
        <v/>
      </c>
      <c r="M45" s="32">
        <f>IF(L45="not found","not in hayday.info",IF(F45="","no Fandom value",IF(L45=F45,"match","differs")))</f>
        <v/>
      </c>
      <c r="N45" s="32">
        <f>IFERROR(INDEX(hayday_info!$F$2:$F$349,MATCH($A45,hayday_info!$A$2:$A$349,0)),"not found")</f>
        <v/>
      </c>
      <c r="O45" s="32">
        <f>IF(N45="not found","not in hayday.info",IF(G45="","no Fandom value",IF(N45=G45,"match","differs")))</f>
        <v/>
      </c>
      <c r="P45" s="32">
        <f>IF(J45="not found","not in hayday.info",IF(C45="","no Fandom value",IF(IFERROR(INDEX(hayday_info!$C$2:$C$349,MATCH($A45,hayday_info!$A$2:$A$349,0)),"not found")=C45,"match","differs")))</f>
        <v/>
      </c>
    </row>
    <row r="46" ht="15" customHeight="1" s="29">
      <c r="A46" s="32" t="inlineStr">
        <is>
          <t>Cow feed</t>
        </is>
      </c>
      <c r="B46" s="32" t="inlineStr">
        <is>
          <t>Feed Mill</t>
        </is>
      </c>
      <c r="C46" s="33" t="n">
        <v>6</v>
      </c>
      <c r="D46" s="33" t="n">
        <v>10</v>
      </c>
      <c r="E46" s="33" t="n">
        <v>8</v>
      </c>
      <c r="F46" s="35" t="n">
        <v>14</v>
      </c>
      <c r="G46" s="33" t="n">
        <v>2</v>
      </c>
      <c r="H46" s="32" t="n"/>
      <c r="I46" s="32" t="inlineStr">
        <is>
          <t>Hay Day Wiki (Fandom) https://hayday.fandom.com/wiki/Feed_Mill</t>
        </is>
      </c>
      <c r="J46" s="39">
        <f>IFERROR(INDEX(hayday_info!$D$2:$D$349,MATCH($A46,hayday_info!$A$2:$A$349,0)),"not found")</f>
        <v/>
      </c>
      <c r="K46" s="32">
        <f>IF(J46="not found","not in hayday.info",IF(J46=E46,"matches mastered",IF(J46=D46,"matches normal","differs")))</f>
        <v/>
      </c>
      <c r="L46" s="40">
        <f>IFERROR(INDEX(hayday_info!$E$2:$E$349,MATCH($A46,hayday_info!$A$2:$A$349,0)),"not found")</f>
        <v/>
      </c>
      <c r="M46" s="32">
        <f>IF(L46="not found","not in hayday.info",IF(F46="","no Fandom value",IF(L46=F46,"match","differs")))</f>
        <v/>
      </c>
      <c r="N46" s="32">
        <f>IFERROR(INDEX(hayday_info!$F$2:$F$349,MATCH($A46,hayday_info!$A$2:$A$349,0)),"not found")</f>
        <v/>
      </c>
      <c r="O46" s="32">
        <f>IF(N46="not found","not in hayday.info",IF(G46="","no Fandom value",IF(N46=G46,"match","differs")))</f>
        <v/>
      </c>
      <c r="P46" s="32">
        <f>IF(J46="not found","not in hayday.info",IF(C46="","no Fandom value",IF(IFERROR(INDEX(hayday_info!$C$2:$C$349,MATCH($A46,hayday_info!$A$2:$A$349,0)),"not found")=C46,"match","differs")))</f>
        <v/>
      </c>
    </row>
    <row r="47" ht="15" customHeight="1" s="29">
      <c r="A47" s="32" t="inlineStr">
        <is>
          <t>Pig feed</t>
        </is>
      </c>
      <c r="B47" s="32" t="inlineStr">
        <is>
          <t>Feed Mill</t>
        </is>
      </c>
      <c r="C47" s="33" t="n">
        <v>10</v>
      </c>
      <c r="D47" s="33" t="n">
        <v>20</v>
      </c>
      <c r="E47" s="33" t="n">
        <v>17</v>
      </c>
      <c r="F47" s="35" t="n">
        <v>14</v>
      </c>
      <c r="G47" s="33" t="n">
        <v>2</v>
      </c>
      <c r="H47" s="32" t="n"/>
      <c r="I47" s="32" t="inlineStr">
        <is>
          <t>Hay Day Wiki (Fandom) https://hayday.fandom.com/wiki/Feed_Mill</t>
        </is>
      </c>
      <c r="J47" s="39">
        <f>IFERROR(INDEX(hayday_info!$D$2:$D$349,MATCH($A47,hayday_info!$A$2:$A$349,0)),"not found")</f>
        <v/>
      </c>
      <c r="K47" s="32">
        <f>IF(J47="not found","not in hayday.info",IF(J47=E47,"matches mastered",IF(J47=D47,"matches normal","differs")))</f>
        <v/>
      </c>
      <c r="L47" s="40">
        <f>IFERROR(INDEX(hayday_info!$E$2:$E$349,MATCH($A47,hayday_info!$A$2:$A$349,0)),"not found")</f>
        <v/>
      </c>
      <c r="M47" s="32">
        <f>IF(L47="not found","not in hayday.info",IF(F47="","no Fandom value",IF(L47=F47,"match","differs")))</f>
        <v/>
      </c>
      <c r="N47" s="32">
        <f>IFERROR(INDEX(hayday_info!$F$2:$F$349,MATCH($A47,hayday_info!$A$2:$A$349,0)),"not found")</f>
        <v/>
      </c>
      <c r="O47" s="32">
        <f>IF(N47="not found","not in hayday.info",IF(G47="","no Fandom value",IF(N47=G47,"match","differs")))</f>
        <v/>
      </c>
      <c r="P47" s="32">
        <f>IF(J47="not found","not in hayday.info",IF(C47="","no Fandom value",IF(IFERROR(INDEX(hayday_info!$C$2:$C$349,MATCH($A47,hayday_info!$A$2:$A$349,0)),"not found")=C47,"match","differs")))</f>
        <v/>
      </c>
    </row>
    <row r="48" ht="15" customHeight="1" s="29">
      <c r="A48" s="32" t="inlineStr">
        <is>
          <t>Sheep feed</t>
        </is>
      </c>
      <c r="B48" s="32" t="inlineStr">
        <is>
          <t>Feed Mill</t>
        </is>
      </c>
      <c r="C48" s="33" t="n">
        <v>16</v>
      </c>
      <c r="D48" s="33" t="n">
        <v>30</v>
      </c>
      <c r="E48" s="33" t="n">
        <v>25</v>
      </c>
      <c r="F48" s="35" t="n">
        <v>14</v>
      </c>
      <c r="G48" s="33" t="n">
        <v>3</v>
      </c>
      <c r="H48" s="32" t="n"/>
      <c r="I48" s="32" t="inlineStr">
        <is>
          <t>Hay Day Wiki (Fandom) https://hayday.fandom.com/wiki/Feed_Mill</t>
        </is>
      </c>
      <c r="J48" s="39">
        <f>IFERROR(INDEX(hayday_info!$D$2:$D$349,MATCH($A48,hayday_info!$A$2:$A$349,0)),"not found")</f>
        <v/>
      </c>
      <c r="K48" s="32">
        <f>IF(J48="not found","not in hayday.info",IF(J48=E48,"matches mastered",IF(J48=D48,"matches normal","differs")))</f>
        <v/>
      </c>
      <c r="L48" s="40">
        <f>IFERROR(INDEX(hayday_info!$E$2:$E$349,MATCH($A48,hayday_info!$A$2:$A$349,0)),"not found")</f>
        <v/>
      </c>
      <c r="M48" s="32">
        <f>IF(L48="not found","not in hayday.info",IF(F48="","no Fandom value",IF(L48=F48,"match","differs")))</f>
        <v/>
      </c>
      <c r="N48" s="32">
        <f>IFERROR(INDEX(hayday_info!$F$2:$F$349,MATCH($A48,hayday_info!$A$2:$A$349,0)),"not found")</f>
        <v/>
      </c>
      <c r="O48" s="32">
        <f>IF(N48="not found","not in hayday.info",IF(G48="","no Fandom value",IF(N48=G48,"match","differs")))</f>
        <v/>
      </c>
      <c r="P48" s="32">
        <f>IF(J48="not found","not in hayday.info",IF(C48="","no Fandom value",IF(IFERROR(INDEX(hayday_info!$C$2:$C$349,MATCH($A48,hayday_info!$A$2:$A$349,0)),"not found")=C48,"match","differs")))</f>
        <v/>
      </c>
    </row>
    <row r="49" ht="15" customHeight="1" s="29">
      <c r="A49" s="32" t="inlineStr">
        <is>
          <t>Goat feed</t>
        </is>
      </c>
      <c r="B49" s="32" t="inlineStr">
        <is>
          <t>Feed Mill</t>
        </is>
      </c>
      <c r="C49" s="33" t="n">
        <v>32</v>
      </c>
      <c r="D49" s="33" t="n">
        <v>40</v>
      </c>
      <c r="E49" s="33" t="n">
        <v>34</v>
      </c>
      <c r="F49" s="35" t="n">
        <v>14</v>
      </c>
      <c r="G49" s="33" t="n">
        <v>3</v>
      </c>
      <c r="H49" s="32" t="n"/>
      <c r="I49" s="32" t="inlineStr">
        <is>
          <t>Hay Day Wiki (Fandom) https://hayday.fandom.com/wiki/Feed_Mill</t>
        </is>
      </c>
      <c r="J49" s="39">
        <f>IFERROR(INDEX(hayday_info!$D$2:$D$349,MATCH($A49,hayday_info!$A$2:$A$349,0)),"not found")</f>
        <v/>
      </c>
      <c r="K49" s="32">
        <f>IF(J49="not found","not in hayday.info",IF(J49=E49,"matches mastered",IF(J49=D49,"matches normal","differs")))</f>
        <v/>
      </c>
      <c r="L49" s="40">
        <f>IFERROR(INDEX(hayday_info!$E$2:$E$349,MATCH($A49,hayday_info!$A$2:$A$349,0)),"not found")</f>
        <v/>
      </c>
      <c r="M49" s="32">
        <f>IF(L49="not found","not in hayday.info",IF(F49="","no Fandom value",IF(L49=F49,"match","differs")))</f>
        <v/>
      </c>
      <c r="N49" s="32">
        <f>IFERROR(INDEX(hayday_info!$F$2:$F$349,MATCH($A49,hayday_info!$A$2:$A$349,0)),"not found")</f>
        <v/>
      </c>
      <c r="O49" s="32">
        <f>IF(N49="not found","not in hayday.info",IF(G49="","no Fandom value",IF(N49=G49,"match","differs")))</f>
        <v/>
      </c>
      <c r="P49" s="32">
        <f>IF(J49="not found","not in hayday.info",IF(C49="","no Fandom value",IF(IFERROR(INDEX(hayday_info!$C$2:$C$349,MATCH($A49,hayday_info!$A$2:$A$349,0)),"not found")=C49,"match","differs")))</f>
        <v/>
      </c>
    </row>
    <row r="50" ht="15" customHeight="1" s="29">
      <c r="A50" s="32" t="inlineStr">
        <is>
          <t>Wheat Bundle</t>
        </is>
      </c>
      <c r="B50" s="32" t="inlineStr">
        <is>
          <t>Feed Mill</t>
        </is>
      </c>
      <c r="C50" s="33" t="n"/>
      <c r="D50" s="33" t="n">
        <v>85</v>
      </c>
      <c r="E50" s="33" t="n">
        <v>76</v>
      </c>
      <c r="F50" s="35" t="n">
        <v>50</v>
      </c>
      <c r="G50" s="33" t="n">
        <v>10</v>
      </c>
      <c r="H50" s="32" t="inlineStr">
        <is>
          <t>Level shown on page as 'Rep 3' (reputation requirement), left blank</t>
        </is>
      </c>
      <c r="I50" s="32" t="inlineStr">
        <is>
          <t>Hay Day Wiki (Fandom) https://hayday.fandom.com/wiki/Feed_Mill</t>
        </is>
      </c>
      <c r="J50" s="39">
        <f>IFERROR(INDEX(hayday_info!$D$2:$D$349,MATCH($A50,hayday_info!$A$2:$A$349,0)),"not found")</f>
        <v/>
      </c>
      <c r="K50" s="32">
        <f>IF(J50="not found","not in hayday.info",IF(J50=E50,"matches mastered",IF(J50=D50,"matches normal","differs")))</f>
        <v/>
      </c>
      <c r="L50" s="40">
        <f>IFERROR(INDEX(hayday_info!$E$2:$E$349,MATCH($A50,hayday_info!$A$2:$A$349,0)),"not found")</f>
        <v/>
      </c>
      <c r="M50" s="32">
        <f>IF(L50="not found","not in hayday.info",IF(F50="","no Fandom value",IF(L50=F50,"match","differs")))</f>
        <v/>
      </c>
      <c r="N50" s="32">
        <f>IFERROR(INDEX(hayday_info!$F$2:$F$349,MATCH($A50,hayday_info!$A$2:$A$349,0)),"not found")</f>
        <v/>
      </c>
      <c r="O50" s="32">
        <f>IF(N50="not found","not in hayday.info",IF(G50="","no Fandom value",IF(N50=G50,"match","differs")))</f>
        <v/>
      </c>
      <c r="P50" s="32">
        <f>IF(J50="not found","not in hayday.info",IF(C50="","no Fandom value",IF(IFERROR(INDEX(hayday_info!$C$2:$C$349,MATCH($A50,hayday_info!$A$2:$A$349,0)),"not found")=C50,"match","differs")))</f>
        <v/>
      </c>
    </row>
    <row r="51" ht="15" customHeight="1" s="29">
      <c r="A51" s="32" t="inlineStr">
        <is>
          <t>Sweater</t>
        </is>
      </c>
      <c r="B51" s="32" t="inlineStr">
        <is>
          <t>Loom</t>
        </is>
      </c>
      <c r="C51" s="33" t="n">
        <v>17</v>
      </c>
      <c r="D51" s="33" t="n">
        <v>120</v>
      </c>
      <c r="E51" s="33" t="n">
        <v>102</v>
      </c>
      <c r="F51" s="35" t="n">
        <v>151</v>
      </c>
      <c r="G51" s="33" t="n">
        <v>18</v>
      </c>
      <c r="H51" s="32" t="n"/>
      <c r="I51" s="32" t="inlineStr">
        <is>
          <t>Hay Day Wiki (Fandom) https://hayday.fandom.com/wiki/Loom</t>
        </is>
      </c>
      <c r="J51" s="39">
        <f>IFERROR(INDEX(hayday_info!$D$2:$D$349,MATCH($A51,hayday_info!$A$2:$A$349,0)),"not found")</f>
        <v/>
      </c>
      <c r="K51" s="32">
        <f>IF(J51="not found","not in hayday.info",IF(J51=E51,"matches mastered",IF(J51=D51,"matches normal","differs")))</f>
        <v/>
      </c>
      <c r="L51" s="40">
        <f>IFERROR(INDEX(hayday_info!$E$2:$E$349,MATCH($A51,hayday_info!$A$2:$A$349,0)),"not found")</f>
        <v/>
      </c>
      <c r="M51" s="32">
        <f>IF(L51="not found","not in hayday.info",IF(F51="","no Fandom value",IF(L51=F51,"match","differs")))</f>
        <v/>
      </c>
      <c r="N51" s="32">
        <f>IFERROR(INDEX(hayday_info!$F$2:$F$349,MATCH($A51,hayday_info!$A$2:$A$349,0)),"not found")</f>
        <v/>
      </c>
      <c r="O51" s="32">
        <f>IF(N51="not found","not in hayday.info",IF(G51="","no Fandom value",IF(N51=G51,"match","differs")))</f>
        <v/>
      </c>
      <c r="P51" s="32">
        <f>IF(J51="not found","not in hayday.info",IF(C51="","no Fandom value",IF(IFERROR(INDEX(hayday_info!$C$2:$C$349,MATCH($A51,hayday_info!$A$2:$A$349,0)),"not found")=C51,"match","differs")))</f>
        <v/>
      </c>
    </row>
    <row r="52" ht="15" customHeight="1" s="29">
      <c r="A52" s="32" t="inlineStr">
        <is>
          <t>Cotton fabric</t>
        </is>
      </c>
      <c r="B52" s="32" t="inlineStr">
        <is>
          <t>Loom</t>
        </is>
      </c>
      <c r="C52" s="33" t="n">
        <v>18</v>
      </c>
      <c r="D52" s="33" t="n">
        <v>30</v>
      </c>
      <c r="E52" s="33" t="n">
        <v>25</v>
      </c>
      <c r="F52" s="35" t="n">
        <v>108</v>
      </c>
      <c r="G52" s="33" t="n">
        <v>13</v>
      </c>
      <c r="H52" s="32" t="n"/>
      <c r="I52" s="32" t="inlineStr">
        <is>
          <t>Hay Day Wiki (Fandom) https://hayday.fandom.com/wiki/Loom</t>
        </is>
      </c>
      <c r="J52" s="39">
        <f>IFERROR(INDEX(hayday_info!$D$2:$D$349,MATCH($A52,hayday_info!$A$2:$A$349,0)),"not found")</f>
        <v/>
      </c>
      <c r="K52" s="32">
        <f>IF(J52="not found","not in hayday.info",IF(J52=E52,"matches mastered",IF(J52=D52,"matches normal","differs")))</f>
        <v/>
      </c>
      <c r="L52" s="40">
        <f>IFERROR(INDEX(hayday_info!$E$2:$E$349,MATCH($A52,hayday_info!$A$2:$A$349,0)),"not found")</f>
        <v/>
      </c>
      <c r="M52" s="32">
        <f>IF(L52="not found","not in hayday.info",IF(F52="","no Fandom value",IF(L52=F52,"match","differs")))</f>
        <v/>
      </c>
      <c r="N52" s="32">
        <f>IFERROR(INDEX(hayday_info!$F$2:$F$349,MATCH($A52,hayday_info!$A$2:$A$349,0)),"not found")</f>
        <v/>
      </c>
      <c r="O52" s="32">
        <f>IF(N52="not found","not in hayday.info",IF(G52="","no Fandom value",IF(N52=G52,"match","differs")))</f>
        <v/>
      </c>
      <c r="P52" s="32">
        <f>IF(J52="not found","not in hayday.info",IF(C52="","no Fandom value",IF(IFERROR(INDEX(hayday_info!$C$2:$C$349,MATCH($A52,hayday_info!$A$2:$A$349,0)),"not found")=C52,"match","differs")))</f>
        <v/>
      </c>
    </row>
    <row r="53" ht="15" customHeight="1" s="29">
      <c r="A53" s="32" t="inlineStr">
        <is>
          <t>Blue woolly hat</t>
        </is>
      </c>
      <c r="B53" s="32" t="inlineStr">
        <is>
          <t>Loom</t>
        </is>
      </c>
      <c r="C53" s="33" t="n">
        <v>19</v>
      </c>
      <c r="D53" s="33" t="n">
        <v>60</v>
      </c>
      <c r="E53" s="33" t="n">
        <v>51</v>
      </c>
      <c r="F53" s="35" t="n">
        <v>111</v>
      </c>
      <c r="G53" s="33" t="n">
        <v>13</v>
      </c>
      <c r="H53" s="32" t="n"/>
      <c r="I53" s="32" t="inlineStr">
        <is>
          <t>Hay Day Wiki (Fandom) https://hayday.fandom.com/wiki/Loom</t>
        </is>
      </c>
      <c r="J53" s="39">
        <f>IFERROR(INDEX(hayday_info!$D$2:$D$349,MATCH($A53,hayday_info!$A$2:$A$349,0)),"not found")</f>
        <v/>
      </c>
      <c r="K53" s="32">
        <f>IF(J53="not found","not in hayday.info",IF(J53=E53,"matches mastered",IF(J53=D53,"matches normal","differs")))</f>
        <v/>
      </c>
      <c r="L53" s="40">
        <f>IFERROR(INDEX(hayday_info!$E$2:$E$349,MATCH($A53,hayday_info!$A$2:$A$349,0)),"not found")</f>
        <v/>
      </c>
      <c r="M53" s="32">
        <f>IF(L53="not found","not in hayday.info",IF(F53="","no Fandom value",IF(L53=F53,"match","differs")))</f>
        <v/>
      </c>
      <c r="N53" s="32">
        <f>IFERROR(INDEX(hayday_info!$F$2:$F$349,MATCH($A53,hayday_info!$A$2:$A$349,0)),"not found")</f>
        <v/>
      </c>
      <c r="O53" s="32">
        <f>IF(N53="not found","not in hayday.info",IF(G53="","no Fandom value",IF(N53=G53,"match","differs")))</f>
        <v/>
      </c>
      <c r="P53" s="32">
        <f>IF(J53="not found","not in hayday.info",IF(C53="","no Fandom value",IF(IFERROR(INDEX(hayday_info!$C$2:$C$349,MATCH($A53,hayday_info!$A$2:$A$349,0)),"not found")=C53,"match","differs")))</f>
        <v/>
      </c>
    </row>
    <row r="54" ht="15" customHeight="1" s="29">
      <c r="A54" s="32" t="inlineStr">
        <is>
          <t>Blue sweater</t>
        </is>
      </c>
      <c r="B54" s="32" t="inlineStr">
        <is>
          <t>Loom</t>
        </is>
      </c>
      <c r="C54" s="33" t="n">
        <v>20</v>
      </c>
      <c r="D54" s="33" t="n">
        <v>180</v>
      </c>
      <c r="E54" s="33" t="n">
        <v>153</v>
      </c>
      <c r="F54" s="35" t="n">
        <v>208</v>
      </c>
      <c r="G54" s="33" t="n">
        <v>25</v>
      </c>
      <c r="H54" s="32" t="n"/>
      <c r="I54" s="32" t="inlineStr">
        <is>
          <t>Hay Day Wiki (Fandom) https://hayday.fandom.com/wiki/Loom</t>
        </is>
      </c>
      <c r="J54" s="39">
        <f>IFERROR(INDEX(hayday_info!$D$2:$D$349,MATCH($A54,hayday_info!$A$2:$A$349,0)),"not found")</f>
        <v/>
      </c>
      <c r="K54" s="32">
        <f>IF(J54="not found","not in hayday.info",IF(J54=E54,"matches mastered",IF(J54=D54,"matches normal","differs")))</f>
        <v/>
      </c>
      <c r="L54" s="40">
        <f>IFERROR(INDEX(hayday_info!$E$2:$E$349,MATCH($A54,hayday_info!$A$2:$A$349,0)),"not found")</f>
        <v/>
      </c>
      <c r="M54" s="32">
        <f>IF(L54="not found","not in hayday.info",IF(F54="","no Fandom value",IF(L54=F54,"match","differs")))</f>
        <v/>
      </c>
      <c r="N54" s="32">
        <f>IFERROR(INDEX(hayday_info!$F$2:$F$349,MATCH($A54,hayday_info!$A$2:$A$349,0)),"not found")</f>
        <v/>
      </c>
      <c r="O54" s="32">
        <f>IF(N54="not found","not in hayday.info",IF(G54="","no Fandom value",IF(N54=G54,"match","differs")))</f>
        <v/>
      </c>
      <c r="P54" s="32">
        <f>IF(J54="not found","not in hayday.info",IF(C54="","no Fandom value",IF(IFERROR(INDEX(hayday_info!$C$2:$C$349,MATCH($A54,hayday_info!$A$2:$A$349,0)),"not found")=C54,"match","differs")))</f>
        <v/>
      </c>
    </row>
    <row r="55" ht="15" customHeight="1" s="29">
      <c r="A55" s="32" t="inlineStr">
        <is>
          <t>Red scarf</t>
        </is>
      </c>
      <c r="B55" s="32" t="inlineStr">
        <is>
          <t>Loom</t>
        </is>
      </c>
      <c r="C55" s="33" t="n">
        <v>48</v>
      </c>
      <c r="D55" s="33" t="n">
        <v>150</v>
      </c>
      <c r="E55" s="33" t="n">
        <v>127</v>
      </c>
      <c r="F55" s="35" t="n">
        <v>288</v>
      </c>
      <c r="G55" s="33" t="n">
        <v>34</v>
      </c>
      <c r="H55" s="32" t="n"/>
      <c r="I55" s="32" t="inlineStr">
        <is>
          <t>Hay Day Wiki (Fandom) https://hayday.fandom.com/wiki/Loom</t>
        </is>
      </c>
      <c r="J55" s="39">
        <f>IFERROR(INDEX(hayday_info!$D$2:$D$349,MATCH($A55,hayday_info!$A$2:$A$349,0)),"not found")</f>
        <v/>
      </c>
      <c r="K55" s="32">
        <f>IF(J55="not found","not in hayday.info",IF(J55=E55,"matches mastered",IF(J55=D55,"matches normal","differs")))</f>
        <v/>
      </c>
      <c r="L55" s="40">
        <f>IFERROR(INDEX(hayday_info!$E$2:$E$349,MATCH($A55,hayday_info!$A$2:$A$349,0)),"not found")</f>
        <v/>
      </c>
      <c r="M55" s="32">
        <f>IF(L55="not found","not in hayday.info",IF(F55="","no Fandom value",IF(L55=F55,"match","differs")))</f>
        <v/>
      </c>
      <c r="N55" s="32">
        <f>IFERROR(INDEX(hayday_info!$F$2:$F$349,MATCH($A55,hayday_info!$A$2:$A$349,0)),"not found")</f>
        <v/>
      </c>
      <c r="O55" s="32">
        <f>IF(N55="not found","not in hayday.info",IF(G55="","no Fandom value",IF(N55=G55,"match","differs")))</f>
        <v/>
      </c>
      <c r="P55" s="32">
        <f>IF(J55="not found","not in hayday.info",IF(C55="","no Fandom value",IF(IFERROR(INDEX(hayday_info!$C$2:$C$349,MATCH($A55,hayday_info!$A$2:$A$349,0)),"not found")=C55,"match","differs")))</f>
        <v/>
      </c>
    </row>
    <row r="56" ht="15" customHeight="1" s="29">
      <c r="A56" s="32" t="inlineStr">
        <is>
          <t>Flower shawl</t>
        </is>
      </c>
      <c r="B56" s="32" t="inlineStr">
        <is>
          <t>Loom</t>
        </is>
      </c>
      <c r="C56" s="33" t="n">
        <v>71</v>
      </c>
      <c r="D56" s="33" t="n">
        <v>90</v>
      </c>
      <c r="E56" s="33" t="n">
        <v>76</v>
      </c>
      <c r="F56" s="35" t="n">
        <v>295</v>
      </c>
      <c r="G56" s="33" t="n">
        <v>35</v>
      </c>
      <c r="H56" s="32" t="n"/>
      <c r="I56" s="32" t="inlineStr">
        <is>
          <t>Hay Day Wiki (Fandom) https://hayday.fandom.com/wiki/Loom</t>
        </is>
      </c>
      <c r="J56" s="39">
        <f>IFERROR(INDEX(hayday_info!$D$2:$D$349,MATCH($A56,hayday_info!$A$2:$A$349,0)),"not found")</f>
        <v/>
      </c>
      <c r="K56" s="32">
        <f>IF(J56="not found","not in hayday.info",IF(J56=E56,"matches mastered",IF(J56=D56,"matches normal","differs")))</f>
        <v/>
      </c>
      <c r="L56" s="40">
        <f>IFERROR(INDEX(hayday_info!$E$2:$E$349,MATCH($A56,hayday_info!$A$2:$A$349,0)),"not found")</f>
        <v/>
      </c>
      <c r="M56" s="32">
        <f>IF(L56="not found","not in hayday.info",IF(F56="","no Fandom value",IF(L56=F56,"match","differs")))</f>
        <v/>
      </c>
      <c r="N56" s="32">
        <f>IFERROR(INDEX(hayday_info!$F$2:$F$349,MATCH($A56,hayday_info!$A$2:$A$349,0)),"not found")</f>
        <v/>
      </c>
      <c r="O56" s="32">
        <f>IF(N56="not found","not in hayday.info",IF(G56="","no Fandom value",IF(N56=G56,"match","differs")))</f>
        <v/>
      </c>
      <c r="P56" s="32">
        <f>IF(J56="not found","not in hayday.info",IF(C56="","no Fandom value",IF(IFERROR(INDEX(hayday_info!$C$2:$C$349,MATCH($A56,hayday_info!$A$2:$A$349,0)),"not found")=C56,"match","differs")))</f>
        <v/>
      </c>
    </row>
    <row r="57" ht="15" customHeight="1" s="29">
      <c r="A57" s="32" t="inlineStr">
        <is>
          <t>Cotton Shirt</t>
        </is>
      </c>
      <c r="B57" s="32" t="inlineStr">
        <is>
          <t>Sewing Machine</t>
        </is>
      </c>
      <c r="C57" s="33" t="n">
        <v>19</v>
      </c>
      <c r="D57" s="33" t="n">
        <v>45</v>
      </c>
      <c r="E57" s="33" t="n">
        <v>38</v>
      </c>
      <c r="F57" s="35" t="n">
        <v>241</v>
      </c>
      <c r="G57" s="33" t="n">
        <v>29</v>
      </c>
      <c r="H57" s="32" t="n"/>
      <c r="I57" s="32" t="inlineStr">
        <is>
          <t>Hay Day Wiki (Fandom) https://hayday.fandom.com/wiki/Sewing_Machine</t>
        </is>
      </c>
      <c r="J57" s="39">
        <f>IFERROR(INDEX(hayday_info!$D$2:$D$349,MATCH($A57,hayday_info!$A$2:$A$349,0)),"not found")</f>
        <v/>
      </c>
      <c r="K57" s="32">
        <f>IF(J57="not found","not in hayday.info",IF(J57=E57,"matches mastered",IF(J57=D57,"matches normal","differs")))</f>
        <v/>
      </c>
      <c r="L57" s="40">
        <f>IFERROR(INDEX(hayday_info!$E$2:$E$349,MATCH($A57,hayday_info!$A$2:$A$349,0)),"not found")</f>
        <v/>
      </c>
      <c r="M57" s="32">
        <f>IF(L57="not found","not in hayday.info",IF(F57="","no Fandom value",IF(L57=F57,"match","differs")))</f>
        <v/>
      </c>
      <c r="N57" s="32">
        <f>IFERROR(INDEX(hayday_info!$F$2:$F$349,MATCH($A57,hayday_info!$A$2:$A$349,0)),"not found")</f>
        <v/>
      </c>
      <c r="O57" s="32">
        <f>IF(N57="not found","not in hayday.info",IF(G57="","no Fandom value",IF(N57=G57,"match","differs")))</f>
        <v/>
      </c>
      <c r="P57" s="32">
        <f>IF(J57="not found","not in hayday.info",IF(C57="","no Fandom value",IF(IFERROR(INDEX(hayday_info!$C$2:$C$349,MATCH($A57,hayday_info!$A$2:$A$349,0)),"not found")=C57,"match","differs")))</f>
        <v/>
      </c>
    </row>
    <row r="58" ht="15" customHeight="1" s="29">
      <c r="A58" s="32" t="inlineStr">
        <is>
          <t>Wooly Chaps</t>
        </is>
      </c>
      <c r="B58" s="32" t="inlineStr">
        <is>
          <t>Sewing Machine</t>
        </is>
      </c>
      <c r="C58" s="33" t="n">
        <v>21</v>
      </c>
      <c r="D58" s="33" t="n">
        <v>90</v>
      </c>
      <c r="E58" s="33" t="n">
        <v>76</v>
      </c>
      <c r="F58" s="35" t="n">
        <v>309</v>
      </c>
      <c r="G58" s="33" t="n">
        <v>37</v>
      </c>
      <c r="H58" s="32" t="n"/>
      <c r="I58" s="32" t="inlineStr">
        <is>
          <t>Hay Day Wiki (Fandom) https://hayday.fandom.com/wiki/Sewing_Machine</t>
        </is>
      </c>
      <c r="J58" s="39">
        <f>IFERROR(INDEX(hayday_info!$D$2:$D$349,MATCH($A58,hayday_info!$A$2:$A$349,0)),"not found")</f>
        <v/>
      </c>
      <c r="K58" s="32">
        <f>IF(J58="not found","not in hayday.info",IF(J58=E58,"matches mastered",IF(J58=D58,"matches normal","differs")))</f>
        <v/>
      </c>
      <c r="L58" s="40">
        <f>IFERROR(INDEX(hayday_info!$E$2:$E$349,MATCH($A58,hayday_info!$A$2:$A$349,0)),"not found")</f>
        <v/>
      </c>
      <c r="M58" s="32">
        <f>IF(L58="not found","not in hayday.info",IF(F58="","no Fandom value",IF(L58=F58,"match","differs")))</f>
        <v/>
      </c>
      <c r="N58" s="32">
        <f>IFERROR(INDEX(hayday_info!$F$2:$F$349,MATCH($A58,hayday_info!$A$2:$A$349,0)),"not found")</f>
        <v/>
      </c>
      <c r="O58" s="32">
        <f>IF(N58="not found","not in hayday.info",IF(G58="","no Fandom value",IF(N58=G58,"match","differs")))</f>
        <v/>
      </c>
      <c r="P58" s="32">
        <f>IF(J58="not found","not in hayday.info",IF(C58="","no Fandom value",IF(IFERROR(INDEX(hayday_info!$C$2:$C$349,MATCH($A58,hayday_info!$A$2:$A$349,0)),"not found")=C58,"match","differs")))</f>
        <v/>
      </c>
    </row>
    <row r="59" ht="15" customHeight="1" s="29">
      <c r="A59" s="32" t="inlineStr">
        <is>
          <t>Violet Dress</t>
        </is>
      </c>
      <c r="B59" s="32" t="inlineStr">
        <is>
          <t>Sewing Machine</t>
        </is>
      </c>
      <c r="C59" s="33" t="n">
        <v>25</v>
      </c>
      <c r="D59" s="33" t="n">
        <v>135</v>
      </c>
      <c r="E59" s="33" t="n">
        <v>114</v>
      </c>
      <c r="F59" s="35" t="n">
        <v>327</v>
      </c>
      <c r="G59" s="33" t="n">
        <v>39</v>
      </c>
      <c r="H59" s="32" t="n"/>
      <c r="I59" s="32" t="inlineStr">
        <is>
          <t>Hay Day Wiki (Fandom) https://hayday.fandom.com/wiki/Sewing_Machine</t>
        </is>
      </c>
      <c r="J59" s="39">
        <f>IFERROR(INDEX(hayday_info!$D$2:$D$349,MATCH($A59,hayday_info!$A$2:$A$349,0)),"not found")</f>
        <v/>
      </c>
      <c r="K59" s="32">
        <f>IF(J59="not found","not in hayday.info",IF(J59=E59,"matches mastered",IF(J59=D59,"matches normal","differs")))</f>
        <v/>
      </c>
      <c r="L59" s="40">
        <f>IFERROR(INDEX(hayday_info!$E$2:$E$349,MATCH($A59,hayday_info!$A$2:$A$349,0)),"not found")</f>
        <v/>
      </c>
      <c r="M59" s="32">
        <f>IF(L59="not found","not in hayday.info",IF(F59="","no Fandom value",IF(L59=F59,"match","differs")))</f>
        <v/>
      </c>
      <c r="N59" s="32">
        <f>IFERROR(INDEX(hayday_info!$F$2:$F$349,MATCH($A59,hayday_info!$A$2:$A$349,0)),"not found")</f>
        <v/>
      </c>
      <c r="O59" s="32">
        <f>IF(N59="not found","not in hayday.info",IF(G59="","no Fandom value",IF(N59=G59,"match","differs")))</f>
        <v/>
      </c>
      <c r="P59" s="32">
        <f>IF(J59="not found","not in hayday.info",IF(C59="","no Fandom value",IF(IFERROR(INDEX(hayday_info!$C$2:$C$349,MATCH($A59,hayday_info!$A$2:$A$349,0)),"not found")=C59,"match","differs")))</f>
        <v/>
      </c>
    </row>
    <row r="60" ht="15" customHeight="1" s="29">
      <c r="A60" s="32" t="inlineStr">
        <is>
          <t>Pillow</t>
        </is>
      </c>
      <c r="B60" s="32" t="inlineStr">
        <is>
          <t>Sewing Machine</t>
        </is>
      </c>
      <c r="C60" s="33" t="n">
        <v>51</v>
      </c>
      <c r="D60" s="33" t="n">
        <v>180</v>
      </c>
      <c r="E60" s="33" t="n">
        <v>153</v>
      </c>
      <c r="F60" s="35" t="n">
        <v>676</v>
      </c>
      <c r="G60" s="33" t="n">
        <v>81</v>
      </c>
      <c r="H60" s="32" t="n"/>
      <c r="I60" s="32" t="inlineStr">
        <is>
          <t>Hay Day Wiki (Fandom) https://hayday.fandom.com/wiki/Sewing_Machine</t>
        </is>
      </c>
      <c r="J60" s="39">
        <f>IFERROR(INDEX(hayday_info!$D$2:$D$349,MATCH($A60,hayday_info!$A$2:$A$349,0)),"not found")</f>
        <v/>
      </c>
      <c r="K60" s="32">
        <f>IF(J60="not found","not in hayday.info",IF(J60=E60,"matches mastered",IF(J60=D60,"matches normal","differs")))</f>
        <v/>
      </c>
      <c r="L60" s="40">
        <f>IFERROR(INDEX(hayday_info!$E$2:$E$349,MATCH($A60,hayday_info!$A$2:$A$349,0)),"not found")</f>
        <v/>
      </c>
      <c r="M60" s="32">
        <f>IF(L60="not found","not in hayday.info",IF(F60="","no Fandom value",IF(L60=F60,"match","differs")))</f>
        <v/>
      </c>
      <c r="N60" s="32">
        <f>IFERROR(INDEX(hayday_info!$F$2:$F$349,MATCH($A60,hayday_info!$A$2:$A$349,0)),"not found")</f>
        <v/>
      </c>
      <c r="O60" s="32">
        <f>IF(N60="not found","not in hayday.info",IF(G60="","no Fandom value",IF(N60=G60,"match","differs")))</f>
        <v/>
      </c>
      <c r="P60" s="32">
        <f>IF(J60="not found","not in hayday.info",IF(C60="","no Fandom value",IF(IFERROR(INDEX(hayday_info!$C$2:$C$349,MATCH($A60,hayday_info!$A$2:$A$349,0)),"not found")=C60,"match","differs")))</f>
        <v/>
      </c>
    </row>
    <row r="61" ht="15" customHeight="1" s="29">
      <c r="A61" s="32" t="inlineStr">
        <is>
          <t>Blanket</t>
        </is>
      </c>
      <c r="B61" s="32" t="inlineStr">
        <is>
          <t>Sewing Machine</t>
        </is>
      </c>
      <c r="C61" s="33" t="n">
        <v>59</v>
      </c>
      <c r="D61" s="33" t="n">
        <v>210</v>
      </c>
      <c r="E61" s="33" t="n">
        <v>178</v>
      </c>
      <c r="F61" s="35" t="n">
        <v>1098</v>
      </c>
      <c r="G61" s="33" t="n">
        <v>131</v>
      </c>
      <c r="H61" s="32" t="n"/>
      <c r="I61" s="32" t="inlineStr">
        <is>
          <t>Hay Day Wiki (Fandom) https://hayday.fandom.com/wiki/Sewing_Machine</t>
        </is>
      </c>
      <c r="J61" s="39">
        <f>IFERROR(INDEX(hayday_info!$D$2:$D$349,MATCH($A61,hayday_info!$A$2:$A$349,0)),"not found")</f>
        <v/>
      </c>
      <c r="K61" s="32">
        <f>IF(J61="not found","not in hayday.info",IF(J61=E61,"matches mastered",IF(J61=D61,"matches normal","differs")))</f>
        <v/>
      </c>
      <c r="L61" s="40">
        <f>IFERROR(INDEX(hayday_info!$E$2:$E$349,MATCH($A61,hayday_info!$A$2:$A$349,0)),"not found")</f>
        <v/>
      </c>
      <c r="M61" s="32">
        <f>IF(L61="not found","not in hayday.info",IF(F61="","no Fandom value",IF(L61=F61,"match","differs")))</f>
        <v/>
      </c>
      <c r="N61" s="32">
        <f>IFERROR(INDEX(hayday_info!$F$2:$F$349,MATCH($A61,hayday_info!$A$2:$A$349,0)),"not found")</f>
        <v/>
      </c>
      <c r="O61" s="32">
        <f>IF(N61="not found","not in hayday.info",IF(G61="","no Fandom value",IF(N61=G61,"match","differs")))</f>
        <v/>
      </c>
      <c r="P61" s="32">
        <f>IF(J61="not found","not in hayday.info",IF(C61="","no Fandom value",IF(IFERROR(INDEX(hayday_info!$C$2:$C$349,MATCH($A61,hayday_info!$A$2:$A$349,0)),"not found")=C61,"match","differs")))</f>
        <v/>
      </c>
    </row>
    <row r="62" ht="15" customHeight="1" s="29">
      <c r="A62" s="32" t="inlineStr">
        <is>
          <t>Carrot juice</t>
        </is>
      </c>
      <c r="B62" s="32" t="inlineStr">
        <is>
          <t>Juice Press</t>
        </is>
      </c>
      <c r="C62" s="33" t="n">
        <v>26</v>
      </c>
      <c r="D62" s="33" t="n">
        <v>30</v>
      </c>
      <c r="E62" s="33" t="n">
        <v>25</v>
      </c>
      <c r="F62" s="35" t="n">
        <v>46</v>
      </c>
      <c r="G62" s="33" t="n">
        <v>6</v>
      </c>
      <c r="H62" s="32" t="n"/>
      <c r="I62" s="32" t="inlineStr">
        <is>
          <t>Hay Day Wiki (Fandom) https://hayday.fandom.com/wiki/Juice_Press</t>
        </is>
      </c>
      <c r="J62" s="39">
        <f>IFERROR(INDEX(hayday_info!$D$2:$D$349,MATCH($A62,hayday_info!$A$2:$A$349,0)),"not found")</f>
        <v/>
      </c>
      <c r="K62" s="32">
        <f>IF(J62="not found","not in hayday.info",IF(J62=E62,"matches mastered",IF(J62=D62,"matches normal","differs")))</f>
        <v/>
      </c>
      <c r="L62" s="40">
        <f>IFERROR(INDEX(hayday_info!$E$2:$E$349,MATCH($A62,hayday_info!$A$2:$A$349,0)),"not found")</f>
        <v/>
      </c>
      <c r="M62" s="32">
        <f>IF(L62="not found","not in hayday.info",IF(F62="","no Fandom value",IF(L62=F62,"match","differs")))</f>
        <v/>
      </c>
      <c r="N62" s="32">
        <f>IFERROR(INDEX(hayday_info!$F$2:$F$349,MATCH($A62,hayday_info!$A$2:$A$349,0)),"not found")</f>
        <v/>
      </c>
      <c r="O62" s="32">
        <f>IF(N62="not found","not in hayday.info",IF(G62="","no Fandom value",IF(N62=G62,"match","differs")))</f>
        <v/>
      </c>
      <c r="P62" s="32">
        <f>IF(J62="not found","not in hayday.info",IF(C62="","no Fandom value",IF(IFERROR(INDEX(hayday_info!$C$2:$C$349,MATCH($A62,hayday_info!$A$2:$A$349,0)),"not found")=C62,"match","differs")))</f>
        <v/>
      </c>
    </row>
    <row r="63" ht="15" customHeight="1" s="29">
      <c r="A63" s="32" t="inlineStr">
        <is>
          <t>Apple juice</t>
        </is>
      </c>
      <c r="B63" s="32" t="inlineStr">
        <is>
          <t>Juice Press</t>
        </is>
      </c>
      <c r="C63" s="33" t="n">
        <v>28</v>
      </c>
      <c r="D63" s="33" t="n">
        <v>120</v>
      </c>
      <c r="E63" s="33" t="n">
        <v>102</v>
      </c>
      <c r="F63" s="35" t="n">
        <v>129</v>
      </c>
      <c r="G63" s="33" t="n">
        <v>15</v>
      </c>
      <c r="H63" s="32" t="n"/>
      <c r="I63" s="32" t="inlineStr">
        <is>
          <t>Hay Day Wiki (Fandom) https://hayday.fandom.com/wiki/Juice_Press</t>
        </is>
      </c>
      <c r="J63" s="39">
        <f>IFERROR(INDEX(hayday_info!$D$2:$D$349,MATCH($A63,hayday_info!$A$2:$A$349,0)),"not found")</f>
        <v/>
      </c>
      <c r="K63" s="32">
        <f>IF(J63="not found","not in hayday.info",IF(J63=E63,"matches mastered",IF(J63=D63,"matches normal","differs")))</f>
        <v/>
      </c>
      <c r="L63" s="40">
        <f>IFERROR(INDEX(hayday_info!$E$2:$E$349,MATCH($A63,hayday_info!$A$2:$A$349,0)),"not found")</f>
        <v/>
      </c>
      <c r="M63" s="32">
        <f>IF(L63="not found","not in hayday.info",IF(F63="","no Fandom value",IF(L63=F63,"match","differs")))</f>
        <v/>
      </c>
      <c r="N63" s="32">
        <f>IFERROR(INDEX(hayday_info!$F$2:$F$349,MATCH($A63,hayday_info!$A$2:$A$349,0)),"not found")</f>
        <v/>
      </c>
      <c r="O63" s="32">
        <f>IF(N63="not found","not in hayday.info",IF(G63="","no Fandom value",IF(N63=G63,"match","differs")))</f>
        <v/>
      </c>
      <c r="P63" s="32">
        <f>IF(J63="not found","not in hayday.info",IF(C63="","no Fandom value",IF(IFERROR(INDEX(hayday_info!$C$2:$C$349,MATCH($A63,hayday_info!$A$2:$A$349,0)),"not found")=C63,"match","differs")))</f>
        <v/>
      </c>
    </row>
    <row r="64" ht="15" customHeight="1" s="29">
      <c r="A64" s="32" t="inlineStr">
        <is>
          <t>Cherry juice</t>
        </is>
      </c>
      <c r="B64" s="32" t="inlineStr">
        <is>
          <t>Juice Press</t>
        </is>
      </c>
      <c r="C64" s="33" t="n">
        <v>30</v>
      </c>
      <c r="D64" s="33" t="n">
        <v>150</v>
      </c>
      <c r="E64" s="33" t="n">
        <v>127</v>
      </c>
      <c r="F64" s="35" t="n">
        <v>216</v>
      </c>
      <c r="G64" s="33" t="n">
        <v>26</v>
      </c>
      <c r="H64" s="32" t="n"/>
      <c r="I64" s="32" t="inlineStr">
        <is>
          <t>Hay Day Wiki (Fandom) https://hayday.fandom.com/wiki/Juice_Press</t>
        </is>
      </c>
      <c r="J64" s="39">
        <f>IFERROR(INDEX(hayday_info!$D$2:$D$349,MATCH($A64,hayday_info!$A$2:$A$349,0)),"not found")</f>
        <v/>
      </c>
      <c r="K64" s="32">
        <f>IF(J64="not found","not in hayday.info",IF(J64=E64,"matches mastered",IF(J64=D64,"matches normal","differs")))</f>
        <v/>
      </c>
      <c r="L64" s="40">
        <f>IFERROR(INDEX(hayday_info!$E$2:$E$349,MATCH($A64,hayday_info!$A$2:$A$349,0)),"not found")</f>
        <v/>
      </c>
      <c r="M64" s="32">
        <f>IF(L64="not found","not in hayday.info",IF(F64="","no Fandom value",IF(L64=F64,"match","differs")))</f>
        <v/>
      </c>
      <c r="N64" s="32">
        <f>IFERROR(INDEX(hayday_info!$F$2:$F$349,MATCH($A64,hayday_info!$A$2:$A$349,0)),"not found")</f>
        <v/>
      </c>
      <c r="O64" s="32">
        <f>IF(N64="not found","not in hayday.info",IF(G64="","no Fandom value",IF(N64=G64,"match","differs")))</f>
        <v/>
      </c>
      <c r="P64" s="32">
        <f>IF(J64="not found","not in hayday.info",IF(C64="","no Fandom value",IF(IFERROR(INDEX(hayday_info!$C$2:$C$349,MATCH($A64,hayday_info!$A$2:$A$349,0)),"not found")=C64,"match","differs")))</f>
        <v/>
      </c>
    </row>
    <row r="65" ht="15" customHeight="1" s="29">
      <c r="A65" s="32" t="inlineStr">
        <is>
          <t>Tomato juice</t>
        </is>
      </c>
      <c r="B65" s="32" t="inlineStr">
        <is>
          <t>Juice Press</t>
        </is>
      </c>
      <c r="C65" s="33" t="n">
        <v>31</v>
      </c>
      <c r="D65" s="33" t="n">
        <v>90</v>
      </c>
      <c r="E65" s="33" t="n">
        <v>76</v>
      </c>
      <c r="F65" s="35" t="n">
        <v>162</v>
      </c>
      <c r="G65" s="33" t="n">
        <v>19</v>
      </c>
      <c r="H65" s="32" t="n"/>
      <c r="I65" s="32" t="inlineStr">
        <is>
          <t>Hay Day Wiki (Fandom) https://hayday.fandom.com/wiki/Juice_Press</t>
        </is>
      </c>
      <c r="J65" s="39">
        <f>IFERROR(INDEX(hayday_info!$D$2:$D$349,MATCH($A65,hayday_info!$A$2:$A$349,0)),"not found")</f>
        <v/>
      </c>
      <c r="K65" s="32">
        <f>IF(J65="not found","not in hayday.info",IF(J65=E65,"matches mastered",IF(J65=D65,"matches normal","differs")))</f>
        <v/>
      </c>
      <c r="L65" s="40">
        <f>IFERROR(INDEX(hayday_info!$E$2:$E$349,MATCH($A65,hayday_info!$A$2:$A$349,0)),"not found")</f>
        <v/>
      </c>
      <c r="M65" s="32">
        <f>IF(L65="not found","not in hayday.info",IF(F65="","no Fandom value",IF(L65=F65,"match","differs")))</f>
        <v/>
      </c>
      <c r="N65" s="32">
        <f>IFERROR(INDEX(hayday_info!$F$2:$F$349,MATCH($A65,hayday_info!$A$2:$A$349,0)),"not found")</f>
        <v/>
      </c>
      <c r="O65" s="32">
        <f>IF(N65="not found","not in hayday.info",IF(G65="","no Fandom value",IF(N65=G65,"match","differs")))</f>
        <v/>
      </c>
      <c r="P65" s="32">
        <f>IF(J65="not found","not in hayday.info",IF(C65="","no Fandom value",IF(IFERROR(INDEX(hayday_info!$C$2:$C$349,MATCH($A65,hayday_info!$A$2:$A$349,0)),"not found")=C65,"match","differs")))</f>
        <v/>
      </c>
    </row>
    <row r="66" ht="15" customHeight="1" s="29">
      <c r="A66" s="32" t="inlineStr">
        <is>
          <t>Berry juice</t>
        </is>
      </c>
      <c r="B66" s="32" t="inlineStr">
        <is>
          <t>Juice Press</t>
        </is>
      </c>
      <c r="C66" s="33" t="n">
        <v>31</v>
      </c>
      <c r="D66" s="33" t="n">
        <v>180</v>
      </c>
      <c r="E66" s="33" t="n">
        <v>153</v>
      </c>
      <c r="F66" s="35" t="n">
        <v>205</v>
      </c>
      <c r="G66" s="33" t="n">
        <v>24</v>
      </c>
      <c r="H66" s="32" t="n"/>
      <c r="I66" s="32" t="inlineStr">
        <is>
          <t>Hay Day Wiki (Fandom) https://hayday.fandom.com/wiki/Juice_Press</t>
        </is>
      </c>
      <c r="J66" s="39">
        <f>IFERROR(INDEX(hayday_info!$D$2:$D$349,MATCH($A66,hayday_info!$A$2:$A$349,0)),"not found")</f>
        <v/>
      </c>
      <c r="K66" s="32">
        <f>IF(J66="not found","not in hayday.info",IF(J66=E66,"matches mastered",IF(J66=D66,"matches normal","differs")))</f>
        <v/>
      </c>
      <c r="L66" s="40">
        <f>IFERROR(INDEX(hayday_info!$E$2:$E$349,MATCH($A66,hayday_info!$A$2:$A$349,0)),"not found")</f>
        <v/>
      </c>
      <c r="M66" s="32">
        <f>IF(L66="not found","not in hayday.info",IF(F66="","no Fandom value",IF(L66=F66,"match","differs")))</f>
        <v/>
      </c>
      <c r="N66" s="32">
        <f>IFERROR(INDEX(hayday_info!$F$2:$F$349,MATCH($A66,hayday_info!$A$2:$A$349,0)),"not found")</f>
        <v/>
      </c>
      <c r="O66" s="32">
        <f>IF(N66="not found","not in hayday.info",IF(G66="","no Fandom value",IF(N66=G66,"match","differs")))</f>
        <v/>
      </c>
      <c r="P66" s="32">
        <f>IF(J66="not found","not in hayday.info",IF(C66="","no Fandom value",IF(IFERROR(INDEX(hayday_info!$C$2:$C$349,MATCH($A66,hayday_info!$A$2:$A$349,0)),"not found")=C66,"match","differs")))</f>
        <v/>
      </c>
    </row>
    <row r="67" ht="15" customHeight="1" s="29">
      <c r="A67" s="32" t="inlineStr">
        <is>
          <t>Pineapple juice</t>
        </is>
      </c>
      <c r="B67" s="32" t="inlineStr">
        <is>
          <t>Juice Press</t>
        </is>
      </c>
      <c r="C67" s="33" t="n">
        <v>52</v>
      </c>
      <c r="D67" s="33" t="n">
        <v>45</v>
      </c>
      <c r="E67" s="33" t="n">
        <v>38</v>
      </c>
      <c r="F67" s="35" t="n">
        <v>68</v>
      </c>
      <c r="G67" s="33" t="n">
        <v>8</v>
      </c>
      <c r="H67" s="32" t="n"/>
      <c r="I67" s="32" t="inlineStr">
        <is>
          <t>Hay Day Wiki (Fandom) https://hayday.fandom.com/wiki/Juice_Press</t>
        </is>
      </c>
      <c r="J67" s="39">
        <f>IFERROR(INDEX(hayday_info!$D$2:$D$349,MATCH($A67,hayday_info!$A$2:$A$349,0)),"not found")</f>
        <v/>
      </c>
      <c r="K67" s="32">
        <f>IF(J67="not found","not in hayday.info",IF(J67=E67,"matches mastered",IF(J67=D67,"matches normal","differs")))</f>
        <v/>
      </c>
      <c r="L67" s="40">
        <f>IFERROR(INDEX(hayday_info!$E$2:$E$349,MATCH($A67,hayday_info!$A$2:$A$349,0)),"not found")</f>
        <v/>
      </c>
      <c r="M67" s="32">
        <f>IF(L67="not found","not in hayday.info",IF(F67="","no Fandom value",IF(L67=F67,"match","differs")))</f>
        <v/>
      </c>
      <c r="N67" s="32">
        <f>IFERROR(INDEX(hayday_info!$F$2:$F$349,MATCH($A67,hayday_info!$A$2:$A$349,0)),"not found")</f>
        <v/>
      </c>
      <c r="O67" s="32">
        <f>IF(N67="not found","not in hayday.info",IF(G67="","no Fandom value",IF(N67=G67,"match","differs")))</f>
        <v/>
      </c>
      <c r="P67" s="32">
        <f>IF(J67="not found","not in hayday.info",IF(C67="","no Fandom value",IF(IFERROR(INDEX(hayday_info!$C$2:$C$349,MATCH($A67,hayday_info!$A$2:$A$349,0)),"not found")=C67,"match","differs")))</f>
        <v/>
      </c>
    </row>
    <row r="68" ht="15" customHeight="1" s="29">
      <c r="A68" s="32" t="inlineStr">
        <is>
          <t>Orange juice</t>
        </is>
      </c>
      <c r="B68" s="32" t="inlineStr">
        <is>
          <t>Juice Press</t>
        </is>
      </c>
      <c r="C68" s="33" t="n">
        <v>71</v>
      </c>
      <c r="D68" s="33" t="n">
        <v>120</v>
      </c>
      <c r="E68" s="33" t="n">
        <v>102</v>
      </c>
      <c r="F68" s="35" t="n">
        <v>234</v>
      </c>
      <c r="G68" s="33" t="n">
        <v>28</v>
      </c>
      <c r="H68" s="32" t="n"/>
      <c r="I68" s="32" t="inlineStr">
        <is>
          <t>Hay Day Wiki (Fandom) https://hayday.fandom.com/wiki/Juice_Press</t>
        </is>
      </c>
      <c r="J68" s="39">
        <f>IFERROR(INDEX(hayday_info!$D$2:$D$349,MATCH($A68,hayday_info!$A$2:$A$349,0)),"not found")</f>
        <v/>
      </c>
      <c r="K68" s="32">
        <f>IF(J68="not found","not in hayday.info",IF(J68=E68,"matches mastered",IF(J68=D68,"matches normal","differs")))</f>
        <v/>
      </c>
      <c r="L68" s="40">
        <f>IFERROR(INDEX(hayday_info!$E$2:$E$349,MATCH($A68,hayday_info!$A$2:$A$349,0)),"not found")</f>
        <v/>
      </c>
      <c r="M68" s="32">
        <f>IF(L68="not found","not in hayday.info",IF(F68="","no Fandom value",IF(L68=F68,"match","differs")))</f>
        <v/>
      </c>
      <c r="N68" s="32">
        <f>IFERROR(INDEX(hayday_info!$F$2:$F$349,MATCH($A68,hayday_info!$A$2:$A$349,0)),"not found")</f>
        <v/>
      </c>
      <c r="O68" s="32">
        <f>IF(N68="not found","not in hayday.info",IF(G68="","no Fandom value",IF(N68=G68,"match","differs")))</f>
        <v/>
      </c>
      <c r="P68" s="32">
        <f>IF(J68="not found","not in hayday.info",IF(C68="","no Fandom value",IF(IFERROR(INDEX(hayday_info!$C$2:$C$349,MATCH($A68,hayday_info!$A$2:$A$349,0)),"not found")=C68,"match","differs")))</f>
        <v/>
      </c>
    </row>
    <row r="69" ht="15" customHeight="1" s="29">
      <c r="A69" s="32" t="inlineStr">
        <is>
          <t>Grape juice</t>
        </is>
      </c>
      <c r="B69" s="32" t="inlineStr">
        <is>
          <t>Juice Press</t>
        </is>
      </c>
      <c r="C69" s="33" t="n">
        <v>84</v>
      </c>
      <c r="D69" s="33" t="n">
        <v>150</v>
      </c>
      <c r="E69" s="33" t="n">
        <v>127</v>
      </c>
      <c r="F69" s="35" t="n">
        <v>104</v>
      </c>
      <c r="G69" s="33" t="n">
        <v>13</v>
      </c>
      <c r="H69" s="32" t="n"/>
      <c r="I69" s="32" t="inlineStr">
        <is>
          <t>Hay Day Wiki (Fandom) https://hayday.fandom.com/wiki/Juice_Press</t>
        </is>
      </c>
      <c r="J69" s="39">
        <f>IFERROR(INDEX(hayday_info!$D$2:$D$349,MATCH($A69,hayday_info!$A$2:$A$349,0)),"not found")</f>
        <v/>
      </c>
      <c r="K69" s="32">
        <f>IF(J69="not found","not in hayday.info",IF(J69=E69,"matches mastered",IF(J69=D69,"matches normal","differs")))</f>
        <v/>
      </c>
      <c r="L69" s="40">
        <f>IFERROR(INDEX(hayday_info!$E$2:$E$349,MATCH($A69,hayday_info!$A$2:$A$349,0)),"not found")</f>
        <v/>
      </c>
      <c r="M69" s="32">
        <f>IF(L69="not found","not in hayday.info",IF(F69="","no Fandom value",IF(L69=F69,"match","differs")))</f>
        <v/>
      </c>
      <c r="N69" s="32">
        <f>IFERROR(INDEX(hayday_info!$F$2:$F$349,MATCH($A69,hayday_info!$A$2:$A$349,0)),"not found")</f>
        <v/>
      </c>
      <c r="O69" s="32">
        <f>IF(N69="not found","not in hayday.info",IF(G69="","no Fandom value",IF(N69=G69,"match","differs")))</f>
        <v/>
      </c>
      <c r="P69" s="32">
        <f>IF(J69="not found","not in hayday.info",IF(C69="","no Fandom value",IF(IFERROR(INDEX(hayday_info!$C$2:$C$349,MATCH($A69,hayday_info!$A$2:$A$349,0)),"not found")=C69,"match","differs")))</f>
        <v/>
      </c>
    </row>
    <row r="70" ht="15" customHeight="1" s="29">
      <c r="A70" s="32" t="inlineStr">
        <is>
          <t>Watermelon juice</t>
        </is>
      </c>
      <c r="B70" s="32" t="inlineStr">
        <is>
          <t>Juice Press</t>
        </is>
      </c>
      <c r="C70" s="33" t="n">
        <v>92</v>
      </c>
      <c r="D70" s="33" t="n">
        <v>60</v>
      </c>
      <c r="E70" s="33" t="n">
        <v>51</v>
      </c>
      <c r="F70" s="35" t="n">
        <v>108</v>
      </c>
      <c r="G70" s="33" t="n">
        <v>13</v>
      </c>
      <c r="H70" s="32" t="n"/>
      <c r="I70" s="32" t="inlineStr">
        <is>
          <t>Hay Day Wiki (Fandom) https://hayday.fandom.com/wiki/Juice_Press</t>
        </is>
      </c>
      <c r="J70" s="39">
        <f>IFERROR(INDEX(hayday_info!$D$2:$D$349,MATCH($A70,hayday_info!$A$2:$A$349,0)),"not found")</f>
        <v/>
      </c>
      <c r="K70" s="32">
        <f>IF(J70="not found","not in hayday.info",IF(J70=E70,"matches mastered",IF(J70=D70,"matches normal","differs")))</f>
        <v/>
      </c>
      <c r="L70" s="40">
        <f>IFERROR(INDEX(hayday_info!$E$2:$E$349,MATCH($A70,hayday_info!$A$2:$A$349,0)),"not found")</f>
        <v/>
      </c>
      <c r="M70" s="32">
        <f>IF(L70="not found","not in hayday.info",IF(F70="","no Fandom value",IF(L70=F70,"match","differs")))</f>
        <v/>
      </c>
      <c r="N70" s="32">
        <f>IFERROR(INDEX(hayday_info!$F$2:$F$349,MATCH($A70,hayday_info!$A$2:$A$349,0)),"not found")</f>
        <v/>
      </c>
      <c r="O70" s="32">
        <f>IF(N70="not found","not in hayday.info",IF(G70="","no Fandom value",IF(N70=G70,"match","differs")))</f>
        <v/>
      </c>
      <c r="P70" s="32">
        <f>IF(J70="not found","not in hayday.info",IF(C70="","no Fandom value",IF(IFERROR(INDEX(hayday_info!$C$2:$C$349,MATCH($A70,hayday_info!$A$2:$A$349,0)),"not found")=C70,"match","differs")))</f>
        <v/>
      </c>
    </row>
    <row r="71" ht="15" customHeight="1" s="29">
      <c r="A71" s="32" t="inlineStr">
        <is>
          <t>Vanilla Ice Cream</t>
        </is>
      </c>
      <c r="B71" s="32" t="inlineStr">
        <is>
          <t>Ice Cream Maker</t>
        </is>
      </c>
      <c r="C71" s="33" t="n">
        <v>29</v>
      </c>
      <c r="D71" s="33" t="n">
        <v>120</v>
      </c>
      <c r="E71" s="33" t="n">
        <v>102</v>
      </c>
      <c r="F71" s="35" t="n">
        <v>172</v>
      </c>
      <c r="G71" s="33" t="n">
        <v>20</v>
      </c>
      <c r="H71" s="32" t="n"/>
      <c r="I71" s="32" t="inlineStr">
        <is>
          <t>Hay Day Wiki (Fandom) https://hayday.fandom.com/wiki/Ice_Cream_Maker</t>
        </is>
      </c>
      <c r="J71" s="39">
        <f>IFERROR(INDEX(hayday_info!$D$2:$D$349,MATCH($A71,hayday_info!$A$2:$A$349,0)),"not found")</f>
        <v/>
      </c>
      <c r="K71" s="32">
        <f>IF(J71="not found","not in hayday.info",IF(J71=E71,"matches mastered",IF(J71=D71,"matches normal","differs")))</f>
        <v/>
      </c>
      <c r="L71" s="40">
        <f>IFERROR(INDEX(hayday_info!$E$2:$E$349,MATCH($A71,hayday_info!$A$2:$A$349,0)),"not found")</f>
        <v/>
      </c>
      <c r="M71" s="32">
        <f>IF(L71="not found","not in hayday.info",IF(F71="","no Fandom value",IF(L71=F71,"match","differs")))</f>
        <v/>
      </c>
      <c r="N71" s="32">
        <f>IFERROR(INDEX(hayday_info!$F$2:$F$349,MATCH($A71,hayday_info!$A$2:$A$349,0)),"not found")</f>
        <v/>
      </c>
      <c r="O71" s="32">
        <f>IF(N71="not found","not in hayday.info",IF(G71="","no Fandom value",IF(N71=G71,"match","differs")))</f>
        <v/>
      </c>
      <c r="P71" s="32">
        <f>IF(J71="not found","not in hayday.info",IF(C71="","no Fandom value",IF(IFERROR(INDEX(hayday_info!$C$2:$C$349,MATCH($A71,hayday_info!$A$2:$A$349,0)),"not found")=C71,"match","differs")))</f>
        <v/>
      </c>
    </row>
    <row r="72" ht="15" customHeight="1" s="29">
      <c r="A72" s="32" t="inlineStr">
        <is>
          <t>Cherry Popsicle</t>
        </is>
      </c>
      <c r="B72" s="32" t="inlineStr">
        <is>
          <t>Ice Cream Maker</t>
        </is>
      </c>
      <c r="C72" s="33" t="n">
        <v>33</v>
      </c>
      <c r="D72" s="33" t="n">
        <v>180</v>
      </c>
      <c r="E72" s="33" t="n">
        <v>153</v>
      </c>
      <c r="F72" s="35" t="n">
        <v>352</v>
      </c>
      <c r="G72" s="33" t="n">
        <v>42</v>
      </c>
      <c r="H72" s="32" t="n"/>
      <c r="I72" s="32" t="inlineStr">
        <is>
          <t>Hay Day Wiki (Fandom) https://hayday.fandom.com/wiki/Ice_Cream_Maker</t>
        </is>
      </c>
      <c r="J72" s="39">
        <f>IFERROR(INDEX(hayday_info!$D$2:$D$349,MATCH($A72,hayday_info!$A$2:$A$349,0)),"not found")</f>
        <v/>
      </c>
      <c r="K72" s="32">
        <f>IF(J72="not found","not in hayday.info",IF(J72=E72,"matches mastered",IF(J72=D72,"matches normal","differs")))</f>
        <v/>
      </c>
      <c r="L72" s="40">
        <f>IFERROR(INDEX(hayday_info!$E$2:$E$349,MATCH($A72,hayday_info!$A$2:$A$349,0)),"not found")</f>
        <v/>
      </c>
      <c r="M72" s="32">
        <f>IF(L72="not found","not in hayday.info",IF(F72="","no Fandom value",IF(L72=F72,"match","differs")))</f>
        <v/>
      </c>
      <c r="N72" s="32">
        <f>IFERROR(INDEX(hayday_info!$F$2:$F$349,MATCH($A72,hayday_info!$A$2:$A$349,0)),"not found")</f>
        <v/>
      </c>
      <c r="O72" s="32">
        <f>IF(N72="not found","not in hayday.info",IF(G72="","no Fandom value",IF(N72=G72,"match","differs")))</f>
        <v/>
      </c>
      <c r="P72" s="32">
        <f>IF(J72="not found","not in hayday.info",IF(C72="","no Fandom value",IF(IFERROR(INDEX(hayday_info!$C$2:$C$349,MATCH($A72,hayday_info!$A$2:$A$349,0)),"not found")=C72,"match","differs")))</f>
        <v/>
      </c>
    </row>
    <row r="73" ht="15" customHeight="1" s="29">
      <c r="A73" s="32" t="inlineStr">
        <is>
          <t>Strawberry Ice Cream</t>
        </is>
      </c>
      <c r="B73" s="32" t="inlineStr">
        <is>
          <t>Ice Cream Maker</t>
        </is>
      </c>
      <c r="C73" s="33" t="n">
        <v>34</v>
      </c>
      <c r="D73" s="33" t="n">
        <v>240</v>
      </c>
      <c r="E73" s="33" t="n">
        <v>204</v>
      </c>
      <c r="F73" s="35" t="n">
        <v>331</v>
      </c>
      <c r="G73" s="33" t="n">
        <v>40</v>
      </c>
      <c r="H73" s="32" t="n"/>
      <c r="I73" s="32" t="inlineStr">
        <is>
          <t>Hay Day Wiki (Fandom) https://hayday.fandom.com/wiki/Ice_Cream_Maker</t>
        </is>
      </c>
      <c r="J73" s="39">
        <f>IFERROR(INDEX(hayday_info!$D$2:$D$349,MATCH($A73,hayday_info!$A$2:$A$349,0)),"not found")</f>
        <v/>
      </c>
      <c r="K73" s="32">
        <f>IF(J73="not found","not in hayday.info",IF(J73=E73,"matches mastered",IF(J73=D73,"matches normal","differs")))</f>
        <v/>
      </c>
      <c r="L73" s="40">
        <f>IFERROR(INDEX(hayday_info!$E$2:$E$349,MATCH($A73,hayday_info!$A$2:$A$349,0)),"not found")</f>
        <v/>
      </c>
      <c r="M73" s="32">
        <f>IF(L73="not found","not in hayday.info",IF(F73="","no Fandom value",IF(L73=F73,"match","differs")))</f>
        <v/>
      </c>
      <c r="N73" s="32">
        <f>IFERROR(INDEX(hayday_info!$F$2:$F$349,MATCH($A73,hayday_info!$A$2:$A$349,0)),"not found")</f>
        <v/>
      </c>
      <c r="O73" s="32">
        <f>IF(N73="not found","not in hayday.info",IF(G73="","no Fandom value",IF(N73=G73,"match","differs")))</f>
        <v/>
      </c>
      <c r="P73" s="32">
        <f>IF(J73="not found","not in hayday.info",IF(C73="","no Fandom value",IF(IFERROR(INDEX(hayday_info!$C$2:$C$349,MATCH($A73,hayday_info!$A$2:$A$349,0)),"not found")=C73,"match","differs")))</f>
        <v/>
      </c>
    </row>
    <row r="74" ht="15" customHeight="1" s="29">
      <c r="A74" s="32" t="inlineStr">
        <is>
          <t>Chocolate Ice Cream</t>
        </is>
      </c>
      <c r="B74" s="32" t="inlineStr">
        <is>
          <t>Ice Cream Maker</t>
        </is>
      </c>
      <c r="C74" s="33" t="n">
        <v>39</v>
      </c>
      <c r="D74" s="33" t="n">
        <v>150</v>
      </c>
      <c r="E74" s="33" t="n">
        <v>127</v>
      </c>
      <c r="F74" s="35" t="n">
        <v>342</v>
      </c>
      <c r="G74" s="33" t="n">
        <v>41</v>
      </c>
      <c r="H74" s="32" t="n"/>
      <c r="I74" s="32" t="inlineStr">
        <is>
          <t>Hay Day Wiki (Fandom) https://hayday.fandom.com/wiki/Ice_Cream_Maker</t>
        </is>
      </c>
      <c r="J74" s="39">
        <f>IFERROR(INDEX(hayday_info!$D$2:$D$349,MATCH($A74,hayday_info!$A$2:$A$349,0)),"not found")</f>
        <v/>
      </c>
      <c r="K74" s="32">
        <f>IF(J74="not found","not in hayday.info",IF(J74=E74,"matches mastered",IF(J74=D74,"matches normal","differs")))</f>
        <v/>
      </c>
      <c r="L74" s="40">
        <f>IFERROR(INDEX(hayday_info!$E$2:$E$349,MATCH($A74,hayday_info!$A$2:$A$349,0)),"not found")</f>
        <v/>
      </c>
      <c r="M74" s="32">
        <f>IF(L74="not found","not in hayday.info",IF(F74="","no Fandom value",IF(L74=F74,"match","differs")))</f>
        <v/>
      </c>
      <c r="N74" s="32">
        <f>IFERROR(INDEX(hayday_info!$F$2:$F$349,MATCH($A74,hayday_info!$A$2:$A$349,0)),"not found")</f>
        <v/>
      </c>
      <c r="O74" s="32">
        <f>IF(N74="not found","not in hayday.info",IF(G74="","no Fandom value",IF(N74=G74,"match","differs")))</f>
        <v/>
      </c>
      <c r="P74" s="32">
        <f>IF(J74="not found","not in hayday.info",IF(C74="","no Fandom value",IF(IFERROR(INDEX(hayday_info!$C$2:$C$349,MATCH($A74,hayday_info!$A$2:$A$349,0)),"not found")=C74,"match","differs")))</f>
        <v/>
      </c>
    </row>
    <row r="75" ht="15" customHeight="1" s="29">
      <c r="A75" s="32" t="inlineStr">
        <is>
          <t>Sesame Ice Cream</t>
        </is>
      </c>
      <c r="B75" s="32" t="inlineStr">
        <is>
          <t>Ice Cream Maker</t>
        </is>
      </c>
      <c r="C75" s="33" t="n">
        <v>50</v>
      </c>
      <c r="D75" s="33" t="n">
        <v>120</v>
      </c>
      <c r="E75" s="33" t="n">
        <v>102</v>
      </c>
      <c r="F75" s="35" t="n">
        <v>176</v>
      </c>
      <c r="G75" s="33" t="n">
        <v>21</v>
      </c>
      <c r="H75" s="32" t="n"/>
      <c r="I75" s="32" t="inlineStr">
        <is>
          <t>Hay Day Wiki (Fandom) https://hayday.fandom.com/wiki/Ice_Cream_Maker</t>
        </is>
      </c>
      <c r="J75" s="39">
        <f>IFERROR(INDEX(hayday_info!$D$2:$D$349,MATCH($A75,hayday_info!$A$2:$A$349,0)),"not found")</f>
        <v/>
      </c>
      <c r="K75" s="32">
        <f>IF(J75="not found","not in hayday.info",IF(J75=E75,"matches mastered",IF(J75=D75,"matches normal","differs")))</f>
        <v/>
      </c>
      <c r="L75" s="40">
        <f>IFERROR(INDEX(hayday_info!$E$2:$E$349,MATCH($A75,hayday_info!$A$2:$A$349,0)),"not found")</f>
        <v/>
      </c>
      <c r="M75" s="32">
        <f>IF(L75="not found","not in hayday.info",IF(F75="","no Fandom value",IF(L75=F75,"match","differs")))</f>
        <v/>
      </c>
      <c r="N75" s="32">
        <f>IFERROR(INDEX(hayday_info!$F$2:$F$349,MATCH($A75,hayday_info!$A$2:$A$349,0)),"not found")</f>
        <v/>
      </c>
      <c r="O75" s="32">
        <f>IF(N75="not found","not in hayday.info",IF(G75="","no Fandom value",IF(N75=G75,"match","differs")))</f>
        <v/>
      </c>
      <c r="P75" s="32">
        <f>IF(J75="not found","not in hayday.info",IF(C75="","no Fandom value",IF(IFERROR(INDEX(hayday_info!$C$2:$C$349,MATCH($A75,hayday_info!$A$2:$A$349,0)),"not found")=C75,"match","differs")))</f>
        <v/>
      </c>
    </row>
    <row r="76" ht="15" customHeight="1" s="29">
      <c r="A76" s="32" t="inlineStr">
        <is>
          <t>Peanut Butter Milkshake</t>
        </is>
      </c>
      <c r="B76" s="32" t="inlineStr">
        <is>
          <t>Ice Cream Maker</t>
        </is>
      </c>
      <c r="C76" s="33" t="n">
        <v>68</v>
      </c>
      <c r="D76" s="33" t="n">
        <v>100</v>
      </c>
      <c r="E76" s="33" t="n">
        <v>85</v>
      </c>
      <c r="F76" s="35" t="n">
        <v>619</v>
      </c>
      <c r="G76" s="33" t="n">
        <v>86</v>
      </c>
      <c r="H76" s="32" t="n"/>
      <c r="I76" s="32" t="inlineStr">
        <is>
          <t>Hay Day Wiki (Fandom) https://hayday.fandom.com/wiki/Ice_Cream_Maker</t>
        </is>
      </c>
      <c r="J76" s="39">
        <f>IFERROR(INDEX(hayday_info!$D$2:$D$349,MATCH($A76,hayday_info!$A$2:$A$349,0)),"not found")</f>
        <v/>
      </c>
      <c r="K76" s="32">
        <f>IF(J76="not found","not in hayday.info",IF(J76=E76,"matches mastered",IF(J76=D76,"matches normal","differs")))</f>
        <v/>
      </c>
      <c r="L76" s="40">
        <f>IFERROR(INDEX(hayday_info!$E$2:$E$349,MATCH($A76,hayday_info!$A$2:$A$349,0)),"not found")</f>
        <v/>
      </c>
      <c r="M76" s="32">
        <f>IF(L76="not found","not in hayday.info",IF(F76="","no Fandom value",IF(L76=F76,"match","differs")))</f>
        <v/>
      </c>
      <c r="N76" s="32">
        <f>IFERROR(INDEX(hayday_info!$F$2:$F$349,MATCH($A76,hayday_info!$A$2:$A$349,0)),"not found")</f>
        <v/>
      </c>
      <c r="O76" s="32">
        <f>IF(N76="not found","not in hayday.info",IF(G76="","no Fandom value",IF(N76=G76,"match","differs")))</f>
        <v/>
      </c>
      <c r="P76" s="32">
        <f>IF(J76="not found","not in hayday.info",IF(C76="","no Fandom value",IF(IFERROR(INDEX(hayday_info!$C$2:$C$349,MATCH($A76,hayday_info!$A$2:$A$349,0)),"not found")=C76,"match","differs")))</f>
        <v/>
      </c>
    </row>
    <row r="77" ht="15" customHeight="1" s="29">
      <c r="A77" s="32" t="inlineStr">
        <is>
          <t>Orange Sorbet</t>
        </is>
      </c>
      <c r="B77" s="32" t="inlineStr">
        <is>
          <t>Ice Cream Maker</t>
        </is>
      </c>
      <c r="C77" s="33" t="n">
        <v>78</v>
      </c>
      <c r="D77" s="33" t="n">
        <v>210</v>
      </c>
      <c r="E77" s="33" t="n">
        <v>178</v>
      </c>
      <c r="F77" s="35" t="n">
        <v>399</v>
      </c>
      <c r="G77" s="33" t="n">
        <v>48</v>
      </c>
      <c r="H77" s="32" t="n"/>
      <c r="I77" s="32" t="inlineStr">
        <is>
          <t>Hay Day Wiki (Fandom) https://hayday.fandom.com/wiki/Ice_Cream_Maker</t>
        </is>
      </c>
      <c r="J77" s="39">
        <f>IFERROR(INDEX(hayday_info!$D$2:$D$349,MATCH($A77,hayday_info!$A$2:$A$349,0)),"not found")</f>
        <v/>
      </c>
      <c r="K77" s="32">
        <f>IF(J77="not found","not in hayday.info",IF(J77=E77,"matches mastered",IF(J77=D77,"matches normal","differs")))</f>
        <v/>
      </c>
      <c r="L77" s="40">
        <f>IFERROR(INDEX(hayday_info!$E$2:$E$349,MATCH($A77,hayday_info!$A$2:$A$349,0)),"not found")</f>
        <v/>
      </c>
      <c r="M77" s="32">
        <f>IF(L77="not found","not in hayday.info",IF(F77="","no Fandom value",IF(L77=F77,"match","differs")))</f>
        <v/>
      </c>
      <c r="N77" s="32">
        <f>IFERROR(INDEX(hayday_info!$F$2:$F$349,MATCH($A77,hayday_info!$A$2:$A$349,0)),"not found")</f>
        <v/>
      </c>
      <c r="O77" s="32">
        <f>IF(N77="not found","not in hayday.info",IF(G77="","no Fandom value",IF(N77=G77,"match","differs")))</f>
        <v/>
      </c>
      <c r="P77" s="32">
        <f>IF(J77="not found","not in hayday.info",IF(C77="","no Fandom value",IF(IFERROR(INDEX(hayday_info!$C$2:$C$349,MATCH($A77,hayday_info!$A$2:$A$349,0)),"not found")=C77,"match","differs")))</f>
        <v/>
      </c>
    </row>
    <row r="78" ht="15" customHeight="1" s="29">
      <c r="A78" s="32" t="inlineStr">
        <is>
          <t>Affogato</t>
        </is>
      </c>
      <c r="B78" s="32" t="inlineStr">
        <is>
          <t>Ice Cream Maker</t>
        </is>
      </c>
      <c r="C78" s="33" t="n">
        <v>78</v>
      </c>
      <c r="D78" s="33" t="n">
        <v>20</v>
      </c>
      <c r="E78" s="33" t="n">
        <v>17</v>
      </c>
      <c r="F78" s="35" t="n">
        <v>435</v>
      </c>
      <c r="G78" s="33" t="n">
        <v>52</v>
      </c>
      <c r="H78" s="32" t="n"/>
      <c r="I78" s="32" t="inlineStr">
        <is>
          <t>Hay Day Wiki (Fandom) https://hayday.fandom.com/wiki/Ice_Cream_Maker</t>
        </is>
      </c>
      <c r="J78" s="39">
        <f>IFERROR(INDEX(hayday_info!$D$2:$D$349,MATCH($A78,hayday_info!$A$2:$A$349,0)),"not found")</f>
        <v/>
      </c>
      <c r="K78" s="32">
        <f>IF(J78="not found","not in hayday.info",IF(J78=E78,"matches mastered",IF(J78=D78,"matches normal","differs")))</f>
        <v/>
      </c>
      <c r="L78" s="40">
        <f>IFERROR(INDEX(hayday_info!$E$2:$E$349,MATCH($A78,hayday_info!$A$2:$A$349,0)),"not found")</f>
        <v/>
      </c>
      <c r="M78" s="32">
        <f>IF(L78="not found","not in hayday.info",IF(F78="","no Fandom value",IF(L78=F78,"match","differs")))</f>
        <v/>
      </c>
      <c r="N78" s="32">
        <f>IFERROR(INDEX(hayday_info!$F$2:$F$349,MATCH($A78,hayday_info!$A$2:$A$349,0)),"not found")</f>
        <v/>
      </c>
      <c r="O78" s="32">
        <f>IF(N78="not found","not in hayday.info",IF(G78="","no Fandom value",IF(N78=G78,"match","differs")))</f>
        <v/>
      </c>
      <c r="P78" s="32">
        <f>IF(J78="not found","not in hayday.info",IF(C78="","no Fandom value",IF(IFERROR(INDEX(hayday_info!$C$2:$C$349,MATCH($A78,hayday_info!$A$2:$A$349,0)),"not found")=C78,"match","differs")))</f>
        <v/>
      </c>
    </row>
    <row r="79" ht="15" customHeight="1" s="29">
      <c r="A79" s="32" t="inlineStr">
        <is>
          <t>Peach Ice Cream</t>
        </is>
      </c>
      <c r="B79" s="32" t="inlineStr">
        <is>
          <t>Ice Cream Maker</t>
        </is>
      </c>
      <c r="C79" s="33" t="n">
        <v>83</v>
      </c>
      <c r="D79" s="33" t="n">
        <v>180</v>
      </c>
      <c r="E79" s="33" t="n">
        <v>153</v>
      </c>
      <c r="F79" s="35" t="n">
        <v>450</v>
      </c>
      <c r="G79" s="33" t="n">
        <v>54</v>
      </c>
      <c r="H79" s="32" t="n"/>
      <c r="I79" s="32" t="inlineStr">
        <is>
          <t>Hay Day Wiki (Fandom) https://hayday.fandom.com/wiki/Ice_Cream_Maker</t>
        </is>
      </c>
      <c r="J79" s="39">
        <f>IFERROR(INDEX(hayday_info!$D$2:$D$349,MATCH($A79,hayday_info!$A$2:$A$349,0)),"not found")</f>
        <v/>
      </c>
      <c r="K79" s="32">
        <f>IF(J79="not found","not in hayday.info",IF(J79=E79,"matches mastered",IF(J79=D79,"matches normal","differs")))</f>
        <v/>
      </c>
      <c r="L79" s="40">
        <f>IFERROR(INDEX(hayday_info!$E$2:$E$349,MATCH($A79,hayday_info!$A$2:$A$349,0)),"not found")</f>
        <v/>
      </c>
      <c r="M79" s="32">
        <f>IF(L79="not found","not in hayday.info",IF(F79="","no Fandom value",IF(L79=F79,"match","differs")))</f>
        <v/>
      </c>
      <c r="N79" s="32">
        <f>IFERROR(INDEX(hayday_info!$F$2:$F$349,MATCH($A79,hayday_info!$A$2:$A$349,0)),"not found")</f>
        <v/>
      </c>
      <c r="O79" s="32">
        <f>IF(N79="not found","not in hayday.info",IF(G79="","no Fandom value",IF(N79=G79,"match","differs")))</f>
        <v/>
      </c>
      <c r="P79" s="32">
        <f>IF(J79="not found","not in hayday.info",IF(C79="","no Fandom value",IF(IFERROR(INDEX(hayday_info!$C$2:$C$349,MATCH($A79,hayday_info!$A$2:$A$349,0)),"not found")=C79,"match","differs")))</f>
        <v/>
      </c>
    </row>
    <row r="80" ht="15" customHeight="1" s="29">
      <c r="A80" s="32" t="inlineStr">
        <is>
          <t>Mint Ice Cream</t>
        </is>
      </c>
      <c r="B80" s="32" t="inlineStr">
        <is>
          <t>Ice Cream Maker</t>
        </is>
      </c>
      <c r="C80" s="33" t="n">
        <v>85</v>
      </c>
      <c r="D80" s="33" t="n">
        <v>135</v>
      </c>
      <c r="E80" s="33" t="n">
        <v>114</v>
      </c>
      <c r="F80" s="35" t="n">
        <v>288</v>
      </c>
      <c r="G80" s="33" t="n">
        <v>34</v>
      </c>
      <c r="H80" s="32" t="n"/>
      <c r="I80" s="32" t="inlineStr">
        <is>
          <t>Hay Day Wiki (Fandom) https://hayday.fandom.com/wiki/Ice_Cream_Maker</t>
        </is>
      </c>
      <c r="J80" s="39">
        <f>IFERROR(INDEX(hayday_info!$D$2:$D$349,MATCH($A80,hayday_info!$A$2:$A$349,0)),"not found")</f>
        <v/>
      </c>
      <c r="K80" s="32">
        <f>IF(J80="not found","not in hayday.info",IF(J80=E80,"matches mastered",IF(J80=D80,"matches normal","differs")))</f>
        <v/>
      </c>
      <c r="L80" s="40">
        <f>IFERROR(INDEX(hayday_info!$E$2:$E$349,MATCH($A80,hayday_info!$A$2:$A$349,0)),"not found")</f>
        <v/>
      </c>
      <c r="M80" s="32">
        <f>IF(L80="not found","not in hayday.info",IF(F80="","no Fandom value",IF(L80=F80,"match","differs")))</f>
        <v/>
      </c>
      <c r="N80" s="32">
        <f>IFERROR(INDEX(hayday_info!$F$2:$F$349,MATCH($A80,hayday_info!$A$2:$A$349,0)),"not found")</f>
        <v/>
      </c>
      <c r="O80" s="32">
        <f>IF(N80="not found","not in hayday.info",IF(G80="","no Fandom value",IF(N80=G80,"match","differs")))</f>
        <v/>
      </c>
      <c r="P80" s="32">
        <f>IF(J80="not found","not in hayday.info",IF(C80="","no Fandom value",IF(IFERROR(INDEX(hayday_info!$C$2:$C$349,MATCH($A80,hayday_info!$A$2:$A$349,0)),"not found")=C80,"match","differs")))</f>
        <v/>
      </c>
    </row>
    <row r="81" ht="15" customHeight="1" s="29">
      <c r="A81" s="32" t="inlineStr">
        <is>
          <t>Banana Split</t>
        </is>
      </c>
      <c r="B81" s="32" t="inlineStr">
        <is>
          <t>Ice Cream Maker</t>
        </is>
      </c>
      <c r="C81" s="33" t="n">
        <v>96</v>
      </c>
      <c r="D81" s="33" t="n">
        <v>210</v>
      </c>
      <c r="E81" s="33" t="n">
        <v>178</v>
      </c>
      <c r="F81" s="35" t="n">
        <v>403</v>
      </c>
      <c r="G81" s="33" t="n">
        <v>48</v>
      </c>
      <c r="H81" s="32" t="n"/>
      <c r="I81" s="32" t="inlineStr">
        <is>
          <t>Hay Day Wiki (Fandom) https://hayday.fandom.com/wiki/Ice_Cream_Maker</t>
        </is>
      </c>
      <c r="J81" s="39">
        <f>IFERROR(INDEX(hayday_info!$D$2:$D$349,MATCH($A81,hayday_info!$A$2:$A$349,0)),"not found")</f>
        <v/>
      </c>
      <c r="K81" s="32">
        <f>IF(J81="not found","not in hayday.info",IF(J81=E81,"matches mastered",IF(J81=D81,"matches normal","differs")))</f>
        <v/>
      </c>
      <c r="L81" s="40">
        <f>IFERROR(INDEX(hayday_info!$E$2:$E$349,MATCH($A81,hayday_info!$A$2:$A$349,0)),"not found")</f>
        <v/>
      </c>
      <c r="M81" s="32">
        <f>IF(L81="not found","not in hayday.info",IF(F81="","no Fandom value",IF(L81=F81,"match","differs")))</f>
        <v/>
      </c>
      <c r="N81" s="32">
        <f>IFERROR(INDEX(hayday_info!$F$2:$F$349,MATCH($A81,hayday_info!$A$2:$A$349,0)),"not found")</f>
        <v/>
      </c>
      <c r="O81" s="32">
        <f>IF(N81="not found","not in hayday.info",IF(G81="","no Fandom value",IF(N81=G81,"match","differs")))</f>
        <v/>
      </c>
      <c r="P81" s="32">
        <f>IF(J81="not found","not in hayday.info",IF(C81="","no Fandom value",IF(IFERROR(INDEX(hayday_info!$C$2:$C$349,MATCH($A81,hayday_info!$A$2:$A$349,0)),"not found")=C81,"match","differs")))</f>
        <v/>
      </c>
    </row>
    <row r="82" ht="15" customHeight="1" s="29">
      <c r="A82" s="32" t="inlineStr">
        <is>
          <t>Apple jam</t>
        </is>
      </c>
      <c r="B82" s="32" t="inlineStr">
        <is>
          <t>Jam Maker</t>
        </is>
      </c>
      <c r="C82" s="33" t="n">
        <v>35</v>
      </c>
      <c r="D82" s="33" t="n">
        <v>360</v>
      </c>
      <c r="E82" s="33" t="n">
        <v>306</v>
      </c>
      <c r="F82" s="35" t="n">
        <v>219</v>
      </c>
      <c r="G82" s="33" t="n">
        <v>26</v>
      </c>
      <c r="H82" s="32" t="n"/>
      <c r="I82" s="32" t="inlineStr">
        <is>
          <t>Hay Day Wiki (Fandom) https://hayday.fandom.com/wiki/Jam_Maker</t>
        </is>
      </c>
      <c r="J82" s="39">
        <f>IFERROR(INDEX(hayday_info!$D$2:$D$349,MATCH($A82,hayday_info!$A$2:$A$349,0)),"not found")</f>
        <v/>
      </c>
      <c r="K82" s="32">
        <f>IF(J82="not found","not in hayday.info",IF(J82=E82,"matches mastered",IF(J82=D82,"matches normal","differs")))</f>
        <v/>
      </c>
      <c r="L82" s="40">
        <f>IFERROR(INDEX(hayday_info!$E$2:$E$349,MATCH($A82,hayday_info!$A$2:$A$349,0)),"not found")</f>
        <v/>
      </c>
      <c r="M82" s="32">
        <f>IF(L82="not found","not in hayday.info",IF(F82="","no Fandom value",IF(L82=F82,"match","differs")))</f>
        <v/>
      </c>
      <c r="N82" s="32">
        <f>IFERROR(INDEX(hayday_info!$F$2:$F$349,MATCH($A82,hayday_info!$A$2:$A$349,0)),"not found")</f>
        <v/>
      </c>
      <c r="O82" s="32">
        <f>IF(N82="not found","not in hayday.info",IF(G82="","no Fandom value",IF(N82=G82,"match","differs")))</f>
        <v/>
      </c>
      <c r="P82" s="32">
        <f>IF(J82="not found","not in hayday.info",IF(C82="","no Fandom value",IF(IFERROR(INDEX(hayday_info!$C$2:$C$349,MATCH($A82,hayday_info!$A$2:$A$349,0)),"not found")=C82,"match","differs")))</f>
        <v/>
      </c>
    </row>
    <row r="83" ht="15" customHeight="1" s="29">
      <c r="A83" s="32" t="inlineStr">
        <is>
          <t>Raspberry jam</t>
        </is>
      </c>
      <c r="B83" s="32" t="inlineStr">
        <is>
          <t>Jam Maker</t>
        </is>
      </c>
      <c r="C83" s="33" t="n">
        <v>36</v>
      </c>
      <c r="D83" s="33" t="n">
        <v>420</v>
      </c>
      <c r="E83" s="33" t="n">
        <v>357</v>
      </c>
      <c r="F83" s="35" t="n">
        <v>252</v>
      </c>
      <c r="G83" s="33" t="n">
        <v>29</v>
      </c>
      <c r="H83" s="32" t="n"/>
      <c r="I83" s="32" t="inlineStr">
        <is>
          <t>Hay Day Wiki (Fandom) https://hayday.fandom.com/wiki/Jam_Maker</t>
        </is>
      </c>
      <c r="J83" s="39">
        <f>IFERROR(INDEX(hayday_info!$D$2:$D$349,MATCH($A83,hayday_info!$A$2:$A$349,0)),"not found")</f>
        <v/>
      </c>
      <c r="K83" s="32">
        <f>IF(J83="not found","not in hayday.info",IF(J83=E83,"matches mastered",IF(J83=D83,"matches normal","differs")))</f>
        <v/>
      </c>
      <c r="L83" s="40">
        <f>IFERROR(INDEX(hayday_info!$E$2:$E$349,MATCH($A83,hayday_info!$A$2:$A$349,0)),"not found")</f>
        <v/>
      </c>
      <c r="M83" s="32">
        <f>IF(L83="not found","not in hayday.info",IF(F83="","no Fandom value",IF(L83=F83,"match","differs")))</f>
        <v/>
      </c>
      <c r="N83" s="32">
        <f>IFERROR(INDEX(hayday_info!$F$2:$F$349,MATCH($A83,hayday_info!$A$2:$A$349,0)),"not found")</f>
        <v/>
      </c>
      <c r="O83" s="32">
        <f>IF(N83="not found","not in hayday.info",IF(G83="","no Fandom value",IF(N83=G83,"match","differs")))</f>
        <v/>
      </c>
      <c r="P83" s="32">
        <f>IF(J83="not found","not in hayday.info",IF(C83="","no Fandom value",IF(IFERROR(INDEX(hayday_info!$C$2:$C$349,MATCH($A83,hayday_info!$A$2:$A$349,0)),"not found")=C83,"match","differs")))</f>
        <v/>
      </c>
    </row>
    <row r="84" ht="15" customHeight="1" s="29">
      <c r="A84" s="32" t="inlineStr">
        <is>
          <t>Blackberry jam</t>
        </is>
      </c>
      <c r="B84" s="32" t="inlineStr">
        <is>
          <t>Jam Maker</t>
        </is>
      </c>
      <c r="C84" s="33" t="n">
        <v>37</v>
      </c>
      <c r="D84" s="33" t="n">
        <v>480</v>
      </c>
      <c r="E84" s="33" t="n">
        <v>408</v>
      </c>
      <c r="F84" s="35" t="n">
        <v>388</v>
      </c>
      <c r="G84" s="33" t="n">
        <v>46</v>
      </c>
      <c r="H84" s="32" t="n"/>
      <c r="I84" s="32" t="inlineStr">
        <is>
          <t>Hay Day Wiki (Fandom) https://hayday.fandom.com/wiki/Jam_Maker</t>
        </is>
      </c>
      <c r="J84" s="39">
        <f>IFERROR(INDEX(hayday_info!$D$2:$D$349,MATCH($A84,hayday_info!$A$2:$A$349,0)),"not found")</f>
        <v/>
      </c>
      <c r="K84" s="32">
        <f>IF(J84="not found","not in hayday.info",IF(J84=E84,"matches mastered",IF(J84=D84,"matches normal","differs")))</f>
        <v/>
      </c>
      <c r="L84" s="40">
        <f>IFERROR(INDEX(hayday_info!$E$2:$E$349,MATCH($A84,hayday_info!$A$2:$A$349,0)),"not found")</f>
        <v/>
      </c>
      <c r="M84" s="32">
        <f>IF(L84="not found","not in hayday.info",IF(F84="","no Fandom value",IF(L84=F84,"match","differs")))</f>
        <v/>
      </c>
      <c r="N84" s="32">
        <f>IFERROR(INDEX(hayday_info!$F$2:$F$349,MATCH($A84,hayday_info!$A$2:$A$349,0)),"not found")</f>
        <v/>
      </c>
      <c r="O84" s="32">
        <f>IF(N84="not found","not in hayday.info",IF(G84="","no Fandom value",IF(N84=G84,"match","differs")))</f>
        <v/>
      </c>
      <c r="P84" s="32">
        <f>IF(J84="not found","not in hayday.info",IF(C84="","no Fandom value",IF(IFERROR(INDEX(hayday_info!$C$2:$C$349,MATCH($A84,hayday_info!$A$2:$A$349,0)),"not found")=C84,"match","differs")))</f>
        <v/>
      </c>
    </row>
    <row r="85" ht="15" customHeight="1" s="29">
      <c r="A85" s="32" t="inlineStr">
        <is>
          <t>Cherry jam</t>
        </is>
      </c>
      <c r="B85" s="32" t="inlineStr">
        <is>
          <t>Jam Maker</t>
        </is>
      </c>
      <c r="C85" s="33" t="n">
        <v>38</v>
      </c>
      <c r="D85" s="33" t="n">
        <v>420</v>
      </c>
      <c r="E85" s="33" t="n">
        <v>357</v>
      </c>
      <c r="F85" s="35" t="n">
        <v>334</v>
      </c>
      <c r="G85" s="33" t="n">
        <v>40</v>
      </c>
      <c r="H85" s="32" t="n"/>
      <c r="I85" s="32" t="inlineStr">
        <is>
          <t>Hay Day Wiki (Fandom) https://hayday.fandom.com/wiki/Jam_Maker</t>
        </is>
      </c>
      <c r="J85" s="39">
        <f>IFERROR(INDEX(hayday_info!$D$2:$D$349,MATCH($A85,hayday_info!$A$2:$A$349,0)),"not found")</f>
        <v/>
      </c>
      <c r="K85" s="32">
        <f>IF(J85="not found","not in hayday.info",IF(J85=E85,"matches mastered",IF(J85=D85,"matches normal","differs")))</f>
        <v/>
      </c>
      <c r="L85" s="40">
        <f>IFERROR(INDEX(hayday_info!$E$2:$E$349,MATCH($A85,hayday_info!$A$2:$A$349,0)),"not found")</f>
        <v/>
      </c>
      <c r="M85" s="32">
        <f>IF(L85="not found","not in hayday.info",IF(F85="","no Fandom value",IF(L85=F85,"match","differs")))</f>
        <v/>
      </c>
      <c r="N85" s="32">
        <f>IFERROR(INDEX(hayday_info!$F$2:$F$349,MATCH($A85,hayday_info!$A$2:$A$349,0)),"not found")</f>
        <v/>
      </c>
      <c r="O85" s="32">
        <f>IF(N85="not found","not in hayday.info",IF(G85="","no Fandom value",IF(N85=G85,"match","differs")))</f>
        <v/>
      </c>
      <c r="P85" s="32">
        <f>IF(J85="not found","not in hayday.info",IF(C85="","no Fandom value",IF(IFERROR(INDEX(hayday_info!$C$2:$C$349,MATCH($A85,hayday_info!$A$2:$A$349,0)),"not found")=C85,"match","differs")))</f>
        <v/>
      </c>
    </row>
    <row r="86" ht="15" customHeight="1" s="29">
      <c r="A86" s="32" t="inlineStr">
        <is>
          <t>Strawberry jam</t>
        </is>
      </c>
      <c r="B86" s="32" t="inlineStr">
        <is>
          <t>Jam Maker</t>
        </is>
      </c>
      <c r="C86" s="33" t="n">
        <v>50</v>
      </c>
      <c r="D86" s="33" t="n">
        <v>450</v>
      </c>
      <c r="E86" s="33" t="n">
        <v>382</v>
      </c>
      <c r="F86" s="35" t="n">
        <v>270</v>
      </c>
      <c r="G86" s="33" t="n">
        <v>32</v>
      </c>
      <c r="H86" s="32" t="n"/>
      <c r="I86" s="32" t="inlineStr">
        <is>
          <t>Hay Day Wiki (Fandom) https://hayday.fandom.com/wiki/Jam_Maker</t>
        </is>
      </c>
      <c r="J86" s="39">
        <f>IFERROR(INDEX(hayday_info!$D$2:$D$349,MATCH($A86,hayday_info!$A$2:$A$349,0)),"not found")</f>
        <v/>
      </c>
      <c r="K86" s="32">
        <f>IF(J86="not found","not in hayday.info",IF(J86=E86,"matches mastered",IF(J86=D86,"matches normal","differs")))</f>
        <v/>
      </c>
      <c r="L86" s="40">
        <f>IFERROR(INDEX(hayday_info!$E$2:$E$349,MATCH($A86,hayday_info!$A$2:$A$349,0)),"not found")</f>
        <v/>
      </c>
      <c r="M86" s="32">
        <f>IF(L86="not found","not in hayday.info",IF(F86="","no Fandom value",IF(L86=F86,"match","differs")))</f>
        <v/>
      </c>
      <c r="N86" s="32">
        <f>IFERROR(INDEX(hayday_info!$F$2:$F$349,MATCH($A86,hayday_info!$A$2:$A$349,0)),"not found")</f>
        <v/>
      </c>
      <c r="O86" s="32">
        <f>IF(N86="not found","not in hayday.info",IF(G86="","no Fandom value",IF(N86=G86,"match","differs")))</f>
        <v/>
      </c>
      <c r="P86" s="32">
        <f>IF(J86="not found","not in hayday.info",IF(C86="","no Fandom value",IF(IFERROR(INDEX(hayday_info!$C$2:$C$349,MATCH($A86,hayday_info!$A$2:$A$349,0)),"not found")=C86,"match","differs")))</f>
        <v/>
      </c>
    </row>
    <row r="87" ht="15" customHeight="1" s="29">
      <c r="A87" s="32" t="inlineStr">
        <is>
          <t>Marmalade</t>
        </is>
      </c>
      <c r="B87" s="32" t="inlineStr">
        <is>
          <t>Jam Maker</t>
        </is>
      </c>
      <c r="C87" s="33" t="n">
        <v>74</v>
      </c>
      <c r="D87" s="33" t="n">
        <v>510</v>
      </c>
      <c r="E87" s="33" t="n">
        <v>433</v>
      </c>
      <c r="F87" s="35" t="n">
        <v>457</v>
      </c>
      <c r="G87" s="33" t="n">
        <v>54</v>
      </c>
      <c r="H87" s="32" t="n"/>
      <c r="I87" s="32" t="inlineStr">
        <is>
          <t>Hay Day Wiki (Fandom) https://hayday.fandom.com/wiki/Jam_Maker</t>
        </is>
      </c>
      <c r="J87" s="39">
        <f>IFERROR(INDEX(hayday_info!$D$2:$D$349,MATCH($A87,hayday_info!$A$2:$A$349,0)),"not found")</f>
        <v/>
      </c>
      <c r="K87" s="32">
        <f>IF(J87="not found","not in hayday.info",IF(J87=E87,"matches mastered",IF(J87=D87,"matches normal","differs")))</f>
        <v/>
      </c>
      <c r="L87" s="40">
        <f>IFERROR(INDEX(hayday_info!$E$2:$E$349,MATCH($A87,hayday_info!$A$2:$A$349,0)),"not found")</f>
        <v/>
      </c>
      <c r="M87" s="32">
        <f>IF(L87="not found","not in hayday.info",IF(F87="","no Fandom value",IF(L87=F87,"match","differs")))</f>
        <v/>
      </c>
      <c r="N87" s="32">
        <f>IFERROR(INDEX(hayday_info!$F$2:$F$349,MATCH($A87,hayday_info!$A$2:$A$349,0)),"not found")</f>
        <v/>
      </c>
      <c r="O87" s="32">
        <f>IF(N87="not found","not in hayday.info",IF(G87="","no Fandom value",IF(N87=G87,"match","differs")))</f>
        <v/>
      </c>
      <c r="P87" s="32">
        <f>IF(J87="not found","not in hayday.info",IF(C87="","no Fandom value",IF(IFERROR(INDEX(hayday_info!$C$2:$C$349,MATCH($A87,hayday_info!$A$2:$A$349,0)),"not found")=C87,"match","differs")))</f>
        <v/>
      </c>
    </row>
    <row r="88" ht="15" customHeight="1" s="29">
      <c r="A88" s="32" t="inlineStr">
        <is>
          <t>Peach jam</t>
        </is>
      </c>
      <c r="B88" s="32" t="inlineStr">
        <is>
          <t>Jam Maker</t>
        </is>
      </c>
      <c r="C88" s="33" t="n">
        <v>79</v>
      </c>
      <c r="D88" s="33" t="n">
        <v>480</v>
      </c>
      <c r="E88" s="33" t="n">
        <v>408</v>
      </c>
      <c r="F88" s="35" t="n">
        <v>464</v>
      </c>
      <c r="G88" s="33" t="n">
        <v>55</v>
      </c>
      <c r="H88" s="32" t="n"/>
      <c r="I88" s="32" t="inlineStr">
        <is>
          <t>Hay Day Wiki (Fandom) https://hayday.fandom.com/wiki/Jam_Maker</t>
        </is>
      </c>
      <c r="J88" s="39">
        <f>IFERROR(INDEX(hayday_info!$D$2:$D$349,MATCH($A88,hayday_info!$A$2:$A$349,0)),"not found")</f>
        <v/>
      </c>
      <c r="K88" s="32">
        <f>IF(J88="not found","not in hayday.info",IF(J88=E88,"matches mastered",IF(J88=D88,"matches normal","differs")))</f>
        <v/>
      </c>
      <c r="L88" s="40">
        <f>IFERROR(INDEX(hayday_info!$E$2:$E$349,MATCH($A88,hayday_info!$A$2:$A$349,0)),"not found")</f>
        <v/>
      </c>
      <c r="M88" s="32">
        <f>IF(L88="not found","not in hayday.info",IF(F88="","no Fandom value",IF(L88=F88,"match","differs")))</f>
        <v/>
      </c>
      <c r="N88" s="32">
        <f>IFERROR(INDEX(hayday_info!$F$2:$F$349,MATCH($A88,hayday_info!$A$2:$A$349,0)),"not found")</f>
        <v/>
      </c>
      <c r="O88" s="32">
        <f>IF(N88="not found","not in hayday.info",IF(G88="","no Fandom value",IF(N88=G88,"match","differs")))</f>
        <v/>
      </c>
      <c r="P88" s="32">
        <f>IF(J88="not found","not in hayday.info",IF(C88="","no Fandom value",IF(IFERROR(INDEX(hayday_info!$C$2:$C$349,MATCH($A88,hayday_info!$A$2:$A$349,0)),"not found")=C88,"match","differs")))</f>
        <v/>
      </c>
    </row>
    <row r="89" ht="15" customHeight="1" s="29">
      <c r="A89" s="32" t="inlineStr">
        <is>
          <t>Grape jam</t>
        </is>
      </c>
      <c r="B89" s="32" t="inlineStr">
        <is>
          <t>Jam Maker</t>
        </is>
      </c>
      <c r="C89" s="33" t="n">
        <v>85</v>
      </c>
      <c r="D89" s="33" t="n">
        <v>390</v>
      </c>
      <c r="E89" s="33" t="n">
        <v>330</v>
      </c>
      <c r="F89" s="35" t="n">
        <v>162</v>
      </c>
      <c r="G89" s="33" t="n">
        <v>19</v>
      </c>
      <c r="H89" s="32" t="n"/>
      <c r="I89" s="32" t="inlineStr">
        <is>
          <t>Hay Day Wiki (Fandom) https://hayday.fandom.com/wiki/Jam_Maker</t>
        </is>
      </c>
      <c r="J89" s="39">
        <f>IFERROR(INDEX(hayday_info!$D$2:$D$349,MATCH($A89,hayday_info!$A$2:$A$349,0)),"not found")</f>
        <v/>
      </c>
      <c r="K89" s="32">
        <f>IF(J89="not found","not in hayday.info",IF(J89=E89,"matches mastered",IF(J89=D89,"matches normal","differs")))</f>
        <v/>
      </c>
      <c r="L89" s="40">
        <f>IFERROR(INDEX(hayday_info!$E$2:$E$349,MATCH($A89,hayday_info!$A$2:$A$349,0)),"not found")</f>
        <v/>
      </c>
      <c r="M89" s="32">
        <f>IF(L89="not found","not in hayday.info",IF(F89="","no Fandom value",IF(L89=F89,"match","differs")))</f>
        <v/>
      </c>
      <c r="N89" s="32">
        <f>IFERROR(INDEX(hayday_info!$F$2:$F$349,MATCH($A89,hayday_info!$A$2:$A$349,0)),"not found")</f>
        <v/>
      </c>
      <c r="O89" s="32">
        <f>IF(N89="not found","not in hayday.info",IF(G89="","no Fandom value",IF(N89=G89,"match","differs")))</f>
        <v/>
      </c>
      <c r="P89" s="32">
        <f>IF(J89="not found","not in hayday.info",IF(C89="","no Fandom value",IF(IFERROR(INDEX(hayday_info!$C$2:$C$349,MATCH($A89,hayday_info!$A$2:$A$349,0)),"not found")=C89,"match","differs")))</f>
        <v/>
      </c>
    </row>
    <row r="90" ht="15" customHeight="1" s="29">
      <c r="A90" s="32" t="inlineStr">
        <is>
          <t>Plum jam</t>
        </is>
      </c>
      <c r="B90" s="32" t="inlineStr">
        <is>
          <t>Jam Maker</t>
        </is>
      </c>
      <c r="C90" s="33" t="n">
        <v>94</v>
      </c>
      <c r="D90" s="33" t="n">
        <v>300</v>
      </c>
      <c r="E90" s="33" t="n">
        <v>255</v>
      </c>
      <c r="F90" s="35" t="n"/>
      <c r="G90" s="33" t="n"/>
      <c r="H90" s="32" t="inlineStr">
        <is>
          <t>Sell price and XP not listed on the page</t>
        </is>
      </c>
      <c r="I90" s="32" t="inlineStr">
        <is>
          <t>Hay Day Wiki (Fandom) https://hayday.fandom.com/wiki/Jam_Maker</t>
        </is>
      </c>
      <c r="J90" s="39">
        <f>IFERROR(INDEX(hayday_info!$D$2:$D$349,MATCH($A90,hayday_info!$A$2:$A$349,0)),"not found")</f>
        <v/>
      </c>
      <c r="K90" s="32">
        <f>IF(J90="not found","not in hayday.info",IF(J90=E90,"matches mastered",IF(J90=D90,"matches normal","differs")))</f>
        <v/>
      </c>
      <c r="L90" s="40">
        <f>IFERROR(INDEX(hayday_info!$E$2:$E$349,MATCH($A90,hayday_info!$A$2:$A$349,0)),"not found")</f>
        <v/>
      </c>
      <c r="M90" s="32">
        <f>IF(L90="not found","not in hayday.info",IF(F90="","no Fandom value",IF(L90=F90,"match","differs")))</f>
        <v/>
      </c>
      <c r="N90" s="32">
        <f>IFERROR(INDEX(hayday_info!$F$2:$F$349,MATCH($A90,hayday_info!$A$2:$A$349,0)),"not found")</f>
        <v/>
      </c>
      <c r="O90" s="32">
        <f>IF(N90="not found","not in hayday.info",IF(G90="","no Fandom value",IF(N90=G90,"match","differs")))</f>
        <v/>
      </c>
      <c r="P90" s="32">
        <f>IF(J90="not found","not in hayday.info",IF(C90="","no Fandom value",IF(IFERROR(INDEX(hayday_info!$C$2:$C$349,MATCH($A90,hayday_info!$A$2:$A$349,0)),"not found")=C90,"match","differs")))</f>
        <v/>
      </c>
    </row>
    <row r="91" ht="15" customHeight="1" s="29">
      <c r="A91" s="32" t="inlineStr">
        <is>
          <t>Bracelet</t>
        </is>
      </c>
      <c r="B91" s="32" t="inlineStr">
        <is>
          <t>Jeweler</t>
        </is>
      </c>
      <c r="C91" s="33" t="n">
        <v>38</v>
      </c>
      <c r="D91" s="33" t="n">
        <v>120</v>
      </c>
      <c r="E91" s="33" t="n">
        <v>102</v>
      </c>
      <c r="F91" s="35" t="n">
        <v>514</v>
      </c>
      <c r="G91" s="33" t="n">
        <v>61</v>
      </c>
      <c r="H91" s="32" t="n"/>
      <c r="I91" s="32" t="inlineStr">
        <is>
          <t>Hay Day Wiki (Fandom) https://hayday.fandom.com/wiki/Jeweler</t>
        </is>
      </c>
      <c r="J91" s="39">
        <f>IFERROR(INDEX(hayday_info!$D$2:$D$349,MATCH($A91,hayday_info!$A$2:$A$349,0)),"not found")</f>
        <v/>
      </c>
      <c r="K91" s="32">
        <f>IF(J91="not found","not in hayday.info",IF(J91=E91,"matches mastered",IF(J91=D91,"matches normal","differs")))</f>
        <v/>
      </c>
      <c r="L91" s="40">
        <f>IFERROR(INDEX(hayday_info!$E$2:$E$349,MATCH($A91,hayday_info!$A$2:$A$349,0)),"not found")</f>
        <v/>
      </c>
      <c r="M91" s="32">
        <f>IF(L91="not found","not in hayday.info",IF(F91="","no Fandom value",IF(L91=F91,"match","differs")))</f>
        <v/>
      </c>
      <c r="N91" s="32">
        <f>IFERROR(INDEX(hayday_info!$F$2:$F$349,MATCH($A91,hayday_info!$A$2:$A$349,0)),"not found")</f>
        <v/>
      </c>
      <c r="O91" s="32">
        <f>IF(N91="not found","not in hayday.info",IF(G91="","no Fandom value",IF(N91=G91,"match","differs")))</f>
        <v/>
      </c>
      <c r="P91" s="32">
        <f>IF(J91="not found","not in hayday.info",IF(C91="","no Fandom value",IF(IFERROR(INDEX(hayday_info!$C$2:$C$349,MATCH($A91,hayday_info!$A$2:$A$349,0)),"not found")=C91,"match","differs")))</f>
        <v/>
      </c>
    </row>
    <row r="92" ht="15" customHeight="1" s="29">
      <c r="A92" s="32" t="inlineStr">
        <is>
          <t>Necklace</t>
        </is>
      </c>
      <c r="B92" s="32" t="inlineStr">
        <is>
          <t>Jeweler</t>
        </is>
      </c>
      <c r="C92" s="33" t="n">
        <v>39</v>
      </c>
      <c r="D92" s="33" t="n">
        <v>180</v>
      </c>
      <c r="E92" s="33" t="n">
        <v>153</v>
      </c>
      <c r="F92" s="35" t="n">
        <v>727</v>
      </c>
      <c r="G92" s="33" t="n">
        <v>87</v>
      </c>
      <c r="H92" s="32" t="n"/>
      <c r="I92" s="32" t="inlineStr">
        <is>
          <t>Hay Day Wiki (Fandom) https://hayday.fandom.com/wiki/Jeweler</t>
        </is>
      </c>
      <c r="J92" s="39">
        <f>IFERROR(INDEX(hayday_info!$D$2:$D$349,MATCH($A92,hayday_info!$A$2:$A$349,0)),"not found")</f>
        <v/>
      </c>
      <c r="K92" s="32">
        <f>IF(J92="not found","not in hayday.info",IF(J92=E92,"matches mastered",IF(J92=D92,"matches normal","differs")))</f>
        <v/>
      </c>
      <c r="L92" s="40">
        <f>IFERROR(INDEX(hayday_info!$E$2:$E$349,MATCH($A92,hayday_info!$A$2:$A$349,0)),"not found")</f>
        <v/>
      </c>
      <c r="M92" s="32">
        <f>IF(L92="not found","not in hayday.info",IF(F92="","no Fandom value",IF(L92=F92,"match","differs")))</f>
        <v/>
      </c>
      <c r="N92" s="32">
        <f>IFERROR(INDEX(hayday_info!$F$2:$F$349,MATCH($A92,hayday_info!$A$2:$A$349,0)),"not found")</f>
        <v/>
      </c>
      <c r="O92" s="32">
        <f>IF(N92="not found","not in hayday.info",IF(G92="","no Fandom value",IF(N92=G92,"match","differs")))</f>
        <v/>
      </c>
      <c r="P92" s="32">
        <f>IF(J92="not found","not in hayday.info",IF(C92="","no Fandom value",IF(IFERROR(INDEX(hayday_info!$C$2:$C$349,MATCH($A92,hayday_info!$A$2:$A$349,0)),"not found")=C92,"match","differs")))</f>
        <v/>
      </c>
    </row>
    <row r="93" ht="15" customHeight="1" s="29">
      <c r="A93" s="32" t="inlineStr">
        <is>
          <t>Diamond Ring</t>
        </is>
      </c>
      <c r="B93" s="32" t="inlineStr">
        <is>
          <t>Jeweler</t>
        </is>
      </c>
      <c r="C93" s="33" t="n">
        <v>40</v>
      </c>
      <c r="D93" s="33" t="n">
        <v>240</v>
      </c>
      <c r="E93" s="33" t="n">
        <v>204</v>
      </c>
      <c r="F93" s="35" t="n">
        <v>824</v>
      </c>
      <c r="G93" s="33" t="n">
        <v>98</v>
      </c>
      <c r="H93" s="32" t="n"/>
      <c r="I93" s="32" t="inlineStr">
        <is>
          <t>Hay Day Wiki (Fandom) https://hayday.fandom.com/wiki/Jeweler</t>
        </is>
      </c>
      <c r="J93" s="39">
        <f>IFERROR(INDEX(hayday_info!$D$2:$D$349,MATCH($A93,hayday_info!$A$2:$A$349,0)),"not found")</f>
        <v/>
      </c>
      <c r="K93" s="32">
        <f>IF(J93="not found","not in hayday.info",IF(J93=E93,"matches mastered",IF(J93=D93,"matches normal","differs")))</f>
        <v/>
      </c>
      <c r="L93" s="40">
        <f>IFERROR(INDEX(hayday_info!$E$2:$E$349,MATCH($A93,hayday_info!$A$2:$A$349,0)),"not found")</f>
        <v/>
      </c>
      <c r="M93" s="32">
        <f>IF(L93="not found","not in hayday.info",IF(F93="","no Fandom value",IF(L93=F93,"match","differs")))</f>
        <v/>
      </c>
      <c r="N93" s="32">
        <f>IFERROR(INDEX(hayday_info!$F$2:$F$349,MATCH($A93,hayday_info!$A$2:$A$349,0)),"not found")</f>
        <v/>
      </c>
      <c r="O93" s="32">
        <f>IF(N93="not found","not in hayday.info",IF(G93="","no Fandom value",IF(N93=G93,"match","differs")))</f>
        <v/>
      </c>
      <c r="P93" s="32">
        <f>IF(J93="not found","not in hayday.info",IF(C93="","no Fandom value",IF(IFERROR(INDEX(hayday_info!$C$2:$C$349,MATCH($A93,hayday_info!$A$2:$A$349,0)),"not found")=C93,"match","differs")))</f>
        <v/>
      </c>
    </row>
    <row r="94" ht="15" customHeight="1" s="29">
      <c r="A94" s="32" t="inlineStr">
        <is>
          <t>Iron Bracelet</t>
        </is>
      </c>
      <c r="B94" s="32" t="inlineStr">
        <is>
          <t>Jeweler</t>
        </is>
      </c>
      <c r="C94" s="33" t="n">
        <v>41</v>
      </c>
      <c r="D94" s="33" t="n">
        <v>90</v>
      </c>
      <c r="E94" s="33" t="n">
        <v>76</v>
      </c>
      <c r="F94" s="35" t="n">
        <v>658</v>
      </c>
      <c r="G94" s="33" t="n">
        <v>78</v>
      </c>
      <c r="H94" s="32" t="n"/>
      <c r="I94" s="32" t="inlineStr">
        <is>
          <t>Hay Day Wiki (Fandom) https://hayday.fandom.com/wiki/Jeweler</t>
        </is>
      </c>
      <c r="J94" s="39">
        <f>IFERROR(INDEX(hayday_info!$D$2:$D$349,MATCH($A94,hayday_info!$A$2:$A$349,0)),"not found")</f>
        <v/>
      </c>
      <c r="K94" s="32">
        <f>IF(J94="not found","not in hayday.info",IF(J94=E94,"matches mastered",IF(J94=D94,"matches normal","differs")))</f>
        <v/>
      </c>
      <c r="L94" s="40">
        <f>IFERROR(INDEX(hayday_info!$E$2:$E$349,MATCH($A94,hayday_info!$A$2:$A$349,0)),"not found")</f>
        <v/>
      </c>
      <c r="M94" s="32">
        <f>IF(L94="not found","not in hayday.info",IF(F94="","no Fandom value",IF(L94=F94,"match","differs")))</f>
        <v/>
      </c>
      <c r="N94" s="32">
        <f>IFERROR(INDEX(hayday_info!$F$2:$F$349,MATCH($A94,hayday_info!$A$2:$A$349,0)),"not found")</f>
        <v/>
      </c>
      <c r="O94" s="32">
        <f>IF(N94="not found","not in hayday.info",IF(G94="","no Fandom value",IF(N94=G94,"match","differs")))</f>
        <v/>
      </c>
      <c r="P94" s="32">
        <f>IF(J94="not found","not in hayday.info",IF(C94="","no Fandom value",IF(IFERROR(INDEX(hayday_info!$C$2:$C$349,MATCH($A94,hayday_info!$A$2:$A$349,0)),"not found")=C94,"match","differs")))</f>
        <v/>
      </c>
    </row>
    <row r="95" ht="15" customHeight="1" s="29">
      <c r="A95" s="32" t="inlineStr">
        <is>
          <t>Flower Pendant</t>
        </is>
      </c>
      <c r="B95" s="32" t="inlineStr">
        <is>
          <t>Jeweler</t>
        </is>
      </c>
      <c r="C95" s="33" t="n">
        <v>98</v>
      </c>
      <c r="D95" s="33" t="n">
        <v>60</v>
      </c>
      <c r="E95" s="33" t="n">
        <v>51</v>
      </c>
      <c r="F95" s="35" t="n">
        <v>698</v>
      </c>
      <c r="G95" s="33" t="n">
        <v>83</v>
      </c>
      <c r="H95" s="32" t="n"/>
      <c r="I95" s="32" t="inlineStr">
        <is>
          <t>Hay Day Wiki (Fandom) https://hayday.fandom.com/wiki/Jeweler</t>
        </is>
      </c>
      <c r="J95" s="39">
        <f>IFERROR(INDEX(hayday_info!$D$2:$D$349,MATCH($A95,hayday_info!$A$2:$A$349,0)),"not found")</f>
        <v/>
      </c>
      <c r="K95" s="32">
        <f>IF(J95="not found","not in hayday.info",IF(J95=E95,"matches mastered",IF(J95=D95,"matches normal","differs")))</f>
        <v/>
      </c>
      <c r="L95" s="40">
        <f>IFERROR(INDEX(hayday_info!$E$2:$E$349,MATCH($A95,hayday_info!$A$2:$A$349,0)),"not found")</f>
        <v/>
      </c>
      <c r="M95" s="32">
        <f>IF(L95="not found","not in hayday.info",IF(F95="","no Fandom value",IF(L95=F95,"match","differs")))</f>
        <v/>
      </c>
      <c r="N95" s="32">
        <f>IFERROR(INDEX(hayday_info!$F$2:$F$349,MATCH($A95,hayday_info!$A$2:$A$349,0)),"not found")</f>
        <v/>
      </c>
      <c r="O95" s="32">
        <f>IF(N95="not found","not in hayday.info",IF(G95="","no Fandom value",IF(N95=G95,"match","differs")))</f>
        <v/>
      </c>
      <c r="P95" s="32">
        <f>IF(J95="not found","not in hayday.info",IF(C95="","no Fandom value",IF(IFERROR(INDEX(hayday_info!$C$2:$C$349,MATCH($A95,hayday_info!$A$2:$A$349,0)),"not found")=C95,"match","differs")))</f>
        <v/>
      </c>
    </row>
    <row r="96" ht="15" customHeight="1" s="29">
      <c r="A96" s="32" t="inlineStr">
        <is>
          <t>Silver bar</t>
        </is>
      </c>
      <c r="B96" s="32" t="inlineStr">
        <is>
          <t>Smelter</t>
        </is>
      </c>
      <c r="C96" s="33" t="n">
        <v>24</v>
      </c>
      <c r="D96" s="33" t="n">
        <v>480</v>
      </c>
      <c r="E96" s="33" t="n">
        <v>408</v>
      </c>
      <c r="F96" s="35" t="n">
        <v>147</v>
      </c>
      <c r="G96" s="33" t="n">
        <v>18</v>
      </c>
      <c r="H96" s="32" t="n"/>
      <c r="I96" s="32" t="inlineStr">
        <is>
          <t>Hay Day Wiki (Fandom) https://hayday.fandom.com/wiki/Smelter</t>
        </is>
      </c>
      <c r="J96" s="39">
        <f>IFERROR(INDEX(hayday_info!$D$2:$D$349,MATCH($A96,hayday_info!$A$2:$A$349,0)),"not found")</f>
        <v/>
      </c>
      <c r="K96" s="32">
        <f>IF(J96="not found","not in hayday.info",IF(J96=E96,"matches mastered",IF(J96=D96,"matches normal","differs")))</f>
        <v/>
      </c>
      <c r="L96" s="40">
        <f>IFERROR(INDEX(hayday_info!$E$2:$E$349,MATCH($A96,hayday_info!$A$2:$A$349,0)),"not found")</f>
        <v/>
      </c>
      <c r="M96" s="32">
        <f>IF(L96="not found","not in hayday.info",IF(F96="","no Fandom value",IF(L96=F96,"match","differs")))</f>
        <v/>
      </c>
      <c r="N96" s="32">
        <f>IFERROR(INDEX(hayday_info!$F$2:$F$349,MATCH($A96,hayday_info!$A$2:$A$349,0)),"not found")</f>
        <v/>
      </c>
      <c r="O96" s="32">
        <f>IF(N96="not found","not in hayday.info",IF(G96="","no Fandom value",IF(N96=G96,"match","differs")))</f>
        <v/>
      </c>
      <c r="P96" s="32">
        <f>IF(J96="not found","not in hayday.info",IF(C96="","no Fandom value",IF(IFERROR(INDEX(hayday_info!$C$2:$C$349,MATCH($A96,hayday_info!$A$2:$A$349,0)),"not found")=C96,"match","differs")))</f>
        <v/>
      </c>
    </row>
    <row r="97" ht="15" customHeight="1" s="29">
      <c r="A97" s="32" t="inlineStr">
        <is>
          <t>Gold bar</t>
        </is>
      </c>
      <c r="B97" s="32" t="inlineStr">
        <is>
          <t>Smelter</t>
        </is>
      </c>
      <c r="C97" s="33" t="n">
        <v>25</v>
      </c>
      <c r="D97" s="33" t="n">
        <v>720</v>
      </c>
      <c r="E97" s="33" t="n">
        <v>612</v>
      </c>
      <c r="F97" s="35" t="n">
        <v>180</v>
      </c>
      <c r="G97" s="33" t="n">
        <v>21</v>
      </c>
      <c r="H97" s="32" t="n"/>
      <c r="I97" s="32" t="inlineStr">
        <is>
          <t>Hay Day Wiki (Fandom) https://hayday.fandom.com/wiki/Smelter</t>
        </is>
      </c>
      <c r="J97" s="39">
        <f>IFERROR(INDEX(hayday_info!$D$2:$D$349,MATCH($A97,hayday_info!$A$2:$A$349,0)),"not found")</f>
        <v/>
      </c>
      <c r="K97" s="32">
        <f>IF(J97="not found","not in hayday.info",IF(J97=E97,"matches mastered",IF(J97=D97,"matches normal","differs")))</f>
        <v/>
      </c>
      <c r="L97" s="40">
        <f>IFERROR(INDEX(hayday_info!$E$2:$E$349,MATCH($A97,hayday_info!$A$2:$A$349,0)),"not found")</f>
        <v/>
      </c>
      <c r="M97" s="32">
        <f>IF(L97="not found","not in hayday.info",IF(F97="","no Fandom value",IF(L97=F97,"match","differs")))</f>
        <v/>
      </c>
      <c r="N97" s="32">
        <f>IFERROR(INDEX(hayday_info!$F$2:$F$349,MATCH($A97,hayday_info!$A$2:$A$349,0)),"not found")</f>
        <v/>
      </c>
      <c r="O97" s="32">
        <f>IF(N97="not found","not in hayday.info",IF(G97="","no Fandom value",IF(N97=G97,"match","differs")))</f>
        <v/>
      </c>
      <c r="P97" s="32">
        <f>IF(J97="not found","not in hayday.info",IF(C97="","no Fandom value",IF(IFERROR(INDEX(hayday_info!$C$2:$C$349,MATCH($A97,hayday_info!$A$2:$A$349,0)),"not found")=C97,"match","differs")))</f>
        <v/>
      </c>
    </row>
    <row r="98" ht="15" customHeight="1" s="29">
      <c r="A98" s="32" t="inlineStr">
        <is>
          <t>Platinum bar</t>
        </is>
      </c>
      <c r="B98" s="32" t="inlineStr">
        <is>
          <t>Smelter</t>
        </is>
      </c>
      <c r="C98" s="33" t="n">
        <v>25</v>
      </c>
      <c r="D98" s="33" t="n">
        <v>960</v>
      </c>
      <c r="E98" s="33" t="n">
        <v>816</v>
      </c>
      <c r="F98" s="35" t="n">
        <v>205</v>
      </c>
      <c r="G98" s="33" t="n">
        <v>24</v>
      </c>
      <c r="H98" s="32" t="n"/>
      <c r="I98" s="32" t="inlineStr">
        <is>
          <t>Hay Day Wiki (Fandom) https://hayday.fandom.com/wiki/Smelter</t>
        </is>
      </c>
      <c r="J98" s="39">
        <f>IFERROR(INDEX(hayday_info!$D$2:$D$349,MATCH($A98,hayday_info!$A$2:$A$349,0)),"not found")</f>
        <v/>
      </c>
      <c r="K98" s="32">
        <f>IF(J98="not found","not in hayday.info",IF(J98=E98,"matches mastered",IF(J98=D98,"matches normal","differs")))</f>
        <v/>
      </c>
      <c r="L98" s="40">
        <f>IFERROR(INDEX(hayday_info!$E$2:$E$349,MATCH($A98,hayday_info!$A$2:$A$349,0)),"not found")</f>
        <v/>
      </c>
      <c r="M98" s="32">
        <f>IF(L98="not found","not in hayday.info",IF(F98="","no Fandom value",IF(L98=F98,"match","differs")))</f>
        <v/>
      </c>
      <c r="N98" s="32">
        <f>IFERROR(INDEX(hayday_info!$F$2:$F$349,MATCH($A98,hayday_info!$A$2:$A$349,0)),"not found")</f>
        <v/>
      </c>
      <c r="O98" s="32">
        <f>IF(N98="not found","not in hayday.info",IF(G98="","no Fandom value",IF(N98=G98,"match","differs")))</f>
        <v/>
      </c>
      <c r="P98" s="32">
        <f>IF(J98="not found","not in hayday.info",IF(C98="","no Fandom value",IF(IFERROR(INDEX(hayday_info!$C$2:$C$349,MATCH($A98,hayday_info!$A$2:$A$349,0)),"not found")=C98,"match","differs")))</f>
        <v/>
      </c>
    </row>
    <row r="99" ht="15" customHeight="1" s="29">
      <c r="A99" s="32" t="inlineStr">
        <is>
          <t>Refined coal</t>
        </is>
      </c>
      <c r="B99" s="32" t="inlineStr">
        <is>
          <t>Smelter</t>
        </is>
      </c>
      <c r="C99" s="33" t="n">
        <v>33</v>
      </c>
      <c r="D99" s="33" t="n">
        <v>360</v>
      </c>
      <c r="E99" s="33" t="n">
        <v>306</v>
      </c>
      <c r="F99" s="35" t="n">
        <v>108</v>
      </c>
      <c r="G99" s="33" t="n">
        <v>13</v>
      </c>
      <c r="H99" s="32" t="n"/>
      <c r="I99" s="32" t="inlineStr">
        <is>
          <t>Hay Day Wiki (Fandom) https://hayday.fandom.com/wiki/Smelter</t>
        </is>
      </c>
      <c r="J99" s="39">
        <f>IFERROR(INDEX(hayday_info!$D$2:$D$349,MATCH($A99,hayday_info!$A$2:$A$349,0)),"not found")</f>
        <v/>
      </c>
      <c r="K99" s="32">
        <f>IF(J99="not found","not in hayday.info",IF(J99=E99,"matches mastered",IF(J99=D99,"matches normal","differs")))</f>
        <v/>
      </c>
      <c r="L99" s="40">
        <f>IFERROR(INDEX(hayday_info!$E$2:$E$349,MATCH($A99,hayday_info!$A$2:$A$349,0)),"not found")</f>
        <v/>
      </c>
      <c r="M99" s="32">
        <f>IF(L99="not found","not in hayday.info",IF(F99="","no Fandom value",IF(L99=F99,"match","differs")))</f>
        <v/>
      </c>
      <c r="N99" s="32">
        <f>IFERROR(INDEX(hayday_info!$F$2:$F$349,MATCH($A99,hayday_info!$A$2:$A$349,0)),"not found")</f>
        <v/>
      </c>
      <c r="O99" s="32">
        <f>IF(N99="not found","not in hayday.info",IF(G99="","no Fandom value",IF(N99=G99,"match","differs")))</f>
        <v/>
      </c>
      <c r="P99" s="32">
        <f>IF(J99="not found","not in hayday.info",IF(C99="","no Fandom value",IF(IFERROR(INDEX(hayday_info!$C$2:$C$349,MATCH($A99,hayday_info!$A$2:$A$349,0)),"not found")=C99,"match","differs")))</f>
        <v/>
      </c>
    </row>
    <row r="100" ht="15" customHeight="1" s="29">
      <c r="A100" s="32" t="inlineStr">
        <is>
          <t>Iron bar</t>
        </is>
      </c>
      <c r="B100" s="32" t="inlineStr">
        <is>
          <t>Smelter</t>
        </is>
      </c>
      <c r="C100" s="33" t="n">
        <v>34</v>
      </c>
      <c r="D100" s="33" t="n">
        <v>420</v>
      </c>
      <c r="E100" s="33" t="n">
        <v>357</v>
      </c>
      <c r="F100" s="35" t="n">
        <v>129</v>
      </c>
      <c r="G100" s="33" t="n">
        <v>15</v>
      </c>
      <c r="H100" s="32" t="n"/>
      <c r="I100" s="32" t="inlineStr">
        <is>
          <t>Hay Day Wiki (Fandom) https://hayday.fandom.com/wiki/Smelter</t>
        </is>
      </c>
      <c r="J100" s="39">
        <f>IFERROR(INDEX(hayday_info!$D$2:$D$349,MATCH($A100,hayday_info!$A$2:$A$349,0)),"not found")</f>
        <v/>
      </c>
      <c r="K100" s="32">
        <f>IF(J100="not found","not in hayday.info",IF(J100=E100,"matches mastered",IF(J100=D100,"matches normal","differs")))</f>
        <v/>
      </c>
      <c r="L100" s="40">
        <f>IFERROR(INDEX(hayday_info!$E$2:$E$349,MATCH($A100,hayday_info!$A$2:$A$349,0)),"not found")</f>
        <v/>
      </c>
      <c r="M100" s="32">
        <f>IF(L100="not found","not in hayday.info",IF(F100="","no Fandom value",IF(L100=F100,"match","differs")))</f>
        <v/>
      </c>
      <c r="N100" s="32">
        <f>IFERROR(INDEX(hayday_info!$F$2:$F$349,MATCH($A100,hayday_info!$A$2:$A$349,0)),"not found")</f>
        <v/>
      </c>
      <c r="O100" s="32">
        <f>IF(N100="not found","not in hayday.info",IF(G100="","no Fandom value",IF(N100=G100,"match","differs")))</f>
        <v/>
      </c>
      <c r="P100" s="32">
        <f>IF(J100="not found","not in hayday.info",IF(C100="","no Fandom value",IF(IFERROR(INDEX(hayday_info!$C$2:$C$349,MATCH($A100,hayday_info!$A$2:$A$349,0)),"not found")=C100,"match","differs")))</f>
        <v/>
      </c>
    </row>
    <row r="101" ht="15" customHeight="1" s="29">
      <c r="A101" s="32" t="inlineStr">
        <is>
          <t>Caramel apple</t>
        </is>
      </c>
      <c r="B101" s="32" t="inlineStr">
        <is>
          <t>Candy Machine</t>
        </is>
      </c>
      <c r="C101" s="33" t="n">
        <v>51</v>
      </c>
      <c r="D101" s="33" t="n">
        <v>120</v>
      </c>
      <c r="E101" s="33" t="n">
        <v>102</v>
      </c>
      <c r="F101" s="35" t="n">
        <v>255</v>
      </c>
      <c r="G101" s="33" t="n">
        <v>31</v>
      </c>
      <c r="H101" s="32" t="n"/>
      <c r="I101" s="32" t="inlineStr">
        <is>
          <t>Hay Day Wiki (Fandom) https://hayday.fandom.com/wiki/Candy_Machine</t>
        </is>
      </c>
      <c r="J101" s="39">
        <f>IFERROR(INDEX(hayday_info!$D$2:$D$349,MATCH($A101,hayday_info!$A$2:$A$349,0)),"not found")</f>
        <v/>
      </c>
      <c r="K101" s="32">
        <f>IF(J101="not found","not in hayday.info",IF(J101=E101,"matches mastered",IF(J101=D101,"matches normal","differs")))</f>
        <v/>
      </c>
      <c r="L101" s="40">
        <f>IFERROR(INDEX(hayday_info!$E$2:$E$349,MATCH($A101,hayday_info!$A$2:$A$349,0)),"not found")</f>
        <v/>
      </c>
      <c r="M101" s="32">
        <f>IF(L101="not found","not in hayday.info",IF(F101="","no Fandom value",IF(L101=F101,"match","differs")))</f>
        <v/>
      </c>
      <c r="N101" s="32">
        <f>IFERROR(INDEX(hayday_info!$F$2:$F$349,MATCH($A101,hayday_info!$A$2:$A$349,0)),"not found")</f>
        <v/>
      </c>
      <c r="O101" s="32">
        <f>IF(N101="not found","not in hayday.info",IF(G101="","no Fandom value",IF(N101=G101,"match","differs")))</f>
        <v/>
      </c>
      <c r="P101" s="32">
        <f>IF(J101="not found","not in hayday.info",IF(C101="","no Fandom value",IF(IFERROR(INDEX(hayday_info!$C$2:$C$349,MATCH($A101,hayday_info!$A$2:$A$349,0)),"not found")=C101,"match","differs")))</f>
        <v/>
      </c>
    </row>
    <row r="102" ht="15" customHeight="1" s="29">
      <c r="A102" s="32" t="inlineStr">
        <is>
          <t>Toffee</t>
        </is>
      </c>
      <c r="B102" s="32" t="inlineStr">
        <is>
          <t>Candy Machine</t>
        </is>
      </c>
      <c r="C102" s="33" t="n">
        <v>52</v>
      </c>
      <c r="D102" s="33" t="n">
        <v>90</v>
      </c>
      <c r="E102" s="33" t="n">
        <v>76</v>
      </c>
      <c r="F102" s="35" t="n">
        <v>176</v>
      </c>
      <c r="G102" s="33" t="n">
        <v>21</v>
      </c>
      <c r="H102" s="32" t="n"/>
      <c r="I102" s="32" t="inlineStr">
        <is>
          <t>Hay Day Wiki (Fandom) https://hayday.fandom.com/wiki/Candy_Machine</t>
        </is>
      </c>
      <c r="J102" s="39">
        <f>IFERROR(INDEX(hayday_info!$D$2:$D$349,MATCH($A102,hayday_info!$A$2:$A$349,0)),"not found")</f>
        <v/>
      </c>
      <c r="K102" s="32">
        <f>IF(J102="not found","not in hayday.info",IF(J102=E102,"matches mastered",IF(J102=D102,"matches normal","differs")))</f>
        <v/>
      </c>
      <c r="L102" s="40">
        <f>IFERROR(INDEX(hayday_info!$E$2:$E$349,MATCH($A102,hayday_info!$A$2:$A$349,0)),"not found")</f>
        <v/>
      </c>
      <c r="M102" s="32">
        <f>IF(L102="not found","not in hayday.info",IF(F102="","no Fandom value",IF(L102=F102,"match","differs")))</f>
        <v/>
      </c>
      <c r="N102" s="32">
        <f>IFERROR(INDEX(hayday_info!$F$2:$F$349,MATCH($A102,hayday_info!$A$2:$A$349,0)),"not found")</f>
        <v/>
      </c>
      <c r="O102" s="32">
        <f>IF(N102="not found","not in hayday.info",IF(G102="","no Fandom value",IF(N102=G102,"match","differs")))</f>
        <v/>
      </c>
      <c r="P102" s="32">
        <f>IF(J102="not found","not in hayday.info",IF(C102="","no Fandom value",IF(IFERROR(INDEX(hayday_info!$C$2:$C$349,MATCH($A102,hayday_info!$A$2:$A$349,0)),"not found")=C102,"match","differs")))</f>
        <v/>
      </c>
    </row>
    <row r="103" ht="15" customHeight="1" s="29">
      <c r="A103" s="32" t="inlineStr">
        <is>
          <t>Chocolate</t>
        </is>
      </c>
      <c r="B103" s="32" t="inlineStr">
        <is>
          <t>Candy Machine</t>
        </is>
      </c>
      <c r="C103" s="33" t="n">
        <v>54</v>
      </c>
      <c r="D103" s="33" t="n">
        <v>1200</v>
      </c>
      <c r="E103" s="33" t="n">
        <v>1020</v>
      </c>
      <c r="F103" s="35" t="n">
        <v>460</v>
      </c>
      <c r="G103" s="33" t="n">
        <v>55</v>
      </c>
      <c r="H103" s="32" t="n"/>
      <c r="I103" s="32" t="inlineStr">
        <is>
          <t>Hay Day Wiki (Fandom) https://hayday.fandom.com/wiki/Candy_Machine</t>
        </is>
      </c>
      <c r="J103" s="39">
        <f>IFERROR(INDEX(hayday_info!$D$2:$D$349,MATCH($A103,hayday_info!$A$2:$A$349,0)),"not found")</f>
        <v/>
      </c>
      <c r="K103" s="32">
        <f>IF(J103="not found","not in hayday.info",IF(J103=E103,"matches mastered",IF(J103=D103,"matches normal","differs")))</f>
        <v/>
      </c>
      <c r="L103" s="40">
        <f>IFERROR(INDEX(hayday_info!$E$2:$E$349,MATCH($A103,hayday_info!$A$2:$A$349,0)),"not found")</f>
        <v/>
      </c>
      <c r="M103" s="32">
        <f>IF(L103="not found","not in hayday.info",IF(F103="","no Fandom value",IF(L103=F103,"match","differs")))</f>
        <v/>
      </c>
      <c r="N103" s="32">
        <f>IFERROR(INDEX(hayday_info!$F$2:$F$349,MATCH($A103,hayday_info!$A$2:$A$349,0)),"not found")</f>
        <v/>
      </c>
      <c r="O103" s="32">
        <f>IF(N103="not found","not in hayday.info",IF(G103="","no Fandom value",IF(N103=G103,"match","differs")))</f>
        <v/>
      </c>
      <c r="P103" s="32">
        <f>IF(J103="not found","not in hayday.info",IF(C103="","no Fandom value",IF(IFERROR(INDEX(hayday_info!$C$2:$C$349,MATCH($A103,hayday_info!$A$2:$A$349,0)),"not found")=C103,"match","differs")))</f>
        <v/>
      </c>
    </row>
    <row r="104" ht="15" customHeight="1" s="29">
      <c r="A104" s="32" t="inlineStr">
        <is>
          <t>Lollipop</t>
        </is>
      </c>
      <c r="B104" s="32" t="inlineStr">
        <is>
          <t>Candy Machine</t>
        </is>
      </c>
      <c r="C104" s="33" t="n">
        <v>57</v>
      </c>
      <c r="D104" s="33" t="n">
        <v>720</v>
      </c>
      <c r="E104" s="33" t="n">
        <v>612</v>
      </c>
      <c r="F104" s="35" t="n">
        <v>342</v>
      </c>
      <c r="G104" s="33" t="n">
        <v>41</v>
      </c>
      <c r="H104" s="32" t="n"/>
      <c r="I104" s="32" t="inlineStr">
        <is>
          <t>Hay Day Wiki (Fandom) https://hayday.fandom.com/wiki/Candy_Machine</t>
        </is>
      </c>
      <c r="J104" s="39">
        <f>IFERROR(INDEX(hayday_info!$D$2:$D$349,MATCH($A104,hayday_info!$A$2:$A$349,0)),"not found")</f>
        <v/>
      </c>
      <c r="K104" s="32">
        <f>IF(J104="not found","not in hayday.info",IF(J104=E104,"matches mastered",IF(J104=D104,"matches normal","differs")))</f>
        <v/>
      </c>
      <c r="L104" s="40">
        <f>IFERROR(INDEX(hayday_info!$E$2:$E$349,MATCH($A104,hayday_info!$A$2:$A$349,0)),"not found")</f>
        <v/>
      </c>
      <c r="M104" s="32">
        <f>IF(L104="not found","not in hayday.info",IF(F104="","no Fandom value",IF(L104=F104,"match","differs")))</f>
        <v/>
      </c>
      <c r="N104" s="32">
        <f>IFERROR(INDEX(hayday_info!$F$2:$F$349,MATCH($A104,hayday_info!$A$2:$A$349,0)),"not found")</f>
        <v/>
      </c>
      <c r="O104" s="32">
        <f>IF(N104="not found","not in hayday.info",IF(G104="","no Fandom value",IF(N104=G104,"match","differs")))</f>
        <v/>
      </c>
      <c r="P104" s="32">
        <f>IF(J104="not found","not in hayday.info",IF(C104="","no Fandom value",IF(IFERROR(INDEX(hayday_info!$C$2:$C$349,MATCH($A104,hayday_info!$A$2:$A$349,0)),"not found")=C104,"match","differs")))</f>
        <v/>
      </c>
    </row>
    <row r="105" ht="15" customHeight="1" s="29">
      <c r="A105" s="32" t="inlineStr">
        <is>
          <t>Jelly beans</t>
        </is>
      </c>
      <c r="B105" s="32" t="inlineStr">
        <is>
          <t>Candy Machine</t>
        </is>
      </c>
      <c r="C105" s="33" t="n">
        <v>60</v>
      </c>
      <c r="D105" s="33" t="n">
        <v>1440</v>
      </c>
      <c r="E105" s="33" t="n">
        <v>1224</v>
      </c>
      <c r="F105" s="35" t="n">
        <v>684</v>
      </c>
      <c r="G105" s="33" t="n">
        <v>81</v>
      </c>
      <c r="H105" s="32" t="n"/>
      <c r="I105" s="32" t="inlineStr">
        <is>
          <t>Hay Day Wiki (Fandom) https://hayday.fandom.com/wiki/Candy_Machine</t>
        </is>
      </c>
      <c r="J105" s="39">
        <f>IFERROR(INDEX(hayday_info!$D$2:$D$349,MATCH($A105,hayday_info!$A$2:$A$349,0)),"not found")</f>
        <v/>
      </c>
      <c r="K105" s="32">
        <f>IF(J105="not found","not in hayday.info",IF(J105=E105,"matches mastered",IF(J105=D105,"matches normal","differs")))</f>
        <v/>
      </c>
      <c r="L105" s="40">
        <f>IFERROR(INDEX(hayday_info!$E$2:$E$349,MATCH($A105,hayday_info!$A$2:$A$349,0)),"not found")</f>
        <v/>
      </c>
      <c r="M105" s="32">
        <f>IF(L105="not found","not in hayday.info",IF(F105="","no Fandom value",IF(L105=F105,"match","differs")))</f>
        <v/>
      </c>
      <c r="N105" s="32">
        <f>IFERROR(INDEX(hayday_info!$F$2:$F$349,MATCH($A105,hayday_info!$A$2:$A$349,0)),"not found")</f>
        <v/>
      </c>
      <c r="O105" s="32">
        <f>IF(N105="not found","not in hayday.info",IF(G105="","no Fandom value",IF(N105=G105,"match","differs")))</f>
        <v/>
      </c>
      <c r="P105" s="32">
        <f>IF(J105="not found","not in hayday.info",IF(C105="","no Fandom value",IF(IFERROR(INDEX(hayday_info!$C$2:$C$349,MATCH($A105,hayday_info!$A$2:$A$349,0)),"not found")=C105,"match","differs")))</f>
        <v/>
      </c>
    </row>
    <row r="106" ht="15" customHeight="1" s="29">
      <c r="A106" s="32" t="inlineStr">
        <is>
          <t>Honey peanuts</t>
        </is>
      </c>
      <c r="B106" s="32" t="inlineStr">
        <is>
          <t>Candy Machine</t>
        </is>
      </c>
      <c r="C106" s="33" t="n">
        <v>63</v>
      </c>
      <c r="D106" s="33" t="n">
        <v>40</v>
      </c>
      <c r="E106" s="33" t="n">
        <v>34</v>
      </c>
      <c r="F106" s="35" t="n">
        <v>540</v>
      </c>
      <c r="G106" s="33" t="n">
        <v>64</v>
      </c>
      <c r="H106" s="32" t="n"/>
      <c r="I106" s="32" t="inlineStr">
        <is>
          <t>Hay Day Wiki (Fandom) https://hayday.fandom.com/wiki/Candy_Machine</t>
        </is>
      </c>
      <c r="J106" s="39">
        <f>IFERROR(INDEX(hayday_info!$D$2:$D$349,MATCH($A106,hayday_info!$A$2:$A$349,0)),"not found")</f>
        <v/>
      </c>
      <c r="K106" s="32">
        <f>IF(J106="not found","not in hayday.info",IF(J106=E106,"matches mastered",IF(J106=D106,"matches normal","differs")))</f>
        <v/>
      </c>
      <c r="L106" s="40">
        <f>IFERROR(INDEX(hayday_info!$E$2:$E$349,MATCH($A106,hayday_info!$A$2:$A$349,0)),"not found")</f>
        <v/>
      </c>
      <c r="M106" s="32">
        <f>IF(L106="not found","not in hayday.info",IF(F106="","no Fandom value",IF(L106=F106,"match","differs")))</f>
        <v/>
      </c>
      <c r="N106" s="32">
        <f>IFERROR(INDEX(hayday_info!$F$2:$F$349,MATCH($A106,hayday_info!$A$2:$A$349,0)),"not found")</f>
        <v/>
      </c>
      <c r="O106" s="32">
        <f>IF(N106="not found","not in hayday.info",IF(G106="","no Fandom value",IF(N106=G106,"match","differs")))</f>
        <v/>
      </c>
      <c r="P106" s="32">
        <f>IF(J106="not found","not in hayday.info",IF(C106="","no Fandom value",IF(IFERROR(INDEX(hayday_info!$C$2:$C$349,MATCH($A106,hayday_info!$A$2:$A$349,0)),"not found")=C106,"match","differs")))</f>
        <v/>
      </c>
    </row>
    <row r="107" ht="15" customHeight="1" s="29">
      <c r="A107" s="32" t="inlineStr">
        <is>
          <t>Sesame brittle</t>
        </is>
      </c>
      <c r="B107" s="32" t="inlineStr">
        <is>
          <t>Candy Machine</t>
        </is>
      </c>
      <c r="C107" s="33" t="n">
        <v>78</v>
      </c>
      <c r="D107" s="33" t="n">
        <v>60</v>
      </c>
      <c r="E107" s="33" t="n">
        <v>51</v>
      </c>
      <c r="F107" s="35" t="n"/>
      <c r="G107" s="33" t="n"/>
      <c r="H107" s="32" t="inlineStr">
        <is>
          <t>Sell price and XP not listed on the page</t>
        </is>
      </c>
      <c r="I107" s="32" t="inlineStr">
        <is>
          <t>Hay Day Wiki (Fandom) https://hayday.fandom.com/wiki/Candy_Machine</t>
        </is>
      </c>
      <c r="J107" s="39">
        <f>IFERROR(INDEX(hayday_info!$D$2:$D$349,MATCH($A107,hayday_info!$A$2:$A$349,0)),"not found")</f>
        <v/>
      </c>
      <c r="K107" s="32">
        <f>IF(J107="not found","not in hayday.info",IF(J107=E107,"matches mastered",IF(J107=D107,"matches normal","differs")))</f>
        <v/>
      </c>
      <c r="L107" s="40">
        <f>IFERROR(INDEX(hayday_info!$E$2:$E$349,MATCH($A107,hayday_info!$A$2:$A$349,0)),"not found")</f>
        <v/>
      </c>
      <c r="M107" s="32">
        <f>IF(L107="not found","not in hayday.info",IF(F107="","no Fandom value",IF(L107=F107,"match","differs")))</f>
        <v/>
      </c>
      <c r="N107" s="32">
        <f>IFERROR(INDEX(hayday_info!$F$2:$F$349,MATCH($A107,hayday_info!$A$2:$A$349,0)),"not found")</f>
        <v/>
      </c>
      <c r="O107" s="32">
        <f>IF(N107="not found","not in hayday.info",IF(G107="","no Fandom value",IF(N107=G107,"match","differs")))</f>
        <v/>
      </c>
      <c r="P107" s="32">
        <f>IF(J107="not found","not in hayday.info",IF(C107="","no Fandom value",IF(IFERROR(INDEX(hayday_info!$C$2:$C$349,MATCH($A107,hayday_info!$A$2:$A$349,0)),"not found")=C107,"match","differs")))</f>
        <v/>
      </c>
    </row>
    <row r="108" ht="15" customHeight="1" s="29">
      <c r="A108" s="32" t="inlineStr">
        <is>
          <t>Strawberry Candle</t>
        </is>
      </c>
      <c r="B108" s="32" t="inlineStr">
        <is>
          <t>Candle Maker</t>
        </is>
      </c>
      <c r="C108" s="33" t="n">
        <v>48</v>
      </c>
      <c r="D108" s="33" t="n">
        <v>120</v>
      </c>
      <c r="E108" s="33" t="n">
        <v>102</v>
      </c>
      <c r="F108" s="35" t="n">
        <v>370</v>
      </c>
      <c r="G108" s="33" t="n">
        <v>44</v>
      </c>
      <c r="H108" s="32" t="n"/>
      <c r="I108" s="32" t="inlineStr">
        <is>
          <t>Hay Day Wiki (Fandom) https://hayday.fandom.com/wiki/Candle_Maker</t>
        </is>
      </c>
      <c r="J108" s="39">
        <f>IFERROR(INDEX(hayday_info!$D$2:$D$349,MATCH($A108,hayday_info!$A$2:$A$349,0)),"not found")</f>
        <v/>
      </c>
      <c r="K108" s="32">
        <f>IF(J108="not found","not in hayday.info",IF(J108=E108,"matches mastered",IF(J108=D108,"matches normal","differs")))</f>
        <v/>
      </c>
      <c r="L108" s="40">
        <f>IFERROR(INDEX(hayday_info!$E$2:$E$349,MATCH($A108,hayday_info!$A$2:$A$349,0)),"not found")</f>
        <v/>
      </c>
      <c r="M108" s="32">
        <f>IF(L108="not found","not in hayday.info",IF(F108="","no Fandom value",IF(L108=F108,"match","differs")))</f>
        <v/>
      </c>
      <c r="N108" s="32">
        <f>IFERROR(INDEX(hayday_info!$F$2:$F$349,MATCH($A108,hayday_info!$A$2:$A$349,0)),"not found")</f>
        <v/>
      </c>
      <c r="O108" s="32">
        <f>IF(N108="not found","not in hayday.info",IF(G108="","no Fandom value",IF(N108=G108,"match","differs")))</f>
        <v/>
      </c>
      <c r="P108" s="32">
        <f>IF(J108="not found","not in hayday.info",IF(C108="","no Fandom value",IF(IFERROR(INDEX(hayday_info!$C$2:$C$349,MATCH($A108,hayday_info!$A$2:$A$349,0)),"not found")=C108,"match","differs")))</f>
        <v/>
      </c>
    </row>
    <row r="109" ht="15" customHeight="1" s="29">
      <c r="A109" s="32" t="inlineStr">
        <is>
          <t>Raspberry Candle</t>
        </is>
      </c>
      <c r="B109" s="32" t="inlineStr">
        <is>
          <t>Candle Maker</t>
        </is>
      </c>
      <c r="C109" s="33" t="n">
        <v>52</v>
      </c>
      <c r="D109" s="33" t="n">
        <v>105</v>
      </c>
      <c r="E109" s="33" t="n">
        <v>89</v>
      </c>
      <c r="F109" s="35" t="n">
        <v>360</v>
      </c>
      <c r="G109" s="33" t="n">
        <v>43</v>
      </c>
      <c r="H109" s="32" t="n"/>
      <c r="I109" s="32" t="inlineStr">
        <is>
          <t>Hay Day Wiki (Fandom) https://hayday.fandom.com/wiki/Candle_Maker</t>
        </is>
      </c>
      <c r="J109" s="39">
        <f>IFERROR(INDEX(hayday_info!$D$2:$D$349,MATCH($A109,hayday_info!$A$2:$A$349,0)),"not found")</f>
        <v/>
      </c>
      <c r="K109" s="32">
        <f>IF(J109="not found","not in hayday.info",IF(J109=E109,"matches mastered",IF(J109=D109,"matches normal","differs")))</f>
        <v/>
      </c>
      <c r="L109" s="40">
        <f>IFERROR(INDEX(hayday_info!$E$2:$E$349,MATCH($A109,hayday_info!$A$2:$A$349,0)),"not found")</f>
        <v/>
      </c>
      <c r="M109" s="32">
        <f>IF(L109="not found","not in hayday.info",IF(F109="","no Fandom value",IF(L109=F109,"match","differs")))</f>
        <v/>
      </c>
      <c r="N109" s="32">
        <f>IFERROR(INDEX(hayday_info!$F$2:$F$349,MATCH($A109,hayday_info!$A$2:$A$349,0)),"not found")</f>
        <v/>
      </c>
      <c r="O109" s="32">
        <f>IF(N109="not found","not in hayday.info",IF(G109="","no Fandom value",IF(N109=G109,"match","differs")))</f>
        <v/>
      </c>
      <c r="P109" s="32">
        <f>IF(J109="not found","not in hayday.info",IF(C109="","no Fandom value",IF(IFERROR(INDEX(hayday_info!$C$2:$C$349,MATCH($A109,hayday_info!$A$2:$A$349,0)),"not found")=C109,"match","differs")))</f>
        <v/>
      </c>
    </row>
    <row r="110" ht="15" customHeight="1" s="29">
      <c r="A110" s="32" t="inlineStr">
        <is>
          <t>Lemon Candle</t>
        </is>
      </c>
      <c r="B110" s="32" t="inlineStr">
        <is>
          <t>Candle Maker</t>
        </is>
      </c>
      <c r="C110" s="33" t="n">
        <v>72</v>
      </c>
      <c r="D110" s="33" t="n">
        <v>135</v>
      </c>
      <c r="E110" s="33" t="n">
        <v>114</v>
      </c>
      <c r="F110" s="35" t="n">
        <v>457</v>
      </c>
      <c r="G110" s="33" t="n">
        <v>55</v>
      </c>
      <c r="H110" s="32" t="n"/>
      <c r="I110" s="32" t="inlineStr">
        <is>
          <t>Hay Day Wiki (Fandom) https://hayday.fandom.com/wiki/Candle_Maker</t>
        </is>
      </c>
      <c r="J110" s="39">
        <f>IFERROR(INDEX(hayday_info!$D$2:$D$349,MATCH($A110,hayday_info!$A$2:$A$349,0)),"not found")</f>
        <v/>
      </c>
      <c r="K110" s="32">
        <f>IF(J110="not found","not in hayday.info",IF(J110=E110,"matches mastered",IF(J110=D110,"matches normal","differs")))</f>
        <v/>
      </c>
      <c r="L110" s="40">
        <f>IFERROR(INDEX(hayday_info!$E$2:$E$349,MATCH($A110,hayday_info!$A$2:$A$349,0)),"not found")</f>
        <v/>
      </c>
      <c r="M110" s="32">
        <f>IF(L110="not found","not in hayday.info",IF(F110="","no Fandom value",IF(L110=F110,"match","differs")))</f>
        <v/>
      </c>
      <c r="N110" s="32">
        <f>IFERROR(INDEX(hayday_info!$F$2:$F$349,MATCH($A110,hayday_info!$A$2:$A$349,0)),"not found")</f>
        <v/>
      </c>
      <c r="O110" s="32">
        <f>IF(N110="not found","not in hayday.info",IF(G110="","no Fandom value",IF(N110=G110,"match","differs")))</f>
        <v/>
      </c>
      <c r="P110" s="32">
        <f>IF(J110="not found","not in hayday.info",IF(C110="","no Fandom value",IF(IFERROR(INDEX(hayday_info!$C$2:$C$349,MATCH($A110,hayday_info!$A$2:$A$349,0)),"not found")=C110,"match","differs")))</f>
        <v/>
      </c>
    </row>
    <row r="111" ht="15" customHeight="1" s="29">
      <c r="A111" s="32" t="inlineStr">
        <is>
          <t>Colorful Candles</t>
        </is>
      </c>
      <c r="B111" s="32" t="inlineStr">
        <is>
          <t>Candle Maker</t>
        </is>
      </c>
      <c r="C111" s="33" t="n">
        <v>84</v>
      </c>
      <c r="D111" s="33" t="n">
        <v>110</v>
      </c>
      <c r="E111" s="33" t="n">
        <v>93</v>
      </c>
      <c r="F111" s="35" t="n">
        <v>324</v>
      </c>
      <c r="G111" s="33" t="n">
        <v>39</v>
      </c>
      <c r="H111" s="32" t="n"/>
      <c r="I111" s="32" t="inlineStr">
        <is>
          <t>Hay Day Wiki (Fandom) https://hayday.fandom.com/wiki/Candle_Maker</t>
        </is>
      </c>
      <c r="J111" s="39">
        <f>IFERROR(INDEX(hayday_info!$D$2:$D$349,MATCH($A111,hayday_info!$A$2:$A$349,0)),"not found")</f>
        <v/>
      </c>
      <c r="K111" s="32">
        <f>IF(J111="not found","not in hayday.info",IF(J111=E111,"matches mastered",IF(J111=D111,"matches normal","differs")))</f>
        <v/>
      </c>
      <c r="L111" s="40">
        <f>IFERROR(INDEX(hayday_info!$E$2:$E$349,MATCH($A111,hayday_info!$A$2:$A$349,0)),"not found")</f>
        <v/>
      </c>
      <c r="M111" s="32">
        <f>IF(L111="not found","not in hayday.info",IF(F111="","no Fandom value",IF(L111=F111,"match","differs")))</f>
        <v/>
      </c>
      <c r="N111" s="32">
        <f>IFERROR(INDEX(hayday_info!$F$2:$F$349,MATCH($A111,hayday_info!$A$2:$A$349,0)),"not found")</f>
        <v/>
      </c>
      <c r="O111" s="32">
        <f>IF(N111="not found","not in hayday.info",IF(G111="","no Fandom value",IF(N111=G111,"match","differs")))</f>
        <v/>
      </c>
      <c r="P111" s="32">
        <f>IF(J111="not found","not in hayday.info",IF(C111="","no Fandom value",IF(IFERROR(INDEX(hayday_info!$C$2:$C$349,MATCH($A111,hayday_info!$A$2:$A$349,0)),"not found")=C111,"match","differs")))</f>
        <v/>
      </c>
    </row>
    <row r="112" ht="15" customHeight="1" s="29">
      <c r="A112" s="32" t="inlineStr">
        <is>
          <t>Floral Candle</t>
        </is>
      </c>
      <c r="B112" s="32" t="inlineStr">
        <is>
          <t>Candle Maker</t>
        </is>
      </c>
      <c r="C112" s="33" t="n">
        <v>95</v>
      </c>
      <c r="D112" s="33" t="n">
        <v>120</v>
      </c>
      <c r="E112" s="33" t="n">
        <v>102</v>
      </c>
      <c r="F112" s="35" t="n">
        <v>442</v>
      </c>
      <c r="G112" s="33" t="n">
        <v>53</v>
      </c>
      <c r="H112" s="32" t="n"/>
      <c r="I112" s="32" t="inlineStr">
        <is>
          <t>Hay Day Wiki (Fandom) https://hayday.fandom.com/wiki/Candle_Maker</t>
        </is>
      </c>
      <c r="J112" s="39">
        <f>IFERROR(INDEX(hayday_info!$D$2:$D$349,MATCH($A112,hayday_info!$A$2:$A$349,0)),"not found")</f>
        <v/>
      </c>
      <c r="K112" s="32">
        <f>IF(J112="not found","not in hayday.info",IF(J112=E112,"matches mastered",IF(J112=D112,"matches normal","differs")))</f>
        <v/>
      </c>
      <c r="L112" s="40">
        <f>IFERROR(INDEX(hayday_info!$E$2:$E$349,MATCH($A112,hayday_info!$A$2:$A$349,0)),"not found")</f>
        <v/>
      </c>
      <c r="M112" s="32">
        <f>IF(L112="not found","not in hayday.info",IF(F112="","no Fandom value",IF(L112=F112,"match","differs")))</f>
        <v/>
      </c>
      <c r="N112" s="32">
        <f>IFERROR(INDEX(hayday_info!$F$2:$F$349,MATCH($A112,hayday_info!$A$2:$A$349,0)),"not found")</f>
        <v/>
      </c>
      <c r="O112" s="32">
        <f>IF(N112="not found","not in hayday.info",IF(G112="","no Fandom value",IF(N112=G112,"match","differs")))</f>
        <v/>
      </c>
      <c r="P112" s="32">
        <f>IF(J112="not found","not in hayday.info",IF(C112="","no Fandom value",IF(IFERROR(INDEX(hayday_info!$C$2:$C$349,MATCH($A112,hayday_info!$A$2:$A$349,0)),"not found")=C112,"match","differs")))</f>
        <v/>
      </c>
    </row>
    <row r="113" ht="15" customHeight="1" s="29">
      <c r="A113" s="32" t="inlineStr">
        <is>
          <t>Lobster soup</t>
        </is>
      </c>
      <c r="B113" s="32" t="inlineStr">
        <is>
          <t>Soup Kitchen</t>
        </is>
      </c>
      <c r="C113" s="33" t="n">
        <v>46</v>
      </c>
      <c r="D113" s="33" t="n">
        <v>150</v>
      </c>
      <c r="E113" s="33" t="n">
        <v>127</v>
      </c>
      <c r="F113" s="35" t="n">
        <v>612</v>
      </c>
      <c r="G113" s="33" t="n">
        <v>73</v>
      </c>
      <c r="H113" s="32" t="n"/>
      <c r="I113" s="32" t="inlineStr">
        <is>
          <t>Hay Day Wiki (Fandom) https://hayday.fandom.com/wiki/Soup_Kitchen</t>
        </is>
      </c>
      <c r="J113" s="39">
        <f>IFERROR(INDEX(hayday_info!$D$2:$D$349,MATCH($A113,hayday_info!$A$2:$A$349,0)),"not found")</f>
        <v/>
      </c>
      <c r="K113" s="32">
        <f>IF(J113="not found","not in hayday.info",IF(J113=E113,"matches mastered",IF(J113=D113,"matches normal","differs")))</f>
        <v/>
      </c>
      <c r="L113" s="40">
        <f>IFERROR(INDEX(hayday_info!$E$2:$E$349,MATCH($A113,hayday_info!$A$2:$A$349,0)),"not found")</f>
        <v/>
      </c>
      <c r="M113" s="32">
        <f>IF(L113="not found","not in hayday.info",IF(F113="","no Fandom value",IF(L113=F113,"match","differs")))</f>
        <v/>
      </c>
      <c r="N113" s="32">
        <f>IFERROR(INDEX(hayday_info!$F$2:$F$349,MATCH($A113,hayday_info!$A$2:$A$349,0)),"not found")</f>
        <v/>
      </c>
      <c r="O113" s="32">
        <f>IF(N113="not found","not in hayday.info",IF(G113="","no Fandom value",IF(N113=G113,"match","differs")))</f>
        <v/>
      </c>
      <c r="P113" s="32">
        <f>IF(J113="not found","not in hayday.info",IF(C113="","no Fandom value",IF(IFERROR(INDEX(hayday_info!$C$2:$C$349,MATCH($A113,hayday_info!$A$2:$A$349,0)),"not found")=C113,"match","differs")))</f>
        <v/>
      </c>
    </row>
    <row r="114" ht="15" customHeight="1" s="29">
      <c r="A114" s="32" t="inlineStr">
        <is>
          <t>Tomato soup</t>
        </is>
      </c>
      <c r="B114" s="32" t="inlineStr">
        <is>
          <t>Soup Kitchen</t>
        </is>
      </c>
      <c r="C114" s="33" t="n">
        <v>47</v>
      </c>
      <c r="D114" s="33" t="n">
        <v>90</v>
      </c>
      <c r="E114" s="33" t="n">
        <v>76</v>
      </c>
      <c r="F114" s="35" t="n">
        <v>478</v>
      </c>
      <c r="G114" s="33" t="n">
        <v>57</v>
      </c>
      <c r="H114" s="32" t="n"/>
      <c r="I114" s="32" t="inlineStr">
        <is>
          <t>Hay Day Wiki (Fandom) https://hayday.fandom.com/wiki/Soup_Kitchen</t>
        </is>
      </c>
      <c r="J114" s="39">
        <f>IFERROR(INDEX(hayday_info!$D$2:$D$349,MATCH($A114,hayday_info!$A$2:$A$349,0)),"not found")</f>
        <v/>
      </c>
      <c r="K114" s="32">
        <f>IF(J114="not found","not in hayday.info",IF(J114=E114,"matches mastered",IF(J114=D114,"matches normal","differs")))</f>
        <v/>
      </c>
      <c r="L114" s="40">
        <f>IFERROR(INDEX(hayday_info!$E$2:$E$349,MATCH($A114,hayday_info!$A$2:$A$349,0)),"not found")</f>
        <v/>
      </c>
      <c r="M114" s="32">
        <f>IF(L114="not found","not in hayday.info",IF(F114="","no Fandom value",IF(L114=F114,"match","differs")))</f>
        <v/>
      </c>
      <c r="N114" s="32">
        <f>IFERROR(INDEX(hayday_info!$F$2:$F$349,MATCH($A114,hayday_info!$A$2:$A$349,0)),"not found")</f>
        <v/>
      </c>
      <c r="O114" s="32">
        <f>IF(N114="not found","not in hayday.info",IF(G114="","no Fandom value",IF(N114=G114,"match","differs")))</f>
        <v/>
      </c>
      <c r="P114" s="32">
        <f>IF(J114="not found","not in hayday.info",IF(C114="","no Fandom value",IF(IFERROR(INDEX(hayday_info!$C$2:$C$349,MATCH($A114,hayday_info!$A$2:$A$349,0)),"not found")=C114,"match","differs")))</f>
        <v/>
      </c>
    </row>
    <row r="115" ht="15" customHeight="1" s="29">
      <c r="A115" s="32" t="inlineStr">
        <is>
          <t>Pumpkin soup</t>
        </is>
      </c>
      <c r="B115" s="32" t="inlineStr">
        <is>
          <t>Soup Kitchen</t>
        </is>
      </c>
      <c r="C115" s="33" t="n">
        <v>49</v>
      </c>
      <c r="D115" s="33" t="n">
        <v>120</v>
      </c>
      <c r="E115" s="33" t="n">
        <v>102</v>
      </c>
      <c r="F115" s="35" t="n">
        <v>392</v>
      </c>
      <c r="G115" s="33" t="n">
        <v>47</v>
      </c>
      <c r="H115" s="32" t="n"/>
      <c r="I115" s="32" t="inlineStr">
        <is>
          <t>Hay Day Wiki (Fandom) https://hayday.fandom.com/wiki/Soup_Kitchen</t>
        </is>
      </c>
      <c r="J115" s="39">
        <f>IFERROR(INDEX(hayday_info!$D$2:$D$349,MATCH($A115,hayday_info!$A$2:$A$349,0)),"not found")</f>
        <v/>
      </c>
      <c r="K115" s="32">
        <f>IF(J115="not found","not in hayday.info",IF(J115=E115,"matches mastered",IF(J115=D115,"matches normal","differs")))</f>
        <v/>
      </c>
      <c r="L115" s="40">
        <f>IFERROR(INDEX(hayday_info!$E$2:$E$349,MATCH($A115,hayday_info!$A$2:$A$349,0)),"not found")</f>
        <v/>
      </c>
      <c r="M115" s="32">
        <f>IF(L115="not found","not in hayday.info",IF(F115="","no Fandom value",IF(L115=F115,"match","differs")))</f>
        <v/>
      </c>
      <c r="N115" s="32">
        <f>IFERROR(INDEX(hayday_info!$F$2:$F$349,MATCH($A115,hayday_info!$A$2:$A$349,0)),"not found")</f>
        <v/>
      </c>
      <c r="O115" s="32">
        <f>IF(N115="not found","not in hayday.info",IF(G115="","no Fandom value",IF(N115=G115,"match","differs")))</f>
        <v/>
      </c>
      <c r="P115" s="32">
        <f>IF(J115="not found","not in hayday.info",IF(C115="","no Fandom value",IF(IFERROR(INDEX(hayday_info!$C$2:$C$349,MATCH($A115,hayday_info!$A$2:$A$349,0)),"not found")=C115,"match","differs")))</f>
        <v/>
      </c>
    </row>
    <row r="116" ht="15" customHeight="1" s="29">
      <c r="A116" s="32" t="inlineStr">
        <is>
          <t>Fish soup</t>
        </is>
      </c>
      <c r="B116" s="32" t="inlineStr">
        <is>
          <t>Soup Kitchen</t>
        </is>
      </c>
      <c r="C116" s="33" t="n">
        <v>53</v>
      </c>
      <c r="D116" s="33" t="n">
        <v>180</v>
      </c>
      <c r="E116" s="33" t="n">
        <v>153</v>
      </c>
      <c r="F116" s="35" t="n">
        <v>298</v>
      </c>
      <c r="G116" s="33" t="n">
        <v>35</v>
      </c>
      <c r="H116" s="32" t="n"/>
      <c r="I116" s="32" t="inlineStr">
        <is>
          <t>Hay Day Wiki (Fandom) https://hayday.fandom.com/wiki/Soup_Kitchen</t>
        </is>
      </c>
      <c r="J116" s="39">
        <f>IFERROR(INDEX(hayday_info!$D$2:$D$349,MATCH($A116,hayday_info!$A$2:$A$349,0)),"not found")</f>
        <v/>
      </c>
      <c r="K116" s="32">
        <f>IF(J116="not found","not in hayday.info",IF(J116=E116,"matches mastered",IF(J116=D116,"matches normal","differs")))</f>
        <v/>
      </c>
      <c r="L116" s="40">
        <f>IFERROR(INDEX(hayday_info!$E$2:$E$349,MATCH($A116,hayday_info!$A$2:$A$349,0)),"not found")</f>
        <v/>
      </c>
      <c r="M116" s="32">
        <f>IF(L116="not found","not in hayday.info",IF(F116="","no Fandom value",IF(L116=F116,"match","differs")))</f>
        <v/>
      </c>
      <c r="N116" s="32">
        <f>IFERROR(INDEX(hayday_info!$F$2:$F$349,MATCH($A116,hayday_info!$A$2:$A$349,0)),"not found")</f>
        <v/>
      </c>
      <c r="O116" s="32">
        <f>IF(N116="not found","not in hayday.info",IF(G116="","no Fandom value",IF(N116=G116,"match","differs")))</f>
        <v/>
      </c>
      <c r="P116" s="32">
        <f>IF(J116="not found","not in hayday.info",IF(C116="","no Fandom value",IF(IFERROR(INDEX(hayday_info!$C$2:$C$349,MATCH($A116,hayday_info!$A$2:$A$349,0)),"not found")=C116,"match","differs")))</f>
        <v/>
      </c>
    </row>
    <row r="117" ht="15" customHeight="1" s="29">
      <c r="A117" s="32" t="inlineStr">
        <is>
          <t>Onion soup</t>
        </is>
      </c>
      <c r="B117" s="32" t="inlineStr">
        <is>
          <t>Soup Kitchen</t>
        </is>
      </c>
      <c r="C117" s="33" t="n">
        <v>72</v>
      </c>
      <c r="D117" s="33" t="n">
        <v>150</v>
      </c>
      <c r="E117" s="33" t="n">
        <v>127</v>
      </c>
      <c r="F117" s="35" t="n">
        <v>327</v>
      </c>
      <c r="G117" s="33" t="n">
        <v>36</v>
      </c>
      <c r="H117" s="32" t="n"/>
      <c r="I117" s="32" t="inlineStr">
        <is>
          <t>Hay Day Wiki (Fandom) https://hayday.fandom.com/wiki/Soup_Kitchen</t>
        </is>
      </c>
      <c r="J117" s="39">
        <f>IFERROR(INDEX(hayday_info!$D$2:$D$349,MATCH($A117,hayday_info!$A$2:$A$349,0)),"not found")</f>
        <v/>
      </c>
      <c r="K117" s="32">
        <f>IF(J117="not found","not in hayday.info",IF(J117=E117,"matches mastered",IF(J117=D117,"matches normal","differs")))</f>
        <v/>
      </c>
      <c r="L117" s="40">
        <f>IFERROR(INDEX(hayday_info!$E$2:$E$349,MATCH($A117,hayday_info!$A$2:$A$349,0)),"not found")</f>
        <v/>
      </c>
      <c r="M117" s="32">
        <f>IF(L117="not found","not in hayday.info",IF(F117="","no Fandom value",IF(L117=F117,"match","differs")))</f>
        <v/>
      </c>
      <c r="N117" s="32">
        <f>IFERROR(INDEX(hayday_info!$F$2:$F$349,MATCH($A117,hayday_info!$A$2:$A$349,0)),"not found")</f>
        <v/>
      </c>
      <c r="O117" s="32">
        <f>IF(N117="not found","not in hayday.info",IF(G117="","no Fandom value",IF(N117=G117,"match","differs")))</f>
        <v/>
      </c>
      <c r="P117" s="32">
        <f>IF(J117="not found","not in hayday.info",IF(C117="","no Fandom value",IF(IFERROR(INDEX(hayday_info!$C$2:$C$349,MATCH($A117,hayday_info!$A$2:$A$349,0)),"not found")=C117,"match","differs")))</f>
        <v/>
      </c>
    </row>
    <row r="118" ht="15" customHeight="1" s="29">
      <c r="A118" s="32" t="inlineStr">
        <is>
          <t>Noodle soup</t>
        </is>
      </c>
      <c r="B118" s="32" t="inlineStr">
        <is>
          <t>Soup Kitchen</t>
        </is>
      </c>
      <c r="C118" s="33" t="n">
        <v>73</v>
      </c>
      <c r="D118" s="33" t="n">
        <v>120</v>
      </c>
      <c r="E118" s="33" t="n">
        <v>102</v>
      </c>
      <c r="F118" s="35" t="n">
        <v>432</v>
      </c>
      <c r="G118" s="33" t="n">
        <v>52</v>
      </c>
      <c r="H118" s="32" t="n"/>
      <c r="I118" s="32" t="inlineStr">
        <is>
          <t>Hay Day Wiki (Fandom) https://hayday.fandom.com/wiki/Soup_Kitchen</t>
        </is>
      </c>
      <c r="J118" s="39">
        <f>IFERROR(INDEX(hayday_info!$D$2:$D$349,MATCH($A118,hayday_info!$A$2:$A$349,0)),"not found")</f>
        <v/>
      </c>
      <c r="K118" s="32">
        <f>IF(J118="not found","not in hayday.info",IF(J118=E118,"matches mastered",IF(J118=D118,"matches normal","differs")))</f>
        <v/>
      </c>
      <c r="L118" s="40">
        <f>IFERROR(INDEX(hayday_info!$E$2:$E$349,MATCH($A118,hayday_info!$A$2:$A$349,0)),"not found")</f>
        <v/>
      </c>
      <c r="M118" s="32">
        <f>IF(L118="not found","not in hayday.info",IF(F118="","no Fandom value",IF(L118=F118,"match","differs")))</f>
        <v/>
      </c>
      <c r="N118" s="32">
        <f>IFERROR(INDEX(hayday_info!$F$2:$F$349,MATCH($A118,hayday_info!$A$2:$A$349,0)),"not found")</f>
        <v/>
      </c>
      <c r="O118" s="32">
        <f>IF(N118="not found","not in hayday.info",IF(G118="","no Fandom value",IF(N118=G118,"match","differs")))</f>
        <v/>
      </c>
      <c r="P118" s="32">
        <f>IF(J118="not found","not in hayday.info",IF(C118="","no Fandom value",IF(IFERROR(INDEX(hayday_info!$C$2:$C$349,MATCH($A118,hayday_info!$A$2:$A$349,0)),"not found")=C118,"match","differs")))</f>
        <v/>
      </c>
    </row>
    <row r="119" ht="15" customHeight="1" s="29">
      <c r="A119" s="32" t="inlineStr">
        <is>
          <t>Potato soup</t>
        </is>
      </c>
      <c r="B119" s="32" t="inlineStr">
        <is>
          <t>Soup Kitchen</t>
        </is>
      </c>
      <c r="C119" s="33" t="n">
        <v>78</v>
      </c>
      <c r="D119" s="33" t="n">
        <v>150</v>
      </c>
      <c r="E119" s="33" t="n">
        <v>127</v>
      </c>
      <c r="F119" s="35" t="n">
        <v>255</v>
      </c>
      <c r="G119" s="33" t="n">
        <v>31</v>
      </c>
      <c r="H119" s="32" t="n"/>
      <c r="I119" s="32" t="inlineStr">
        <is>
          <t>Hay Day Wiki (Fandom) https://hayday.fandom.com/wiki/Soup_Kitchen</t>
        </is>
      </c>
      <c r="J119" s="39">
        <f>IFERROR(INDEX(hayday_info!$D$2:$D$349,MATCH($A119,hayday_info!$A$2:$A$349,0)),"not found")</f>
        <v/>
      </c>
      <c r="K119" s="32">
        <f>IF(J119="not found","not in hayday.info",IF(J119=E119,"matches mastered",IF(J119=D119,"matches normal","differs")))</f>
        <v/>
      </c>
      <c r="L119" s="40">
        <f>IFERROR(INDEX(hayday_info!$E$2:$E$349,MATCH($A119,hayday_info!$A$2:$A$349,0)),"not found")</f>
        <v/>
      </c>
      <c r="M119" s="32">
        <f>IF(L119="not found","not in hayday.info",IF(F119="","no Fandom value",IF(L119=F119,"match","differs")))</f>
        <v/>
      </c>
      <c r="N119" s="32">
        <f>IFERROR(INDEX(hayday_info!$F$2:$F$349,MATCH($A119,hayday_info!$A$2:$A$349,0)),"not found")</f>
        <v/>
      </c>
      <c r="O119" s="32">
        <f>IF(N119="not found","not in hayday.info",IF(G119="","no Fandom value",IF(N119=G119,"match","differs")))</f>
        <v/>
      </c>
      <c r="P119" s="32">
        <f>IF(J119="not found","not in hayday.info",IF(C119="","no Fandom value",IF(IFERROR(INDEX(hayday_info!$C$2:$C$349,MATCH($A119,hayday_info!$A$2:$A$349,0)),"not found")=C119,"match","differs")))</f>
        <v/>
      </c>
    </row>
    <row r="120" ht="15" customHeight="1" s="29">
      <c r="A120" s="32" t="inlineStr">
        <is>
          <t>Bell pepper soup</t>
        </is>
      </c>
      <c r="B120" s="32" t="inlineStr">
        <is>
          <t>Soup Kitchen</t>
        </is>
      </c>
      <c r="C120" s="33" t="n">
        <v>81</v>
      </c>
      <c r="D120" s="33" t="n">
        <v>60</v>
      </c>
      <c r="E120" s="33" t="n">
        <v>51</v>
      </c>
      <c r="F120" s="35" t="n">
        <v>439</v>
      </c>
      <c r="G120" s="33" t="n">
        <v>52</v>
      </c>
      <c r="H120" s="32" t="n"/>
      <c r="I120" s="32" t="inlineStr">
        <is>
          <t>Hay Day Wiki (Fandom) https://hayday.fandom.com/wiki/Soup_Kitchen</t>
        </is>
      </c>
      <c r="J120" s="39">
        <f>IFERROR(INDEX(hayday_info!$D$2:$D$349,MATCH($A120,hayday_info!$A$2:$A$349,0)),"not found")</f>
        <v/>
      </c>
      <c r="K120" s="32">
        <f>IF(J120="not found","not in hayday.info",IF(J120=E120,"matches mastered",IF(J120=D120,"matches normal","differs")))</f>
        <v/>
      </c>
      <c r="L120" s="40">
        <f>IFERROR(INDEX(hayday_info!$E$2:$E$349,MATCH($A120,hayday_info!$A$2:$A$349,0)),"not found")</f>
        <v/>
      </c>
      <c r="M120" s="32">
        <f>IF(L120="not found","not in hayday.info",IF(F120="","no Fandom value",IF(L120=F120,"match","differs")))</f>
        <v/>
      </c>
      <c r="N120" s="32">
        <f>IFERROR(INDEX(hayday_info!$F$2:$F$349,MATCH($A120,hayday_info!$A$2:$A$349,0)),"not found")</f>
        <v/>
      </c>
      <c r="O120" s="32">
        <f>IF(N120="not found","not in hayday.info",IF(G120="","no Fandom value",IF(N120=G120,"match","differs")))</f>
        <v/>
      </c>
      <c r="P120" s="32">
        <f>IF(J120="not found","not in hayday.info",IF(C120="","no Fandom value",IF(IFERROR(INDEX(hayday_info!$C$2:$C$349,MATCH($A120,hayday_info!$A$2:$A$349,0)),"not found")=C120,"match","differs")))</f>
        <v/>
      </c>
    </row>
    <row r="121" ht="15" customHeight="1" s="29">
      <c r="A121" s="32" t="inlineStr">
        <is>
          <t>Broccoli soup</t>
        </is>
      </c>
      <c r="B121" s="32" t="inlineStr">
        <is>
          <t>Soup Kitchen</t>
        </is>
      </c>
      <c r="C121" s="33" t="n">
        <v>87</v>
      </c>
      <c r="D121" s="33" t="n">
        <v>90</v>
      </c>
      <c r="E121" s="33" t="n">
        <v>76</v>
      </c>
      <c r="F121" s="35" t="n">
        <v>237</v>
      </c>
      <c r="G121" s="33" t="n">
        <v>28</v>
      </c>
      <c r="H121" s="32" t="n"/>
      <c r="I121" s="32" t="inlineStr">
        <is>
          <t>Hay Day Wiki (Fandom) https://hayday.fandom.com/wiki/Soup_Kitchen</t>
        </is>
      </c>
      <c r="J121" s="39">
        <f>IFERROR(INDEX(hayday_info!$D$2:$D$349,MATCH($A121,hayday_info!$A$2:$A$349,0)),"not found")</f>
        <v/>
      </c>
      <c r="K121" s="32">
        <f>IF(J121="not found","not in hayday.info",IF(J121=E121,"matches mastered",IF(J121=D121,"matches normal","differs")))</f>
        <v/>
      </c>
      <c r="L121" s="40">
        <f>IFERROR(INDEX(hayday_info!$E$2:$E$349,MATCH($A121,hayday_info!$A$2:$A$349,0)),"not found")</f>
        <v/>
      </c>
      <c r="M121" s="32">
        <f>IF(L121="not found","not in hayday.info",IF(F121="","no Fandom value",IF(L121=F121,"match","differs")))</f>
        <v/>
      </c>
      <c r="N121" s="32">
        <f>IFERROR(INDEX(hayday_info!$F$2:$F$349,MATCH($A121,hayday_info!$A$2:$A$349,0)),"not found")</f>
        <v/>
      </c>
      <c r="O121" s="32">
        <f>IF(N121="not found","not in hayday.info",IF(G121="","no Fandom value",IF(N121=G121,"match","differs")))</f>
        <v/>
      </c>
      <c r="P121" s="32">
        <f>IF(J121="not found","not in hayday.info",IF(C121="","no Fandom value",IF(IFERROR(INDEX(hayday_info!$C$2:$C$349,MATCH($A121,hayday_info!$A$2:$A$349,0)),"not found")=C121,"match","differs")))</f>
        <v/>
      </c>
    </row>
    <row r="122" ht="15" customHeight="1" s="29">
      <c r="A122" s="32" t="inlineStr">
        <is>
          <t>Mushroom soup</t>
        </is>
      </c>
      <c r="B122" s="32" t="inlineStr">
        <is>
          <t>Soup Kitchen</t>
        </is>
      </c>
      <c r="C122" s="33" t="n">
        <v>104</v>
      </c>
      <c r="D122" s="33" t="n">
        <v>80</v>
      </c>
      <c r="E122" s="33" t="n">
        <v>68</v>
      </c>
      <c r="F122" s="35" t="n"/>
      <c r="G122" s="33" t="n"/>
      <c r="H122" s="32" t="inlineStr">
        <is>
          <t>Sell price and XP not listed on the page</t>
        </is>
      </c>
      <c r="I122" s="32" t="inlineStr">
        <is>
          <t>Hay Day Wiki (Fandom) https://hayday.fandom.com/wiki/Soup_Kitchen</t>
        </is>
      </c>
      <c r="J122" s="39">
        <f>IFERROR(INDEX(hayday_info!$D$2:$D$349,MATCH($A122,hayday_info!$A$2:$A$349,0)),"not found")</f>
        <v/>
      </c>
      <c r="K122" s="32">
        <f>IF(J122="not found","not in hayday.info",IF(J122=E122,"matches mastered",IF(J122=D122,"matches normal","differs")))</f>
        <v/>
      </c>
      <c r="L122" s="40">
        <f>IFERROR(INDEX(hayday_info!$E$2:$E$349,MATCH($A122,hayday_info!$A$2:$A$349,0)),"not found")</f>
        <v/>
      </c>
      <c r="M122" s="32">
        <f>IF(L122="not found","not in hayday.info",IF(F122="","no Fandom value",IF(L122=F122,"match","differs")))</f>
        <v/>
      </c>
      <c r="N122" s="32">
        <f>IFERROR(INDEX(hayday_info!$F$2:$F$349,MATCH($A122,hayday_info!$A$2:$A$349,0)),"not found")</f>
        <v/>
      </c>
      <c r="O122" s="32">
        <f>IF(N122="not found","not in hayday.info",IF(G122="","no Fandom value",IF(N122=G122,"match","differs")))</f>
        <v/>
      </c>
      <c r="P122" s="32">
        <f>IF(J122="not found","not in hayday.info",IF(C122="","no Fandom value",IF(IFERROR(INDEX(hayday_info!$C$2:$C$349,MATCH($A122,hayday_info!$A$2:$A$349,0)),"not found")=C122,"match","differs")))</f>
        <v/>
      </c>
    </row>
    <row r="123" ht="15" customHeight="1" s="29">
      <c r="A123" s="32" t="inlineStr">
        <is>
          <t>Veggie Bagel</t>
        </is>
      </c>
      <c r="B123" s="32" t="inlineStr">
        <is>
          <t>Sandwich Bar</t>
        </is>
      </c>
      <c r="C123" s="33" t="n">
        <v>61</v>
      </c>
      <c r="D123" s="33" t="n">
        <v>40</v>
      </c>
      <c r="E123" s="33" t="n">
        <v>34</v>
      </c>
      <c r="F123" s="35" t="n">
        <v>532</v>
      </c>
      <c r="G123" s="33" t="n">
        <v>63</v>
      </c>
      <c r="H123" s="32" t="inlineStr">
        <is>
          <t>Page reader inferred which column is price/XP; verify</t>
        </is>
      </c>
      <c r="I123" s="32" t="inlineStr">
        <is>
          <t>Hay Day Wiki (Fandom) https://hayday.fandom.com/wiki/Sandwich_Bar</t>
        </is>
      </c>
      <c r="J123" s="39">
        <f>IFERROR(INDEX(hayday_info!$D$2:$D$349,MATCH($A123,hayday_info!$A$2:$A$349,0)),"not found")</f>
        <v/>
      </c>
      <c r="K123" s="32">
        <f>IF(J123="not found","not in hayday.info",IF(J123=E123,"matches mastered",IF(J123=D123,"matches normal","differs")))</f>
        <v/>
      </c>
      <c r="L123" s="40">
        <f>IFERROR(INDEX(hayday_info!$E$2:$E$349,MATCH($A123,hayday_info!$A$2:$A$349,0)),"not found")</f>
        <v/>
      </c>
      <c r="M123" s="32">
        <f>IF(L123="not found","not in hayday.info",IF(F123="","no Fandom value",IF(L123=F123,"match","differs")))</f>
        <v/>
      </c>
      <c r="N123" s="32">
        <f>IFERROR(INDEX(hayday_info!$F$2:$F$349,MATCH($A123,hayday_info!$A$2:$A$349,0)),"not found")</f>
        <v/>
      </c>
      <c r="O123" s="32">
        <f>IF(N123="not found","not in hayday.info",IF(G123="","no Fandom value",IF(N123=G123,"match","differs")))</f>
        <v/>
      </c>
      <c r="P123" s="32">
        <f>IF(J123="not found","not in hayday.info",IF(C123="","no Fandom value",IF(IFERROR(INDEX(hayday_info!$C$2:$C$349,MATCH($A123,hayday_info!$A$2:$A$349,0)),"not found")=C123,"match","differs")))</f>
        <v/>
      </c>
    </row>
    <row r="124" ht="15" customHeight="1" s="29">
      <c r="A124" s="32" t="inlineStr">
        <is>
          <t>Bacon Toast</t>
        </is>
      </c>
      <c r="B124" s="32" t="inlineStr">
        <is>
          <t>Sandwich Bar</t>
        </is>
      </c>
      <c r="C124" s="33" t="n">
        <v>65</v>
      </c>
      <c r="D124" s="33" t="n">
        <v>100</v>
      </c>
      <c r="E124" s="33" t="n">
        <v>85</v>
      </c>
      <c r="F124" s="35" t="n">
        <v>648</v>
      </c>
      <c r="G124" s="33" t="n">
        <v>77</v>
      </c>
      <c r="H124" s="32" t="inlineStr">
        <is>
          <t>Page reader inferred which column is price/XP; verify</t>
        </is>
      </c>
      <c r="I124" s="32" t="inlineStr">
        <is>
          <t>Hay Day Wiki (Fandom) https://hayday.fandom.com/wiki/Sandwich_Bar</t>
        </is>
      </c>
      <c r="J124" s="39">
        <f>IFERROR(INDEX(hayday_info!$D$2:$D$349,MATCH($A124,hayday_info!$A$2:$A$349,0)),"not found")</f>
        <v/>
      </c>
      <c r="K124" s="32">
        <f>IF(J124="not found","not in hayday.info",IF(J124=E124,"matches mastered",IF(J124=D124,"matches normal","differs")))</f>
        <v/>
      </c>
      <c r="L124" s="40">
        <f>IFERROR(INDEX(hayday_info!$E$2:$E$349,MATCH($A124,hayday_info!$A$2:$A$349,0)),"not found")</f>
        <v/>
      </c>
      <c r="M124" s="32">
        <f>IF(L124="not found","not in hayday.info",IF(F124="","no Fandom value",IF(L124=F124,"match","differs")))</f>
        <v/>
      </c>
      <c r="N124" s="32">
        <f>IFERROR(INDEX(hayday_info!$F$2:$F$349,MATCH($A124,hayday_info!$A$2:$A$349,0)),"not found")</f>
        <v/>
      </c>
      <c r="O124" s="32">
        <f>IF(N124="not found","not in hayday.info",IF(G124="","no Fandom value",IF(N124=G124,"match","differs")))</f>
        <v/>
      </c>
      <c r="P124" s="32">
        <f>IF(J124="not found","not in hayday.info",IF(C124="","no Fandom value",IF(IFERROR(INDEX(hayday_info!$C$2:$C$349,MATCH($A124,hayday_info!$A$2:$A$349,0)),"not found")=C124,"match","differs")))</f>
        <v/>
      </c>
    </row>
    <row r="125" ht="15" customHeight="1" s="29">
      <c r="A125" s="32" t="inlineStr">
        <is>
          <t>Egg Sandwich</t>
        </is>
      </c>
      <c r="B125" s="32" t="inlineStr">
        <is>
          <t>Sandwich Bar</t>
        </is>
      </c>
      <c r="C125" s="33" t="n">
        <v>66</v>
      </c>
      <c r="D125" s="33" t="n">
        <v>80</v>
      </c>
      <c r="E125" s="33" t="n">
        <v>68</v>
      </c>
      <c r="F125" s="35" t="n">
        <v>583</v>
      </c>
      <c r="G125" s="33" t="n">
        <v>69</v>
      </c>
      <c r="H125" s="32" t="inlineStr">
        <is>
          <t>Page reader inferred which column is price/XP; verify</t>
        </is>
      </c>
      <c r="I125" s="32" t="inlineStr">
        <is>
          <t>Hay Day Wiki (Fandom) https://hayday.fandom.com/wiki/Sandwich_Bar</t>
        </is>
      </c>
      <c r="J125" s="39">
        <f>IFERROR(INDEX(hayday_info!$D$2:$D$349,MATCH($A125,hayday_info!$A$2:$A$349,0)),"not found")</f>
        <v/>
      </c>
      <c r="K125" s="32">
        <f>IF(J125="not found","not in hayday.info",IF(J125=E125,"matches mastered",IF(J125=D125,"matches normal","differs")))</f>
        <v/>
      </c>
      <c r="L125" s="40">
        <f>IFERROR(INDEX(hayday_info!$E$2:$E$349,MATCH($A125,hayday_info!$A$2:$A$349,0)),"not found")</f>
        <v/>
      </c>
      <c r="M125" s="32">
        <f>IF(L125="not found","not in hayday.info",IF(F125="","no Fandom value",IF(L125=F125,"match","differs")))</f>
        <v/>
      </c>
      <c r="N125" s="32">
        <f>IFERROR(INDEX(hayday_info!$F$2:$F$349,MATCH($A125,hayday_info!$A$2:$A$349,0)),"not found")</f>
        <v/>
      </c>
      <c r="O125" s="32">
        <f>IF(N125="not found","not in hayday.info",IF(G125="","no Fandom value",IF(N125=G125,"match","differs")))</f>
        <v/>
      </c>
      <c r="P125" s="32">
        <f>IF(J125="not found","not in hayday.info",IF(C125="","no Fandom value",IF(IFERROR(INDEX(hayday_info!$C$2:$C$349,MATCH($A125,hayday_info!$A$2:$A$349,0)),"not found")=C125,"match","differs")))</f>
        <v/>
      </c>
    </row>
    <row r="126" ht="15" customHeight="1" s="29">
      <c r="A126" s="32" t="inlineStr">
        <is>
          <t>Honey Toast</t>
        </is>
      </c>
      <c r="B126" s="32" t="inlineStr">
        <is>
          <t>Sandwich Bar</t>
        </is>
      </c>
      <c r="C126" s="33" t="n">
        <v>69</v>
      </c>
      <c r="D126" s="33" t="n">
        <v>60</v>
      </c>
      <c r="E126" s="33" t="n">
        <v>51</v>
      </c>
      <c r="F126" s="35" t="n">
        <v>255</v>
      </c>
      <c r="G126" s="33" t="n">
        <v>31</v>
      </c>
      <c r="H126" s="32" t="inlineStr">
        <is>
          <t>Page reader inferred which column is price/XP; verify</t>
        </is>
      </c>
      <c r="I126" s="32" t="inlineStr">
        <is>
          <t>Hay Day Wiki (Fandom) https://hayday.fandom.com/wiki/Sandwich_Bar</t>
        </is>
      </c>
      <c r="J126" s="39">
        <f>IFERROR(INDEX(hayday_info!$D$2:$D$349,MATCH($A126,hayday_info!$A$2:$A$349,0)),"not found")</f>
        <v/>
      </c>
      <c r="K126" s="32">
        <f>IF(J126="not found","not in hayday.info",IF(J126=E126,"matches mastered",IF(J126=D126,"matches normal","differs")))</f>
        <v/>
      </c>
      <c r="L126" s="40">
        <f>IFERROR(INDEX(hayday_info!$E$2:$E$349,MATCH($A126,hayday_info!$A$2:$A$349,0)),"not found")</f>
        <v/>
      </c>
      <c r="M126" s="32">
        <f>IF(L126="not found","not in hayday.info",IF(F126="","no Fandom value",IF(L126=F126,"match","differs")))</f>
        <v/>
      </c>
      <c r="N126" s="32">
        <f>IFERROR(INDEX(hayday_info!$F$2:$F$349,MATCH($A126,hayday_info!$A$2:$A$349,0)),"not found")</f>
        <v/>
      </c>
      <c r="O126" s="32">
        <f>IF(N126="not found","not in hayday.info",IF(G126="","no Fandom value",IF(N126=G126,"match","differs")))</f>
        <v/>
      </c>
      <c r="P126" s="32">
        <f>IF(J126="not found","not in hayday.info",IF(C126="","no Fandom value",IF(IFERROR(INDEX(hayday_info!$C$2:$C$349,MATCH($A126,hayday_info!$A$2:$A$349,0)),"not found")=C126,"match","differs")))</f>
        <v/>
      </c>
    </row>
    <row r="127" ht="15" customHeight="1" s="29">
      <c r="A127" s="32" t="inlineStr">
        <is>
          <t>Peanut Butter and Jelly Sandwich</t>
        </is>
      </c>
      <c r="B127" s="32" t="inlineStr">
        <is>
          <t>Sandwich Bar</t>
        </is>
      </c>
      <c r="C127" s="33" t="n">
        <v>71</v>
      </c>
      <c r="D127" s="33" t="n">
        <v>25</v>
      </c>
      <c r="E127" s="33" t="n">
        <v>21</v>
      </c>
      <c r="F127" s="35" t="n">
        <v>601</v>
      </c>
      <c r="G127" s="33" t="n">
        <v>80</v>
      </c>
      <c r="H127" s="32" t="inlineStr">
        <is>
          <t>Page reader inferred which column is price/XP; verify</t>
        </is>
      </c>
      <c r="I127" s="32" t="inlineStr">
        <is>
          <t>Hay Day Wiki (Fandom) https://hayday.fandom.com/wiki/Sandwich_Bar</t>
        </is>
      </c>
      <c r="J127" s="39">
        <f>IFERROR(INDEX(hayday_info!$D$2:$D$349,MATCH($A127,hayday_info!$A$2:$A$349,0)),"not found")</f>
        <v/>
      </c>
      <c r="K127" s="32">
        <f>IF(J127="not found","not in hayday.info",IF(J127=E127,"matches mastered",IF(J127=D127,"matches normal","differs")))</f>
        <v/>
      </c>
      <c r="L127" s="40">
        <f>IFERROR(INDEX(hayday_info!$E$2:$E$349,MATCH($A127,hayday_info!$A$2:$A$349,0)),"not found")</f>
        <v/>
      </c>
      <c r="M127" s="32">
        <f>IF(L127="not found","not in hayday.info",IF(F127="","no Fandom value",IF(L127=F127,"match","differs")))</f>
        <v/>
      </c>
      <c r="N127" s="32">
        <f>IFERROR(INDEX(hayday_info!$F$2:$F$349,MATCH($A127,hayday_info!$A$2:$A$349,0)),"not found")</f>
        <v/>
      </c>
      <c r="O127" s="32">
        <f>IF(N127="not found","not in hayday.info",IF(G127="","no Fandom value",IF(N127=G127,"match","differs")))</f>
        <v/>
      </c>
      <c r="P127" s="32">
        <f>IF(J127="not found","not in hayday.info",IF(C127="","no Fandom value",IF(IFERROR(INDEX(hayday_info!$C$2:$C$349,MATCH($A127,hayday_info!$A$2:$A$349,0)),"not found")=C127,"match","differs")))</f>
        <v/>
      </c>
    </row>
    <row r="128" ht="15" customHeight="1" s="29">
      <c r="A128" s="32" t="inlineStr">
        <is>
          <t>Cucumber Sandwich</t>
        </is>
      </c>
      <c r="B128" s="32" t="inlineStr">
        <is>
          <t>Sandwich Bar</t>
        </is>
      </c>
      <c r="C128" s="33" t="n">
        <v>79</v>
      </c>
      <c r="D128" s="33" t="n">
        <v>35</v>
      </c>
      <c r="E128" s="33" t="n">
        <v>29</v>
      </c>
      <c r="F128" s="35" t="n">
        <v>464</v>
      </c>
      <c r="G128" s="33" t="n">
        <v>55</v>
      </c>
      <c r="H128" s="32" t="inlineStr">
        <is>
          <t>Page reader inferred which column is price/XP; verify</t>
        </is>
      </c>
      <c r="I128" s="32" t="inlineStr">
        <is>
          <t>Hay Day Wiki (Fandom) https://hayday.fandom.com/wiki/Sandwich_Bar</t>
        </is>
      </c>
      <c r="J128" s="39">
        <f>IFERROR(INDEX(hayday_info!$D$2:$D$349,MATCH($A128,hayday_info!$A$2:$A$349,0)),"not found")</f>
        <v/>
      </c>
      <c r="K128" s="32">
        <f>IF(J128="not found","not in hayday.info",IF(J128=E128,"matches mastered",IF(J128=D128,"matches normal","differs")))</f>
        <v/>
      </c>
      <c r="L128" s="40">
        <f>IFERROR(INDEX(hayday_info!$E$2:$E$349,MATCH($A128,hayday_info!$A$2:$A$349,0)),"not found")</f>
        <v/>
      </c>
      <c r="M128" s="32">
        <f>IF(L128="not found","not in hayday.info",IF(F128="","no Fandom value",IF(L128=F128,"match","differs")))</f>
        <v/>
      </c>
      <c r="N128" s="32">
        <f>IFERROR(INDEX(hayday_info!$F$2:$F$349,MATCH($A128,hayday_info!$A$2:$A$349,0)),"not found")</f>
        <v/>
      </c>
      <c r="O128" s="32">
        <f>IF(N128="not found","not in hayday.info",IF(G128="","no Fandom value",IF(N128=G128,"match","differs")))</f>
        <v/>
      </c>
      <c r="P128" s="32">
        <f>IF(J128="not found","not in hayday.info",IF(C128="","no Fandom value",IF(IFERROR(INDEX(hayday_info!$C$2:$C$349,MATCH($A128,hayday_info!$A$2:$A$349,0)),"not found")=C128,"match","differs")))</f>
        <v/>
      </c>
    </row>
    <row r="129" ht="15" customHeight="1" s="29">
      <c r="A129" s="32" t="inlineStr">
        <is>
          <t>Onion Melt</t>
        </is>
      </c>
      <c r="B129" s="32" t="inlineStr">
        <is>
          <t>Sandwich Bar</t>
        </is>
      </c>
      <c r="C129" s="33" t="n">
        <v>84</v>
      </c>
      <c r="D129" s="33" t="n">
        <v>90</v>
      </c>
      <c r="E129" s="33" t="n">
        <v>76</v>
      </c>
      <c r="F129" s="35" t="n">
        <v>417</v>
      </c>
      <c r="G129" s="33" t="n">
        <v>50</v>
      </c>
      <c r="H129" s="32" t="inlineStr">
        <is>
          <t>Page reader inferred which column is price/XP; verify</t>
        </is>
      </c>
      <c r="I129" s="32" t="inlineStr">
        <is>
          <t>Hay Day Wiki (Fandom) https://hayday.fandom.com/wiki/Sandwich_Bar</t>
        </is>
      </c>
      <c r="J129" s="39">
        <f>IFERROR(INDEX(hayday_info!$D$2:$D$349,MATCH($A129,hayday_info!$A$2:$A$349,0)),"not found")</f>
        <v/>
      </c>
      <c r="K129" s="32">
        <f>IF(J129="not found","not in hayday.info",IF(J129=E129,"matches mastered",IF(J129=D129,"matches normal","differs")))</f>
        <v/>
      </c>
      <c r="L129" s="40">
        <f>IFERROR(INDEX(hayday_info!$E$2:$E$349,MATCH($A129,hayday_info!$A$2:$A$349,0)),"not found")</f>
        <v/>
      </c>
      <c r="M129" s="32">
        <f>IF(L129="not found","not in hayday.info",IF(F129="","no Fandom value",IF(L129=F129,"match","differs")))</f>
        <v/>
      </c>
      <c r="N129" s="32">
        <f>IFERROR(INDEX(hayday_info!$F$2:$F$349,MATCH($A129,hayday_info!$A$2:$A$349,0)),"not found")</f>
        <v/>
      </c>
      <c r="O129" s="32">
        <f>IF(N129="not found","not in hayday.info",IF(G129="","no Fandom value",IF(N129=G129,"match","differs")))</f>
        <v/>
      </c>
      <c r="P129" s="32">
        <f>IF(J129="not found","not in hayday.info",IF(C129="","no Fandom value",IF(IFERROR(INDEX(hayday_info!$C$2:$C$349,MATCH($A129,hayday_info!$A$2:$A$349,0)),"not found")=C129,"match","differs")))</f>
        <v/>
      </c>
    </row>
    <row r="130" ht="15" customHeight="1" s="29">
      <c r="A130" s="32" t="inlineStr">
        <is>
          <t>Goat Cheese Toast</t>
        </is>
      </c>
      <c r="B130" s="32" t="inlineStr">
        <is>
          <t>Sandwich Bar</t>
        </is>
      </c>
      <c r="C130" s="33" t="n">
        <v>92</v>
      </c>
      <c r="D130" s="33" t="n">
        <v>50</v>
      </c>
      <c r="E130" s="33" t="n">
        <v>42</v>
      </c>
      <c r="F130" s="35" t="n">
        <v>302</v>
      </c>
      <c r="G130" s="33" t="n">
        <v>36</v>
      </c>
      <c r="H130" s="32" t="inlineStr">
        <is>
          <t>Page reader inferred which column is price/XP; verify</t>
        </is>
      </c>
      <c r="I130" s="32" t="inlineStr">
        <is>
          <t>Hay Day Wiki (Fandom) https://hayday.fandom.com/wiki/Sandwich_Bar</t>
        </is>
      </c>
      <c r="J130" s="39">
        <f>IFERROR(INDEX(hayday_info!$D$2:$D$349,MATCH($A130,hayday_info!$A$2:$A$349,0)),"not found")</f>
        <v/>
      </c>
      <c r="K130" s="32">
        <f>IF(J130="not found","not in hayday.info",IF(J130=E130,"matches mastered",IF(J130=D130,"matches normal","differs")))</f>
        <v/>
      </c>
      <c r="L130" s="40">
        <f>IFERROR(INDEX(hayday_info!$E$2:$E$349,MATCH($A130,hayday_info!$A$2:$A$349,0)),"not found")</f>
        <v/>
      </c>
      <c r="M130" s="32">
        <f>IF(L130="not found","not in hayday.info",IF(F130="","no Fandom value",IF(L130=F130,"match","differs")))</f>
        <v/>
      </c>
      <c r="N130" s="32">
        <f>IFERROR(INDEX(hayday_info!$F$2:$F$349,MATCH($A130,hayday_info!$A$2:$A$349,0)),"not found")</f>
        <v/>
      </c>
      <c r="O130" s="32">
        <f>IF(N130="not found","not in hayday.info",IF(G130="","no Fandom value",IF(N130=G130,"match","differs")))</f>
        <v/>
      </c>
      <c r="P130" s="32">
        <f>IF(J130="not found","not in hayday.info",IF(C130="","no Fandom value",IF(IFERROR(INDEX(hayday_info!$C$2:$C$349,MATCH($A130,hayday_info!$A$2:$A$349,0)),"not found")=C130,"match","differs")))</f>
        <v/>
      </c>
    </row>
    <row r="131" ht="15" customHeight="1" s="29">
      <c r="A131" s="32" t="inlineStr">
        <is>
          <t>Hummus Wrap</t>
        </is>
      </c>
      <c r="B131" s="32" t="inlineStr">
        <is>
          <t>Sandwich Bar</t>
        </is>
      </c>
      <c r="C131" s="33" t="n">
        <v>109</v>
      </c>
      <c r="D131" s="33" t="n">
        <v>25</v>
      </c>
      <c r="E131" s="33" t="n">
        <v>21</v>
      </c>
      <c r="F131" s="35" t="n">
        <v>374</v>
      </c>
      <c r="G131" s="33" t="n">
        <v>45</v>
      </c>
      <c r="H131" s="32" t="inlineStr">
        <is>
          <t>Page reader inferred which column is price/XP; verify</t>
        </is>
      </c>
      <c r="I131" s="32" t="inlineStr">
        <is>
          <t>Hay Day Wiki (Fandom) https://hayday.fandom.com/wiki/Sandwich_Bar</t>
        </is>
      </c>
      <c r="J131" s="39">
        <f>IFERROR(INDEX(hayday_info!$D$2:$D$349,MATCH($A131,hayday_info!$A$2:$A$349,0)),"not found")</f>
        <v/>
      </c>
      <c r="K131" s="32">
        <f>IF(J131="not found","not in hayday.info",IF(J131=E131,"matches mastered",IF(J131=D131,"matches normal","differs")))</f>
        <v/>
      </c>
      <c r="L131" s="40">
        <f>IFERROR(INDEX(hayday_info!$E$2:$E$349,MATCH($A131,hayday_info!$A$2:$A$349,0)),"not found")</f>
        <v/>
      </c>
      <c r="M131" s="32">
        <f>IF(L131="not found","not in hayday.info",IF(F131="","no Fandom value",IF(L131=F131,"match","differs")))</f>
        <v/>
      </c>
      <c r="N131" s="32">
        <f>IFERROR(INDEX(hayday_info!$F$2:$F$349,MATCH($A131,hayday_info!$A$2:$A$349,0)),"not found")</f>
        <v/>
      </c>
      <c r="O131" s="32">
        <f>IF(N131="not found","not in hayday.info",IF(G131="","no Fandom value",IF(N131=G131,"match","differs")))</f>
        <v/>
      </c>
      <c r="P131" s="32">
        <f>IF(J131="not found","not in hayday.info",IF(C131="","no Fandom value",IF(IFERROR(INDEX(hayday_info!$C$2:$C$349,MATCH($A131,hayday_info!$A$2:$A$349,0)),"not found")=C131,"match","differs")))</f>
        <v/>
      </c>
    </row>
    <row r="132" ht="15" customHeight="1" s="29">
      <c r="A132" s="32" t="inlineStr">
        <is>
          <t>Soy sauce</t>
        </is>
      </c>
      <c r="B132" s="32" t="inlineStr">
        <is>
          <t>Sauce Maker</t>
        </is>
      </c>
      <c r="C132" s="33" t="n">
        <v>54</v>
      </c>
      <c r="D132" s="33" t="n">
        <v>180</v>
      </c>
      <c r="E132" s="33" t="n">
        <v>153</v>
      </c>
      <c r="F132" s="35" t="n">
        <v>154</v>
      </c>
      <c r="G132" s="33" t="n">
        <v>19</v>
      </c>
      <c r="H132" s="32" t="n"/>
      <c r="I132" s="32" t="inlineStr">
        <is>
          <t>Hay Day Wiki (Fandom) https://hayday.fandom.com/wiki/Sauce_Maker</t>
        </is>
      </c>
      <c r="J132" s="39">
        <f>IFERROR(INDEX(hayday_info!$D$2:$D$349,MATCH($A132,hayday_info!$A$2:$A$349,0)),"not found")</f>
        <v/>
      </c>
      <c r="K132" s="32">
        <f>IF(J132="not found","not in hayday.info",IF(J132=E132,"matches mastered",IF(J132=D132,"matches normal","differs")))</f>
        <v/>
      </c>
      <c r="L132" s="40">
        <f>IFERROR(INDEX(hayday_info!$E$2:$E$349,MATCH($A132,hayday_info!$A$2:$A$349,0)),"not found")</f>
        <v/>
      </c>
      <c r="M132" s="32">
        <f>IF(L132="not found","not in hayday.info",IF(F132="","no Fandom value",IF(L132=F132,"match","differs")))</f>
        <v/>
      </c>
      <c r="N132" s="32">
        <f>IFERROR(INDEX(hayday_info!$F$2:$F$349,MATCH($A132,hayday_info!$A$2:$A$349,0)),"not found")</f>
        <v/>
      </c>
      <c r="O132" s="32">
        <f>IF(N132="not found","not in hayday.info",IF(G132="","no Fandom value",IF(N132=G132,"match","differs")))</f>
        <v/>
      </c>
      <c r="P132" s="32">
        <f>IF(J132="not found","not in hayday.info",IF(C132="","no Fandom value",IF(IFERROR(INDEX(hayday_info!$C$2:$C$349,MATCH($A132,hayday_info!$A$2:$A$349,0)),"not found")=C132,"match","differs")))</f>
        <v/>
      </c>
    </row>
    <row r="133" ht="15" customHeight="1" s="29">
      <c r="A133" s="32" t="inlineStr">
        <is>
          <t>Olive oil</t>
        </is>
      </c>
      <c r="B133" s="32" t="inlineStr">
        <is>
          <t>Sauce Maker</t>
        </is>
      </c>
      <c r="C133" s="33" t="n">
        <v>60</v>
      </c>
      <c r="D133" s="33" t="n">
        <v>45</v>
      </c>
      <c r="E133" s="33" t="n">
        <v>38</v>
      </c>
      <c r="F133" s="35" t="n">
        <v>277</v>
      </c>
      <c r="G133" s="33" t="n">
        <v>33</v>
      </c>
      <c r="H133" s="32" t="n"/>
      <c r="I133" s="32" t="inlineStr">
        <is>
          <t>Hay Day Wiki (Fandom) https://hayday.fandom.com/wiki/Sauce_Maker</t>
        </is>
      </c>
      <c r="J133" s="39">
        <f>IFERROR(INDEX(hayday_info!$D$2:$D$349,MATCH($A133,hayday_info!$A$2:$A$349,0)),"not found")</f>
        <v/>
      </c>
      <c r="K133" s="32">
        <f>IF(J133="not found","not in hayday.info",IF(J133=E133,"matches mastered",IF(J133=D133,"matches normal","differs")))</f>
        <v/>
      </c>
      <c r="L133" s="40">
        <f>IFERROR(INDEX(hayday_info!$E$2:$E$349,MATCH($A133,hayday_info!$A$2:$A$349,0)),"not found")</f>
        <v/>
      </c>
      <c r="M133" s="32">
        <f>IF(L133="not found","not in hayday.info",IF(F133="","no Fandom value",IF(L133=F133,"match","differs")))</f>
        <v/>
      </c>
      <c r="N133" s="32">
        <f>IFERROR(INDEX(hayday_info!$F$2:$F$349,MATCH($A133,hayday_info!$A$2:$A$349,0)),"not found")</f>
        <v/>
      </c>
      <c r="O133" s="32">
        <f>IF(N133="not found","not in hayday.info",IF(G133="","no Fandom value",IF(N133=G133,"match","differs")))</f>
        <v/>
      </c>
      <c r="P133" s="32">
        <f>IF(J133="not found","not in hayday.info",IF(C133="","no Fandom value",IF(IFERROR(INDEX(hayday_info!$C$2:$C$349,MATCH($A133,hayday_info!$A$2:$A$349,0)),"not found")=C133,"match","differs")))</f>
        <v/>
      </c>
    </row>
    <row r="134" ht="15" customHeight="1" s="29">
      <c r="A134" s="32" t="inlineStr">
        <is>
          <t>Mayonnaise</t>
        </is>
      </c>
      <c r="B134" s="32" t="inlineStr">
        <is>
          <t>Sauce Maker</t>
        </is>
      </c>
      <c r="C134" s="33" t="n">
        <v>62</v>
      </c>
      <c r="D134" s="33" t="n">
        <v>15</v>
      </c>
      <c r="E134" s="33" t="n">
        <v>12</v>
      </c>
      <c r="F134" s="35" t="n">
        <v>367</v>
      </c>
      <c r="G134" s="33" t="n">
        <v>44</v>
      </c>
      <c r="H134" s="32" t="n"/>
      <c r="I134" s="32" t="inlineStr">
        <is>
          <t>Hay Day Wiki (Fandom) https://hayday.fandom.com/wiki/Sauce_Maker</t>
        </is>
      </c>
      <c r="J134" s="39">
        <f>IFERROR(INDEX(hayday_info!$D$2:$D$349,MATCH($A134,hayday_info!$A$2:$A$349,0)),"not found")</f>
        <v/>
      </c>
      <c r="K134" s="32">
        <f>IF(J134="not found","not in hayday.info",IF(J134=E134,"matches mastered",IF(J134=D134,"matches normal","differs")))</f>
        <v/>
      </c>
      <c r="L134" s="40">
        <f>IFERROR(INDEX(hayday_info!$E$2:$E$349,MATCH($A134,hayday_info!$A$2:$A$349,0)),"not found")</f>
        <v/>
      </c>
      <c r="M134" s="32">
        <f>IF(L134="not found","not in hayday.info",IF(F134="","no Fandom value",IF(L134=F134,"match","differs")))</f>
        <v/>
      </c>
      <c r="N134" s="32">
        <f>IFERROR(INDEX(hayday_info!$F$2:$F$349,MATCH($A134,hayday_info!$A$2:$A$349,0)),"not found")</f>
        <v/>
      </c>
      <c r="O134" s="32">
        <f>IF(N134="not found","not in hayday.info",IF(G134="","no Fandom value",IF(N134=G134,"match","differs")))</f>
        <v/>
      </c>
      <c r="P134" s="32">
        <f>IF(J134="not found","not in hayday.info",IF(C134="","no Fandom value",IF(IFERROR(INDEX(hayday_info!$C$2:$C$349,MATCH($A134,hayday_info!$A$2:$A$349,0)),"not found")=C134,"match","differs")))</f>
        <v/>
      </c>
    </row>
    <row r="135" ht="15" customHeight="1" s="29">
      <c r="A135" s="32" t="inlineStr">
        <is>
          <t>Olive dip</t>
        </is>
      </c>
      <c r="B135" s="32" t="inlineStr">
        <is>
          <t>Sauce Maker</t>
        </is>
      </c>
      <c r="C135" s="33" t="n">
        <v>66</v>
      </c>
      <c r="D135" s="33" t="n">
        <v>45</v>
      </c>
      <c r="E135" s="33" t="n">
        <v>38</v>
      </c>
      <c r="F135" s="35" t="n">
        <v>468</v>
      </c>
      <c r="G135" s="33" t="n">
        <v>56</v>
      </c>
      <c r="H135" s="32" t="n"/>
      <c r="I135" s="32" t="inlineStr">
        <is>
          <t>Hay Day Wiki (Fandom) https://hayday.fandom.com/wiki/Sauce_Maker</t>
        </is>
      </c>
      <c r="J135" s="39">
        <f>IFERROR(INDEX(hayday_info!$D$2:$D$349,MATCH($A135,hayday_info!$A$2:$A$349,0)),"not found")</f>
        <v/>
      </c>
      <c r="K135" s="32">
        <f>IF(J135="not found","not in hayday.info",IF(J135=E135,"matches mastered",IF(J135=D135,"matches normal","differs")))</f>
        <v/>
      </c>
      <c r="L135" s="40">
        <f>IFERROR(INDEX(hayday_info!$E$2:$E$349,MATCH($A135,hayday_info!$A$2:$A$349,0)),"not found")</f>
        <v/>
      </c>
      <c r="M135" s="32">
        <f>IF(L135="not found","not in hayday.info",IF(F135="","no Fandom value",IF(L135=F135,"match","differs")))</f>
        <v/>
      </c>
      <c r="N135" s="32">
        <f>IFERROR(INDEX(hayday_info!$F$2:$F$349,MATCH($A135,hayday_info!$A$2:$A$349,0)),"not found")</f>
        <v/>
      </c>
      <c r="O135" s="32">
        <f>IF(N135="not found","not in hayday.info",IF(G135="","no Fandom value",IF(N135=G135,"match","differs")))</f>
        <v/>
      </c>
      <c r="P135" s="32">
        <f>IF(J135="not found","not in hayday.info",IF(C135="","no Fandom value",IF(IFERROR(INDEX(hayday_info!$C$2:$C$349,MATCH($A135,hayday_info!$A$2:$A$349,0)),"not found")=C135,"match","differs")))</f>
        <v/>
      </c>
    </row>
    <row r="136" ht="15" customHeight="1" s="29">
      <c r="A136" s="32" t="inlineStr">
        <is>
          <t>Lemon curd</t>
        </is>
      </c>
      <c r="B136" s="32" t="inlineStr">
        <is>
          <t>Sauce Maker</t>
        </is>
      </c>
      <c r="C136" s="33" t="n">
        <v>66</v>
      </c>
      <c r="D136" s="33" t="n">
        <v>25</v>
      </c>
      <c r="E136" s="33" t="n">
        <v>21</v>
      </c>
      <c r="F136" s="35" t="n">
        <v>378</v>
      </c>
      <c r="G136" s="33" t="n">
        <v>45</v>
      </c>
      <c r="H136" s="32" t="n"/>
      <c r="I136" s="32" t="inlineStr">
        <is>
          <t>Hay Day Wiki (Fandom) https://hayday.fandom.com/wiki/Sauce_Maker</t>
        </is>
      </c>
      <c r="J136" s="39">
        <f>IFERROR(INDEX(hayday_info!$D$2:$D$349,MATCH($A136,hayday_info!$A$2:$A$349,0)),"not found")</f>
        <v/>
      </c>
      <c r="K136" s="32">
        <f>IF(J136="not found","not in hayday.info",IF(J136=E136,"matches mastered",IF(J136=D136,"matches normal","differs")))</f>
        <v/>
      </c>
      <c r="L136" s="40">
        <f>IFERROR(INDEX(hayday_info!$E$2:$E$349,MATCH($A136,hayday_info!$A$2:$A$349,0)),"not found")</f>
        <v/>
      </c>
      <c r="M136" s="32">
        <f>IF(L136="not found","not in hayday.info",IF(F136="","no Fandom value",IF(L136=F136,"match","differs")))</f>
        <v/>
      </c>
      <c r="N136" s="32">
        <f>IFERROR(INDEX(hayday_info!$F$2:$F$349,MATCH($A136,hayday_info!$A$2:$A$349,0)),"not found")</f>
        <v/>
      </c>
      <c r="O136" s="32">
        <f>IF(N136="not found","not in hayday.info",IF(G136="","no Fandom value",IF(N136=G136,"match","differs")))</f>
        <v/>
      </c>
      <c r="P136" s="32">
        <f>IF(J136="not found","not in hayday.info",IF(C136="","no Fandom value",IF(IFERROR(INDEX(hayday_info!$C$2:$C$349,MATCH($A136,hayday_info!$A$2:$A$349,0)),"not found")=C136,"match","differs")))</f>
        <v/>
      </c>
    </row>
    <row r="137" ht="15" customHeight="1" s="29">
      <c r="A137" s="32" t="inlineStr">
        <is>
          <t>Tomato sauce</t>
        </is>
      </c>
      <c r="B137" s="32" t="inlineStr">
        <is>
          <t>Sauce Maker</t>
        </is>
      </c>
      <c r="C137" s="33" t="n">
        <v>69</v>
      </c>
      <c r="D137" s="33" t="n">
        <v>30</v>
      </c>
      <c r="E137" s="33" t="n">
        <v>25</v>
      </c>
      <c r="F137" s="35" t="n">
        <v>230</v>
      </c>
      <c r="G137" s="33" t="n">
        <v>27</v>
      </c>
      <c r="H137" s="32" t="n"/>
      <c r="I137" s="32" t="inlineStr">
        <is>
          <t>Hay Day Wiki (Fandom) https://hayday.fandom.com/wiki/Sauce_Maker</t>
        </is>
      </c>
      <c r="J137" s="39">
        <f>IFERROR(INDEX(hayday_info!$D$2:$D$349,MATCH($A137,hayday_info!$A$2:$A$349,0)),"not found")</f>
        <v/>
      </c>
      <c r="K137" s="32">
        <f>IF(J137="not found","not in hayday.info",IF(J137=E137,"matches mastered",IF(J137=D137,"matches normal","differs")))</f>
        <v/>
      </c>
      <c r="L137" s="40">
        <f>IFERROR(INDEX(hayday_info!$E$2:$E$349,MATCH($A137,hayday_info!$A$2:$A$349,0)),"not found")</f>
        <v/>
      </c>
      <c r="M137" s="32">
        <f>IF(L137="not found","not in hayday.info",IF(F137="","no Fandom value",IF(L137=F137,"match","differs")))</f>
        <v/>
      </c>
      <c r="N137" s="32">
        <f>IFERROR(INDEX(hayday_info!$F$2:$F$349,MATCH($A137,hayday_info!$A$2:$A$349,0)),"not found")</f>
        <v/>
      </c>
      <c r="O137" s="32">
        <f>IF(N137="not found","not in hayday.info",IF(G137="","no Fandom value",IF(N137=G137,"match","differs")))</f>
        <v/>
      </c>
      <c r="P137" s="32">
        <f>IF(J137="not found","not in hayday.info",IF(C137="","no Fandom value",IF(IFERROR(INDEX(hayday_info!$C$2:$C$349,MATCH($A137,hayday_info!$A$2:$A$349,0)),"not found")=C137,"match","differs")))</f>
        <v/>
      </c>
    </row>
    <row r="138" ht="15" customHeight="1" s="29">
      <c r="A138" s="32" t="inlineStr">
        <is>
          <t>Salsa</t>
        </is>
      </c>
      <c r="B138" s="32" t="inlineStr">
        <is>
          <t>Sauce Maker</t>
        </is>
      </c>
      <c r="C138" s="33" t="n">
        <v>77</v>
      </c>
      <c r="D138" s="33" t="n">
        <v>20</v>
      </c>
      <c r="E138" s="33" t="n">
        <v>17</v>
      </c>
      <c r="F138" s="35" t="n"/>
      <c r="G138" s="33" t="n"/>
      <c r="H138" s="32" t="inlineStr">
        <is>
          <t>Sell price and XP not listed on the page</t>
        </is>
      </c>
      <c r="I138" s="32" t="inlineStr">
        <is>
          <t>Hay Day Wiki (Fandom) https://hayday.fandom.com/wiki/Sauce_Maker</t>
        </is>
      </c>
      <c r="J138" s="39">
        <f>IFERROR(INDEX(hayday_info!$D$2:$D$349,MATCH($A138,hayday_info!$A$2:$A$349,0)),"not found")</f>
        <v/>
      </c>
      <c r="K138" s="32">
        <f>IF(J138="not found","not in hayday.info",IF(J138=E138,"matches mastered",IF(J138=D138,"matches normal","differs")))</f>
        <v/>
      </c>
      <c r="L138" s="40">
        <f>IFERROR(INDEX(hayday_info!$E$2:$E$349,MATCH($A138,hayday_info!$A$2:$A$349,0)),"not found")</f>
        <v/>
      </c>
      <c r="M138" s="32">
        <f>IF(L138="not found","not in hayday.info",IF(F138="","no Fandom value",IF(L138=F138,"match","differs")))</f>
        <v/>
      </c>
      <c r="N138" s="32">
        <f>IFERROR(INDEX(hayday_info!$F$2:$F$349,MATCH($A138,hayday_info!$A$2:$A$349,0)),"not found")</f>
        <v/>
      </c>
      <c r="O138" s="32">
        <f>IF(N138="not found","not in hayday.info",IF(G138="","no Fandom value",IF(N138=G138,"match","differs")))</f>
        <v/>
      </c>
      <c r="P138" s="32">
        <f>IF(J138="not found","not in hayday.info",IF(C138="","no Fandom value",IF(IFERROR(INDEX(hayday_info!$C$2:$C$349,MATCH($A138,hayday_info!$A$2:$A$349,0)),"not found")=C138,"match","differs")))</f>
        <v/>
      </c>
    </row>
    <row r="139" ht="15" customHeight="1" s="29">
      <c r="A139" s="32" t="inlineStr">
        <is>
          <t>Berry Smoothie</t>
        </is>
      </c>
      <c r="B139" s="32" t="inlineStr">
        <is>
          <t>Smoothie Mixer</t>
        </is>
      </c>
      <c r="C139" s="33" t="n">
        <v>64</v>
      </c>
      <c r="D139" s="33" t="n">
        <v>75</v>
      </c>
      <c r="E139" s="33" t="n">
        <v>63</v>
      </c>
      <c r="F139" s="35" t="n">
        <v>547</v>
      </c>
      <c r="G139" s="33" t="n">
        <v>65</v>
      </c>
      <c r="H139" s="32" t="n"/>
      <c r="I139" s="32" t="inlineStr">
        <is>
          <t>Hay Day Wiki (Fandom) https://hayday.fandom.com/wiki/Smoothie_Mixer</t>
        </is>
      </c>
      <c r="J139" s="39">
        <f>IFERROR(INDEX(hayday_info!$D$2:$D$349,MATCH($A139,hayday_info!$A$2:$A$349,0)),"not found")</f>
        <v/>
      </c>
      <c r="K139" s="32">
        <f>IF(J139="not found","not in hayday.info",IF(J139=E139,"matches mastered",IF(J139=D139,"matches normal","differs")))</f>
        <v/>
      </c>
      <c r="L139" s="40">
        <f>IFERROR(INDEX(hayday_info!$E$2:$E$349,MATCH($A139,hayday_info!$A$2:$A$349,0)),"not found")</f>
        <v/>
      </c>
      <c r="M139" s="32">
        <f>IF(L139="not found","not in hayday.info",IF(F139="","no Fandom value",IF(L139=F139,"match","differs")))</f>
        <v/>
      </c>
      <c r="N139" s="32">
        <f>IFERROR(INDEX(hayday_info!$F$2:$F$349,MATCH($A139,hayday_info!$A$2:$A$349,0)),"not found")</f>
        <v/>
      </c>
      <c r="O139" s="32">
        <f>IF(N139="not found","not in hayday.info",IF(G139="","no Fandom value",IF(N139=G139,"match","differs")))</f>
        <v/>
      </c>
      <c r="P139" s="32">
        <f>IF(J139="not found","not in hayday.info",IF(C139="","no Fandom value",IF(IFERROR(INDEX(hayday_info!$C$2:$C$349,MATCH($A139,hayday_info!$A$2:$A$349,0)),"not found")=C139,"match","differs")))</f>
        <v/>
      </c>
    </row>
    <row r="140" ht="15" customHeight="1" s="29">
      <c r="A140" s="32" t="inlineStr">
        <is>
          <t>Green Smoothie</t>
        </is>
      </c>
      <c r="B140" s="32" t="inlineStr">
        <is>
          <t>Smoothie Mixer</t>
        </is>
      </c>
      <c r="C140" s="33" t="n">
        <v>66</v>
      </c>
      <c r="D140" s="33" t="n">
        <v>45</v>
      </c>
      <c r="E140" s="33" t="n">
        <v>38</v>
      </c>
      <c r="F140" s="35" t="n">
        <v>320</v>
      </c>
      <c r="G140" s="33" t="n">
        <v>38</v>
      </c>
      <c r="H140" s="32" t="n"/>
      <c r="I140" s="32" t="inlineStr">
        <is>
          <t>Hay Day Wiki (Fandom) https://hayday.fandom.com/wiki/Smoothie_Mixer</t>
        </is>
      </c>
      <c r="J140" s="39">
        <f>IFERROR(INDEX(hayday_info!$D$2:$D$349,MATCH($A140,hayday_info!$A$2:$A$349,0)),"not found")</f>
        <v/>
      </c>
      <c r="K140" s="32">
        <f>IF(J140="not found","not in hayday.info",IF(J140=E140,"matches mastered",IF(J140=D140,"matches normal","differs")))</f>
        <v/>
      </c>
      <c r="L140" s="40">
        <f>IFERROR(INDEX(hayday_info!$E$2:$E$349,MATCH($A140,hayday_info!$A$2:$A$349,0)),"not found")</f>
        <v/>
      </c>
      <c r="M140" s="32">
        <f>IF(L140="not found","not in hayday.info",IF(F140="","no Fandom value",IF(L140=F140,"match","differs")))</f>
        <v/>
      </c>
      <c r="N140" s="32">
        <f>IFERROR(INDEX(hayday_info!$F$2:$F$349,MATCH($A140,hayday_info!$A$2:$A$349,0)),"not found")</f>
        <v/>
      </c>
      <c r="O140" s="32">
        <f>IF(N140="not found","not in hayday.info",IF(G140="","no Fandom value",IF(N140=G140,"match","differs")))</f>
        <v/>
      </c>
      <c r="P140" s="32">
        <f>IF(J140="not found","not in hayday.info",IF(C140="","no Fandom value",IF(IFERROR(INDEX(hayday_info!$C$2:$C$349,MATCH($A140,hayday_info!$A$2:$A$349,0)),"not found")=C140,"match","differs")))</f>
        <v/>
      </c>
    </row>
    <row r="141" ht="15" customHeight="1" s="29">
      <c r="A141" s="32" t="inlineStr">
        <is>
          <t>Yogurt Smoothie</t>
        </is>
      </c>
      <c r="B141" s="32" t="inlineStr">
        <is>
          <t>Smoothie Mixer</t>
        </is>
      </c>
      <c r="C141" s="33" t="n">
        <v>70</v>
      </c>
      <c r="D141" s="33" t="n">
        <v>60</v>
      </c>
      <c r="E141" s="33" t="n">
        <v>51</v>
      </c>
      <c r="F141" s="35" t="n">
        <v>349</v>
      </c>
      <c r="G141" s="33" t="n">
        <v>60</v>
      </c>
      <c r="H141" s="32" t="n"/>
      <c r="I141" s="32" t="inlineStr">
        <is>
          <t>Hay Day Wiki (Fandom) https://hayday.fandom.com/wiki/Smoothie_Mixer</t>
        </is>
      </c>
      <c r="J141" s="39">
        <f>IFERROR(INDEX(hayday_info!$D$2:$D$349,MATCH($A141,hayday_info!$A$2:$A$349,0)),"not found")</f>
        <v/>
      </c>
      <c r="K141" s="32">
        <f>IF(J141="not found","not in hayday.info",IF(J141=E141,"matches mastered",IF(J141=D141,"matches normal","differs")))</f>
        <v/>
      </c>
      <c r="L141" s="40">
        <f>IFERROR(INDEX(hayday_info!$E$2:$E$349,MATCH($A141,hayday_info!$A$2:$A$349,0)),"not found")</f>
        <v/>
      </c>
      <c r="M141" s="32">
        <f>IF(L141="not found","not in hayday.info",IF(F141="","no Fandom value",IF(L141=F141,"match","differs")))</f>
        <v/>
      </c>
      <c r="N141" s="32">
        <f>IFERROR(INDEX(hayday_info!$F$2:$F$349,MATCH($A141,hayday_info!$A$2:$A$349,0)),"not found")</f>
        <v/>
      </c>
      <c r="O141" s="32">
        <f>IF(N141="not found","not in hayday.info",IF(G141="","no Fandom value",IF(N141=G141,"match","differs")))</f>
        <v/>
      </c>
      <c r="P141" s="32">
        <f>IF(J141="not found","not in hayday.info",IF(C141="","no Fandom value",IF(IFERROR(INDEX(hayday_info!$C$2:$C$349,MATCH($A141,hayday_info!$A$2:$A$349,0)),"not found")=C141,"match","differs")))</f>
        <v/>
      </c>
    </row>
    <row r="142" ht="15" customHeight="1" s="29">
      <c r="A142" s="32" t="inlineStr">
        <is>
          <t>Cucumber Smoothie</t>
        </is>
      </c>
      <c r="B142" s="32" t="inlineStr">
        <is>
          <t>Smoothie Mixer</t>
        </is>
      </c>
      <c r="C142" s="33" t="n">
        <v>70</v>
      </c>
      <c r="D142" s="33" t="n">
        <v>40</v>
      </c>
      <c r="E142" s="33" t="n">
        <v>34</v>
      </c>
      <c r="F142" s="35" t="n">
        <v>266</v>
      </c>
      <c r="G142" s="33" t="n">
        <v>32</v>
      </c>
      <c r="H142" s="32" t="n"/>
      <c r="I142" s="32" t="inlineStr">
        <is>
          <t>Hay Day Wiki (Fandom) https://hayday.fandom.com/wiki/Smoothie_Mixer</t>
        </is>
      </c>
      <c r="J142" s="39">
        <f>IFERROR(INDEX(hayday_info!$D$2:$D$349,MATCH($A142,hayday_info!$A$2:$A$349,0)),"not found")</f>
        <v/>
      </c>
      <c r="K142" s="32">
        <f>IF(J142="not found","not in hayday.info",IF(J142=E142,"matches mastered",IF(J142=D142,"matches normal","differs")))</f>
        <v/>
      </c>
      <c r="L142" s="40">
        <f>IFERROR(INDEX(hayday_info!$E$2:$E$349,MATCH($A142,hayday_info!$A$2:$A$349,0)),"not found")</f>
        <v/>
      </c>
      <c r="M142" s="32">
        <f>IF(L142="not found","not in hayday.info",IF(F142="","no Fandom value",IF(L142=F142,"match","differs")))</f>
        <v/>
      </c>
      <c r="N142" s="32">
        <f>IFERROR(INDEX(hayday_info!$F$2:$F$349,MATCH($A142,hayday_info!$A$2:$A$349,0)),"not found")</f>
        <v/>
      </c>
      <c r="O142" s="32">
        <f>IF(N142="not found","not in hayday.info",IF(G142="","no Fandom value",IF(N142=G142,"match","differs")))</f>
        <v/>
      </c>
      <c r="P142" s="32">
        <f>IF(J142="not found","not in hayday.info",IF(C142="","no Fandom value",IF(IFERROR(INDEX(hayday_info!$C$2:$C$349,MATCH($A142,hayday_info!$A$2:$A$349,0)),"not found")=C142,"match","differs")))</f>
        <v/>
      </c>
    </row>
    <row r="143" ht="15" customHeight="1" s="29">
      <c r="A143" s="32" t="inlineStr">
        <is>
          <t>Mixed Smoothie</t>
        </is>
      </c>
      <c r="B143" s="32" t="inlineStr">
        <is>
          <t>Smoothie Mixer</t>
        </is>
      </c>
      <c r="C143" s="33" t="n">
        <v>88</v>
      </c>
      <c r="D143" s="33" t="n">
        <v>30</v>
      </c>
      <c r="E143" s="33" t="n">
        <v>25</v>
      </c>
      <c r="F143" s="35" t="n">
        <v>504</v>
      </c>
      <c r="G143" s="33" t="n">
        <v>60</v>
      </c>
      <c r="H143" s="32" t="n"/>
      <c r="I143" s="32" t="inlineStr">
        <is>
          <t>Hay Day Wiki (Fandom) https://hayday.fandom.com/wiki/Smoothie_Mixer</t>
        </is>
      </c>
      <c r="J143" s="39">
        <f>IFERROR(INDEX(hayday_info!$D$2:$D$349,MATCH($A143,hayday_info!$A$2:$A$349,0)),"not found")</f>
        <v/>
      </c>
      <c r="K143" s="32">
        <f>IF(J143="not found","not in hayday.info",IF(J143=E143,"matches mastered",IF(J143=D143,"matches normal","differs")))</f>
        <v/>
      </c>
      <c r="L143" s="40">
        <f>IFERROR(INDEX(hayday_info!$E$2:$E$349,MATCH($A143,hayday_info!$A$2:$A$349,0)),"not found")</f>
        <v/>
      </c>
      <c r="M143" s="32">
        <f>IF(L143="not found","not in hayday.info",IF(F143="","no Fandom value",IF(L143=F143,"match","differs")))</f>
        <v/>
      </c>
      <c r="N143" s="32">
        <f>IFERROR(INDEX(hayday_info!$F$2:$F$349,MATCH($A143,hayday_info!$A$2:$A$349,0)),"not found")</f>
        <v/>
      </c>
      <c r="O143" s="32">
        <f>IF(N143="not found","not in hayday.info",IF(G143="","no Fandom value",IF(N143=G143,"match","differs")))</f>
        <v/>
      </c>
      <c r="P143" s="32">
        <f>IF(J143="not found","not in hayday.info",IF(C143="","no Fandom value",IF(IFERROR(INDEX(hayday_info!$C$2:$C$349,MATCH($A143,hayday_info!$A$2:$A$349,0)),"not found")=C143,"match","differs")))</f>
        <v/>
      </c>
    </row>
    <row r="144" ht="15" customHeight="1" s="29">
      <c r="A144" s="32" t="inlineStr">
        <is>
          <t>Black Sesame Smoothie</t>
        </is>
      </c>
      <c r="B144" s="32" t="inlineStr">
        <is>
          <t>Smoothie Mixer</t>
        </is>
      </c>
      <c r="C144" s="33" t="n">
        <v>93</v>
      </c>
      <c r="D144" s="33" t="n">
        <v>45</v>
      </c>
      <c r="E144" s="33" t="n">
        <v>38</v>
      </c>
      <c r="F144" s="35" t="n">
        <v>313</v>
      </c>
      <c r="G144" s="33" t="n">
        <v>37</v>
      </c>
      <c r="H144" s="32" t="n"/>
      <c r="I144" s="32" t="inlineStr">
        <is>
          <t>Hay Day Wiki (Fandom) https://hayday.fandom.com/wiki/Smoothie_Mixer</t>
        </is>
      </c>
      <c r="J144" s="39">
        <f>IFERROR(INDEX(hayday_info!$D$2:$D$349,MATCH($A144,hayday_info!$A$2:$A$349,0)),"not found")</f>
        <v/>
      </c>
      <c r="K144" s="32">
        <f>IF(J144="not found","not in hayday.info",IF(J144=E144,"matches mastered",IF(J144=D144,"matches normal","differs")))</f>
        <v/>
      </c>
      <c r="L144" s="40">
        <f>IFERROR(INDEX(hayday_info!$E$2:$E$349,MATCH($A144,hayday_info!$A$2:$A$349,0)),"not found")</f>
        <v/>
      </c>
      <c r="M144" s="32">
        <f>IF(L144="not found","not in hayday.info",IF(F144="","no Fandom value",IF(L144=F144,"match","differs")))</f>
        <v/>
      </c>
      <c r="N144" s="32">
        <f>IFERROR(INDEX(hayday_info!$F$2:$F$349,MATCH($A144,hayday_info!$A$2:$A$349,0)),"not found")</f>
        <v/>
      </c>
      <c r="O144" s="32">
        <f>IF(N144="not found","not in hayday.info",IF(G144="","no Fandom value",IF(N144=G144,"match","differs")))</f>
        <v/>
      </c>
      <c r="P144" s="32">
        <f>IF(J144="not found","not in hayday.info",IF(C144="","no Fandom value",IF(IFERROR(INDEX(hayday_info!$C$2:$C$349,MATCH($A144,hayday_info!$A$2:$A$349,0)),"not found")=C144,"match","differs")))</f>
        <v/>
      </c>
    </row>
    <row r="145" ht="15" customHeight="1" s="29">
      <c r="A145" s="32" t="inlineStr">
        <is>
          <t>Cocoa Smoothie</t>
        </is>
      </c>
      <c r="B145" s="32" t="inlineStr">
        <is>
          <t>Smoothie Mixer</t>
        </is>
      </c>
      <c r="C145" s="33" t="n">
        <v>100</v>
      </c>
      <c r="D145" s="33" t="n">
        <v>40</v>
      </c>
      <c r="E145" s="33" t="n">
        <v>34</v>
      </c>
      <c r="F145" s="35" t="n">
        <v>511</v>
      </c>
      <c r="G145" s="33" t="n">
        <v>61</v>
      </c>
      <c r="H145" s="32" t="n"/>
      <c r="I145" s="32" t="inlineStr">
        <is>
          <t>Hay Day Wiki (Fandom) https://hayday.fandom.com/wiki/Smoothie_Mixer</t>
        </is>
      </c>
      <c r="J145" s="39">
        <f>IFERROR(INDEX(hayday_info!$D$2:$D$349,MATCH($A145,hayday_info!$A$2:$A$349,0)),"not found")</f>
        <v/>
      </c>
      <c r="K145" s="32">
        <f>IF(J145="not found","not in hayday.info",IF(J145=E145,"matches mastered",IF(J145=D145,"matches normal","differs")))</f>
        <v/>
      </c>
      <c r="L145" s="40">
        <f>IFERROR(INDEX(hayday_info!$E$2:$E$349,MATCH($A145,hayday_info!$A$2:$A$349,0)),"not found")</f>
        <v/>
      </c>
      <c r="M145" s="32">
        <f>IF(L145="not found","not in hayday.info",IF(F145="","no Fandom value",IF(L145=F145,"match","differs")))</f>
        <v/>
      </c>
      <c r="N145" s="32">
        <f>IFERROR(INDEX(hayday_info!$F$2:$F$349,MATCH($A145,hayday_info!$A$2:$A$349,0)),"not found")</f>
        <v/>
      </c>
      <c r="O145" s="32">
        <f>IF(N145="not found","not in hayday.info",IF(G145="","no Fandom value",IF(N145=G145,"match","differs")))</f>
        <v/>
      </c>
      <c r="P145" s="32">
        <f>IF(J145="not found","not in hayday.info",IF(C145="","no Fandom value",IF(IFERROR(INDEX(hayday_info!$C$2:$C$349,MATCH($A145,hayday_info!$A$2:$A$349,0)),"not found")=C145,"match","differs")))</f>
        <v/>
      </c>
    </row>
    <row r="146" ht="15" customHeight="1" s="29">
      <c r="A146" s="32" t="inlineStr">
        <is>
          <t>Plum Smoothie</t>
        </is>
      </c>
      <c r="B146" s="32" t="inlineStr">
        <is>
          <t>Smoothie Mixer</t>
        </is>
      </c>
      <c r="C146" s="33" t="n">
        <v>102</v>
      </c>
      <c r="D146" s="33" t="n">
        <v>35</v>
      </c>
      <c r="E146" s="33" t="n">
        <v>29</v>
      </c>
      <c r="F146" s="35" t="n">
        <v>522</v>
      </c>
      <c r="G146" s="33" t="n">
        <v>62</v>
      </c>
      <c r="H146" s="32" t="n"/>
      <c r="I146" s="32" t="inlineStr">
        <is>
          <t>Hay Day Wiki (Fandom) https://hayday.fandom.com/wiki/Smoothie_Mixer</t>
        </is>
      </c>
      <c r="J146" s="39">
        <f>IFERROR(INDEX(hayday_info!$D$2:$D$349,MATCH($A146,hayday_info!$A$2:$A$349,0)),"not found")</f>
        <v/>
      </c>
      <c r="K146" s="32">
        <f>IF(J146="not found","not in hayday.info",IF(J146=E146,"matches mastered",IF(J146=D146,"matches normal","differs")))</f>
        <v/>
      </c>
      <c r="L146" s="40">
        <f>IFERROR(INDEX(hayday_info!$E$2:$E$349,MATCH($A146,hayday_info!$A$2:$A$349,0)),"not found")</f>
        <v/>
      </c>
      <c r="M146" s="32">
        <f>IF(L146="not found","not in hayday.info",IF(F146="","no Fandom value",IF(L146=F146,"match","differs")))</f>
        <v/>
      </c>
      <c r="N146" s="32">
        <f>IFERROR(INDEX(hayday_info!$F$2:$F$349,MATCH($A146,hayday_info!$A$2:$A$349,0)),"not found")</f>
        <v/>
      </c>
      <c r="O146" s="32">
        <f>IF(N146="not found","not in hayday.info",IF(G146="","no Fandom value",IF(N146=G146,"match","differs")))</f>
        <v/>
      </c>
      <c r="P146" s="32">
        <f>IF(J146="not found","not in hayday.info",IF(C146="","no Fandom value",IF(IFERROR(INDEX(hayday_info!$C$2:$C$349,MATCH($A146,hayday_info!$A$2:$A$349,0)),"not found")=C146,"match","differs")))</f>
        <v/>
      </c>
    </row>
    <row r="147" ht="15" customHeight="1" s="29">
      <c r="A147" s="32" t="inlineStr">
        <is>
          <t>Taco</t>
        </is>
      </c>
      <c r="B147" s="32" t="inlineStr">
        <is>
          <t>Taco Kitchen</t>
        </is>
      </c>
      <c r="C147" s="33" t="n">
        <v>77</v>
      </c>
      <c r="D147" s="33" t="n">
        <v>45</v>
      </c>
      <c r="E147" s="33" t="n">
        <v>38</v>
      </c>
      <c r="F147" s="35" t="n">
        <v>396</v>
      </c>
      <c r="G147" s="33" t="n">
        <v>47</v>
      </c>
      <c r="H147" s="32" t="n"/>
      <c r="I147" s="32" t="inlineStr">
        <is>
          <t>Hay Day Wiki (Fandom) https://hayday.fandom.com/wiki/Taco_Kitchen</t>
        </is>
      </c>
      <c r="J147" s="39">
        <f>IFERROR(INDEX(hayday_info!$D$2:$D$349,MATCH($A147,hayday_info!$A$2:$A$349,0)),"not found")</f>
        <v/>
      </c>
      <c r="K147" s="32">
        <f>IF(J147="not found","not in hayday.info",IF(J147=E147,"matches mastered",IF(J147=D147,"matches normal","differs")))</f>
        <v/>
      </c>
      <c r="L147" s="40">
        <f>IFERROR(INDEX(hayday_info!$E$2:$E$349,MATCH($A147,hayday_info!$A$2:$A$349,0)),"not found")</f>
        <v/>
      </c>
      <c r="M147" s="32">
        <f>IF(L147="not found","not in hayday.info",IF(F147="","no Fandom value",IF(L147=F147,"match","differs")))</f>
        <v/>
      </c>
      <c r="N147" s="32">
        <f>IFERROR(INDEX(hayday_info!$F$2:$F$349,MATCH($A147,hayday_info!$A$2:$A$349,0)),"not found")</f>
        <v/>
      </c>
      <c r="O147" s="32">
        <f>IF(N147="not found","not in hayday.info",IF(G147="","no Fandom value",IF(N147=G147,"match","differs")))</f>
        <v/>
      </c>
      <c r="P147" s="32">
        <f>IF(J147="not found","not in hayday.info",IF(C147="","no Fandom value",IF(IFERROR(INDEX(hayday_info!$C$2:$C$349,MATCH($A147,hayday_info!$A$2:$A$349,0)),"not found")=C147,"match","differs")))</f>
        <v/>
      </c>
    </row>
    <row r="148" ht="15" customHeight="1" s="29">
      <c r="A148" s="32" t="inlineStr">
        <is>
          <t>Fish Taco</t>
        </is>
      </c>
      <c r="B148" s="32" t="inlineStr">
        <is>
          <t>Taco Kitchen</t>
        </is>
      </c>
      <c r="C148" s="33" t="n">
        <v>79</v>
      </c>
      <c r="D148" s="33" t="n">
        <v>90</v>
      </c>
      <c r="E148" s="33" t="n">
        <v>76</v>
      </c>
      <c r="F148" s="35" t="n">
        <v>392</v>
      </c>
      <c r="G148" s="33" t="n">
        <v>44</v>
      </c>
      <c r="H148" s="32" t="n"/>
      <c r="I148" s="32" t="inlineStr">
        <is>
          <t>Hay Day Wiki (Fandom) https://hayday.fandom.com/wiki/Taco_Kitchen</t>
        </is>
      </c>
      <c r="J148" s="39">
        <f>IFERROR(INDEX(hayday_info!$D$2:$D$349,MATCH($A148,hayday_info!$A$2:$A$349,0)),"not found")</f>
        <v/>
      </c>
      <c r="K148" s="32">
        <f>IF(J148="not found","not in hayday.info",IF(J148=E148,"matches mastered",IF(J148=D148,"matches normal","differs")))</f>
        <v/>
      </c>
      <c r="L148" s="40">
        <f>IFERROR(INDEX(hayday_info!$E$2:$E$349,MATCH($A148,hayday_info!$A$2:$A$349,0)),"not found")</f>
        <v/>
      </c>
      <c r="M148" s="32">
        <f>IF(L148="not found","not in hayday.info",IF(F148="","no Fandom value",IF(L148=F148,"match","differs")))</f>
        <v/>
      </c>
      <c r="N148" s="32">
        <f>IFERROR(INDEX(hayday_info!$F$2:$F$349,MATCH($A148,hayday_info!$A$2:$A$349,0)),"not found")</f>
        <v/>
      </c>
      <c r="O148" s="32">
        <f>IF(N148="not found","not in hayday.info",IF(G148="","no Fandom value",IF(N148=G148,"match","differs")))</f>
        <v/>
      </c>
      <c r="P148" s="32">
        <f>IF(J148="not found","not in hayday.info",IF(C148="","no Fandom value",IF(IFERROR(INDEX(hayday_info!$C$2:$C$349,MATCH($A148,hayday_info!$A$2:$A$349,0)),"not found")=C148,"match","differs")))</f>
        <v/>
      </c>
    </row>
    <row r="149" ht="15" customHeight="1" s="29">
      <c r="A149" s="32" t="inlineStr">
        <is>
          <t>Quesadilla</t>
        </is>
      </c>
      <c r="B149" s="32" t="inlineStr">
        <is>
          <t>Taco Kitchen</t>
        </is>
      </c>
      <c r="C149" s="33" t="n">
        <v>82</v>
      </c>
      <c r="D149" s="33" t="n">
        <v>60</v>
      </c>
      <c r="E149" s="33" t="n">
        <v>51</v>
      </c>
      <c r="F149" s="35" t="n">
        <v>241</v>
      </c>
      <c r="G149" s="33" t="n">
        <v>29</v>
      </c>
      <c r="H149" s="32" t="n"/>
      <c r="I149" s="32" t="inlineStr">
        <is>
          <t>Hay Day Wiki (Fandom) https://hayday.fandom.com/wiki/Taco_Kitchen</t>
        </is>
      </c>
      <c r="J149" s="39">
        <f>IFERROR(INDEX(hayday_info!$D$2:$D$349,MATCH($A149,hayday_info!$A$2:$A$349,0)),"not found")</f>
        <v/>
      </c>
      <c r="K149" s="32">
        <f>IF(J149="not found","not in hayday.info",IF(J149=E149,"matches mastered",IF(J149=D149,"matches normal","differs")))</f>
        <v/>
      </c>
      <c r="L149" s="40">
        <f>IFERROR(INDEX(hayday_info!$E$2:$E$349,MATCH($A149,hayday_info!$A$2:$A$349,0)),"not found")</f>
        <v/>
      </c>
      <c r="M149" s="32">
        <f>IF(L149="not found","not in hayday.info",IF(F149="","no Fandom value",IF(L149=F149,"match","differs")))</f>
        <v/>
      </c>
      <c r="N149" s="32">
        <f>IFERROR(INDEX(hayday_info!$F$2:$F$349,MATCH($A149,hayday_info!$A$2:$A$349,0)),"not found")</f>
        <v/>
      </c>
      <c r="O149" s="32">
        <f>IF(N149="not found","not in hayday.info",IF(G149="","no Fandom value",IF(N149=G149,"match","differs")))</f>
        <v/>
      </c>
      <c r="P149" s="32">
        <f>IF(J149="not found","not in hayday.info",IF(C149="","no Fandom value",IF(IFERROR(INDEX(hayday_info!$C$2:$C$349,MATCH($A149,hayday_info!$A$2:$A$349,0)),"not found")=C149,"match","differs")))</f>
        <v/>
      </c>
    </row>
    <row r="150" ht="15" customHeight="1" s="29">
      <c r="A150" s="32" t="inlineStr">
        <is>
          <t>Nachos</t>
        </is>
      </c>
      <c r="B150" s="32" t="inlineStr">
        <is>
          <t>Taco Kitchen</t>
        </is>
      </c>
      <c r="C150" s="33" t="n">
        <v>87</v>
      </c>
      <c r="D150" s="33" t="n">
        <v>75</v>
      </c>
      <c r="E150" s="33" t="n">
        <v>63</v>
      </c>
      <c r="F150" s="35" t="n">
        <v>430</v>
      </c>
      <c r="G150" s="33" t="n">
        <v>52</v>
      </c>
      <c r="H150" s="32" t="n"/>
      <c r="I150" s="32" t="inlineStr">
        <is>
          <t>Hay Day Wiki (Fandom) https://hayday.fandom.com/wiki/Taco_Kitchen</t>
        </is>
      </c>
      <c r="J150" s="39">
        <f>IFERROR(INDEX(hayday_info!$D$2:$D$349,MATCH($A150,hayday_info!$A$2:$A$349,0)),"not found")</f>
        <v/>
      </c>
      <c r="K150" s="32">
        <f>IF(J150="not found","not in hayday.info",IF(J150=E150,"matches mastered",IF(J150=D150,"matches normal","differs")))</f>
        <v/>
      </c>
      <c r="L150" s="40">
        <f>IFERROR(INDEX(hayday_info!$E$2:$E$349,MATCH($A150,hayday_info!$A$2:$A$349,0)),"not found")</f>
        <v/>
      </c>
      <c r="M150" s="32">
        <f>IF(L150="not found","not in hayday.info",IF(F150="","no Fandom value",IF(L150=F150,"match","differs")))</f>
        <v/>
      </c>
      <c r="N150" s="32">
        <f>IFERROR(INDEX(hayday_info!$F$2:$F$349,MATCH($A150,hayday_info!$A$2:$A$349,0)),"not found")</f>
        <v/>
      </c>
      <c r="O150" s="32">
        <f>IF(N150="not found","not in hayday.info",IF(G150="","no Fandom value",IF(N150=G150,"match","differs")))</f>
        <v/>
      </c>
      <c r="P150" s="32">
        <f>IF(J150="not found","not in hayday.info",IF(C150="","no Fandom value",IF(IFERROR(INDEX(hayday_info!$C$2:$C$349,MATCH($A150,hayday_info!$A$2:$A$349,0)),"not found")=C150,"match","differs")))</f>
        <v/>
      </c>
    </row>
    <row r="151" ht="15" customHeight="1" s="29">
      <c r="A151" s="32" t="inlineStr">
        <is>
          <t>Fried rice</t>
        </is>
      </c>
      <c r="B151" s="32" t="inlineStr">
        <is>
          <t>Wok Kitchen</t>
        </is>
      </c>
      <c r="C151" s="33" t="n">
        <v>69</v>
      </c>
      <c r="D151" s="33" t="n">
        <v>60</v>
      </c>
      <c r="E151" s="33" t="n">
        <v>51</v>
      </c>
      <c r="F151" s="35" t="n">
        <v>205</v>
      </c>
      <c r="G151" s="33" t="n">
        <v>24</v>
      </c>
      <c r="H151" s="32" t="n"/>
      <c r="I151" s="32" t="inlineStr">
        <is>
          <t>Hay Day Wiki (Fandom) https://hayday.fandom.com/wiki/Wok_Kitchen</t>
        </is>
      </c>
      <c r="J151" s="39">
        <f>IFERROR(INDEX(hayday_info!$D$2:$D$349,MATCH($A151,hayday_info!$A$2:$A$349,0)),"not found")</f>
        <v/>
      </c>
      <c r="K151" s="32">
        <f>IF(J151="not found","not in hayday.info",IF(J151=E151,"matches mastered",IF(J151=D151,"matches normal","differs")))</f>
        <v/>
      </c>
      <c r="L151" s="40">
        <f>IFERROR(INDEX(hayday_info!$E$2:$E$349,MATCH($A151,hayday_info!$A$2:$A$349,0)),"not found")</f>
        <v/>
      </c>
      <c r="M151" s="32">
        <f>IF(L151="not found","not in hayday.info",IF(F151="","no Fandom value",IF(L151=F151,"match","differs")))</f>
        <v/>
      </c>
      <c r="N151" s="32">
        <f>IFERROR(INDEX(hayday_info!$F$2:$F$349,MATCH($A151,hayday_info!$A$2:$A$349,0)),"not found")</f>
        <v/>
      </c>
      <c r="O151" s="32">
        <f>IF(N151="not found","not in hayday.info",IF(G151="","no Fandom value",IF(N151=G151,"match","differs")))</f>
        <v/>
      </c>
      <c r="P151" s="32">
        <f>IF(J151="not found","not in hayday.info",IF(C151="","no Fandom value",IF(IFERROR(INDEX(hayday_info!$C$2:$C$349,MATCH($A151,hayday_info!$A$2:$A$349,0)),"not found")=C151,"match","differs")))</f>
        <v/>
      </c>
    </row>
    <row r="152" ht="15" customHeight="1" s="29">
      <c r="A152" s="32" t="inlineStr">
        <is>
          <t>Spicy fish</t>
        </is>
      </c>
      <c r="B152" s="32" t="inlineStr">
        <is>
          <t>Wok Kitchen</t>
        </is>
      </c>
      <c r="C152" s="33" t="n">
        <v>79</v>
      </c>
      <c r="D152" s="33" t="n">
        <v>90</v>
      </c>
      <c r="E152" s="33" t="n">
        <v>76</v>
      </c>
      <c r="F152" s="35" t="n">
        <v>543</v>
      </c>
      <c r="G152" s="33" t="n">
        <v>65</v>
      </c>
      <c r="H152" s="32" t="n"/>
      <c r="I152" s="32" t="inlineStr">
        <is>
          <t>Hay Day Wiki (Fandom) https://hayday.fandom.com/wiki/Wok_Kitchen</t>
        </is>
      </c>
      <c r="J152" s="39">
        <f>IFERROR(INDEX(hayday_info!$D$2:$D$349,MATCH($A152,hayday_info!$A$2:$A$349,0)),"not found")</f>
        <v/>
      </c>
      <c r="K152" s="32">
        <f>IF(J152="not found","not in hayday.info",IF(J152=E152,"matches mastered",IF(J152=D152,"matches normal","differs")))</f>
        <v/>
      </c>
      <c r="L152" s="40">
        <f>IFERROR(INDEX(hayday_info!$E$2:$E$349,MATCH($A152,hayday_info!$A$2:$A$349,0)),"not found")</f>
        <v/>
      </c>
      <c r="M152" s="32">
        <f>IF(L152="not found","not in hayday.info",IF(F152="","no Fandom value",IF(L152=F152,"match","differs")))</f>
        <v/>
      </c>
      <c r="N152" s="32">
        <f>IFERROR(INDEX(hayday_info!$F$2:$F$349,MATCH($A152,hayday_info!$A$2:$A$349,0)),"not found")</f>
        <v/>
      </c>
      <c r="O152" s="32">
        <f>IF(N152="not found","not in hayday.info",IF(G152="","no Fandom value",IF(N152=G152,"match","differs")))</f>
        <v/>
      </c>
      <c r="P152" s="32">
        <f>IF(J152="not found","not in hayday.info",IF(C152="","no Fandom value",IF(IFERROR(INDEX(hayday_info!$C$2:$C$349,MATCH($A152,hayday_info!$A$2:$A$349,0)),"not found")=C152,"match","differs")))</f>
        <v/>
      </c>
    </row>
    <row r="153" ht="15" customHeight="1" s="29">
      <c r="A153" s="32" t="inlineStr">
        <is>
          <t>Peanut noodles</t>
        </is>
      </c>
      <c r="B153" s="32" t="inlineStr">
        <is>
          <t>Wok Kitchen</t>
        </is>
      </c>
      <c r="C153" s="33" t="n">
        <v>86</v>
      </c>
      <c r="D153" s="33" t="n">
        <v>45</v>
      </c>
      <c r="E153" s="33" t="n">
        <v>38</v>
      </c>
      <c r="F153" s="35" t="n">
        <v>669</v>
      </c>
      <c r="G153" s="33" t="n">
        <v>80</v>
      </c>
      <c r="H153" s="32" t="n"/>
      <c r="I153" s="32" t="inlineStr">
        <is>
          <t>Hay Day Wiki (Fandom) https://hayday.fandom.com/wiki/Wok_Kitchen</t>
        </is>
      </c>
      <c r="J153" s="39">
        <f>IFERROR(INDEX(hayday_info!$D$2:$D$349,MATCH($A153,hayday_info!$A$2:$A$349,0)),"not found")</f>
        <v/>
      </c>
      <c r="K153" s="32">
        <f>IF(J153="not found","not in hayday.info",IF(J153=E153,"matches mastered",IF(J153=D153,"matches normal","differs")))</f>
        <v/>
      </c>
      <c r="L153" s="40">
        <f>IFERROR(INDEX(hayday_info!$E$2:$E$349,MATCH($A153,hayday_info!$A$2:$A$349,0)),"not found")</f>
        <v/>
      </c>
      <c r="M153" s="32">
        <f>IF(L153="not found","not in hayday.info",IF(F153="","no Fandom value",IF(L153=F153,"match","differs")))</f>
        <v/>
      </c>
      <c r="N153" s="32">
        <f>IFERROR(INDEX(hayday_info!$F$2:$F$349,MATCH($A153,hayday_info!$A$2:$A$349,0)),"not found")</f>
        <v/>
      </c>
      <c r="O153" s="32">
        <f>IF(N153="not found","not in hayday.info",IF(G153="","no Fandom value",IF(N153=G153,"match","differs")))</f>
        <v/>
      </c>
      <c r="P153" s="32">
        <f>IF(J153="not found","not in hayday.info",IF(C153="","no Fandom value",IF(IFERROR(INDEX(hayday_info!$C$2:$C$349,MATCH($A153,hayday_info!$A$2:$A$349,0)),"not found")=C153,"match","differs")))</f>
        <v/>
      </c>
    </row>
    <row r="154" ht="15" customHeight="1" s="29">
      <c r="A154" s="32" t="inlineStr">
        <is>
          <t>Tofu stir fry</t>
        </is>
      </c>
      <c r="B154" s="32" t="inlineStr">
        <is>
          <t>Wok Kitchen</t>
        </is>
      </c>
      <c r="C154" s="33" t="n">
        <v>89</v>
      </c>
      <c r="D154" s="33" t="n">
        <v>75</v>
      </c>
      <c r="E154" s="33" t="n">
        <v>63</v>
      </c>
      <c r="F154" s="35" t="n">
        <v>306</v>
      </c>
      <c r="G154" s="33" t="n">
        <v>37</v>
      </c>
      <c r="H154" s="32" t="n"/>
      <c r="I154" s="32" t="inlineStr">
        <is>
          <t>Hay Day Wiki (Fandom) https://hayday.fandom.com/wiki/Wok_Kitchen</t>
        </is>
      </c>
      <c r="J154" s="39">
        <f>IFERROR(INDEX(hayday_info!$D$2:$D$349,MATCH($A154,hayday_info!$A$2:$A$349,0)),"not found")</f>
        <v/>
      </c>
      <c r="K154" s="32">
        <f>IF(J154="not found","not in hayday.info",IF(J154=E154,"matches mastered",IF(J154=D154,"matches normal","differs")))</f>
        <v/>
      </c>
      <c r="L154" s="40">
        <f>IFERROR(INDEX(hayday_info!$E$2:$E$349,MATCH($A154,hayday_info!$A$2:$A$349,0)),"not found")</f>
        <v/>
      </c>
      <c r="M154" s="32">
        <f>IF(L154="not found","not in hayday.info",IF(F154="","no Fandom value",IF(L154=F154,"match","differs")))</f>
        <v/>
      </c>
      <c r="N154" s="32">
        <f>IFERROR(INDEX(hayday_info!$F$2:$F$349,MATCH($A154,hayday_info!$A$2:$A$349,0)),"not found")</f>
        <v/>
      </c>
      <c r="O154" s="32">
        <f>IF(N154="not found","not in hayday.info",IF(G154="","no Fandom value",IF(N154=G154,"match","differs")))</f>
        <v/>
      </c>
      <c r="P154" s="32">
        <f>IF(J154="not found","not in hayday.info",IF(C154="","no Fandom value",IF(IFERROR(INDEX(hayday_info!$C$2:$C$349,MATCH($A154,hayday_info!$A$2:$A$349,0)),"not found")=C154,"match","differs")))</f>
        <v/>
      </c>
    </row>
    <row r="155" ht="15" customHeight="1" s="29">
      <c r="A155" s="32" t="inlineStr">
        <is>
          <t>Gnocchi</t>
        </is>
      </c>
      <c r="B155" s="32" t="inlineStr">
        <is>
          <t>Pasta Kitchen</t>
        </is>
      </c>
      <c r="C155" s="33" t="n">
        <v>72</v>
      </c>
      <c r="D155" s="33" t="n">
        <v>80</v>
      </c>
      <c r="E155" s="33" t="n">
        <v>68</v>
      </c>
      <c r="F155" s="35" t="n">
        <v>475</v>
      </c>
      <c r="G155" s="33" t="n">
        <v>57</v>
      </c>
      <c r="H155" s="32" t="n"/>
      <c r="I155" s="32" t="inlineStr">
        <is>
          <t>Hay Day Wiki (Fandom) https://hayday.fandom.com/wiki/Pasta_Kitchen</t>
        </is>
      </c>
      <c r="J155" s="39">
        <f>IFERROR(INDEX(hayday_info!$D$2:$D$349,MATCH($A155,hayday_info!$A$2:$A$349,0)),"not found")</f>
        <v/>
      </c>
      <c r="K155" s="32">
        <f>IF(J155="not found","not in hayday.info",IF(J155=E155,"matches mastered",IF(J155=D155,"matches normal","differs")))</f>
        <v/>
      </c>
      <c r="L155" s="40">
        <f>IFERROR(INDEX(hayday_info!$E$2:$E$349,MATCH($A155,hayday_info!$A$2:$A$349,0)),"not found")</f>
        <v/>
      </c>
      <c r="M155" s="32">
        <f>IF(L155="not found","not in hayday.info",IF(F155="","no Fandom value",IF(L155=F155,"match","differs")))</f>
        <v/>
      </c>
      <c r="N155" s="32">
        <f>IFERROR(INDEX(hayday_info!$F$2:$F$349,MATCH($A155,hayday_info!$A$2:$A$349,0)),"not found")</f>
        <v/>
      </c>
      <c r="O155" s="32">
        <f>IF(N155="not found","not in hayday.info",IF(G155="","no Fandom value",IF(N155=G155,"match","differs")))</f>
        <v/>
      </c>
      <c r="P155" s="32">
        <f>IF(J155="not found","not in hayday.info",IF(C155="","no Fandom value",IF(IFERROR(INDEX(hayday_info!$C$2:$C$349,MATCH($A155,hayday_info!$A$2:$A$349,0)),"not found")=C155,"match","differs")))</f>
        <v/>
      </c>
    </row>
    <row r="156" ht="15" customHeight="1" s="29">
      <c r="A156" s="32" t="inlineStr">
        <is>
          <t>Veggie Lasagna</t>
        </is>
      </c>
      <c r="B156" s="32" t="inlineStr">
        <is>
          <t>Pasta Kitchen</t>
        </is>
      </c>
      <c r="C156" s="33" t="n">
        <v>74</v>
      </c>
      <c r="D156" s="33" t="n">
        <v>100</v>
      </c>
      <c r="E156" s="33" t="n">
        <v>85</v>
      </c>
      <c r="F156" s="35" t="n">
        <v>532</v>
      </c>
      <c r="G156" s="33" t="n">
        <v>63</v>
      </c>
      <c r="H156" s="32" t="n"/>
      <c r="I156" s="32" t="inlineStr">
        <is>
          <t>Hay Day Wiki (Fandom) https://hayday.fandom.com/wiki/Pasta_Kitchen</t>
        </is>
      </c>
      <c r="J156" s="39">
        <f>IFERROR(INDEX(hayday_info!$D$2:$D$349,MATCH($A156,hayday_info!$A$2:$A$349,0)),"not found")</f>
        <v/>
      </c>
      <c r="K156" s="32">
        <f>IF(J156="not found","not in hayday.info",IF(J156=E156,"matches mastered",IF(J156=D156,"matches normal","differs")))</f>
        <v/>
      </c>
      <c r="L156" s="40">
        <f>IFERROR(INDEX(hayday_info!$E$2:$E$349,MATCH($A156,hayday_info!$A$2:$A$349,0)),"not found")</f>
        <v/>
      </c>
      <c r="M156" s="32">
        <f>IF(L156="not found","not in hayday.info",IF(F156="","no Fandom value",IF(L156=F156,"match","differs")))</f>
        <v/>
      </c>
      <c r="N156" s="32">
        <f>IFERROR(INDEX(hayday_info!$F$2:$F$349,MATCH($A156,hayday_info!$A$2:$A$349,0)),"not found")</f>
        <v/>
      </c>
      <c r="O156" s="32">
        <f>IF(N156="not found","not in hayday.info",IF(G156="","no Fandom value",IF(N156=G156,"match","differs")))</f>
        <v/>
      </c>
      <c r="P156" s="32">
        <f>IF(J156="not found","not in hayday.info",IF(C156="","no Fandom value",IF(IFERROR(INDEX(hayday_info!$C$2:$C$349,MATCH($A156,hayday_info!$A$2:$A$349,0)),"not found")=C156,"match","differs")))</f>
        <v/>
      </c>
    </row>
    <row r="157" ht="15" customHeight="1" s="29">
      <c r="A157" s="32" t="inlineStr">
        <is>
          <t>Lobster Pasta</t>
        </is>
      </c>
      <c r="B157" s="32" t="inlineStr">
        <is>
          <t>Pasta Kitchen</t>
        </is>
      </c>
      <c r="C157" s="33" t="n">
        <v>79</v>
      </c>
      <c r="D157" s="33" t="n">
        <v>120</v>
      </c>
      <c r="E157" s="33" t="n">
        <v>102</v>
      </c>
      <c r="F157" s="35" t="n">
        <v>637</v>
      </c>
      <c r="G157" s="33" t="n">
        <v>76</v>
      </c>
      <c r="H157" s="32" t="n"/>
      <c r="I157" s="32" t="inlineStr">
        <is>
          <t>Hay Day Wiki (Fandom) https://hayday.fandom.com/wiki/Pasta_Kitchen</t>
        </is>
      </c>
      <c r="J157" s="39">
        <f>IFERROR(INDEX(hayday_info!$D$2:$D$349,MATCH($A157,hayday_info!$A$2:$A$349,0)),"not found")</f>
        <v/>
      </c>
      <c r="K157" s="32">
        <f>IF(J157="not found","not in hayday.info",IF(J157=E157,"matches mastered",IF(J157=D157,"matches normal","differs")))</f>
        <v/>
      </c>
      <c r="L157" s="40">
        <f>IFERROR(INDEX(hayday_info!$E$2:$E$349,MATCH($A157,hayday_info!$A$2:$A$349,0)),"not found")</f>
        <v/>
      </c>
      <c r="M157" s="32">
        <f>IF(L157="not found","not in hayday.info",IF(F157="","no Fandom value",IF(L157=F157,"match","differs")))</f>
        <v/>
      </c>
      <c r="N157" s="32">
        <f>IFERROR(INDEX(hayday_info!$F$2:$F$349,MATCH($A157,hayday_info!$A$2:$A$349,0)),"not found")</f>
        <v/>
      </c>
      <c r="O157" s="32">
        <f>IF(N157="not found","not in hayday.info",IF(G157="","no Fandom value",IF(N157=G157,"match","differs")))</f>
        <v/>
      </c>
      <c r="P157" s="32">
        <f>IF(J157="not found","not in hayday.info",IF(C157="","no Fandom value",IF(IFERROR(INDEX(hayday_info!$C$2:$C$349,MATCH($A157,hayday_info!$A$2:$A$349,0)),"not found")=C157,"match","differs")))</f>
        <v/>
      </c>
    </row>
    <row r="158" ht="15" customHeight="1" s="29">
      <c r="A158" s="32" t="inlineStr">
        <is>
          <t>Pasta Carbonara</t>
        </is>
      </c>
      <c r="B158" s="32" t="inlineStr">
        <is>
          <t>Pasta Kitchen</t>
        </is>
      </c>
      <c r="C158" s="33" t="n">
        <v>83</v>
      </c>
      <c r="D158" s="33" t="n">
        <v>150</v>
      </c>
      <c r="E158" s="33" t="n">
        <v>127</v>
      </c>
      <c r="F158" s="35" t="n">
        <v>410</v>
      </c>
      <c r="G158" s="33" t="n">
        <v>49</v>
      </c>
      <c r="H158" s="32" t="n"/>
      <c r="I158" s="32" t="inlineStr">
        <is>
          <t>Hay Day Wiki (Fandom) https://hayday.fandom.com/wiki/Pasta_Kitchen</t>
        </is>
      </c>
      <c r="J158" s="39">
        <f>IFERROR(INDEX(hayday_info!$D$2:$D$349,MATCH($A158,hayday_info!$A$2:$A$349,0)),"not found")</f>
        <v/>
      </c>
      <c r="K158" s="32">
        <f>IF(J158="not found","not in hayday.info",IF(J158=E158,"matches mastered",IF(J158=D158,"matches normal","differs")))</f>
        <v/>
      </c>
      <c r="L158" s="40">
        <f>IFERROR(INDEX(hayday_info!$E$2:$E$349,MATCH($A158,hayday_info!$A$2:$A$349,0)),"not found")</f>
        <v/>
      </c>
      <c r="M158" s="32">
        <f>IF(L158="not found","not in hayday.info",IF(F158="","no Fandom value",IF(L158=F158,"match","differs")))</f>
        <v/>
      </c>
      <c r="N158" s="32">
        <f>IFERROR(INDEX(hayday_info!$F$2:$F$349,MATCH($A158,hayday_info!$A$2:$A$349,0)),"not found")</f>
        <v/>
      </c>
      <c r="O158" s="32">
        <f>IF(N158="not found","not in hayday.info",IF(G158="","no Fandom value",IF(N158=G158,"match","differs")))</f>
        <v/>
      </c>
      <c r="P158" s="32">
        <f>IF(J158="not found","not in hayday.info",IF(C158="","no Fandom value",IF(IFERROR(INDEX(hayday_info!$C$2:$C$349,MATCH($A158,hayday_info!$A$2:$A$349,0)),"not found")=C158,"match","differs")))</f>
        <v/>
      </c>
    </row>
    <row r="159" ht="15" customHeight="1" s="29">
      <c r="A159" s="32" t="inlineStr">
        <is>
          <t>Broccoli Pasta</t>
        </is>
      </c>
      <c r="B159" s="32" t="inlineStr">
        <is>
          <t>Pasta Kitchen</t>
        </is>
      </c>
      <c r="C159" s="33" t="n">
        <v>83</v>
      </c>
      <c r="D159" s="33" t="n">
        <v>60</v>
      </c>
      <c r="E159" s="33" t="n">
        <v>51</v>
      </c>
      <c r="F159" s="35" t="n">
        <v>345</v>
      </c>
      <c r="G159" s="33" t="n">
        <v>41</v>
      </c>
      <c r="H159" s="32" t="n"/>
      <c r="I159" s="32" t="inlineStr">
        <is>
          <t>Hay Day Wiki (Fandom) https://hayday.fandom.com/wiki/Pasta_Kitchen</t>
        </is>
      </c>
      <c r="J159" s="39">
        <f>IFERROR(INDEX(hayday_info!$D$2:$D$349,MATCH($A159,hayday_info!$A$2:$A$349,0)),"not found")</f>
        <v/>
      </c>
      <c r="K159" s="32">
        <f>IF(J159="not found","not in hayday.info",IF(J159=E159,"matches mastered",IF(J159=D159,"matches normal","differs")))</f>
        <v/>
      </c>
      <c r="L159" s="40">
        <f>IFERROR(INDEX(hayday_info!$E$2:$E$349,MATCH($A159,hayday_info!$A$2:$A$349,0)),"not found")</f>
        <v/>
      </c>
      <c r="M159" s="32">
        <f>IF(L159="not found","not in hayday.info",IF(F159="","no Fandom value",IF(L159=F159,"match","differs")))</f>
        <v/>
      </c>
      <c r="N159" s="32">
        <f>IFERROR(INDEX(hayday_info!$F$2:$F$349,MATCH($A159,hayday_info!$A$2:$A$349,0)),"not found")</f>
        <v/>
      </c>
      <c r="O159" s="32">
        <f>IF(N159="not found","not in hayday.info",IF(G159="","no Fandom value",IF(N159=G159,"match","differs")))</f>
        <v/>
      </c>
      <c r="P159" s="32">
        <f>IF(J159="not found","not in hayday.info",IF(C159="","no Fandom value",IF(IFERROR(INDEX(hayday_info!$C$2:$C$349,MATCH($A159,hayday_info!$A$2:$A$349,0)),"not found")=C159,"match","differs")))</f>
        <v/>
      </c>
    </row>
    <row r="160" ht="15" customHeight="1" s="29">
      <c r="A160" s="32" t="inlineStr">
        <is>
          <t>Spicy Pasta</t>
        </is>
      </c>
      <c r="B160" s="32" t="inlineStr">
        <is>
          <t>Pasta Kitchen</t>
        </is>
      </c>
      <c r="C160" s="33" t="n">
        <v>87</v>
      </c>
      <c r="D160" s="33" t="n">
        <v>90</v>
      </c>
      <c r="E160" s="33" t="n">
        <v>76</v>
      </c>
      <c r="F160" s="35" t="n">
        <v>576</v>
      </c>
      <c r="G160" s="33" t="n">
        <v>69</v>
      </c>
      <c r="H160" s="32" t="n"/>
      <c r="I160" s="32" t="inlineStr">
        <is>
          <t>Hay Day Wiki (Fandom) https://hayday.fandom.com/wiki/Pasta_Kitchen</t>
        </is>
      </c>
      <c r="J160" s="39">
        <f>IFERROR(INDEX(hayday_info!$D$2:$D$349,MATCH($A160,hayday_info!$A$2:$A$349,0)),"not found")</f>
        <v/>
      </c>
      <c r="K160" s="32">
        <f>IF(J160="not found","not in hayday.info",IF(J160=E160,"matches mastered",IF(J160=D160,"matches normal","differs")))</f>
        <v/>
      </c>
      <c r="L160" s="40">
        <f>IFERROR(INDEX(hayday_info!$E$2:$E$349,MATCH($A160,hayday_info!$A$2:$A$349,0)),"not found")</f>
        <v/>
      </c>
      <c r="M160" s="32">
        <f>IF(L160="not found","not in hayday.info",IF(F160="","no Fandom value",IF(L160=F160,"match","differs")))</f>
        <v/>
      </c>
      <c r="N160" s="32">
        <f>IFERROR(INDEX(hayday_info!$F$2:$F$349,MATCH($A160,hayday_info!$A$2:$A$349,0)),"not found")</f>
        <v/>
      </c>
      <c r="O160" s="32">
        <f>IF(N160="not found","not in hayday.info",IF(G160="","no Fandom value",IF(N160=G160,"match","differs")))</f>
        <v/>
      </c>
      <c r="P160" s="32">
        <f>IF(J160="not found","not in hayday.info",IF(C160="","no Fandom value",IF(IFERROR(INDEX(hayday_info!$C$2:$C$349,MATCH($A160,hayday_info!$A$2:$A$349,0)),"not found")=C160,"match","differs")))</f>
        <v/>
      </c>
    </row>
    <row r="161" ht="15" customHeight="1" s="29">
      <c r="A161" s="32" t="inlineStr">
        <is>
          <t>Hot Dog</t>
        </is>
      </c>
      <c r="B161" s="32" t="inlineStr">
        <is>
          <t>Hot Dog Stand</t>
        </is>
      </c>
      <c r="C161" s="33" t="n">
        <v>75</v>
      </c>
      <c r="D161" s="33" t="n">
        <v>30</v>
      </c>
      <c r="E161" s="33" t="n">
        <v>25</v>
      </c>
      <c r="F161" s="35" t="n">
        <v>370</v>
      </c>
      <c r="G161" s="33" t="n">
        <v>44</v>
      </c>
      <c r="H161" s="32" t="n"/>
      <c r="I161" s="32" t="inlineStr">
        <is>
          <t>Hay Day Wiki (Fandom) https://hayday.fandom.com/wiki/Hot_Dog_Stand</t>
        </is>
      </c>
      <c r="J161" s="39">
        <f>IFERROR(INDEX(hayday_info!$D$2:$D$349,MATCH($A161,hayday_info!$A$2:$A$349,0)),"not found")</f>
        <v/>
      </c>
      <c r="K161" s="32">
        <f>IF(J161="not found","not in hayday.info",IF(J161=E161,"matches mastered",IF(J161=D161,"matches normal","differs")))</f>
        <v/>
      </c>
      <c r="L161" s="40">
        <f>IFERROR(INDEX(hayday_info!$E$2:$E$349,MATCH($A161,hayday_info!$A$2:$A$349,0)),"not found")</f>
        <v/>
      </c>
      <c r="M161" s="32">
        <f>IF(L161="not found","not in hayday.info",IF(F161="","no Fandom value",IF(L161=F161,"match","differs")))</f>
        <v/>
      </c>
      <c r="N161" s="32">
        <f>IFERROR(INDEX(hayday_info!$F$2:$F$349,MATCH($A161,hayday_info!$A$2:$A$349,0)),"not found")</f>
        <v/>
      </c>
      <c r="O161" s="32">
        <f>IF(N161="not found","not in hayday.info",IF(G161="","no Fandom value",IF(N161=G161,"match","differs")))</f>
        <v/>
      </c>
      <c r="P161" s="32">
        <f>IF(J161="not found","not in hayday.info",IF(C161="","no Fandom value",IF(IFERROR(INDEX(hayday_info!$C$2:$C$349,MATCH($A161,hayday_info!$A$2:$A$349,0)),"not found")=C161,"match","differs")))</f>
        <v/>
      </c>
    </row>
    <row r="162" ht="15" customHeight="1" s="29">
      <c r="A162" s="32" t="inlineStr">
        <is>
          <t>Tofu Dog</t>
        </is>
      </c>
      <c r="B162" s="32" t="inlineStr">
        <is>
          <t>Hot Dog Stand</t>
        </is>
      </c>
      <c r="C162" s="33" t="n">
        <v>76</v>
      </c>
      <c r="D162" s="33" t="n">
        <v>45</v>
      </c>
      <c r="E162" s="33" t="n">
        <v>38</v>
      </c>
      <c r="F162" s="35" t="n">
        <v>367</v>
      </c>
      <c r="G162" s="33" t="n">
        <v>44</v>
      </c>
      <c r="H162" s="32" t="n"/>
      <c r="I162" s="32" t="inlineStr">
        <is>
          <t>Hay Day Wiki (Fandom) https://hayday.fandom.com/wiki/Hot_Dog_Stand</t>
        </is>
      </c>
      <c r="J162" s="39">
        <f>IFERROR(INDEX(hayday_info!$D$2:$D$349,MATCH($A162,hayday_info!$A$2:$A$349,0)),"not found")</f>
        <v/>
      </c>
      <c r="K162" s="32">
        <f>IF(J162="not found","not in hayday.info",IF(J162=E162,"matches mastered",IF(J162=D162,"matches normal","differs")))</f>
        <v/>
      </c>
      <c r="L162" s="40">
        <f>IFERROR(INDEX(hayday_info!$E$2:$E$349,MATCH($A162,hayday_info!$A$2:$A$349,0)),"not found")</f>
        <v/>
      </c>
      <c r="M162" s="32">
        <f>IF(L162="not found","not in hayday.info",IF(F162="","no Fandom value",IF(L162=F162,"match","differs")))</f>
        <v/>
      </c>
      <c r="N162" s="32">
        <f>IFERROR(INDEX(hayday_info!$F$2:$F$349,MATCH($A162,hayday_info!$A$2:$A$349,0)),"not found")</f>
        <v/>
      </c>
      <c r="O162" s="32">
        <f>IF(N162="not found","not in hayday.info",IF(G162="","no Fandom value",IF(N162=G162,"match","differs")))</f>
        <v/>
      </c>
      <c r="P162" s="32">
        <f>IF(J162="not found","not in hayday.info",IF(C162="","no Fandom value",IF(IFERROR(INDEX(hayday_info!$C$2:$C$349,MATCH($A162,hayday_info!$A$2:$A$349,0)),"not found")=C162,"match","differs")))</f>
        <v/>
      </c>
    </row>
    <row r="163" ht="15" customHeight="1" s="29">
      <c r="A163" s="32" t="inlineStr">
        <is>
          <t>Corn Dog</t>
        </is>
      </c>
      <c r="B163" s="32" t="inlineStr">
        <is>
          <t>Hot Dog Stand</t>
        </is>
      </c>
      <c r="C163" s="33" t="n">
        <v>78</v>
      </c>
      <c r="D163" s="33" t="n">
        <v>60</v>
      </c>
      <c r="E163" s="33" t="n">
        <v>51</v>
      </c>
      <c r="F163" s="35" t="n">
        <v>529</v>
      </c>
      <c r="G163" s="33" t="n">
        <v>63</v>
      </c>
      <c r="H163" s="32" t="n"/>
      <c r="I163" s="32" t="inlineStr">
        <is>
          <t>Hay Day Wiki (Fandom) https://hayday.fandom.com/wiki/Hot_Dog_Stand</t>
        </is>
      </c>
      <c r="J163" s="39">
        <f>IFERROR(INDEX(hayday_info!$D$2:$D$349,MATCH($A163,hayday_info!$A$2:$A$349,0)),"not found")</f>
        <v/>
      </c>
      <c r="K163" s="32">
        <f>IF(J163="not found","not in hayday.info",IF(J163=E163,"matches mastered",IF(J163=D163,"matches normal","differs")))</f>
        <v/>
      </c>
      <c r="L163" s="40">
        <f>IFERROR(INDEX(hayday_info!$E$2:$E$349,MATCH($A163,hayday_info!$A$2:$A$349,0)),"not found")</f>
        <v/>
      </c>
      <c r="M163" s="32">
        <f>IF(L163="not found","not in hayday.info",IF(F163="","no Fandom value",IF(L163=F163,"match","differs")))</f>
        <v/>
      </c>
      <c r="N163" s="32">
        <f>IFERROR(INDEX(hayday_info!$F$2:$F$349,MATCH($A163,hayday_info!$A$2:$A$349,0)),"not found")</f>
        <v/>
      </c>
      <c r="O163" s="32">
        <f>IF(N163="not found","not in hayday.info",IF(G163="","no Fandom value",IF(N163=G163,"match","differs")))</f>
        <v/>
      </c>
      <c r="P163" s="32">
        <f>IF(J163="not found","not in hayday.info",IF(C163="","no Fandom value",IF(IFERROR(INDEX(hayday_info!$C$2:$C$349,MATCH($A163,hayday_info!$A$2:$A$349,0)),"not found")=C163,"match","differs")))</f>
        <v/>
      </c>
    </row>
    <row r="164" ht="15" customHeight="1" s="29">
      <c r="A164" s="32" t="inlineStr">
        <is>
          <t>Onion Dog</t>
        </is>
      </c>
      <c r="B164" s="32" t="inlineStr">
        <is>
          <t>Hot Dog Stand</t>
        </is>
      </c>
      <c r="C164" s="33" t="n">
        <v>80</v>
      </c>
      <c r="D164" s="33" t="n">
        <v>75</v>
      </c>
      <c r="E164" s="33" t="n">
        <v>63</v>
      </c>
      <c r="F164" s="35" t="n">
        <v>306</v>
      </c>
      <c r="G164" s="33" t="n">
        <v>36</v>
      </c>
      <c r="H164" s="32" t="n"/>
      <c r="I164" s="32" t="inlineStr">
        <is>
          <t>Hay Day Wiki (Fandom) https://hayday.fandom.com/wiki/Hot_Dog_Stand</t>
        </is>
      </c>
      <c r="J164" s="39">
        <f>IFERROR(INDEX(hayday_info!$D$2:$D$349,MATCH($A164,hayday_info!$A$2:$A$349,0)),"not found")</f>
        <v/>
      </c>
      <c r="K164" s="32">
        <f>IF(J164="not found","not in hayday.info",IF(J164=E164,"matches mastered",IF(J164=D164,"matches normal","differs")))</f>
        <v/>
      </c>
      <c r="L164" s="40">
        <f>IFERROR(INDEX(hayday_info!$E$2:$E$349,MATCH($A164,hayday_info!$A$2:$A$349,0)),"not found")</f>
        <v/>
      </c>
      <c r="M164" s="32">
        <f>IF(L164="not found","not in hayday.info",IF(F164="","no Fandom value",IF(L164=F164,"match","differs")))</f>
        <v/>
      </c>
      <c r="N164" s="32">
        <f>IFERROR(INDEX(hayday_info!$F$2:$F$349,MATCH($A164,hayday_info!$A$2:$A$349,0)),"not found")</f>
        <v/>
      </c>
      <c r="O164" s="32">
        <f>IF(N164="not found","not in hayday.info",IF(G164="","no Fandom value",IF(N164=G164,"match","differs")))</f>
        <v/>
      </c>
      <c r="P164" s="32">
        <f>IF(J164="not found","not in hayday.info",IF(C164="","no Fandom value",IF(IFERROR(INDEX(hayday_info!$C$2:$C$349,MATCH($A164,hayday_info!$A$2:$A$349,0)),"not found")=C164,"match","differs")))</f>
        <v/>
      </c>
    </row>
    <row r="165" ht="15" customHeight="1" s="29">
      <c r="A165" s="32" t="inlineStr">
        <is>
          <t>Green Tea</t>
        </is>
      </c>
      <c r="B165" s="32" t="inlineStr">
        <is>
          <t>Tea Stand</t>
        </is>
      </c>
      <c r="C165" s="33" t="n">
        <v>80</v>
      </c>
      <c r="D165" s="33" t="n">
        <v>30</v>
      </c>
      <c r="E165" s="33" t="n">
        <v>25</v>
      </c>
      <c r="F165" s="35" t="n">
        <v>241</v>
      </c>
      <c r="G165" s="33" t="n">
        <v>29</v>
      </c>
      <c r="H165" s="32" t="n"/>
      <c r="I165" s="32" t="inlineStr">
        <is>
          <t>Hay Day Wiki (Fandom) https://hayday.fandom.com/wiki/Tea_Stand</t>
        </is>
      </c>
      <c r="J165" s="39">
        <f>IFERROR(INDEX(hayday_info!$D$2:$D$349,MATCH($A165,hayday_info!$A$2:$A$349,0)),"not found")</f>
        <v/>
      </c>
      <c r="K165" s="32">
        <f>IF(J165="not found","not in hayday.info",IF(J165=E165,"matches mastered",IF(J165=D165,"matches normal","differs")))</f>
        <v/>
      </c>
      <c r="L165" s="40">
        <f>IFERROR(INDEX(hayday_info!$E$2:$E$349,MATCH($A165,hayday_info!$A$2:$A$349,0)),"not found")</f>
        <v/>
      </c>
      <c r="M165" s="32">
        <f>IF(L165="not found","not in hayday.info",IF(F165="","no Fandom value",IF(L165=F165,"match","differs")))</f>
        <v/>
      </c>
      <c r="N165" s="32">
        <f>IFERROR(INDEX(hayday_info!$F$2:$F$349,MATCH($A165,hayday_info!$A$2:$A$349,0)),"not found")</f>
        <v/>
      </c>
      <c r="O165" s="32">
        <f>IF(N165="not found","not in hayday.info",IF(G165="","no Fandom value",IF(N165=G165,"match","differs")))</f>
        <v/>
      </c>
      <c r="P165" s="32">
        <f>IF(J165="not found","not in hayday.info",IF(C165="","no Fandom value",IF(IFERROR(INDEX(hayday_info!$C$2:$C$349,MATCH($A165,hayday_info!$A$2:$A$349,0)),"not found")=C165,"match","differs")))</f>
        <v/>
      </c>
    </row>
    <row r="166" ht="15" customHeight="1" s="29">
      <c r="A166" s="32" t="inlineStr">
        <is>
          <t>Milk Tea</t>
        </is>
      </c>
      <c r="B166" s="32" t="inlineStr">
        <is>
          <t>Tea Stand</t>
        </is>
      </c>
      <c r="C166" s="33" t="n">
        <v>81</v>
      </c>
      <c r="D166" s="33" t="n">
        <v>45</v>
      </c>
      <c r="E166" s="33" t="n">
        <v>38</v>
      </c>
      <c r="F166" s="35" t="n">
        <v>190</v>
      </c>
      <c r="G166" s="33" t="n">
        <v>23</v>
      </c>
      <c r="H166" s="32" t="n"/>
      <c r="I166" s="32" t="inlineStr">
        <is>
          <t>Hay Day Wiki (Fandom) https://hayday.fandom.com/wiki/Tea_Stand</t>
        </is>
      </c>
      <c r="J166" s="39">
        <f>IFERROR(INDEX(hayday_info!$D$2:$D$349,MATCH($A166,hayday_info!$A$2:$A$349,0)),"not found")</f>
        <v/>
      </c>
      <c r="K166" s="32">
        <f>IF(J166="not found","not in hayday.info",IF(J166=E166,"matches mastered",IF(J166=D166,"matches normal","differs")))</f>
        <v/>
      </c>
      <c r="L166" s="40">
        <f>IFERROR(INDEX(hayday_info!$E$2:$E$349,MATCH($A166,hayday_info!$A$2:$A$349,0)),"not found")</f>
        <v/>
      </c>
      <c r="M166" s="32">
        <f>IF(L166="not found","not in hayday.info",IF(F166="","no Fandom value",IF(L166=F166,"match","differs")))</f>
        <v/>
      </c>
      <c r="N166" s="32">
        <f>IFERROR(INDEX(hayday_info!$F$2:$F$349,MATCH($A166,hayday_info!$A$2:$A$349,0)),"not found")</f>
        <v/>
      </c>
      <c r="O166" s="32">
        <f>IF(N166="not found","not in hayday.info",IF(G166="","no Fandom value",IF(N166=G166,"match","differs")))</f>
        <v/>
      </c>
      <c r="P166" s="32">
        <f>IF(J166="not found","not in hayday.info",IF(C166="","no Fandom value",IF(IFERROR(INDEX(hayday_info!$C$2:$C$349,MATCH($A166,hayday_info!$A$2:$A$349,0)),"not found")=C166,"match","differs")))</f>
        <v/>
      </c>
    </row>
    <row r="167" ht="15" customHeight="1" s="29">
      <c r="A167" s="32" t="inlineStr">
        <is>
          <t>Honey Tea</t>
        </is>
      </c>
      <c r="B167" s="32" t="inlineStr">
        <is>
          <t>Tea Stand</t>
        </is>
      </c>
      <c r="C167" s="33" t="n">
        <v>83</v>
      </c>
      <c r="D167" s="33" t="n">
        <v>40</v>
      </c>
      <c r="E167" s="33" t="n">
        <v>34</v>
      </c>
      <c r="F167" s="35" t="n">
        <v>313</v>
      </c>
      <c r="G167" s="33" t="n">
        <v>37</v>
      </c>
      <c r="H167" s="32" t="n"/>
      <c r="I167" s="32" t="inlineStr">
        <is>
          <t>Hay Day Wiki (Fandom) https://hayday.fandom.com/wiki/Tea_Stand</t>
        </is>
      </c>
      <c r="J167" s="39">
        <f>IFERROR(INDEX(hayday_info!$D$2:$D$349,MATCH($A167,hayday_info!$A$2:$A$349,0)),"not found")</f>
        <v/>
      </c>
      <c r="K167" s="32">
        <f>IF(J167="not found","not in hayday.info",IF(J167=E167,"matches mastered",IF(J167=D167,"matches normal","differs")))</f>
        <v/>
      </c>
      <c r="L167" s="40">
        <f>IFERROR(INDEX(hayday_info!$E$2:$E$349,MATCH($A167,hayday_info!$A$2:$A$349,0)),"not found")</f>
        <v/>
      </c>
      <c r="M167" s="32">
        <f>IF(L167="not found","not in hayday.info",IF(F167="","no Fandom value",IF(L167=F167,"match","differs")))</f>
        <v/>
      </c>
      <c r="N167" s="32">
        <f>IFERROR(INDEX(hayday_info!$F$2:$F$349,MATCH($A167,hayday_info!$A$2:$A$349,0)),"not found")</f>
        <v/>
      </c>
      <c r="O167" s="32">
        <f>IF(N167="not found","not in hayday.info",IF(G167="","no Fandom value",IF(N167=G167,"match","differs")))</f>
        <v/>
      </c>
      <c r="P167" s="32">
        <f>IF(J167="not found","not in hayday.info",IF(C167="","no Fandom value",IF(IFERROR(INDEX(hayday_info!$C$2:$C$349,MATCH($A167,hayday_info!$A$2:$A$349,0)),"not found")=C167,"match","differs")))</f>
        <v/>
      </c>
    </row>
    <row r="168" ht="15" customHeight="1" s="29">
      <c r="A168" s="32" t="inlineStr">
        <is>
          <t>Lemon Tea</t>
        </is>
      </c>
      <c r="B168" s="32" t="inlineStr">
        <is>
          <t>Tea Stand</t>
        </is>
      </c>
      <c r="C168" s="33" t="n">
        <v>86</v>
      </c>
      <c r="D168" s="33" t="n">
        <v>20</v>
      </c>
      <c r="E168" s="33" t="n">
        <v>17</v>
      </c>
      <c r="F168" s="35" t="n">
        <v>241</v>
      </c>
      <c r="G168" s="33" t="n">
        <v>29</v>
      </c>
      <c r="H168" s="32" t="n"/>
      <c r="I168" s="32" t="inlineStr">
        <is>
          <t>Hay Day Wiki (Fandom) https://hayday.fandom.com/wiki/Tea_Stand</t>
        </is>
      </c>
      <c r="J168" s="39">
        <f>IFERROR(INDEX(hayday_info!$D$2:$D$349,MATCH($A168,hayday_info!$A$2:$A$349,0)),"not found")</f>
        <v/>
      </c>
      <c r="K168" s="32">
        <f>IF(J168="not found","not in hayday.info",IF(J168=E168,"matches mastered",IF(J168=D168,"matches normal","differs")))</f>
        <v/>
      </c>
      <c r="L168" s="40">
        <f>IFERROR(INDEX(hayday_info!$E$2:$E$349,MATCH($A168,hayday_info!$A$2:$A$349,0)),"not found")</f>
        <v/>
      </c>
      <c r="M168" s="32">
        <f>IF(L168="not found","not in hayday.info",IF(F168="","no Fandom value",IF(L168=F168,"match","differs")))</f>
        <v/>
      </c>
      <c r="N168" s="32">
        <f>IFERROR(INDEX(hayday_info!$F$2:$F$349,MATCH($A168,hayday_info!$A$2:$A$349,0)),"not found")</f>
        <v/>
      </c>
      <c r="O168" s="32">
        <f>IF(N168="not found","not in hayday.info",IF(G168="","no Fandom value",IF(N168=G168,"match","differs")))</f>
        <v/>
      </c>
      <c r="P168" s="32">
        <f>IF(J168="not found","not in hayday.info",IF(C168="","no Fandom value",IF(IFERROR(INDEX(hayday_info!$C$2:$C$349,MATCH($A168,hayday_info!$A$2:$A$349,0)),"not found")=C168,"match","differs")))</f>
        <v/>
      </c>
    </row>
    <row r="169" ht="15" customHeight="1" s="29">
      <c r="A169" s="32" t="inlineStr">
        <is>
          <t>Apple Ginger Tea</t>
        </is>
      </c>
      <c r="B169" s="32" t="inlineStr">
        <is>
          <t>Tea Stand</t>
        </is>
      </c>
      <c r="C169" s="33" t="n">
        <v>88</v>
      </c>
      <c r="D169" s="33" t="n">
        <v>30</v>
      </c>
      <c r="E169" s="33" t="n">
        <v>25</v>
      </c>
      <c r="F169" s="35" t="n">
        <v>169</v>
      </c>
      <c r="G169" s="33" t="n">
        <v>20</v>
      </c>
      <c r="H169" s="32" t="n"/>
      <c r="I169" s="32" t="inlineStr">
        <is>
          <t>Hay Day Wiki (Fandom) https://hayday.fandom.com/wiki/Tea_Stand</t>
        </is>
      </c>
      <c r="J169" s="39">
        <f>IFERROR(INDEX(hayday_info!$D$2:$D$349,MATCH($A169,hayday_info!$A$2:$A$349,0)),"not found")</f>
        <v/>
      </c>
      <c r="K169" s="32">
        <f>IF(J169="not found","not in hayday.info",IF(J169=E169,"matches mastered",IF(J169=D169,"matches normal","differs")))</f>
        <v/>
      </c>
      <c r="L169" s="40">
        <f>IFERROR(INDEX(hayday_info!$E$2:$E$349,MATCH($A169,hayday_info!$A$2:$A$349,0)),"not found")</f>
        <v/>
      </c>
      <c r="M169" s="32">
        <f>IF(L169="not found","not in hayday.info",IF(F169="","no Fandom value",IF(L169=F169,"match","differs")))</f>
        <v/>
      </c>
      <c r="N169" s="32">
        <f>IFERROR(INDEX(hayday_info!$F$2:$F$349,MATCH($A169,hayday_info!$A$2:$A$349,0)),"not found")</f>
        <v/>
      </c>
      <c r="O169" s="32">
        <f>IF(N169="not found","not in hayday.info",IF(G169="","no Fandom value",IF(N169=G169,"match","differs")))</f>
        <v/>
      </c>
      <c r="P169" s="32">
        <f>IF(J169="not found","not in hayday.info",IF(C169="","no Fandom value",IF(IFERROR(INDEX(hayday_info!$C$2:$C$349,MATCH($A169,hayday_info!$A$2:$A$349,0)),"not found")=C169,"match","differs")))</f>
        <v/>
      </c>
    </row>
    <row r="170" ht="15" customHeight="1" s="29">
      <c r="A170" s="32" t="inlineStr">
        <is>
          <t>Orange Tea</t>
        </is>
      </c>
      <c r="B170" s="32" t="inlineStr">
        <is>
          <t>Tea Stand</t>
        </is>
      </c>
      <c r="C170" s="33" t="n">
        <v>89</v>
      </c>
      <c r="D170" s="33" t="n">
        <v>40</v>
      </c>
      <c r="E170" s="33" t="n">
        <v>34</v>
      </c>
      <c r="F170" s="35" t="n">
        <v>255</v>
      </c>
      <c r="G170" s="33" t="n">
        <v>30</v>
      </c>
      <c r="H170" s="32" t="n"/>
      <c r="I170" s="32" t="inlineStr">
        <is>
          <t>Hay Day Wiki (Fandom) https://hayday.fandom.com/wiki/Tea_Stand</t>
        </is>
      </c>
      <c r="J170" s="39">
        <f>IFERROR(INDEX(hayday_info!$D$2:$D$349,MATCH($A170,hayday_info!$A$2:$A$349,0)),"not found")</f>
        <v/>
      </c>
      <c r="K170" s="32">
        <f>IF(J170="not found","not in hayday.info",IF(J170=E170,"matches mastered",IF(J170=D170,"matches normal","differs")))</f>
        <v/>
      </c>
      <c r="L170" s="40">
        <f>IFERROR(INDEX(hayday_info!$E$2:$E$349,MATCH($A170,hayday_info!$A$2:$A$349,0)),"not found")</f>
        <v/>
      </c>
      <c r="M170" s="32">
        <f>IF(L170="not found","not in hayday.info",IF(F170="","no Fandom value",IF(L170=F170,"match","differs")))</f>
        <v/>
      </c>
      <c r="N170" s="32">
        <f>IFERROR(INDEX(hayday_info!$F$2:$F$349,MATCH($A170,hayday_info!$A$2:$A$349,0)),"not found")</f>
        <v/>
      </c>
      <c r="O170" s="32">
        <f>IF(N170="not found","not in hayday.info",IF(G170="","no Fandom value",IF(N170=G170,"match","differs")))</f>
        <v/>
      </c>
      <c r="P170" s="32">
        <f>IF(J170="not found","not in hayday.info",IF(C170="","no Fandom value",IF(IFERROR(INDEX(hayday_info!$C$2:$C$349,MATCH($A170,hayday_info!$A$2:$A$349,0)),"not found")=C170,"match","differs")))</f>
        <v/>
      </c>
    </row>
    <row r="171" ht="15" customHeight="1" s="29">
      <c r="A171" s="32" t="inlineStr">
        <is>
          <t>Iced Tea</t>
        </is>
      </c>
      <c r="B171" s="32" t="inlineStr">
        <is>
          <t>Tea Stand</t>
        </is>
      </c>
      <c r="C171" s="33" t="n">
        <v>92</v>
      </c>
      <c r="D171" s="33" t="n">
        <v>30</v>
      </c>
      <c r="E171" s="33" t="n">
        <v>25</v>
      </c>
      <c r="F171" s="35" t="n">
        <v>252</v>
      </c>
      <c r="G171" s="33" t="n">
        <v>30</v>
      </c>
      <c r="H171" s="32" t="n"/>
      <c r="I171" s="32" t="inlineStr">
        <is>
          <t>Hay Day Wiki (Fandom) https://hayday.fandom.com/wiki/Tea_Stand</t>
        </is>
      </c>
      <c r="J171" s="39">
        <f>IFERROR(INDEX(hayday_info!$D$2:$D$349,MATCH($A171,hayday_info!$A$2:$A$349,0)),"not found")</f>
        <v/>
      </c>
      <c r="K171" s="32">
        <f>IF(J171="not found","not in hayday.info",IF(J171=E171,"matches mastered",IF(J171=D171,"matches normal","differs")))</f>
        <v/>
      </c>
      <c r="L171" s="40">
        <f>IFERROR(INDEX(hayday_info!$E$2:$E$349,MATCH($A171,hayday_info!$A$2:$A$349,0)),"not found")</f>
        <v/>
      </c>
      <c r="M171" s="32">
        <f>IF(L171="not found","not in hayday.info",IF(F171="","no Fandom value",IF(L171=F171,"match","differs")))</f>
        <v/>
      </c>
      <c r="N171" s="32">
        <f>IFERROR(INDEX(hayday_info!$F$2:$F$349,MATCH($A171,hayday_info!$A$2:$A$349,0)),"not found")</f>
        <v/>
      </c>
      <c r="O171" s="32">
        <f>IF(N171="not found","not in hayday.info",IF(G171="","no Fandom value",IF(N171=G171,"match","differs")))</f>
        <v/>
      </c>
      <c r="P171" s="32">
        <f>IF(J171="not found","not in hayday.info",IF(C171="","no Fandom value",IF(IFERROR(INDEX(hayday_info!$C$2:$C$349,MATCH($A171,hayday_info!$A$2:$A$349,0)),"not found")=C171,"match","differs")))</f>
        <v/>
      </c>
    </row>
    <row r="172" ht="15" customHeight="1" s="29">
      <c r="A172" s="32" t="inlineStr">
        <is>
          <t>Mint Tea</t>
        </is>
      </c>
      <c r="B172" s="32" t="inlineStr">
        <is>
          <t>Tea Stand</t>
        </is>
      </c>
      <c r="C172" s="33" t="n">
        <v>97</v>
      </c>
      <c r="D172" s="33" t="n">
        <v>35</v>
      </c>
      <c r="E172" s="33" t="n">
        <v>29</v>
      </c>
      <c r="F172" s="35" t="n">
        <v>255</v>
      </c>
      <c r="G172" s="33" t="n">
        <v>31</v>
      </c>
      <c r="H172" s="32" t="n"/>
      <c r="I172" s="32" t="inlineStr">
        <is>
          <t>Hay Day Wiki (Fandom) https://hayday.fandom.com/wiki/Tea_Stand</t>
        </is>
      </c>
      <c r="J172" s="39">
        <f>IFERROR(INDEX(hayday_info!$D$2:$D$349,MATCH($A172,hayday_info!$A$2:$A$349,0)),"not found")</f>
        <v/>
      </c>
      <c r="K172" s="32">
        <f>IF(J172="not found","not in hayday.info",IF(J172=E172,"matches mastered",IF(J172=D172,"matches normal","differs")))</f>
        <v/>
      </c>
      <c r="L172" s="40">
        <f>IFERROR(INDEX(hayday_info!$E$2:$E$349,MATCH($A172,hayday_info!$A$2:$A$349,0)),"not found")</f>
        <v/>
      </c>
      <c r="M172" s="32">
        <f>IF(L172="not found","not in hayday.info",IF(F172="","no Fandom value",IF(L172=F172,"match","differs")))</f>
        <v/>
      </c>
      <c r="N172" s="32">
        <f>IFERROR(INDEX(hayday_info!$F$2:$F$349,MATCH($A172,hayday_info!$A$2:$A$349,0)),"not found")</f>
        <v/>
      </c>
      <c r="O172" s="32">
        <f>IF(N172="not found","not in hayday.info",IF(G172="","no Fandom value",IF(N172=G172,"match","differs")))</f>
        <v/>
      </c>
      <c r="P172" s="32">
        <f>IF(J172="not found","not in hayday.info",IF(C172="","no Fandom value",IF(IFERROR(INDEX(hayday_info!$C$2:$C$349,MATCH($A172,hayday_info!$A$2:$A$349,0)),"not found")=C172,"match","differs")))</f>
        <v/>
      </c>
    </row>
    <row r="173" ht="15" customHeight="1" s="29">
      <c r="A173" s="32" t="inlineStr">
        <is>
          <t>Chocolate Fondue</t>
        </is>
      </c>
      <c r="B173" s="32" t="inlineStr">
        <is>
          <t>Fondue Pot</t>
        </is>
      </c>
      <c r="C173" s="33" t="n">
        <v>81</v>
      </c>
      <c r="D173" s="33" t="n">
        <v>25</v>
      </c>
      <c r="E173" s="33" t="n">
        <v>21</v>
      </c>
      <c r="F173" s="35" t="n">
        <v>626</v>
      </c>
      <c r="G173" s="33" t="n">
        <v>74</v>
      </c>
      <c r="H173" s="32" t="n"/>
      <c r="I173" s="32" t="inlineStr">
        <is>
          <t>Hay Day Wiki (Fandom) https://hayday.fandom.com/wiki/Fondue_Pot</t>
        </is>
      </c>
      <c r="J173" s="39">
        <f>IFERROR(INDEX(hayday_info!$D$2:$D$349,MATCH($A173,hayday_info!$A$2:$A$349,0)),"not found")</f>
        <v/>
      </c>
      <c r="K173" s="32">
        <f>IF(J173="not found","not in hayday.info",IF(J173=E173,"matches mastered",IF(J173=D173,"matches normal","differs")))</f>
        <v/>
      </c>
      <c r="L173" s="40">
        <f>IFERROR(INDEX(hayday_info!$E$2:$E$349,MATCH($A173,hayday_info!$A$2:$A$349,0)),"not found")</f>
        <v/>
      </c>
      <c r="M173" s="32">
        <f>IF(L173="not found","not in hayday.info",IF(F173="","no Fandom value",IF(L173=F173,"match","differs")))</f>
        <v/>
      </c>
      <c r="N173" s="32">
        <f>IFERROR(INDEX(hayday_info!$F$2:$F$349,MATCH($A173,hayday_info!$A$2:$A$349,0)),"not found")</f>
        <v/>
      </c>
      <c r="O173" s="32">
        <f>IF(N173="not found","not in hayday.info",IF(G173="","no Fandom value",IF(N173=G173,"match","differs")))</f>
        <v/>
      </c>
      <c r="P173" s="32">
        <f>IF(J173="not found","not in hayday.info",IF(C173="","no Fandom value",IF(IFERROR(INDEX(hayday_info!$C$2:$C$349,MATCH($A173,hayday_info!$A$2:$A$349,0)),"not found")=C173,"match","differs")))</f>
        <v/>
      </c>
    </row>
    <row r="174" ht="15" customHeight="1" s="29">
      <c r="A174" s="32" t="inlineStr">
        <is>
          <t>Bacon Fondue</t>
        </is>
      </c>
      <c r="B174" s="32" t="inlineStr">
        <is>
          <t>Fondue Pot</t>
        </is>
      </c>
      <c r="C174" s="33" t="n">
        <v>86</v>
      </c>
      <c r="D174" s="33" t="n">
        <v>30</v>
      </c>
      <c r="E174" s="33" t="n">
        <v>25</v>
      </c>
      <c r="F174" s="35" t="n">
        <v>507</v>
      </c>
      <c r="G174" s="33" t="n">
        <v>60</v>
      </c>
      <c r="H174" s="32" t="n"/>
      <c r="I174" s="32" t="inlineStr">
        <is>
          <t>Hay Day Wiki (Fandom) https://hayday.fandom.com/wiki/Fondue_Pot</t>
        </is>
      </c>
      <c r="J174" s="39">
        <f>IFERROR(INDEX(hayday_info!$D$2:$D$349,MATCH($A174,hayday_info!$A$2:$A$349,0)),"not found")</f>
        <v/>
      </c>
      <c r="K174" s="32">
        <f>IF(J174="not found","not in hayday.info",IF(J174=E174,"matches mastered",IF(J174=D174,"matches normal","differs")))</f>
        <v/>
      </c>
      <c r="L174" s="40">
        <f>IFERROR(INDEX(hayday_info!$E$2:$E$349,MATCH($A174,hayday_info!$A$2:$A$349,0)),"not found")</f>
        <v/>
      </c>
      <c r="M174" s="32">
        <f>IF(L174="not found","not in hayday.info",IF(F174="","no Fandom value",IF(L174=F174,"match","differs")))</f>
        <v/>
      </c>
      <c r="N174" s="32">
        <f>IFERROR(INDEX(hayday_info!$F$2:$F$349,MATCH($A174,hayday_info!$A$2:$A$349,0)),"not found")</f>
        <v/>
      </c>
      <c r="O174" s="32">
        <f>IF(N174="not found","not in hayday.info",IF(G174="","no Fandom value",IF(N174=G174,"match","differs")))</f>
        <v/>
      </c>
      <c r="P174" s="32">
        <f>IF(J174="not found","not in hayday.info",IF(C174="","no Fandom value",IF(IFERROR(INDEX(hayday_info!$C$2:$C$349,MATCH($A174,hayday_info!$A$2:$A$349,0)),"not found")=C174,"match","differs")))</f>
        <v/>
      </c>
    </row>
    <row r="175" ht="15" customHeight="1" s="29">
      <c r="A175" s="32" t="inlineStr">
        <is>
          <t>Cheese Fondue</t>
        </is>
      </c>
      <c r="B175" s="32" t="inlineStr">
        <is>
          <t>Fondue Pot</t>
        </is>
      </c>
      <c r="C175" s="33" t="n">
        <v>91</v>
      </c>
      <c r="D175" s="33" t="n">
        <v>20</v>
      </c>
      <c r="E175" s="33" t="n">
        <v>17</v>
      </c>
      <c r="F175" s="35" t="n">
        <v>493</v>
      </c>
      <c r="G175" s="33" t="n">
        <v>59</v>
      </c>
      <c r="H175" s="32" t="n"/>
      <c r="I175" s="32" t="inlineStr">
        <is>
          <t>Hay Day Wiki (Fandom) https://hayday.fandom.com/wiki/Fondue_Pot</t>
        </is>
      </c>
      <c r="J175" s="39">
        <f>IFERROR(INDEX(hayday_info!$D$2:$D$349,MATCH($A175,hayday_info!$A$2:$A$349,0)),"not found")</f>
        <v/>
      </c>
      <c r="K175" s="32">
        <f>IF(J175="not found","not in hayday.info",IF(J175=E175,"matches mastered",IF(J175=D175,"matches normal","differs")))</f>
        <v/>
      </c>
      <c r="L175" s="40">
        <f>IFERROR(INDEX(hayday_info!$E$2:$E$349,MATCH($A175,hayday_info!$A$2:$A$349,0)),"not found")</f>
        <v/>
      </c>
      <c r="M175" s="32">
        <f>IF(L175="not found","not in hayday.info",IF(F175="","no Fandom value",IF(L175=F175,"match","differs")))</f>
        <v/>
      </c>
      <c r="N175" s="32">
        <f>IFERROR(INDEX(hayday_info!$F$2:$F$349,MATCH($A175,hayday_info!$A$2:$A$349,0)),"not found")</f>
        <v/>
      </c>
      <c r="O175" s="32">
        <f>IF(N175="not found","not in hayday.info",IF(G175="","no Fandom value",IF(N175=G175,"match","differs")))</f>
        <v/>
      </c>
      <c r="P175" s="32">
        <f>IF(J175="not found","not in hayday.info",IF(C175="","no Fandom value",IF(IFERROR(INDEX(hayday_info!$C$2:$C$349,MATCH($A175,hayday_info!$A$2:$A$349,0)),"not found")=C175,"match","differs")))</f>
        <v/>
      </c>
    </row>
    <row r="176" ht="15" customHeight="1" s="29">
      <c r="A176" s="32" t="inlineStr">
        <is>
          <t>Plain Donut</t>
        </is>
      </c>
      <c r="B176" s="32" t="inlineStr">
        <is>
          <t>Donut Maker</t>
        </is>
      </c>
      <c r="C176" s="33" t="n">
        <v>76</v>
      </c>
      <c r="D176" s="33" t="n">
        <v>15</v>
      </c>
      <c r="E176" s="33" t="n">
        <v>12</v>
      </c>
      <c r="F176" s="35" t="n">
        <v>129</v>
      </c>
      <c r="G176" s="33" t="n">
        <v>15</v>
      </c>
      <c r="H176" s="32" t="n"/>
      <c r="I176" s="32" t="inlineStr">
        <is>
          <t>Hay Day Wiki (Fandom) https://hayday.fandom.com/wiki/Donut_Maker</t>
        </is>
      </c>
      <c r="J176" s="39">
        <f>IFERROR(INDEX(hayday_info!$D$2:$D$349,MATCH($A176,hayday_info!$A$2:$A$349,0)),"not found")</f>
        <v/>
      </c>
      <c r="K176" s="32">
        <f>IF(J176="not found","not in hayday.info",IF(J176=E176,"matches mastered",IF(J176=D176,"matches normal","differs")))</f>
        <v/>
      </c>
      <c r="L176" s="40">
        <f>IFERROR(INDEX(hayday_info!$E$2:$E$349,MATCH($A176,hayday_info!$A$2:$A$349,0)),"not found")</f>
        <v/>
      </c>
      <c r="M176" s="32">
        <f>IF(L176="not found","not in hayday.info",IF(F176="","no Fandom value",IF(L176=F176,"match","differs")))</f>
        <v/>
      </c>
      <c r="N176" s="32">
        <f>IFERROR(INDEX(hayday_info!$F$2:$F$349,MATCH($A176,hayday_info!$A$2:$A$349,0)),"not found")</f>
        <v/>
      </c>
      <c r="O176" s="32">
        <f>IF(N176="not found","not in hayday.info",IF(G176="","no Fandom value",IF(N176=G176,"match","differs")))</f>
        <v/>
      </c>
      <c r="P176" s="32">
        <f>IF(J176="not found","not in hayday.info",IF(C176="","no Fandom value",IF(IFERROR(INDEX(hayday_info!$C$2:$C$349,MATCH($A176,hayday_info!$A$2:$A$349,0)),"not found")=C176,"match","differs")))</f>
        <v/>
      </c>
    </row>
    <row r="177" ht="15" customHeight="1" s="29">
      <c r="A177" s="32" t="inlineStr">
        <is>
          <t>Sprinkled Donut</t>
        </is>
      </c>
      <c r="B177" s="32" t="inlineStr">
        <is>
          <t>Donut Maker</t>
        </is>
      </c>
      <c r="C177" s="33" t="n">
        <v>79</v>
      </c>
      <c r="D177" s="33" t="n">
        <v>20</v>
      </c>
      <c r="E177" s="33" t="n">
        <v>17</v>
      </c>
      <c r="F177" s="35" t="n">
        <v>313</v>
      </c>
      <c r="G177" s="33" t="n">
        <v>37</v>
      </c>
      <c r="H177" s="32" t="n"/>
      <c r="I177" s="32" t="inlineStr">
        <is>
          <t>Hay Day Wiki (Fandom) https://hayday.fandom.com/wiki/Donut_Maker</t>
        </is>
      </c>
      <c r="J177" s="39">
        <f>IFERROR(INDEX(hayday_info!$D$2:$D$349,MATCH($A177,hayday_info!$A$2:$A$349,0)),"not found")</f>
        <v/>
      </c>
      <c r="K177" s="32">
        <f>IF(J177="not found","not in hayday.info",IF(J177=E177,"matches mastered",IF(J177=D177,"matches normal","differs")))</f>
        <v/>
      </c>
      <c r="L177" s="40">
        <f>IFERROR(INDEX(hayday_info!$E$2:$E$349,MATCH($A177,hayday_info!$A$2:$A$349,0)),"not found")</f>
        <v/>
      </c>
      <c r="M177" s="32">
        <f>IF(L177="not found","not in hayday.info",IF(F177="","no Fandom value",IF(L177=F177,"match","differs")))</f>
        <v/>
      </c>
      <c r="N177" s="32">
        <f>IFERROR(INDEX(hayday_info!$F$2:$F$349,MATCH($A177,hayday_info!$A$2:$A$349,0)),"not found")</f>
        <v/>
      </c>
      <c r="O177" s="32">
        <f>IF(N177="not found","not in hayday.info",IF(G177="","no Fandom value",IF(N177=G177,"match","differs")))</f>
        <v/>
      </c>
      <c r="P177" s="32">
        <f>IF(J177="not found","not in hayday.info",IF(C177="","no Fandom value",IF(IFERROR(INDEX(hayday_info!$C$2:$C$349,MATCH($A177,hayday_info!$A$2:$A$349,0)),"not found")=C177,"match","differs")))</f>
        <v/>
      </c>
    </row>
    <row r="178" ht="15" customHeight="1" s="29">
      <c r="A178" s="32" t="inlineStr">
        <is>
          <t>Crunchy Donut</t>
        </is>
      </c>
      <c r="B178" s="32" t="inlineStr">
        <is>
          <t>Donut Maker</t>
        </is>
      </c>
      <c r="C178" s="33" t="n">
        <v>82</v>
      </c>
      <c r="D178" s="33" t="n">
        <v>30</v>
      </c>
      <c r="E178" s="33" t="n">
        <v>25</v>
      </c>
      <c r="F178" s="35" t="n">
        <v>594</v>
      </c>
      <c r="G178" s="33" t="n">
        <v>71</v>
      </c>
      <c r="H178" s="32" t="n"/>
      <c r="I178" s="32" t="inlineStr">
        <is>
          <t>Hay Day Wiki (Fandom) https://hayday.fandom.com/wiki/Donut_Maker</t>
        </is>
      </c>
      <c r="J178" s="39">
        <f>IFERROR(INDEX(hayday_info!$D$2:$D$349,MATCH($A178,hayday_info!$A$2:$A$349,0)),"not found")</f>
        <v/>
      </c>
      <c r="K178" s="32">
        <f>IF(J178="not found","not in hayday.info",IF(J178=E178,"matches mastered",IF(J178=D178,"matches normal","differs")))</f>
        <v/>
      </c>
      <c r="L178" s="40">
        <f>IFERROR(INDEX(hayday_info!$E$2:$E$349,MATCH($A178,hayday_info!$A$2:$A$349,0)),"not found")</f>
        <v/>
      </c>
      <c r="M178" s="32">
        <f>IF(L178="not found","not in hayday.info",IF(F178="","no Fandom value",IF(L178=F178,"match","differs")))</f>
        <v/>
      </c>
      <c r="N178" s="32">
        <f>IFERROR(INDEX(hayday_info!$F$2:$F$349,MATCH($A178,hayday_info!$A$2:$A$349,0)),"not found")</f>
        <v/>
      </c>
      <c r="O178" s="32">
        <f>IF(N178="not found","not in hayday.info",IF(G178="","no Fandom value",IF(N178=G178,"match","differs")))</f>
        <v/>
      </c>
      <c r="P178" s="32">
        <f>IF(J178="not found","not in hayday.info",IF(C178="","no Fandom value",IF(IFERROR(INDEX(hayday_info!$C$2:$C$349,MATCH($A178,hayday_info!$A$2:$A$349,0)),"not found")=C178,"match","differs")))</f>
        <v/>
      </c>
    </row>
    <row r="179" ht="15" customHeight="1" s="29">
      <c r="A179" s="32" t="inlineStr">
        <is>
          <t>Cream Donut</t>
        </is>
      </c>
      <c r="B179" s="32" t="inlineStr">
        <is>
          <t>Donut Maker</t>
        </is>
      </c>
      <c r="C179" s="33" t="n">
        <v>86</v>
      </c>
      <c r="D179" s="33" t="n">
        <v>25</v>
      </c>
      <c r="E179" s="33" t="n">
        <v>21</v>
      </c>
      <c r="F179" s="35" t="n">
        <v>230</v>
      </c>
      <c r="G179" s="33" t="n">
        <v>27</v>
      </c>
      <c r="H179" s="32" t="n"/>
      <c r="I179" s="32" t="inlineStr">
        <is>
          <t>Hay Day Wiki (Fandom) https://hayday.fandom.com/wiki/Donut_Maker</t>
        </is>
      </c>
      <c r="J179" s="39">
        <f>IFERROR(INDEX(hayday_info!$D$2:$D$349,MATCH($A179,hayday_info!$A$2:$A$349,0)),"not found")</f>
        <v/>
      </c>
      <c r="K179" s="32">
        <f>IF(J179="not found","not in hayday.info",IF(J179=E179,"matches mastered",IF(J179=D179,"matches normal","differs")))</f>
        <v/>
      </c>
      <c r="L179" s="40">
        <f>IFERROR(INDEX(hayday_info!$E$2:$E$349,MATCH($A179,hayday_info!$A$2:$A$349,0)),"not found")</f>
        <v/>
      </c>
      <c r="M179" s="32">
        <f>IF(L179="not found","not in hayday.info",IF(F179="","no Fandom value",IF(L179=F179,"match","differs")))</f>
        <v/>
      </c>
      <c r="N179" s="32">
        <f>IFERROR(INDEX(hayday_info!$F$2:$F$349,MATCH($A179,hayday_info!$A$2:$A$349,0)),"not found")</f>
        <v/>
      </c>
      <c r="O179" s="32">
        <f>IF(N179="not found","not in hayday.info",IF(G179="","no Fandom value",IF(N179=G179,"match","differs")))</f>
        <v/>
      </c>
      <c r="P179" s="32">
        <f>IF(J179="not found","not in hayday.info",IF(C179="","no Fandom value",IF(IFERROR(INDEX(hayday_info!$C$2:$C$349,MATCH($A179,hayday_info!$A$2:$A$349,0)),"not found")=C179,"match","differs")))</f>
        <v/>
      </c>
    </row>
    <row r="180" ht="15" customHeight="1" s="29">
      <c r="A180" s="32" t="inlineStr">
        <is>
          <t>Bacon Donut</t>
        </is>
      </c>
      <c r="B180" s="32" t="inlineStr">
        <is>
          <t>Donut Maker</t>
        </is>
      </c>
      <c r="C180" s="33" t="n">
        <v>88</v>
      </c>
      <c r="D180" s="33" t="n">
        <v>30</v>
      </c>
      <c r="E180" s="33" t="n">
        <v>25</v>
      </c>
      <c r="F180" s="35" t="n">
        <v>388</v>
      </c>
      <c r="G180" s="33" t="n">
        <v>46</v>
      </c>
      <c r="H180" s="32" t="n"/>
      <c r="I180" s="32" t="inlineStr">
        <is>
          <t>Hay Day Wiki (Fandom) https://hayday.fandom.com/wiki/Donut_Maker</t>
        </is>
      </c>
      <c r="J180" s="39">
        <f>IFERROR(INDEX(hayday_info!$D$2:$D$349,MATCH($A180,hayday_info!$A$2:$A$349,0)),"not found")</f>
        <v/>
      </c>
      <c r="K180" s="32">
        <f>IF(J180="not found","not in hayday.info",IF(J180=E180,"matches mastered",IF(J180=D180,"matches normal","differs")))</f>
        <v/>
      </c>
      <c r="L180" s="40">
        <f>IFERROR(INDEX(hayday_info!$E$2:$E$349,MATCH($A180,hayday_info!$A$2:$A$349,0)),"not found")</f>
        <v/>
      </c>
      <c r="M180" s="32">
        <f>IF(L180="not found","not in hayday.info",IF(F180="","no Fandom value",IF(L180=F180,"match","differs")))</f>
        <v/>
      </c>
      <c r="N180" s="32">
        <f>IFERROR(INDEX(hayday_info!$F$2:$F$349,MATCH($A180,hayday_info!$A$2:$A$349,0)),"not found")</f>
        <v/>
      </c>
      <c r="O180" s="32">
        <f>IF(N180="not found","not in hayday.info",IF(G180="","no Fandom value",IF(N180=G180,"match","differs")))</f>
        <v/>
      </c>
      <c r="P180" s="32">
        <f>IF(J180="not found","not in hayday.info",IF(C180="","no Fandom value",IF(IFERROR(INDEX(hayday_info!$C$2:$C$349,MATCH($A180,hayday_info!$A$2:$A$349,0)),"not found")=C180,"match","differs")))</f>
        <v/>
      </c>
    </row>
    <row r="181" ht="15" customHeight="1" s="29">
      <c r="A181" s="32" t="inlineStr">
        <is>
          <t>Filled Donut</t>
        </is>
      </c>
      <c r="B181" s="32" t="inlineStr">
        <is>
          <t>Donut Maker</t>
        </is>
      </c>
      <c r="C181" s="33" t="n">
        <v>93</v>
      </c>
      <c r="D181" s="33" t="n">
        <v>35</v>
      </c>
      <c r="E181" s="33" t="n">
        <v>29</v>
      </c>
      <c r="F181" s="35" t="n">
        <v>403</v>
      </c>
      <c r="G181" s="33" t="n">
        <v>48</v>
      </c>
      <c r="H181" s="32" t="n"/>
      <c r="I181" s="32" t="inlineStr">
        <is>
          <t>Hay Day Wiki (Fandom) https://hayday.fandom.com/wiki/Donut_Maker</t>
        </is>
      </c>
      <c r="J181" s="39">
        <f>IFERROR(INDEX(hayday_info!$D$2:$D$349,MATCH($A181,hayday_info!$A$2:$A$349,0)),"not found")</f>
        <v/>
      </c>
      <c r="K181" s="32">
        <f>IF(J181="not found","not in hayday.info",IF(J181=E181,"matches mastered",IF(J181=D181,"matches normal","differs")))</f>
        <v/>
      </c>
      <c r="L181" s="40">
        <f>IFERROR(INDEX(hayday_info!$E$2:$E$349,MATCH($A181,hayday_info!$A$2:$A$349,0)),"not found")</f>
        <v/>
      </c>
      <c r="M181" s="32">
        <f>IF(L181="not found","not in hayday.info",IF(F181="","no Fandom value",IF(L181=F181,"match","differs")))</f>
        <v/>
      </c>
      <c r="N181" s="32">
        <f>IFERROR(INDEX(hayday_info!$F$2:$F$349,MATCH($A181,hayday_info!$A$2:$A$349,0)),"not found")</f>
        <v/>
      </c>
      <c r="O181" s="32">
        <f>IF(N181="not found","not in hayday.info",IF(G181="","no Fandom value",IF(N181=G181,"match","differs")))</f>
        <v/>
      </c>
      <c r="P181" s="32">
        <f>IF(J181="not found","not in hayday.info",IF(C181="","no Fandom value",IF(IFERROR(INDEX(hayday_info!$C$2:$C$349,MATCH($A181,hayday_info!$A$2:$A$349,0)),"not found")=C181,"match","differs")))</f>
        <v/>
      </c>
    </row>
    <row r="182" ht="15" customHeight="1" s="29">
      <c r="A182" s="32" t="inlineStr">
        <is>
          <t>Espresso</t>
        </is>
      </c>
      <c r="B182" s="32" t="inlineStr">
        <is>
          <t>Coffee Kiosk</t>
        </is>
      </c>
      <c r="C182" s="33" t="n">
        <v>42</v>
      </c>
      <c r="D182" s="33" t="n">
        <v>5</v>
      </c>
      <c r="E182" s="33" t="n">
        <v>4</v>
      </c>
      <c r="F182" s="35" t="n">
        <v>248</v>
      </c>
      <c r="G182" s="33" t="n">
        <v>29</v>
      </c>
      <c r="H182" s="32" t="n"/>
      <c r="I182" s="32" t="inlineStr">
        <is>
          <t>Hay Day Wiki (Fandom) https://hayday.fandom.com/wiki/Coffee_Kiosk</t>
        </is>
      </c>
      <c r="J182" s="39">
        <f>IFERROR(INDEX(hayday_info!$D$2:$D$349,MATCH($A182,hayday_info!$A$2:$A$349,0)),"not found")</f>
        <v/>
      </c>
      <c r="K182" s="32">
        <f>IF(J182="not found","not in hayday.info",IF(J182=E182,"matches mastered",IF(J182=D182,"matches normal","differs")))</f>
        <v/>
      </c>
      <c r="L182" s="40">
        <f>IFERROR(INDEX(hayday_info!$E$2:$E$349,MATCH($A182,hayday_info!$A$2:$A$349,0)),"not found")</f>
        <v/>
      </c>
      <c r="M182" s="32">
        <f>IF(L182="not found","not in hayday.info",IF(F182="","no Fandom value",IF(L182=F182,"match","differs")))</f>
        <v/>
      </c>
      <c r="N182" s="32">
        <f>IFERROR(INDEX(hayday_info!$F$2:$F$349,MATCH($A182,hayday_info!$A$2:$A$349,0)),"not found")</f>
        <v/>
      </c>
      <c r="O182" s="32">
        <f>IF(N182="not found","not in hayday.info",IF(G182="","no Fandom value",IF(N182=G182,"match","differs")))</f>
        <v/>
      </c>
      <c r="P182" s="32">
        <f>IF(J182="not found","not in hayday.info",IF(C182="","no Fandom value",IF(IFERROR(INDEX(hayday_info!$C$2:$C$349,MATCH($A182,hayday_info!$A$2:$A$349,0)),"not found")=C182,"match","differs")))</f>
        <v/>
      </c>
    </row>
    <row r="183" ht="15" customHeight="1" s="29">
      <c r="A183" s="32" t="inlineStr">
        <is>
          <t>Caffè latte</t>
        </is>
      </c>
      <c r="B183" s="32" t="inlineStr">
        <is>
          <t>Coffee Kiosk</t>
        </is>
      </c>
      <c r="C183" s="33" t="n">
        <v>43</v>
      </c>
      <c r="D183" s="33" t="n">
        <v>10</v>
      </c>
      <c r="E183" s="33" t="n">
        <v>8</v>
      </c>
      <c r="F183" s="35" t="n">
        <v>219</v>
      </c>
      <c r="G183" s="33" t="n">
        <v>26</v>
      </c>
      <c r="H183" s="32" t="n"/>
      <c r="I183" s="32" t="inlineStr">
        <is>
          <t>Hay Day Wiki (Fandom) https://hayday.fandom.com/wiki/Coffee_Kiosk</t>
        </is>
      </c>
      <c r="J183" s="39">
        <f>IFERROR(INDEX(hayday_info!$D$2:$D$349,MATCH($A183,hayday_info!$A$2:$A$349,0)),"not found")</f>
        <v/>
      </c>
      <c r="K183" s="32">
        <f>IF(J183="not found","not in hayday.info",IF(J183=E183,"matches mastered",IF(J183=D183,"matches normal","differs")))</f>
        <v/>
      </c>
      <c r="L183" s="40">
        <f>IFERROR(INDEX(hayday_info!$E$2:$E$349,MATCH($A183,hayday_info!$A$2:$A$349,0)),"not found")</f>
        <v/>
      </c>
      <c r="M183" s="32">
        <f>IF(L183="not found","not in hayday.info",IF(F183="","no Fandom value",IF(L183=F183,"match","differs")))</f>
        <v/>
      </c>
      <c r="N183" s="32">
        <f>IFERROR(INDEX(hayday_info!$F$2:$F$349,MATCH($A183,hayday_info!$A$2:$A$349,0)),"not found")</f>
        <v/>
      </c>
      <c r="O183" s="32">
        <f>IF(N183="not found","not in hayday.info",IF(G183="","no Fandom value",IF(N183=G183,"match","differs")))</f>
        <v/>
      </c>
      <c r="P183" s="32">
        <f>IF(J183="not found","not in hayday.info",IF(C183="","no Fandom value",IF(IFERROR(INDEX(hayday_info!$C$2:$C$349,MATCH($A183,hayday_info!$A$2:$A$349,0)),"not found")=C183,"match","differs")))</f>
        <v/>
      </c>
    </row>
    <row r="184" ht="15" customHeight="1" s="29">
      <c r="A184" s="32" t="inlineStr">
        <is>
          <t>Caffè mocha</t>
        </is>
      </c>
      <c r="B184" s="32" t="inlineStr">
        <is>
          <t>Coffee Kiosk</t>
        </is>
      </c>
      <c r="C184" s="33" t="n">
        <v>45</v>
      </c>
      <c r="D184" s="33" t="n">
        <v>15</v>
      </c>
      <c r="E184" s="33" t="n">
        <v>12</v>
      </c>
      <c r="F184" s="35" t="n">
        <v>291</v>
      </c>
      <c r="G184" s="33" t="n">
        <v>35</v>
      </c>
      <c r="H184" s="32" t="n"/>
      <c r="I184" s="32" t="inlineStr">
        <is>
          <t>Hay Day Wiki (Fandom) https://hayday.fandom.com/wiki/Coffee_Kiosk</t>
        </is>
      </c>
      <c r="J184" s="39">
        <f>IFERROR(INDEX(hayday_info!$D$2:$D$349,MATCH($A184,hayday_info!$A$2:$A$349,0)),"not found")</f>
        <v/>
      </c>
      <c r="K184" s="32">
        <f>IF(J184="not found","not in hayday.info",IF(J184=E184,"matches mastered",IF(J184=D184,"matches normal","differs")))</f>
        <v/>
      </c>
      <c r="L184" s="40">
        <f>IFERROR(INDEX(hayday_info!$E$2:$E$349,MATCH($A184,hayday_info!$A$2:$A$349,0)),"not found")</f>
        <v/>
      </c>
      <c r="M184" s="32">
        <f>IF(L184="not found","not in hayday.info",IF(F184="","no Fandom value",IF(L184=F184,"match","differs")))</f>
        <v/>
      </c>
      <c r="N184" s="32">
        <f>IFERROR(INDEX(hayday_info!$F$2:$F$349,MATCH($A184,hayday_info!$A$2:$A$349,0)),"not found")</f>
        <v/>
      </c>
      <c r="O184" s="32">
        <f>IF(N184="not found","not in hayday.info",IF(G184="","no Fandom value",IF(N184=G184,"match","differs")))</f>
        <v/>
      </c>
      <c r="P184" s="32">
        <f>IF(J184="not found","not in hayday.info",IF(C184="","no Fandom value",IF(IFERROR(INDEX(hayday_info!$C$2:$C$349,MATCH($A184,hayday_info!$A$2:$A$349,0)),"not found")=C184,"match","differs")))</f>
        <v/>
      </c>
    </row>
    <row r="185" ht="15" customHeight="1" s="29">
      <c r="A185" s="32" t="inlineStr">
        <is>
          <t>Raspberry mocha</t>
        </is>
      </c>
      <c r="B185" s="32" t="inlineStr">
        <is>
          <t>Coffee Kiosk</t>
        </is>
      </c>
      <c r="C185" s="33" t="n">
        <v>46</v>
      </c>
      <c r="D185" s="33" t="n">
        <v>30</v>
      </c>
      <c r="E185" s="33" t="n">
        <v>25</v>
      </c>
      <c r="F185" s="35" t="n">
        <v>259</v>
      </c>
      <c r="G185" s="33" t="n">
        <v>31</v>
      </c>
      <c r="H185" s="32" t="n"/>
      <c r="I185" s="32" t="inlineStr">
        <is>
          <t>Hay Day Wiki (Fandom) https://hayday.fandom.com/wiki/Coffee_Kiosk</t>
        </is>
      </c>
      <c r="J185" s="39">
        <f>IFERROR(INDEX(hayday_info!$D$2:$D$349,MATCH($A185,hayday_info!$A$2:$A$349,0)),"not found")</f>
        <v/>
      </c>
      <c r="K185" s="32">
        <f>IF(J185="not found","not in hayday.info",IF(J185=E185,"matches mastered",IF(J185=D185,"matches normal","differs")))</f>
        <v/>
      </c>
      <c r="L185" s="40">
        <f>IFERROR(INDEX(hayday_info!$E$2:$E$349,MATCH($A185,hayday_info!$A$2:$A$349,0)),"not found")</f>
        <v/>
      </c>
      <c r="M185" s="32">
        <f>IF(L185="not found","not in hayday.info",IF(F185="","no Fandom value",IF(L185=F185,"match","differs")))</f>
        <v/>
      </c>
      <c r="N185" s="32">
        <f>IFERROR(INDEX(hayday_info!$F$2:$F$349,MATCH($A185,hayday_info!$A$2:$A$349,0)),"not found")</f>
        <v/>
      </c>
      <c r="O185" s="32">
        <f>IF(N185="not found","not in hayday.info",IF(G185="","no Fandom value",IF(N185=G185,"match","differs")))</f>
        <v/>
      </c>
      <c r="P185" s="32">
        <f>IF(J185="not found","not in hayday.info",IF(C185="","no Fandom value",IF(IFERROR(INDEX(hayday_info!$C$2:$C$349,MATCH($A185,hayday_info!$A$2:$A$349,0)),"not found")=C185,"match","differs")))</f>
        <v/>
      </c>
    </row>
    <row r="186" ht="15" customHeight="1" s="29">
      <c r="A186" s="32" t="inlineStr">
        <is>
          <t>Hot chocolate</t>
        </is>
      </c>
      <c r="B186" s="32" t="inlineStr">
        <is>
          <t>Coffee Kiosk</t>
        </is>
      </c>
      <c r="C186" s="33" t="n">
        <v>47</v>
      </c>
      <c r="D186" s="33" t="n">
        <v>25</v>
      </c>
      <c r="E186" s="33" t="n">
        <v>21</v>
      </c>
      <c r="F186" s="35" t="n">
        <v>316</v>
      </c>
      <c r="G186" s="33" t="n">
        <v>32</v>
      </c>
      <c r="H186" s="32" t="n"/>
      <c r="I186" s="32" t="inlineStr">
        <is>
          <t>Hay Day Wiki (Fandom) https://hayday.fandom.com/wiki/Coffee_Kiosk</t>
        </is>
      </c>
      <c r="J186" s="39">
        <f>IFERROR(INDEX(hayday_info!$D$2:$D$349,MATCH($A186,hayday_info!$A$2:$A$349,0)),"not found")</f>
        <v/>
      </c>
      <c r="K186" s="32">
        <f>IF(J186="not found","not in hayday.info",IF(J186=E186,"matches mastered",IF(J186=D186,"matches normal","differs")))</f>
        <v/>
      </c>
      <c r="L186" s="40">
        <f>IFERROR(INDEX(hayday_info!$E$2:$E$349,MATCH($A186,hayday_info!$A$2:$A$349,0)),"not found")</f>
        <v/>
      </c>
      <c r="M186" s="32">
        <f>IF(L186="not found","not in hayday.info",IF(F186="","no Fandom value",IF(L186=F186,"match","differs")))</f>
        <v/>
      </c>
      <c r="N186" s="32">
        <f>IFERROR(INDEX(hayday_info!$F$2:$F$349,MATCH($A186,hayday_info!$A$2:$A$349,0)),"not found")</f>
        <v/>
      </c>
      <c r="O186" s="32">
        <f>IF(N186="not found","not in hayday.info",IF(G186="","no Fandom value",IF(N186=G186,"match","differs")))</f>
        <v/>
      </c>
      <c r="P186" s="32">
        <f>IF(J186="not found","not in hayday.info",IF(C186="","no Fandom value",IF(IFERROR(INDEX(hayday_info!$C$2:$C$349,MATCH($A186,hayday_info!$A$2:$A$349,0)),"not found")=C186,"match","differs")))</f>
        <v/>
      </c>
    </row>
    <row r="187" ht="15" customHeight="1" s="29">
      <c r="A187" s="32" t="inlineStr">
        <is>
          <t>Caramel latte</t>
        </is>
      </c>
      <c r="B187" s="32" t="inlineStr">
        <is>
          <t>Coffee Kiosk</t>
        </is>
      </c>
      <c r="C187" s="33" t="n">
        <v>62</v>
      </c>
      <c r="D187" s="33" t="n">
        <v>15</v>
      </c>
      <c r="E187" s="33" t="n">
        <v>12</v>
      </c>
      <c r="F187" s="35" t="n">
        <v>345</v>
      </c>
      <c r="G187" s="33" t="n">
        <v>41</v>
      </c>
      <c r="H187" s="32" t="n"/>
      <c r="I187" s="32" t="inlineStr">
        <is>
          <t>Hay Day Wiki (Fandom) https://hayday.fandom.com/wiki/Coffee_Kiosk</t>
        </is>
      </c>
      <c r="J187" s="39">
        <f>IFERROR(INDEX(hayday_info!$D$2:$D$349,MATCH($A187,hayday_info!$A$2:$A$349,0)),"not found")</f>
        <v/>
      </c>
      <c r="K187" s="32">
        <f>IF(J187="not found","not in hayday.info",IF(J187=E187,"matches mastered",IF(J187=D187,"matches normal","differs")))</f>
        <v/>
      </c>
      <c r="L187" s="40">
        <f>IFERROR(INDEX(hayday_info!$E$2:$E$349,MATCH($A187,hayday_info!$A$2:$A$349,0)),"not found")</f>
        <v/>
      </c>
      <c r="M187" s="32">
        <f>IF(L187="not found","not in hayday.info",IF(F187="","no Fandom value",IF(L187=F187,"match","differs")))</f>
        <v/>
      </c>
      <c r="N187" s="32">
        <f>IFERROR(INDEX(hayday_info!$F$2:$F$349,MATCH($A187,hayday_info!$A$2:$A$349,0)),"not found")</f>
        <v/>
      </c>
      <c r="O187" s="32">
        <f>IF(N187="not found","not in hayday.info",IF(G187="","no Fandom value",IF(N187=G187,"match","differs")))</f>
        <v/>
      </c>
      <c r="P187" s="32">
        <f>IF(J187="not found","not in hayday.info",IF(C187="","no Fandom value",IF(IFERROR(INDEX(hayday_info!$C$2:$C$349,MATCH($A187,hayday_info!$A$2:$A$349,0)),"not found")=C187,"match","differs")))</f>
        <v/>
      </c>
    </row>
    <row r="188" ht="15" customHeight="1" s="29">
      <c r="A188" s="32" t="inlineStr">
        <is>
          <t>Iced banana latte</t>
        </is>
      </c>
      <c r="B188" s="32" t="inlineStr">
        <is>
          <t>Coffee Kiosk</t>
        </is>
      </c>
      <c r="C188" s="33" t="n">
        <v>88</v>
      </c>
      <c r="D188" s="33" t="n">
        <v>20</v>
      </c>
      <c r="E188" s="33" t="n">
        <v>17</v>
      </c>
      <c r="F188" s="35" t="n">
        <v>277</v>
      </c>
      <c r="G188" s="33" t="n">
        <v>33</v>
      </c>
      <c r="H188" s="32" t="n"/>
      <c r="I188" s="32" t="inlineStr">
        <is>
          <t>Hay Day Wiki (Fandom) https://hayday.fandom.com/wiki/Coffee_Kiosk</t>
        </is>
      </c>
      <c r="J188" s="39">
        <f>IFERROR(INDEX(hayday_info!$D$2:$D$349,MATCH($A188,hayday_info!$A$2:$A$349,0)),"not found")</f>
        <v/>
      </c>
      <c r="K188" s="32">
        <f>IF(J188="not found","not in hayday.info",IF(J188=E188,"matches mastered",IF(J188=D188,"matches normal","differs")))</f>
        <v/>
      </c>
      <c r="L188" s="40">
        <f>IFERROR(INDEX(hayday_info!$E$2:$E$349,MATCH($A188,hayday_info!$A$2:$A$349,0)),"not found")</f>
        <v/>
      </c>
      <c r="M188" s="32">
        <f>IF(L188="not found","not in hayday.info",IF(F188="","no Fandom value",IF(L188=F188,"match","differs")))</f>
        <v/>
      </c>
      <c r="N188" s="32">
        <f>IFERROR(INDEX(hayday_info!$F$2:$F$349,MATCH($A188,hayday_info!$A$2:$A$349,0)),"not found")</f>
        <v/>
      </c>
      <c r="O188" s="32">
        <f>IF(N188="not found","not in hayday.info",IF(G188="","no Fandom value",IF(N188=G188,"match","differs")))</f>
        <v/>
      </c>
      <c r="P188" s="32">
        <f>IF(J188="not found","not in hayday.info",IF(C188="","no Fandom value",IF(IFERROR(INDEX(hayday_info!$C$2:$C$349,MATCH($A188,hayday_info!$A$2:$A$349,0)),"not found")=C188,"match","differs")))</f>
        <v/>
      </c>
    </row>
    <row r="189" ht="15" customHeight="1" s="29">
      <c r="A189" s="32" t="inlineStr">
        <is>
          <t>Rustic Bouquet</t>
        </is>
      </c>
      <c r="B189" s="32" t="inlineStr">
        <is>
          <t>Flower Shop</t>
        </is>
      </c>
      <c r="C189" s="33" t="n">
        <v>49</v>
      </c>
      <c r="D189" s="33" t="n">
        <v>45</v>
      </c>
      <c r="E189" s="33" t="n">
        <v>38</v>
      </c>
      <c r="F189" s="35" t="n">
        <v>208</v>
      </c>
      <c r="G189" s="33" t="n">
        <v>25</v>
      </c>
      <c r="H189" s="32" t="n"/>
      <c r="I189" s="32" t="inlineStr">
        <is>
          <t>Hay Day Wiki (Fandom) https://hayday.fandom.com/wiki/Flower_Shop</t>
        </is>
      </c>
      <c r="J189" s="39">
        <f>IFERROR(INDEX(hayday_info!$D$2:$D$349,MATCH($A189,hayday_info!$A$2:$A$349,0)),"not found")</f>
        <v/>
      </c>
      <c r="K189" s="32">
        <f>IF(J189="not found","not in hayday.info",IF(J189=E189,"matches mastered",IF(J189=D189,"matches normal","differs")))</f>
        <v/>
      </c>
      <c r="L189" s="40">
        <f>IFERROR(INDEX(hayday_info!$E$2:$E$349,MATCH($A189,hayday_info!$A$2:$A$349,0)),"not found")</f>
        <v/>
      </c>
      <c r="M189" s="32">
        <f>IF(L189="not found","not in hayday.info",IF(F189="","no Fandom value",IF(L189=F189,"match","differs")))</f>
        <v/>
      </c>
      <c r="N189" s="32">
        <f>IFERROR(INDEX(hayday_info!$F$2:$F$349,MATCH($A189,hayday_info!$A$2:$A$349,0)),"not found")</f>
        <v/>
      </c>
      <c r="O189" s="32">
        <f>IF(N189="not found","not in hayday.info",IF(G189="","no Fandom value",IF(N189=G189,"match","differs")))</f>
        <v/>
      </c>
      <c r="P189" s="32">
        <f>IF(J189="not found","not in hayday.info",IF(C189="","no Fandom value",IF(IFERROR(INDEX(hayday_info!$C$2:$C$349,MATCH($A189,hayday_info!$A$2:$A$349,0)),"not found")=C189,"match","differs")))</f>
        <v/>
      </c>
    </row>
    <row r="190" ht="15" customHeight="1" s="29">
      <c r="A190" s="32" t="inlineStr">
        <is>
          <t>Bright Bouquet</t>
        </is>
      </c>
      <c r="B190" s="32" t="inlineStr">
        <is>
          <t>Flower Shop</t>
        </is>
      </c>
      <c r="C190" s="33" t="n">
        <v>65</v>
      </c>
      <c r="D190" s="33" t="n">
        <v>20</v>
      </c>
      <c r="E190" s="33" t="n">
        <v>17</v>
      </c>
      <c r="F190" s="35" t="n">
        <v>338</v>
      </c>
      <c r="G190" s="33" t="n">
        <v>40</v>
      </c>
      <c r="H190" s="32" t="n"/>
      <c r="I190" s="32" t="inlineStr">
        <is>
          <t>Hay Day Wiki (Fandom) https://hayday.fandom.com/wiki/Flower_Shop</t>
        </is>
      </c>
      <c r="J190" s="39">
        <f>IFERROR(INDEX(hayday_info!$D$2:$D$349,MATCH($A190,hayday_info!$A$2:$A$349,0)),"not found")</f>
        <v/>
      </c>
      <c r="K190" s="32">
        <f>IF(J190="not found","not in hayday.info",IF(J190=E190,"matches mastered",IF(J190=D190,"matches normal","differs")))</f>
        <v/>
      </c>
      <c r="L190" s="40">
        <f>IFERROR(INDEX(hayday_info!$E$2:$E$349,MATCH($A190,hayday_info!$A$2:$A$349,0)),"not found")</f>
        <v/>
      </c>
      <c r="M190" s="32">
        <f>IF(L190="not found","not in hayday.info",IF(F190="","no Fandom value",IF(L190=F190,"match","differs")))</f>
        <v/>
      </c>
      <c r="N190" s="32">
        <f>IFERROR(INDEX(hayday_info!$F$2:$F$349,MATCH($A190,hayday_info!$A$2:$A$349,0)),"not found")</f>
        <v/>
      </c>
      <c r="O190" s="32">
        <f>IF(N190="not found","not in hayday.info",IF(G190="","no Fandom value",IF(N190=G190,"match","differs")))</f>
        <v/>
      </c>
      <c r="P190" s="32">
        <f>IF(J190="not found","not in hayday.info",IF(C190="","no Fandom value",IF(IFERROR(INDEX(hayday_info!$C$2:$C$349,MATCH($A190,hayday_info!$A$2:$A$349,0)),"not found")=C190,"match","differs")))</f>
        <v/>
      </c>
    </row>
    <row r="191" ht="15" customHeight="1" s="29">
      <c r="A191" s="32" t="inlineStr">
        <is>
          <t>Gracious Bouquet</t>
        </is>
      </c>
      <c r="B191" s="32" t="inlineStr">
        <is>
          <t>Flower Shop</t>
        </is>
      </c>
      <c r="C191" s="33" t="n">
        <v>73</v>
      </c>
      <c r="D191" s="33" t="n">
        <v>40</v>
      </c>
      <c r="E191" s="33" t="n">
        <v>34</v>
      </c>
      <c r="F191" s="35" t="n">
        <v>500</v>
      </c>
      <c r="G191" s="33" t="n">
        <v>60</v>
      </c>
      <c r="H191" s="32" t="n"/>
      <c r="I191" s="32" t="inlineStr">
        <is>
          <t>Hay Day Wiki (Fandom) https://hayday.fandom.com/wiki/Flower_Shop</t>
        </is>
      </c>
      <c r="J191" s="39">
        <f>IFERROR(INDEX(hayday_info!$D$2:$D$349,MATCH($A191,hayday_info!$A$2:$A$349,0)),"not found")</f>
        <v/>
      </c>
      <c r="K191" s="32">
        <f>IF(J191="not found","not in hayday.info",IF(J191=E191,"matches mastered",IF(J191=D191,"matches normal","differs")))</f>
        <v/>
      </c>
      <c r="L191" s="40">
        <f>IFERROR(INDEX(hayday_info!$E$2:$E$349,MATCH($A191,hayday_info!$A$2:$A$349,0)),"not found")</f>
        <v/>
      </c>
      <c r="M191" s="32">
        <f>IF(L191="not found","not in hayday.info",IF(F191="","no Fandom value",IF(L191=F191,"match","differs")))</f>
        <v/>
      </c>
      <c r="N191" s="32">
        <f>IFERROR(INDEX(hayday_info!$F$2:$F$349,MATCH($A191,hayday_info!$A$2:$A$349,0)),"not found")</f>
        <v/>
      </c>
      <c r="O191" s="32">
        <f>IF(N191="not found","not in hayday.info",IF(G191="","no Fandom value",IF(N191=G191,"match","differs")))</f>
        <v/>
      </c>
      <c r="P191" s="32">
        <f>IF(J191="not found","not in hayday.info",IF(C191="","no Fandom value",IF(IFERROR(INDEX(hayday_info!$C$2:$C$349,MATCH($A191,hayday_info!$A$2:$A$349,0)),"not found")=C191,"match","differs")))</f>
        <v/>
      </c>
    </row>
    <row r="192" ht="15" customHeight="1" s="29">
      <c r="A192" s="32" t="inlineStr">
        <is>
          <t>Candy Bouquet</t>
        </is>
      </c>
      <c r="B192" s="32" t="inlineStr">
        <is>
          <t>Flower Shop</t>
        </is>
      </c>
      <c r="C192" s="33" t="n">
        <v>90</v>
      </c>
      <c r="D192" s="33" t="n">
        <v>20</v>
      </c>
      <c r="E192" s="33" t="n">
        <v>17</v>
      </c>
      <c r="F192" s="35" t="n">
        <v>554</v>
      </c>
      <c r="G192" s="33" t="n">
        <v>66</v>
      </c>
      <c r="H192" s="32" t="n"/>
      <c r="I192" s="32" t="inlineStr">
        <is>
          <t>Hay Day Wiki (Fandom) https://hayday.fandom.com/wiki/Flower_Shop</t>
        </is>
      </c>
      <c r="J192" s="39">
        <f>IFERROR(INDEX(hayday_info!$D$2:$D$349,MATCH($A192,hayday_info!$A$2:$A$349,0)),"not found")</f>
        <v/>
      </c>
      <c r="K192" s="32">
        <f>IF(J192="not found","not in hayday.info",IF(J192=E192,"matches mastered",IF(J192=D192,"matches normal","differs")))</f>
        <v/>
      </c>
      <c r="L192" s="40">
        <f>IFERROR(INDEX(hayday_info!$E$2:$E$349,MATCH($A192,hayday_info!$A$2:$A$349,0)),"not found")</f>
        <v/>
      </c>
      <c r="M192" s="32">
        <f>IF(L192="not found","not in hayday.info",IF(F192="","no Fandom value",IF(L192=F192,"match","differs")))</f>
        <v/>
      </c>
      <c r="N192" s="32">
        <f>IFERROR(INDEX(hayday_info!$F$2:$F$349,MATCH($A192,hayday_info!$A$2:$A$349,0)),"not found")</f>
        <v/>
      </c>
      <c r="O192" s="32">
        <f>IF(N192="not found","not in hayday.info",IF(G192="","no Fandom value",IF(N192=G192,"match","differs")))</f>
        <v/>
      </c>
      <c r="P192" s="32">
        <f>IF(J192="not found","not in hayday.info",IF(C192="","no Fandom value",IF(IFERROR(INDEX(hayday_info!$C$2:$C$349,MATCH($A192,hayday_info!$A$2:$A$349,0)),"not found")=C192,"match","differs")))</f>
        <v/>
      </c>
    </row>
    <row r="193" ht="15" customHeight="1" s="29">
      <c r="A193" s="32" t="inlineStr">
        <is>
          <t>Soft Bouquet</t>
        </is>
      </c>
      <c r="B193" s="32" t="inlineStr">
        <is>
          <t>Flower Shop</t>
        </is>
      </c>
      <c r="C193" s="33" t="n">
        <v>93</v>
      </c>
      <c r="D193" s="33" t="n">
        <v>30</v>
      </c>
      <c r="E193" s="33" t="n">
        <v>25</v>
      </c>
      <c r="F193" s="35" t="n">
        <v>298</v>
      </c>
      <c r="G193" s="33" t="n">
        <v>36</v>
      </c>
      <c r="H193" s="32" t="n"/>
      <c r="I193" s="32" t="inlineStr">
        <is>
          <t>Hay Day Wiki (Fandom) https://hayday.fandom.com/wiki/Flower_Shop</t>
        </is>
      </c>
      <c r="J193" s="39">
        <f>IFERROR(INDEX(hayday_info!$D$2:$D$349,MATCH($A193,hayday_info!$A$2:$A$349,0)),"not found")</f>
        <v/>
      </c>
      <c r="K193" s="32">
        <f>IF(J193="not found","not in hayday.info",IF(J193=E193,"matches mastered",IF(J193=D193,"matches normal","differs")))</f>
        <v/>
      </c>
      <c r="L193" s="40">
        <f>IFERROR(INDEX(hayday_info!$E$2:$E$349,MATCH($A193,hayday_info!$A$2:$A$349,0)),"not found")</f>
        <v/>
      </c>
      <c r="M193" s="32">
        <f>IF(L193="not found","not in hayday.info",IF(F193="","no Fandom value",IF(L193=F193,"match","differs")))</f>
        <v/>
      </c>
      <c r="N193" s="32">
        <f>IFERROR(INDEX(hayday_info!$F$2:$F$349,MATCH($A193,hayday_info!$A$2:$A$349,0)),"not found")</f>
        <v/>
      </c>
      <c r="O193" s="32">
        <f>IF(N193="not found","not in hayday.info",IF(G193="","no Fandom value",IF(N193=G193,"match","differs")))</f>
        <v/>
      </c>
      <c r="P193" s="32">
        <f>IF(J193="not found","not in hayday.info",IF(C193="","no Fandom value",IF(IFERROR(INDEX(hayday_info!$C$2:$C$349,MATCH($A193,hayday_info!$A$2:$A$349,0)),"not found")=C193,"match","differs")))</f>
        <v/>
      </c>
    </row>
    <row r="194" ht="15" customHeight="1" s="29">
      <c r="A194" s="32" t="inlineStr">
        <is>
          <t>Veggie Bouquet</t>
        </is>
      </c>
      <c r="B194" s="32" t="inlineStr">
        <is>
          <t>Flower Shop</t>
        </is>
      </c>
      <c r="C194" s="33" t="n">
        <v>106</v>
      </c>
      <c r="D194" s="33" t="n">
        <v>15</v>
      </c>
      <c r="E194" s="33" t="n">
        <v>12</v>
      </c>
      <c r="F194" s="35" t="n">
        <v>352</v>
      </c>
      <c r="G194" s="33" t="n">
        <v>42</v>
      </c>
      <c r="H194" s="32" t="n"/>
      <c r="I194" s="32" t="inlineStr">
        <is>
          <t>Hay Day Wiki (Fandom) https://hayday.fandom.com/wiki/Flower_Shop</t>
        </is>
      </c>
      <c r="J194" s="39">
        <f>IFERROR(INDEX(hayday_info!$D$2:$D$349,MATCH($A194,hayday_info!$A$2:$A$349,0)),"not found")</f>
        <v/>
      </c>
      <c r="K194" s="32">
        <f>IF(J194="not found","not in hayday.info",IF(J194=E194,"matches mastered",IF(J194=D194,"matches normal","differs")))</f>
        <v/>
      </c>
      <c r="L194" s="40">
        <f>IFERROR(INDEX(hayday_info!$E$2:$E$349,MATCH($A194,hayday_info!$A$2:$A$349,0)),"not found")</f>
        <v/>
      </c>
      <c r="M194" s="32">
        <f>IF(L194="not found","not in hayday.info",IF(F194="","no Fandom value",IF(L194=F194,"match","differs")))</f>
        <v/>
      </c>
      <c r="N194" s="32">
        <f>IFERROR(INDEX(hayday_info!$F$2:$F$349,MATCH($A194,hayday_info!$A$2:$A$349,0)),"not found")</f>
        <v/>
      </c>
      <c r="O194" s="32">
        <f>IF(N194="not found","not in hayday.info",IF(G194="","no Fandom value",IF(N194=G194,"match","differs")))</f>
        <v/>
      </c>
      <c r="P194" s="32">
        <f>IF(J194="not found","not in hayday.info",IF(C194="","no Fandom value",IF(IFERROR(INDEX(hayday_info!$C$2:$C$349,MATCH($A194,hayday_info!$A$2:$A$349,0)),"not found")=C194,"match","differs")))</f>
        <v/>
      </c>
    </row>
    <row r="195" ht="15" customHeight="1" s="29">
      <c r="A195" s="32" t="inlineStr">
        <is>
          <t>Sushi roll</t>
        </is>
      </c>
      <c r="B195" s="32" t="inlineStr">
        <is>
          <t>Sushi Bar</t>
        </is>
      </c>
      <c r="C195" s="33" t="n">
        <v>56</v>
      </c>
      <c r="D195" s="33" t="n">
        <v>60</v>
      </c>
      <c r="E195" s="33" t="n">
        <v>51</v>
      </c>
      <c r="F195" s="35" t="n">
        <v>489</v>
      </c>
      <c r="G195" s="33" t="n">
        <v>58</v>
      </c>
      <c r="H195" s="32" t="n"/>
      <c r="I195" s="32" t="inlineStr">
        <is>
          <t>Hay Day Wiki (Fandom) https://hayday.fandom.com/wiki/Sushi_Bar</t>
        </is>
      </c>
      <c r="J195" s="39">
        <f>IFERROR(INDEX(hayday_info!$D$2:$D$349,MATCH($A195,hayday_info!$A$2:$A$349,0)),"not found")</f>
        <v/>
      </c>
      <c r="K195" s="32">
        <f>IF(J195="not found","not in hayday.info",IF(J195=E195,"matches mastered",IF(J195=D195,"matches normal","differs")))</f>
        <v/>
      </c>
      <c r="L195" s="40">
        <f>IFERROR(INDEX(hayday_info!$E$2:$E$349,MATCH($A195,hayday_info!$A$2:$A$349,0)),"not found")</f>
        <v/>
      </c>
      <c r="M195" s="32">
        <f>IF(L195="not found","not in hayday.info",IF(F195="","no Fandom value",IF(L195=F195,"match","differs")))</f>
        <v/>
      </c>
      <c r="N195" s="32">
        <f>IFERROR(INDEX(hayday_info!$F$2:$F$349,MATCH($A195,hayday_info!$A$2:$A$349,0)),"not found")</f>
        <v/>
      </c>
      <c r="O195" s="32">
        <f>IF(N195="not found","not in hayday.info",IF(G195="","no Fandom value",IF(N195=G195,"match","differs")))</f>
        <v/>
      </c>
      <c r="P195" s="32">
        <f>IF(J195="not found","not in hayday.info",IF(C195="","no Fandom value",IF(IFERROR(INDEX(hayday_info!$C$2:$C$349,MATCH($A195,hayday_info!$A$2:$A$349,0)),"not found")=C195,"match","differs")))</f>
        <v/>
      </c>
    </row>
    <row r="196" ht="15" customHeight="1" s="29">
      <c r="A196" s="32" t="inlineStr">
        <is>
          <t>Lobster sushi</t>
        </is>
      </c>
      <c r="B196" s="32" t="inlineStr">
        <is>
          <t>Sushi Bar</t>
        </is>
      </c>
      <c r="C196" s="33" t="n">
        <v>59</v>
      </c>
      <c r="D196" s="33" t="n">
        <v>60</v>
      </c>
      <c r="E196" s="33" t="n">
        <v>51</v>
      </c>
      <c r="F196" s="35" t="n">
        <v>637</v>
      </c>
      <c r="G196" s="33" t="n">
        <v>76</v>
      </c>
      <c r="H196" s="32" t="n"/>
      <c r="I196" s="32" t="inlineStr">
        <is>
          <t>Hay Day Wiki (Fandom) https://hayday.fandom.com/wiki/Sushi_Bar</t>
        </is>
      </c>
      <c r="J196" s="39">
        <f>IFERROR(INDEX(hayday_info!$D$2:$D$349,MATCH($A196,hayday_info!$A$2:$A$349,0)),"not found")</f>
        <v/>
      </c>
      <c r="K196" s="32">
        <f>IF(J196="not found","not in hayday.info",IF(J196=E196,"matches mastered",IF(J196=D196,"matches normal","differs")))</f>
        <v/>
      </c>
      <c r="L196" s="40">
        <f>IFERROR(INDEX(hayday_info!$E$2:$E$349,MATCH($A196,hayday_info!$A$2:$A$349,0)),"not found")</f>
        <v/>
      </c>
      <c r="M196" s="32">
        <f>IF(L196="not found","not in hayday.info",IF(F196="","no Fandom value",IF(L196=F196,"match","differs")))</f>
        <v/>
      </c>
      <c r="N196" s="32">
        <f>IFERROR(INDEX(hayday_info!$F$2:$F$349,MATCH($A196,hayday_info!$A$2:$A$349,0)),"not found")</f>
        <v/>
      </c>
      <c r="O196" s="32">
        <f>IF(N196="not found","not in hayday.info",IF(G196="","no Fandom value",IF(N196=G196,"match","differs")))</f>
        <v/>
      </c>
      <c r="P196" s="32">
        <f>IF(J196="not found","not in hayday.info",IF(C196="","no Fandom value",IF(IFERROR(INDEX(hayday_info!$C$2:$C$349,MATCH($A196,hayday_info!$A$2:$A$349,0)),"not found")=C196,"match","differs")))</f>
        <v/>
      </c>
    </row>
    <row r="197" ht="15" customHeight="1" s="29">
      <c r="A197" s="32" t="inlineStr">
        <is>
          <t>Egg sushi</t>
        </is>
      </c>
      <c r="B197" s="32" t="inlineStr">
        <is>
          <t>Sushi Bar</t>
        </is>
      </c>
      <c r="C197" s="33" t="n">
        <v>63</v>
      </c>
      <c r="D197" s="33" t="n">
        <v>120</v>
      </c>
      <c r="E197" s="33" t="n">
        <v>102</v>
      </c>
      <c r="F197" s="35" t="n">
        <v>550</v>
      </c>
      <c r="G197" s="33" t="n">
        <v>66</v>
      </c>
      <c r="H197" s="32" t="n"/>
      <c r="I197" s="32" t="inlineStr">
        <is>
          <t>Hay Day Wiki (Fandom) https://hayday.fandom.com/wiki/Sushi_Bar</t>
        </is>
      </c>
      <c r="J197" s="39">
        <f>IFERROR(INDEX(hayday_info!$D$2:$D$349,MATCH($A197,hayday_info!$A$2:$A$349,0)),"not found")</f>
        <v/>
      </c>
      <c r="K197" s="32">
        <f>IF(J197="not found","not in hayday.info",IF(J197=E197,"matches mastered",IF(J197=D197,"matches normal","differs")))</f>
        <v/>
      </c>
      <c r="L197" s="40">
        <f>IFERROR(INDEX(hayday_info!$E$2:$E$349,MATCH($A197,hayday_info!$A$2:$A$349,0)),"not found")</f>
        <v/>
      </c>
      <c r="M197" s="32">
        <f>IF(L197="not found","not in hayday.info",IF(F197="","no Fandom value",IF(L197=F197,"match","differs")))</f>
        <v/>
      </c>
      <c r="N197" s="32">
        <f>IFERROR(INDEX(hayday_info!$F$2:$F$349,MATCH($A197,hayday_info!$A$2:$A$349,0)),"not found")</f>
        <v/>
      </c>
      <c r="O197" s="32">
        <f>IF(N197="not found","not in hayday.info",IF(G197="","no Fandom value",IF(N197=G197,"match","differs")))</f>
        <v/>
      </c>
      <c r="P197" s="32">
        <f>IF(J197="not found","not in hayday.info",IF(C197="","no Fandom value",IF(IFERROR(INDEX(hayday_info!$C$2:$C$349,MATCH($A197,hayday_info!$A$2:$A$349,0)),"not found")=C197,"match","differs")))</f>
        <v/>
      </c>
    </row>
    <row r="198" ht="15" customHeight="1" s="29">
      <c r="A198" s="32" t="inlineStr">
        <is>
          <t>Big sushi roll</t>
        </is>
      </c>
      <c r="B198" s="32" t="inlineStr">
        <is>
          <t>Sushi Bar</t>
        </is>
      </c>
      <c r="C198" s="33" t="n">
        <v>76</v>
      </c>
      <c r="D198" s="33" t="n">
        <v>90</v>
      </c>
      <c r="E198" s="33" t="n">
        <v>76</v>
      </c>
      <c r="F198" s="35" t="n">
        <v>550</v>
      </c>
      <c r="G198" s="33" t="n">
        <v>77</v>
      </c>
      <c r="H198" s="32" t="n"/>
      <c r="I198" s="32" t="inlineStr">
        <is>
          <t>Hay Day Wiki (Fandom) https://hayday.fandom.com/wiki/Sushi_Bar</t>
        </is>
      </c>
      <c r="J198" s="39">
        <f>IFERROR(INDEX(hayday_info!$D$2:$D$349,MATCH($A198,hayday_info!$A$2:$A$349,0)),"not found")</f>
        <v/>
      </c>
      <c r="K198" s="32">
        <f>IF(J198="not found","not in hayday.info",IF(J198=E198,"matches mastered",IF(J198=D198,"matches normal","differs")))</f>
        <v/>
      </c>
      <c r="L198" s="40">
        <f>IFERROR(INDEX(hayday_info!$E$2:$E$349,MATCH($A198,hayday_info!$A$2:$A$349,0)),"not found")</f>
        <v/>
      </c>
      <c r="M198" s="32">
        <f>IF(L198="not found","not in hayday.info",IF(F198="","no Fandom value",IF(L198=F198,"match","differs")))</f>
        <v/>
      </c>
      <c r="N198" s="32">
        <f>IFERROR(INDEX(hayday_info!$F$2:$F$349,MATCH($A198,hayday_info!$A$2:$A$349,0)),"not found")</f>
        <v/>
      </c>
      <c r="O198" s="32">
        <f>IF(N198="not found","not in hayday.info",IF(G198="","no Fandom value",IF(N198=G198,"match","differs")))</f>
        <v/>
      </c>
      <c r="P198" s="32">
        <f>IF(J198="not found","not in hayday.info",IF(C198="","no Fandom value",IF(IFERROR(INDEX(hayday_info!$C$2:$C$349,MATCH($A198,hayday_info!$A$2:$A$349,0)),"not found")=C198,"match","differs")))</f>
        <v/>
      </c>
    </row>
    <row r="199" ht="15" customHeight="1" s="29">
      <c r="A199" s="32" t="inlineStr">
        <is>
          <t>Cloche Hat</t>
        </is>
      </c>
      <c r="B199" s="32" t="inlineStr">
        <is>
          <t>Hat Maker</t>
        </is>
      </c>
      <c r="C199" s="33" t="n">
        <v>70</v>
      </c>
      <c r="D199" s="33" t="n">
        <v>120</v>
      </c>
      <c r="E199" s="33" t="n">
        <v>102</v>
      </c>
      <c r="F199" s="35" t="n">
        <v>468</v>
      </c>
      <c r="G199" s="33" t="n">
        <v>56</v>
      </c>
      <c r="H199" s="32" t="n"/>
      <c r="I199" s="32" t="inlineStr">
        <is>
          <t>Hay Day Wiki (Fandom) https://hayday.fandom.com/wiki/Hat_Maker</t>
        </is>
      </c>
      <c r="J199" s="39">
        <f>IFERROR(INDEX(hayday_info!$D$2:$D$349,MATCH($A199,hayday_info!$A$2:$A$349,0)),"not found")</f>
        <v/>
      </c>
      <c r="K199" s="32">
        <f>IF(J199="not found","not in hayday.info",IF(J199=E199,"matches mastered",IF(J199=D199,"matches normal","differs")))</f>
        <v/>
      </c>
      <c r="L199" s="40">
        <f>IFERROR(INDEX(hayday_info!$E$2:$E$349,MATCH($A199,hayday_info!$A$2:$A$349,0)),"not found")</f>
        <v/>
      </c>
      <c r="M199" s="32">
        <f>IF(L199="not found","not in hayday.info",IF(F199="","no Fandom value",IF(L199=F199,"match","differs")))</f>
        <v/>
      </c>
      <c r="N199" s="32">
        <f>IFERROR(INDEX(hayday_info!$F$2:$F$349,MATCH($A199,hayday_info!$A$2:$A$349,0)),"not found")</f>
        <v/>
      </c>
      <c r="O199" s="32">
        <f>IF(N199="not found","not in hayday.info",IF(G199="","no Fandom value",IF(N199=G199,"match","differs")))</f>
        <v/>
      </c>
      <c r="P199" s="32">
        <f>IF(J199="not found","not in hayday.info",IF(C199="","no Fandom value",IF(IFERROR(INDEX(hayday_info!$C$2:$C$349,MATCH($A199,hayday_info!$A$2:$A$349,0)),"not found")=C199,"match","differs")))</f>
        <v/>
      </c>
    </row>
    <row r="200" ht="15" customHeight="1" s="29">
      <c r="A200" s="32" t="inlineStr">
        <is>
          <t>Top Hat</t>
        </is>
      </c>
      <c r="B200" s="32" t="inlineStr">
        <is>
          <t>Hat Maker</t>
        </is>
      </c>
      <c r="C200" s="33" t="n">
        <v>72</v>
      </c>
      <c r="D200" s="33" t="n">
        <v>210</v>
      </c>
      <c r="E200" s="33" t="n">
        <v>178</v>
      </c>
      <c r="F200" s="35" t="n">
        <v>619</v>
      </c>
      <c r="G200" s="33" t="n">
        <v>74</v>
      </c>
      <c r="H200" s="32" t="n"/>
      <c r="I200" s="32" t="inlineStr">
        <is>
          <t>Hay Day Wiki (Fandom) https://hayday.fandom.com/wiki/Hat_Maker</t>
        </is>
      </c>
      <c r="J200" s="39">
        <f>IFERROR(INDEX(hayday_info!$D$2:$D$349,MATCH($A200,hayday_info!$A$2:$A$349,0)),"not found")</f>
        <v/>
      </c>
      <c r="K200" s="32">
        <f>IF(J200="not found","not in hayday.info",IF(J200=E200,"matches mastered",IF(J200=D200,"matches normal","differs")))</f>
        <v/>
      </c>
      <c r="L200" s="40">
        <f>IFERROR(INDEX(hayday_info!$E$2:$E$349,MATCH($A200,hayday_info!$A$2:$A$349,0)),"not found")</f>
        <v/>
      </c>
      <c r="M200" s="32">
        <f>IF(L200="not found","not in hayday.info",IF(F200="","no Fandom value",IF(L200=F200,"match","differs")))</f>
        <v/>
      </c>
      <c r="N200" s="32">
        <f>IFERROR(INDEX(hayday_info!$F$2:$F$349,MATCH($A200,hayday_info!$A$2:$A$349,0)),"not found")</f>
        <v/>
      </c>
      <c r="O200" s="32">
        <f>IF(N200="not found","not in hayday.info",IF(G200="","no Fandom value",IF(N200=G200,"match","differs")))</f>
        <v/>
      </c>
      <c r="P200" s="32">
        <f>IF(J200="not found","not in hayday.info",IF(C200="","no Fandom value",IF(IFERROR(INDEX(hayday_info!$C$2:$C$349,MATCH($A200,hayday_info!$A$2:$A$349,0)),"not found")=C200,"match","differs")))</f>
        <v/>
      </c>
    </row>
    <row r="201" ht="15" customHeight="1" s="29">
      <c r="A201" s="32" t="inlineStr">
        <is>
          <t>Sun Hat</t>
        </is>
      </c>
      <c r="B201" s="32" t="inlineStr">
        <is>
          <t>Hat Maker</t>
        </is>
      </c>
      <c r="C201" s="33" t="n">
        <v>74</v>
      </c>
      <c r="D201" s="33" t="n">
        <v>150</v>
      </c>
      <c r="E201" s="33" t="n">
        <v>127</v>
      </c>
      <c r="F201" s="35" t="n">
        <v>558</v>
      </c>
      <c r="G201" s="33" t="n">
        <v>66</v>
      </c>
      <c r="H201" s="32" t="n"/>
      <c r="I201" s="32" t="inlineStr">
        <is>
          <t>Hay Day Wiki (Fandom) https://hayday.fandom.com/wiki/Hat_Maker</t>
        </is>
      </c>
      <c r="J201" s="39">
        <f>IFERROR(INDEX(hayday_info!$D$2:$D$349,MATCH($A201,hayday_info!$A$2:$A$349,0)),"not found")</f>
        <v/>
      </c>
      <c r="K201" s="32">
        <f>IF(J201="not found","not in hayday.info",IF(J201=E201,"matches mastered",IF(J201=D201,"matches normal","differs")))</f>
        <v/>
      </c>
      <c r="L201" s="40">
        <f>IFERROR(INDEX(hayday_info!$E$2:$E$349,MATCH($A201,hayday_info!$A$2:$A$349,0)),"not found")</f>
        <v/>
      </c>
      <c r="M201" s="32">
        <f>IF(L201="not found","not in hayday.info",IF(F201="","no Fandom value",IF(L201=F201,"match","differs")))</f>
        <v/>
      </c>
      <c r="N201" s="32">
        <f>IFERROR(INDEX(hayday_info!$F$2:$F$349,MATCH($A201,hayday_info!$A$2:$A$349,0)),"not found")</f>
        <v/>
      </c>
      <c r="O201" s="32">
        <f>IF(N201="not found","not in hayday.info",IF(G201="","no Fandom value",IF(N201=G201,"match","differs")))</f>
        <v/>
      </c>
      <c r="P201" s="32">
        <f>IF(J201="not found","not in hayday.info",IF(C201="","no Fandom value",IF(IFERROR(INDEX(hayday_info!$C$2:$C$349,MATCH($A201,hayday_info!$A$2:$A$349,0)),"not found")=C201,"match","differs")))</f>
        <v/>
      </c>
    </row>
    <row r="202" ht="15" customHeight="1" s="29">
      <c r="A202" s="32" t="inlineStr">
        <is>
          <t>Flower Crown</t>
        </is>
      </c>
      <c r="B202" s="32" t="inlineStr">
        <is>
          <t>Hat Maker</t>
        </is>
      </c>
      <c r="C202" s="33" t="n">
        <v>86</v>
      </c>
      <c r="D202" s="33" t="n">
        <v>120</v>
      </c>
      <c r="E202" s="33" t="n">
        <v>102</v>
      </c>
      <c r="F202" s="35" t="n">
        <v>331</v>
      </c>
      <c r="G202" s="33" t="n">
        <v>40</v>
      </c>
      <c r="H202" s="32" t="n"/>
      <c r="I202" s="32" t="inlineStr">
        <is>
          <t>Hay Day Wiki (Fandom) https://hayday.fandom.com/wiki/Hat_Maker</t>
        </is>
      </c>
      <c r="J202" s="39">
        <f>IFERROR(INDEX(hayday_info!$D$2:$D$349,MATCH($A202,hayday_info!$A$2:$A$349,0)),"not found")</f>
        <v/>
      </c>
      <c r="K202" s="32">
        <f>IF(J202="not found","not in hayday.info",IF(J202=E202,"matches mastered",IF(J202=D202,"matches normal","differs")))</f>
        <v/>
      </c>
      <c r="L202" s="40">
        <f>IFERROR(INDEX(hayday_info!$E$2:$E$349,MATCH($A202,hayday_info!$A$2:$A$349,0)),"not found")</f>
        <v/>
      </c>
      <c r="M202" s="32">
        <f>IF(L202="not found","not in hayday.info",IF(F202="","no Fandom value",IF(L202=F202,"match","differs")))</f>
        <v/>
      </c>
      <c r="N202" s="32">
        <f>IFERROR(INDEX(hayday_info!$F$2:$F$349,MATCH($A202,hayday_info!$A$2:$A$349,0)),"not found")</f>
        <v/>
      </c>
      <c r="O202" s="32">
        <f>IF(N202="not found","not in hayday.info",IF(G202="","no Fandom value",IF(N202=G202,"match","differs")))</f>
        <v/>
      </c>
      <c r="P202" s="32">
        <f>IF(J202="not found","not in hayday.info",IF(C202="","no Fandom value",IF(IFERROR(INDEX(hayday_info!$C$2:$C$349,MATCH($A202,hayday_info!$A$2:$A$349,0)),"not found")=C202,"match","differs")))</f>
        <v/>
      </c>
    </row>
    <row r="203" ht="15" customHeight="1" s="29">
      <c r="A203" s="32" t="inlineStr">
        <is>
          <t>Fresh Pasta</t>
        </is>
      </c>
      <c r="B203" s="32" t="inlineStr">
        <is>
          <t>Pasta Maker</t>
        </is>
      </c>
      <c r="C203" s="33" t="n">
        <v>67</v>
      </c>
      <c r="D203" s="33" t="n">
        <v>15</v>
      </c>
      <c r="E203" s="33" t="n">
        <v>12</v>
      </c>
      <c r="F203" s="35" t="n">
        <v>43</v>
      </c>
      <c r="G203" s="33" t="n">
        <v>5</v>
      </c>
      <c r="H203" s="32" t="n"/>
      <c r="I203" s="32" t="inlineStr">
        <is>
          <t>Hay Day Wiki (Fandom) https://hayday.fandom.com/wiki/Pasta_Maker</t>
        </is>
      </c>
      <c r="J203" s="39">
        <f>IFERROR(INDEX(hayday_info!$D$2:$D$349,MATCH($A203,hayday_info!$A$2:$A$349,0)),"not found")</f>
        <v/>
      </c>
      <c r="K203" s="32">
        <f>IF(J203="not found","not in hayday.info",IF(J203=E203,"matches mastered",IF(J203=D203,"matches normal","differs")))</f>
        <v/>
      </c>
      <c r="L203" s="40">
        <f>IFERROR(INDEX(hayday_info!$E$2:$E$349,MATCH($A203,hayday_info!$A$2:$A$349,0)),"not found")</f>
        <v/>
      </c>
      <c r="M203" s="32">
        <f>IF(L203="not found","not in hayday.info",IF(F203="","no Fandom value",IF(L203=F203,"match","differs")))</f>
        <v/>
      </c>
      <c r="N203" s="32">
        <f>IFERROR(INDEX(hayday_info!$F$2:$F$349,MATCH($A203,hayday_info!$A$2:$A$349,0)),"not found")</f>
        <v/>
      </c>
      <c r="O203" s="32">
        <f>IF(N203="not found","not in hayday.info",IF(G203="","no Fandom value",IF(N203=G203,"match","differs")))</f>
        <v/>
      </c>
      <c r="P203" s="32">
        <f>IF(J203="not found","not in hayday.info",IF(C203="","no Fandom value",IF(IFERROR(INDEX(hayday_info!$C$2:$C$349,MATCH($A203,hayday_info!$A$2:$A$349,0)),"not found")=C203,"match","differs")))</f>
        <v/>
      </c>
    </row>
    <row r="204" ht="15" customHeight="1" s="29">
      <c r="A204" s="32" t="inlineStr">
        <is>
          <t>Rice Noodles</t>
        </is>
      </c>
      <c r="B204" s="32" t="inlineStr">
        <is>
          <t>Pasta Maker</t>
        </is>
      </c>
      <c r="C204" s="33" t="n">
        <v>73</v>
      </c>
      <c r="D204" s="33" t="n">
        <v>20</v>
      </c>
      <c r="E204" s="33" t="n">
        <v>17</v>
      </c>
      <c r="F204" s="35" t="n">
        <v>100</v>
      </c>
      <c r="G204" s="33" t="n">
        <v>12</v>
      </c>
      <c r="H204" s="32" t="n"/>
      <c r="I204" s="32" t="inlineStr">
        <is>
          <t>Hay Day Wiki (Fandom) https://hayday.fandom.com/wiki/Pasta_Maker</t>
        </is>
      </c>
      <c r="J204" s="39">
        <f>IFERROR(INDEX(hayday_info!$D$2:$D$349,MATCH($A204,hayday_info!$A$2:$A$349,0)),"not found")</f>
        <v/>
      </c>
      <c r="K204" s="32">
        <f>IF(J204="not found","not in hayday.info",IF(J204=E204,"matches mastered",IF(J204=D204,"matches normal","differs")))</f>
        <v/>
      </c>
      <c r="L204" s="40">
        <f>IFERROR(INDEX(hayday_info!$E$2:$E$349,MATCH($A204,hayday_info!$A$2:$A$349,0)),"not found")</f>
        <v/>
      </c>
      <c r="M204" s="32">
        <f>IF(L204="not found","not in hayday.info",IF(F204="","no Fandom value",IF(L204=F204,"match","differs")))</f>
        <v/>
      </c>
      <c r="N204" s="32">
        <f>IFERROR(INDEX(hayday_info!$F$2:$F$349,MATCH($A204,hayday_info!$A$2:$A$349,0)),"not found")</f>
        <v/>
      </c>
      <c r="O204" s="32">
        <f>IF(N204="not found","not in hayday.info",IF(G204="","no Fandom value",IF(N204=G204,"match","differs")))</f>
        <v/>
      </c>
      <c r="P204" s="32">
        <f>IF(J204="not found","not in hayday.info",IF(C204="","no Fandom value",IF(IFERROR(INDEX(hayday_info!$C$2:$C$349,MATCH($A204,hayday_info!$A$2:$A$349,0)),"not found")=C204,"match","differs")))</f>
        <v/>
      </c>
    </row>
    <row r="205" ht="15" customHeight="1" s="29">
      <c r="A205" s="32" t="inlineStr">
        <is>
          <t>Pickles</t>
        </is>
      </c>
      <c r="B205" s="32" t="inlineStr">
        <is>
          <t>Preservation Station</t>
        </is>
      </c>
      <c r="C205" s="33" t="n">
        <v>91</v>
      </c>
      <c r="D205" s="33" t="n">
        <v>240</v>
      </c>
      <c r="E205" s="33" t="n">
        <v>204</v>
      </c>
      <c r="F205" s="35" t="n">
        <v>270</v>
      </c>
      <c r="G205" s="33" t="n">
        <v>32</v>
      </c>
      <c r="H205" s="32" t="n"/>
      <c r="I205" s="32" t="inlineStr">
        <is>
          <t>Hay Day Wiki (Fandom) https://hayday.fandom.com/wiki/Preservation_Station</t>
        </is>
      </c>
      <c r="J205" s="39">
        <f>IFERROR(INDEX(hayday_info!$D$2:$D$349,MATCH($A205,hayday_info!$A$2:$A$349,0)),"not found")</f>
        <v/>
      </c>
      <c r="K205" s="32">
        <f>IF(J205="not found","not in hayday.info",IF(J205=E205,"matches mastered",IF(J205=D205,"matches normal","differs")))</f>
        <v/>
      </c>
      <c r="L205" s="40">
        <f>IFERROR(INDEX(hayday_info!$E$2:$E$349,MATCH($A205,hayday_info!$A$2:$A$349,0)),"not found")</f>
        <v/>
      </c>
      <c r="M205" s="32">
        <f>IF(L205="not found","not in hayday.info",IF(F205="","no Fandom value",IF(L205=F205,"match","differs")))</f>
        <v/>
      </c>
      <c r="N205" s="32">
        <f>IFERROR(INDEX(hayday_info!$F$2:$F$349,MATCH($A205,hayday_info!$A$2:$A$349,0)),"not found")</f>
        <v/>
      </c>
      <c r="O205" s="32">
        <f>IF(N205="not found","not in hayday.info",IF(G205="","no Fandom value",IF(N205=G205,"match","differs")))</f>
        <v/>
      </c>
      <c r="P205" s="32">
        <f>IF(J205="not found","not in hayday.info",IF(C205="","no Fandom value",IF(IFERROR(INDEX(hayday_info!$C$2:$C$349,MATCH($A205,hayday_info!$A$2:$A$349,0)),"not found")=C205,"match","differs")))</f>
        <v/>
      </c>
    </row>
    <row r="206" ht="15" customHeight="1" s="29">
      <c r="A206" s="32" t="inlineStr">
        <is>
          <t>Canned Fish</t>
        </is>
      </c>
      <c r="B206" s="32" t="inlineStr">
        <is>
          <t>Preservation Station</t>
        </is>
      </c>
      <c r="C206" s="33" t="n">
        <v>95</v>
      </c>
      <c r="D206" s="33" t="n">
        <v>220</v>
      </c>
      <c r="E206" s="33" t="n">
        <v>187</v>
      </c>
      <c r="F206" s="35" t="n">
        <v>471</v>
      </c>
      <c r="G206" s="33" t="n">
        <v>56</v>
      </c>
      <c r="H206" s="32" t="n"/>
      <c r="I206" s="32" t="inlineStr">
        <is>
          <t>Hay Day Wiki (Fandom) https://hayday.fandom.com/wiki/Preservation_Station</t>
        </is>
      </c>
      <c r="J206" s="39">
        <f>IFERROR(INDEX(hayday_info!$D$2:$D$349,MATCH($A206,hayday_info!$A$2:$A$349,0)),"not found")</f>
        <v/>
      </c>
      <c r="K206" s="32">
        <f>IF(J206="not found","not in hayday.info",IF(J206=E206,"matches mastered",IF(J206=D206,"matches normal","differs")))</f>
        <v/>
      </c>
      <c r="L206" s="40">
        <f>IFERROR(INDEX(hayday_info!$E$2:$E$349,MATCH($A206,hayday_info!$A$2:$A$349,0)),"not found")</f>
        <v/>
      </c>
      <c r="M206" s="32">
        <f>IF(L206="not found","not in hayday.info",IF(F206="","no Fandom value",IF(L206=F206,"match","differs")))</f>
        <v/>
      </c>
      <c r="N206" s="32">
        <f>IFERROR(INDEX(hayday_info!$F$2:$F$349,MATCH($A206,hayday_info!$A$2:$A$349,0)),"not found")</f>
        <v/>
      </c>
      <c r="O206" s="32">
        <f>IF(N206="not found","not in hayday.info",IF(G206="","no Fandom value",IF(N206=G206,"match","differs")))</f>
        <v/>
      </c>
      <c r="P206" s="32">
        <f>IF(J206="not found","not in hayday.info",IF(C206="","no Fandom value",IF(IFERROR(INDEX(hayday_info!$C$2:$C$349,MATCH($A206,hayday_info!$A$2:$A$349,0)),"not found")=C206,"match","differs")))</f>
        <v/>
      </c>
    </row>
    <row r="207" ht="15" customHeight="1" s="29">
      <c r="A207" s="32" t="inlineStr">
        <is>
          <t>Kimchi</t>
        </is>
      </c>
      <c r="B207" s="32" t="inlineStr">
        <is>
          <t>Preservation Station</t>
        </is>
      </c>
      <c r="C207" s="33" t="n">
        <v>98</v>
      </c>
      <c r="D207" s="33" t="n">
        <v>300</v>
      </c>
      <c r="E207" s="33" t="n">
        <v>255</v>
      </c>
      <c r="F207" s="35" t="n">
        <v>219</v>
      </c>
      <c r="G207" s="33" t="n">
        <v>26</v>
      </c>
      <c r="H207" s="32" t="n"/>
      <c r="I207" s="32" t="inlineStr">
        <is>
          <t>Hay Day Wiki (Fandom) https://hayday.fandom.com/wiki/Preservation_Station</t>
        </is>
      </c>
      <c r="J207" s="39">
        <f>IFERROR(INDEX(hayday_info!$D$2:$D$349,MATCH($A207,hayday_info!$A$2:$A$349,0)),"not found")</f>
        <v/>
      </c>
      <c r="K207" s="32">
        <f>IF(J207="not found","not in hayday.info",IF(J207=E207,"matches mastered",IF(J207=D207,"matches normal","differs")))</f>
        <v/>
      </c>
      <c r="L207" s="40">
        <f>IFERROR(INDEX(hayday_info!$E$2:$E$349,MATCH($A207,hayday_info!$A$2:$A$349,0)),"not found")</f>
        <v/>
      </c>
      <c r="M207" s="32">
        <f>IF(L207="not found","not in hayday.info",IF(F207="","no Fandom value",IF(L207=F207,"match","differs")))</f>
        <v/>
      </c>
      <c r="N207" s="32">
        <f>IFERROR(INDEX(hayday_info!$F$2:$F$349,MATCH($A207,hayday_info!$A$2:$A$349,0)),"not found")</f>
        <v/>
      </c>
      <c r="O207" s="32">
        <f>IF(N207="not found","not in hayday.info",IF(G207="","no Fandom value",IF(N207=G207,"match","differs")))</f>
        <v/>
      </c>
      <c r="P207" s="32">
        <f>IF(J207="not found","not in hayday.info",IF(C207="","no Fandom value",IF(IFERROR(INDEX(hayday_info!$C$2:$C$349,MATCH($A207,hayday_info!$A$2:$A$349,0)),"not found")=C207,"match","differs")))</f>
        <v/>
      </c>
    </row>
    <row r="208" ht="15" customHeight="1" s="29">
      <c r="A208" s="32" t="inlineStr">
        <is>
          <t>Dried Fruit</t>
        </is>
      </c>
      <c r="B208" s="32" t="inlineStr">
        <is>
          <t>Preservation Station</t>
        </is>
      </c>
      <c r="C208" s="33" t="n">
        <v>102</v>
      </c>
      <c r="D208" s="33" t="n">
        <v>180</v>
      </c>
      <c r="E208" s="33" t="n">
        <v>153</v>
      </c>
      <c r="F208" s="35" t="n">
        <v>266</v>
      </c>
      <c r="G208" s="33" t="n">
        <v>32</v>
      </c>
      <c r="H208" s="32" t="n"/>
      <c r="I208" s="32" t="inlineStr">
        <is>
          <t>Hay Day Wiki (Fandom) https://hayday.fandom.com/wiki/Preservation_Station</t>
        </is>
      </c>
      <c r="J208" s="39">
        <f>IFERROR(INDEX(hayday_info!$D$2:$D$349,MATCH($A208,hayday_info!$A$2:$A$349,0)),"not found")</f>
        <v/>
      </c>
      <c r="K208" s="32">
        <f>IF(J208="not found","not in hayday.info",IF(J208=E208,"matches mastered",IF(J208=D208,"matches normal","differs")))</f>
        <v/>
      </c>
      <c r="L208" s="40">
        <f>IFERROR(INDEX(hayday_info!$E$2:$E$349,MATCH($A208,hayday_info!$A$2:$A$349,0)),"not found")</f>
        <v/>
      </c>
      <c r="M208" s="32">
        <f>IF(L208="not found","not in hayday.info",IF(F208="","no Fandom value",IF(L208=F208,"match","differs")))</f>
        <v/>
      </c>
      <c r="N208" s="32">
        <f>IFERROR(INDEX(hayday_info!$F$2:$F$349,MATCH($A208,hayday_info!$A$2:$A$349,0)),"not found")</f>
        <v/>
      </c>
      <c r="O208" s="32">
        <f>IF(N208="not found","not in hayday.info",IF(G208="","no Fandom value",IF(N208=G208,"match","differs")))</f>
        <v/>
      </c>
      <c r="P208" s="32">
        <f>IF(J208="not found","not in hayday.info",IF(C208="","no Fandom value",IF(IFERROR(INDEX(hayday_info!$C$2:$C$349,MATCH($A208,hayday_info!$A$2:$A$349,0)),"not found")=C208,"match","differs")))</f>
        <v/>
      </c>
    </row>
    <row r="209" ht="15" customHeight="1" s="29">
      <c r="A209" s="32" t="inlineStr">
        <is>
          <t>Guava Compote</t>
        </is>
      </c>
      <c r="B209" s="32" t="inlineStr">
        <is>
          <t>Preservation Station</t>
        </is>
      </c>
      <c r="C209" s="33" t="n">
        <v>104</v>
      </c>
      <c r="D209" s="33" t="n">
        <v>260</v>
      </c>
      <c r="E209" s="33" t="n">
        <v>221</v>
      </c>
      <c r="F209" s="35" t="n">
        <v>421</v>
      </c>
      <c r="G209" s="33" t="n">
        <v>50</v>
      </c>
      <c r="H209" s="32" t="n"/>
      <c r="I209" s="32" t="inlineStr">
        <is>
          <t>Hay Day Wiki (Fandom) https://hayday.fandom.com/wiki/Preservation_Station</t>
        </is>
      </c>
      <c r="J209" s="39">
        <f>IFERROR(INDEX(hayday_info!$D$2:$D$349,MATCH($A209,hayday_info!$A$2:$A$349,0)),"not found")</f>
        <v/>
      </c>
      <c r="K209" s="32">
        <f>IF(J209="not found","not in hayday.info",IF(J209=E209,"matches mastered",IF(J209=D209,"matches normal","differs")))</f>
        <v/>
      </c>
      <c r="L209" s="40">
        <f>IFERROR(INDEX(hayday_info!$E$2:$E$349,MATCH($A209,hayday_info!$A$2:$A$349,0)),"not found")</f>
        <v/>
      </c>
      <c r="M209" s="32">
        <f>IF(L209="not found","not in hayday.info",IF(F209="","no Fandom value",IF(L209=F209,"match","differs")))</f>
        <v/>
      </c>
      <c r="N209" s="32">
        <f>IFERROR(INDEX(hayday_info!$F$2:$F$349,MATCH($A209,hayday_info!$A$2:$A$349,0)),"not found")</f>
        <v/>
      </c>
      <c r="O209" s="32">
        <f>IF(N209="not found","not in hayday.info",IF(G209="","no Fandom value",IF(N209=G209,"match","differs")))</f>
        <v/>
      </c>
      <c r="P209" s="32">
        <f>IF(J209="not found","not in hayday.info",IF(C209="","no Fandom value",IF(IFERROR(INDEX(hayday_info!$C$2:$C$349,MATCH($A209,hayday_info!$A$2:$A$349,0)),"not found")=C209,"match","differs")))</f>
        <v/>
      </c>
    </row>
    <row r="210" ht="15" customHeight="1" s="29">
      <c r="A210" s="32" t="inlineStr">
        <is>
          <t>Plain Yogurt</t>
        </is>
      </c>
      <c r="B210" s="32" t="inlineStr">
        <is>
          <t>Yogurt Maker</t>
        </is>
      </c>
      <c r="C210" s="33" t="n">
        <v>103</v>
      </c>
      <c r="D210" s="33" t="n"/>
      <c r="E210" s="33" t="n">
        <v>102</v>
      </c>
      <c r="F210" s="35" t="n">
        <v>234</v>
      </c>
      <c r="G210" s="33" t="n">
        <v>28</v>
      </c>
      <c r="H210" s="32" t="inlineStr">
        <is>
          <t>Page table garbled: normal time left blank, mastered time inferred by the page reader</t>
        </is>
      </c>
      <c r="I210" s="32" t="inlineStr">
        <is>
          <t>Hay Day Wiki (Fandom) https://hayday.fandom.com/wiki/Yogurt_Maker</t>
        </is>
      </c>
      <c r="J210" s="39">
        <f>IFERROR(INDEX(hayday_info!$D$2:$D$349,MATCH($A210,hayday_info!$A$2:$A$349,0)),"not found")</f>
        <v/>
      </c>
      <c r="K210" s="32">
        <f>IF(J210="not found","not in hayday.info",IF(J210=E210,"matches mastered",IF(J210=D210,"matches normal","differs")))</f>
        <v/>
      </c>
      <c r="L210" s="40">
        <f>IFERROR(INDEX(hayday_info!$E$2:$E$349,MATCH($A210,hayday_info!$A$2:$A$349,0)),"not found")</f>
        <v/>
      </c>
      <c r="M210" s="32">
        <f>IF(L210="not found","not in hayday.info",IF(F210="","no Fandom value",IF(L210=F210,"match","differs")))</f>
        <v/>
      </c>
      <c r="N210" s="32">
        <f>IFERROR(INDEX(hayday_info!$F$2:$F$349,MATCH($A210,hayday_info!$A$2:$A$349,0)),"not found")</f>
        <v/>
      </c>
      <c r="O210" s="32">
        <f>IF(N210="not found","not in hayday.info",IF(G210="","no Fandom value",IF(N210=G210,"match","differs")))</f>
        <v/>
      </c>
      <c r="P210" s="32">
        <f>IF(J210="not found","not in hayday.info",IF(C210="","no Fandom value",IF(IFERROR(INDEX(hayday_info!$C$2:$C$349,MATCH($A210,hayday_info!$A$2:$A$349,0)),"not found")=C210,"match","differs")))</f>
        <v/>
      </c>
    </row>
    <row r="211" ht="15" customHeight="1" s="29">
      <c r="A211" s="32" t="inlineStr">
        <is>
          <t>Strawberry Yogurt</t>
        </is>
      </c>
      <c r="B211" s="32" t="inlineStr">
        <is>
          <t>Yogurt Maker</t>
        </is>
      </c>
      <c r="C211" s="33" t="n">
        <v>105</v>
      </c>
      <c r="D211" s="33" t="n"/>
      <c r="E211" s="33" t="n">
        <v>34</v>
      </c>
      <c r="F211" s="35" t="n">
        <v>529</v>
      </c>
      <c r="G211" s="33" t="n">
        <v>63</v>
      </c>
      <c r="H211" s="32" t="inlineStr">
        <is>
          <t>Page table garbled: normal time left blank, mastered time inferred by the page reader</t>
        </is>
      </c>
      <c r="I211" s="32" t="inlineStr">
        <is>
          <t>Hay Day Wiki (Fandom) https://hayday.fandom.com/wiki/Yogurt_Maker</t>
        </is>
      </c>
      <c r="J211" s="39">
        <f>IFERROR(INDEX(hayday_info!$D$2:$D$349,MATCH($A211,hayday_info!$A$2:$A$349,0)),"not found")</f>
        <v/>
      </c>
      <c r="K211" s="32">
        <f>IF(J211="not found","not in hayday.info",IF(J211=E211,"matches mastered",IF(J211=D211,"matches normal","differs")))</f>
        <v/>
      </c>
      <c r="L211" s="40">
        <f>IFERROR(INDEX(hayday_info!$E$2:$E$349,MATCH($A211,hayday_info!$A$2:$A$349,0)),"not found")</f>
        <v/>
      </c>
      <c r="M211" s="32">
        <f>IF(L211="not found","not in hayday.info",IF(F211="","no Fandom value",IF(L211=F211,"match","differs")))</f>
        <v/>
      </c>
      <c r="N211" s="32">
        <f>IFERROR(INDEX(hayday_info!$F$2:$F$349,MATCH($A211,hayday_info!$A$2:$A$349,0)),"not found")</f>
        <v/>
      </c>
      <c r="O211" s="32">
        <f>IF(N211="not found","not in hayday.info",IF(G211="","no Fandom value",IF(N211=G211,"match","differs")))</f>
        <v/>
      </c>
      <c r="P211" s="32">
        <f>IF(J211="not found","not in hayday.info",IF(C211="","no Fandom value",IF(IFERROR(INDEX(hayday_info!$C$2:$C$349,MATCH($A211,hayday_info!$A$2:$A$349,0)),"not found")=C211,"match","differs")))</f>
        <v/>
      </c>
    </row>
    <row r="212" ht="15" customHeight="1" s="29">
      <c r="A212" s="32" t="inlineStr">
        <is>
          <t>Tropical Yogurt</t>
        </is>
      </c>
      <c r="B212" s="32" t="inlineStr">
        <is>
          <t>Yogurt Maker</t>
        </is>
      </c>
      <c r="C212" s="33" t="n">
        <v>109</v>
      </c>
      <c r="D212" s="33" t="n"/>
      <c r="E212" s="33" t="n">
        <v>51</v>
      </c>
      <c r="F212" s="35" t="n">
        <v>457</v>
      </c>
      <c r="G212" s="33" t="n">
        <v>54</v>
      </c>
      <c r="H212" s="32" t="inlineStr">
        <is>
          <t>Page table garbled: normal time left blank, mastered time inferred by the page reader</t>
        </is>
      </c>
      <c r="I212" s="32" t="inlineStr">
        <is>
          <t>Hay Day Wiki (Fandom) https://hayday.fandom.com/wiki/Yogurt_Maker</t>
        </is>
      </c>
      <c r="J212" s="39">
        <f>IFERROR(INDEX(hayday_info!$D$2:$D$349,MATCH($A212,hayday_info!$A$2:$A$349,0)),"not found")</f>
        <v/>
      </c>
      <c r="K212" s="32">
        <f>IF(J212="not found","not in hayday.info",IF(J212=E212,"matches mastered",IF(J212=D212,"matches normal","differs")))</f>
        <v/>
      </c>
      <c r="L212" s="40">
        <f>IFERROR(INDEX(hayday_info!$E$2:$E$349,MATCH($A212,hayday_info!$A$2:$A$349,0)),"not found")</f>
        <v/>
      </c>
      <c r="M212" s="32">
        <f>IF(L212="not found","not in hayday.info",IF(F212="","no Fandom value",IF(L212=F212,"match","differs")))</f>
        <v/>
      </c>
      <c r="N212" s="32">
        <f>IFERROR(INDEX(hayday_info!$F$2:$F$349,MATCH($A212,hayday_info!$A$2:$A$349,0)),"not found")</f>
        <v/>
      </c>
      <c r="O212" s="32">
        <f>IF(N212="not found","not in hayday.info",IF(G212="","no Fandom value",IF(N212=G212,"match","differs")))</f>
        <v/>
      </c>
      <c r="P212" s="32">
        <f>IF(J212="not found","not in hayday.info",IF(C212="","no Fandom value",IF(IFERROR(INDEX(hayday_info!$C$2:$C$349,MATCH($A212,hayday_info!$A$2:$A$349,0)),"not found")=C212,"match","differs")))</f>
        <v/>
      </c>
    </row>
    <row r="213" ht="15" customHeight="1" s="29">
      <c r="A213" s="32" t="inlineStr">
        <is>
          <t>Breakfast Bowl</t>
        </is>
      </c>
      <c r="B213" s="32" t="inlineStr">
        <is>
          <t>Yogurt Maker</t>
        </is>
      </c>
      <c r="C213" s="33" t="n">
        <v>119</v>
      </c>
      <c r="D213" s="33" t="n"/>
      <c r="E213" s="33" t="n">
        <v>42</v>
      </c>
      <c r="F213" s="35" t="n">
        <v>604</v>
      </c>
      <c r="G213" s="33" t="n">
        <v>72</v>
      </c>
      <c r="H213" s="32" t="inlineStr">
        <is>
          <t>Page table garbled: normal time left blank, mastered time inferred by the page reader</t>
        </is>
      </c>
      <c r="I213" s="32" t="inlineStr">
        <is>
          <t>Hay Day Wiki (Fandom) https://hayday.fandom.com/wiki/Yogurt_Maker</t>
        </is>
      </c>
      <c r="J213" s="32">
        <f>IFERROR(INDEX(hayday_info!$D$2:$D$349,MATCH($A213,hayday_info!$A$2:$A$349,0)),"not found")</f>
        <v/>
      </c>
      <c r="K213" s="32">
        <f>IF(J213="not found","not in hayday.info",IF(J213=E213,"matches mastered",IF(J213=D213,"matches normal","differs")))</f>
        <v/>
      </c>
      <c r="L213" s="32">
        <f>IFERROR(INDEX(hayday_info!$E$2:$E$349,MATCH($A213,hayday_info!$A$2:$A$349,0)),"not found")</f>
        <v/>
      </c>
      <c r="M213" s="32">
        <f>IF(L213="not found","not in hayday.info",IF(F213="","no Fandom value",IF(L213=F213,"match","differs")))</f>
        <v/>
      </c>
      <c r="N213" s="32">
        <f>IFERROR(INDEX(hayday_info!$F$2:$F$349,MATCH($A213,hayday_info!$A$2:$A$349,0)),"not found")</f>
        <v/>
      </c>
      <c r="O213" s="32">
        <f>IF(N213="not found","not in hayday.info",IF(G213="","no Fandom value",IF(N213=G213,"match","differs")))</f>
        <v/>
      </c>
      <c r="P213" s="32">
        <f>IF(J213="not found","not in hayday.info",IF(C213="","no Fandom value",IF(IFERROR(INDEX(hayday_info!$C$2:$C$349,MATCH($A213,hayday_info!$A$2:$A$349,0)),"not found")=C213,"match","differs")))</f>
        <v/>
      </c>
    </row>
    <row r="214" ht="15" customHeight="1" s="29">
      <c r="A214" s="32" t="inlineStr">
        <is>
          <t>Chickpea Stew</t>
        </is>
      </c>
      <c r="B214" s="32" t="inlineStr">
        <is>
          <t>Stew Pot</t>
        </is>
      </c>
      <c r="C214" s="33" t="n">
        <v>106</v>
      </c>
      <c r="D214" s="33" t="n">
        <v>90</v>
      </c>
      <c r="E214" s="33" t="n">
        <v>76</v>
      </c>
      <c r="F214" s="35" t="n">
        <v>284</v>
      </c>
      <c r="G214" s="33" t="n">
        <v>34</v>
      </c>
      <c r="H214" s="32" t="n"/>
      <c r="I214" s="32" t="inlineStr">
        <is>
          <t>Hay Day Wiki (Fandom) https://hayday.fandom.com/wiki/Stew_Pot</t>
        </is>
      </c>
      <c r="J214" s="39">
        <f>IFERROR(INDEX(hayday_info!$D$2:$D$349,MATCH($A214,hayday_info!$A$2:$A$349,0)),"not found")</f>
        <v/>
      </c>
      <c r="K214" s="32">
        <f>IF(J214="not found","not in hayday.info",IF(J214=E214,"matches mastered",IF(J214=D214,"matches normal","differs")))</f>
        <v/>
      </c>
      <c r="L214" s="40">
        <f>IFERROR(INDEX(hayday_info!$E$2:$E$349,MATCH($A214,hayday_info!$A$2:$A$349,0)),"not found")</f>
        <v/>
      </c>
      <c r="M214" s="32">
        <f>IF(L214="not found","not in hayday.info",IF(F214="","no Fandom value",IF(L214=F214,"match","differs")))</f>
        <v/>
      </c>
      <c r="N214" s="32">
        <f>IFERROR(INDEX(hayday_info!$F$2:$F$349,MATCH($A214,hayday_info!$A$2:$A$349,0)),"not found")</f>
        <v/>
      </c>
      <c r="O214" s="32">
        <f>IF(N214="not found","not in hayday.info",IF(G214="","no Fandom value",IF(N214=G214,"match","differs")))</f>
        <v/>
      </c>
      <c r="P214" s="32">
        <f>IF(J214="not found","not in hayday.info",IF(C214="","no Fandom value",IF(IFERROR(INDEX(hayday_info!$C$2:$C$349,MATCH($A214,hayday_info!$A$2:$A$349,0)),"not found")=C214,"match","differs")))</f>
        <v/>
      </c>
    </row>
    <row r="215" ht="15" customHeight="1" s="29">
      <c r="A215" s="32" t="inlineStr">
        <is>
          <t>Chili Stew</t>
        </is>
      </c>
      <c r="B215" s="32" t="inlineStr">
        <is>
          <t>Stew Pot</t>
        </is>
      </c>
      <c r="C215" s="33" t="n">
        <v>109</v>
      </c>
      <c r="D215" s="33" t="n">
        <v>120</v>
      </c>
      <c r="E215" s="33" t="n">
        <v>102</v>
      </c>
      <c r="F215" s="35" t="n">
        <v>370</v>
      </c>
      <c r="G215" s="33" t="n">
        <v>44</v>
      </c>
      <c r="H215" s="32" t="n"/>
      <c r="I215" s="32" t="inlineStr">
        <is>
          <t>Hay Day Wiki (Fandom) https://hayday.fandom.com/wiki/Stew_Pot</t>
        </is>
      </c>
      <c r="J215" s="39">
        <f>IFERROR(INDEX(hayday_info!$D$2:$D$349,MATCH($A215,hayday_info!$A$2:$A$349,0)),"not found")</f>
        <v/>
      </c>
      <c r="K215" s="32">
        <f>IF(J215="not found","not in hayday.info",IF(J215=E215,"matches mastered",IF(J215=D215,"matches normal","differs")))</f>
        <v/>
      </c>
      <c r="L215" s="40">
        <f>IFERROR(INDEX(hayday_info!$E$2:$E$349,MATCH($A215,hayday_info!$A$2:$A$349,0)),"not found")</f>
        <v/>
      </c>
      <c r="M215" s="32">
        <f>IF(L215="not found","not in hayday.info",IF(F215="","no Fandom value",IF(L215=F215,"match","differs")))</f>
        <v/>
      </c>
      <c r="N215" s="32">
        <f>IFERROR(INDEX(hayday_info!$F$2:$F$349,MATCH($A215,hayday_info!$A$2:$A$349,0)),"not found")</f>
        <v/>
      </c>
      <c r="O215" s="32">
        <f>IF(N215="not found","not in hayday.info",IF(G215="","no Fandom value",IF(N215=G215,"match","differs")))</f>
        <v/>
      </c>
      <c r="P215" s="32">
        <f>IF(J215="not found","not in hayday.info",IF(C215="","no Fandom value",IF(IFERROR(INDEX(hayday_info!$C$2:$C$349,MATCH($A215,hayday_info!$A$2:$A$349,0)),"not found")=C215,"match","differs")))</f>
        <v/>
      </c>
    </row>
    <row r="216" ht="15" customHeight="1" s="29">
      <c r="A216" s="32" t="inlineStr">
        <is>
          <t>Winter Stew</t>
        </is>
      </c>
      <c r="B216" s="32" t="inlineStr">
        <is>
          <t>Stew Pot</t>
        </is>
      </c>
      <c r="C216" s="33" t="n">
        <v>112</v>
      </c>
      <c r="D216" s="33" t="n">
        <v>140</v>
      </c>
      <c r="E216" s="33" t="n">
        <v>119</v>
      </c>
      <c r="F216" s="35" t="n">
        <v>295</v>
      </c>
      <c r="G216" s="33" t="n">
        <v>35</v>
      </c>
      <c r="H216" s="32" t="n"/>
      <c r="I216" s="32" t="inlineStr">
        <is>
          <t>Hay Day Wiki (Fandom) https://hayday.fandom.com/wiki/Stew_Pot</t>
        </is>
      </c>
      <c r="J216" s="39">
        <f>IFERROR(INDEX(hayday_info!$D$2:$D$349,MATCH($A216,hayday_info!$A$2:$A$349,0)),"not found")</f>
        <v/>
      </c>
      <c r="K216" s="32">
        <f>IF(J216="not found","not in hayday.info",IF(J216=E216,"matches mastered",IF(J216=D216,"matches normal","differs")))</f>
        <v/>
      </c>
      <c r="L216" s="40">
        <f>IFERROR(INDEX(hayday_info!$E$2:$E$349,MATCH($A216,hayday_info!$A$2:$A$349,0)),"not found")</f>
        <v/>
      </c>
      <c r="M216" s="32">
        <f>IF(L216="not found","not in hayday.info",IF(F216="","no Fandom value",IF(L216=F216,"match","differs")))</f>
        <v/>
      </c>
      <c r="N216" s="32">
        <f>IFERROR(INDEX(hayday_info!$F$2:$F$349,MATCH($A216,hayday_info!$A$2:$A$349,0)),"not found")</f>
        <v/>
      </c>
      <c r="O216" s="32">
        <f>IF(N216="not found","not in hayday.info",IF(G216="","no Fandom value",IF(N216=G216,"match","differs")))</f>
        <v/>
      </c>
      <c r="P216" s="32">
        <f>IF(J216="not found","not in hayday.info",IF(C216="","no Fandom value",IF(IFERROR(INDEX(hayday_info!$C$2:$C$349,MATCH($A216,hayday_info!$A$2:$A$349,0)),"not found")=C216,"match","differs")))</f>
        <v/>
      </c>
    </row>
    <row r="217" ht="15" customHeight="1" s="29">
      <c r="A217" s="32" t="inlineStr">
        <is>
          <t>Tea Pot</t>
        </is>
      </c>
      <c r="B217" s="32" t="inlineStr">
        <is>
          <t>Pottery Studio</t>
        </is>
      </c>
      <c r="C217" s="33" t="n">
        <v>94</v>
      </c>
      <c r="D217" s="33" t="n">
        <v>240</v>
      </c>
      <c r="E217" s="33" t="n">
        <v>204</v>
      </c>
      <c r="F217" s="35" t="n">
        <v>219</v>
      </c>
      <c r="G217" s="33" t="n">
        <v>26</v>
      </c>
      <c r="H217" s="32" t="n"/>
      <c r="I217" s="32" t="inlineStr">
        <is>
          <t>Hay Day Wiki (Fandom) https://hayday.fandom.com/wiki/Pottery_Studio</t>
        </is>
      </c>
      <c r="J217" s="39">
        <f>IFERROR(INDEX(hayday_info!$D$2:$D$349,MATCH($A217,hayday_info!$A$2:$A$349,0)),"not found")</f>
        <v/>
      </c>
      <c r="K217" s="32">
        <f>IF(J217="not found","not in hayday.info",IF(J217=E217,"matches mastered",IF(J217=D217,"matches normal","differs")))</f>
        <v/>
      </c>
      <c r="L217" s="40">
        <f>IFERROR(INDEX(hayday_info!$E$2:$E$349,MATCH($A217,hayday_info!$A$2:$A$349,0)),"not found")</f>
        <v/>
      </c>
      <c r="M217" s="32">
        <f>IF(L217="not found","not in hayday.info",IF(F217="","no Fandom value",IF(L217=F217,"match","differs")))</f>
        <v/>
      </c>
      <c r="N217" s="32">
        <f>IFERROR(INDEX(hayday_info!$F$2:$F$349,MATCH($A217,hayday_info!$A$2:$A$349,0)),"not found")</f>
        <v/>
      </c>
      <c r="O217" s="32">
        <f>IF(N217="not found","not in hayday.info",IF(G217="","no Fandom value",IF(N217=G217,"match","differs")))</f>
        <v/>
      </c>
      <c r="P217" s="32">
        <f>IF(J217="not found","not in hayday.info",IF(C217="","no Fandom value",IF(IFERROR(INDEX(hayday_info!$C$2:$C$349,MATCH($A217,hayday_info!$A$2:$A$349,0)),"not found")=C217,"match","differs")))</f>
        <v/>
      </c>
    </row>
    <row r="218" ht="15" customHeight="1" s="29">
      <c r="A218" s="32" t="inlineStr">
        <is>
          <t>Potted Plant</t>
        </is>
      </c>
      <c r="B218" s="32" t="inlineStr">
        <is>
          <t>Pottery Studio</t>
        </is>
      </c>
      <c r="C218" s="33" t="n">
        <v>96</v>
      </c>
      <c r="D218" s="33" t="n">
        <v>220</v>
      </c>
      <c r="E218" s="33" t="n">
        <v>187</v>
      </c>
      <c r="F218" s="35" t="n">
        <v>151</v>
      </c>
      <c r="G218" s="33" t="n">
        <v>26</v>
      </c>
      <c r="H218" s="32" t="n"/>
      <c r="I218" s="32" t="inlineStr">
        <is>
          <t>Hay Day Wiki (Fandom) https://hayday.fandom.com/wiki/Pottery_Studio</t>
        </is>
      </c>
      <c r="J218" s="39">
        <f>IFERROR(INDEX(hayday_info!$D$2:$D$349,MATCH($A218,hayday_info!$A$2:$A$349,0)),"not found")</f>
        <v/>
      </c>
      <c r="K218" s="32">
        <f>IF(J218="not found","not in hayday.info",IF(J218=E218,"matches mastered",IF(J218=D218,"matches normal","differs")))</f>
        <v/>
      </c>
      <c r="L218" s="40">
        <f>IFERROR(INDEX(hayday_info!$E$2:$E$349,MATCH($A218,hayday_info!$A$2:$A$349,0)),"not found")</f>
        <v/>
      </c>
      <c r="M218" s="32">
        <f>IF(L218="not found","not in hayday.info",IF(F218="","no Fandom value",IF(L218=F218,"match","differs")))</f>
        <v/>
      </c>
      <c r="N218" s="32">
        <f>IFERROR(INDEX(hayday_info!$F$2:$F$349,MATCH($A218,hayday_info!$A$2:$A$349,0)),"not found")</f>
        <v/>
      </c>
      <c r="O218" s="32">
        <f>IF(N218="not found","not in hayday.info",IF(G218="","no Fandom value",IF(N218=G218,"match","differs")))</f>
        <v/>
      </c>
      <c r="P218" s="32">
        <f>IF(J218="not found","not in hayday.info",IF(C218="","no Fandom value",IF(IFERROR(INDEX(hayday_info!$C$2:$C$349,MATCH($A218,hayday_info!$A$2:$A$349,0)),"not found")=C218,"match","differs")))</f>
        <v/>
      </c>
    </row>
    <row r="219" ht="15" customHeight="1" s="29">
      <c r="A219" s="32" t="inlineStr">
        <is>
          <t>Clay Mug</t>
        </is>
      </c>
      <c r="B219" s="32" t="inlineStr">
        <is>
          <t>Pottery Studio</t>
        </is>
      </c>
      <c r="C219" s="33" t="n">
        <v>99</v>
      </c>
      <c r="D219" s="33" t="n">
        <v>200</v>
      </c>
      <c r="E219" s="33" t="n">
        <v>170</v>
      </c>
      <c r="F219" s="35" t="n">
        <v>212</v>
      </c>
      <c r="G219" s="33" t="n">
        <v>25</v>
      </c>
      <c r="H219" s="32" t="n"/>
      <c r="I219" s="32" t="inlineStr">
        <is>
          <t>Hay Day Wiki (Fandom) https://hayday.fandom.com/wiki/Pottery_Studio</t>
        </is>
      </c>
      <c r="J219" s="39">
        <f>IFERROR(INDEX(hayday_info!$D$2:$D$349,MATCH($A219,hayday_info!$A$2:$A$349,0)),"not found")</f>
        <v/>
      </c>
      <c r="K219" s="32">
        <f>IF(J219="not found","not in hayday.info",IF(J219=E219,"matches mastered",IF(J219=D219,"matches normal","differs")))</f>
        <v/>
      </c>
      <c r="L219" s="40">
        <f>IFERROR(INDEX(hayday_info!$E$2:$E$349,MATCH($A219,hayday_info!$A$2:$A$349,0)),"not found")</f>
        <v/>
      </c>
      <c r="M219" s="32">
        <f>IF(L219="not found","not in hayday.info",IF(F219="","no Fandom value",IF(L219=F219,"match","differs")))</f>
        <v/>
      </c>
      <c r="N219" s="32">
        <f>IFERROR(INDEX(hayday_info!$F$2:$F$349,MATCH($A219,hayday_info!$A$2:$A$349,0)),"not found")</f>
        <v/>
      </c>
      <c r="O219" s="32">
        <f>IF(N219="not found","not in hayday.info",IF(G219="","no Fandom value",IF(N219=G219,"match","differs")))</f>
        <v/>
      </c>
      <c r="P219" s="32">
        <f>IF(J219="not found","not in hayday.info",IF(C219="","no Fandom value",IF(IFERROR(INDEX(hayday_info!$C$2:$C$349,MATCH($A219,hayday_info!$A$2:$A$349,0)),"not found")=C219,"match","differs")))</f>
        <v/>
      </c>
    </row>
    <row r="220" ht="15" customHeight="1" s="29">
      <c r="A220" s="32" t="inlineStr">
        <is>
          <t>Honey</t>
        </is>
      </c>
      <c r="B220" s="32" t="inlineStr">
        <is>
          <t>Honey Extractor</t>
        </is>
      </c>
      <c r="C220" s="33" t="n">
        <v>39</v>
      </c>
      <c r="D220" s="33" t="n">
        <v>20</v>
      </c>
      <c r="E220" s="33" t="n">
        <v>17</v>
      </c>
      <c r="F220" s="35" t="n">
        <v>154</v>
      </c>
      <c r="G220" s="33" t="n">
        <v>19</v>
      </c>
      <c r="H220" s="32" t="n"/>
      <c r="I220" s="32" t="inlineStr">
        <is>
          <t>Hay Day Wiki (Fandom) https://hayday.fandom.com/wiki/Honey_Extractor</t>
        </is>
      </c>
      <c r="J220" s="39">
        <f>IFERROR(INDEX(hayday_info!$D$2:$D$349,MATCH($A220,hayday_info!$A$2:$A$349,0)),"not found")</f>
        <v/>
      </c>
      <c r="K220" s="32">
        <f>IF(J220="not found","not in hayday.info",IF(J220=E220,"matches mastered",IF(J220=D220,"matches normal","differs")))</f>
        <v/>
      </c>
      <c r="L220" s="40">
        <f>IFERROR(INDEX(hayday_info!$E$2:$E$349,MATCH($A220,hayday_info!$A$2:$A$349,0)),"not found")</f>
        <v/>
      </c>
      <c r="M220" s="32">
        <f>IF(L220="not found","not in hayday.info",IF(F220="","no Fandom value",IF(L220=F220,"match","differs")))</f>
        <v/>
      </c>
      <c r="N220" s="32">
        <f>IFERROR(INDEX(hayday_info!$F$2:$F$349,MATCH($A220,hayday_info!$A$2:$A$349,0)),"not found")</f>
        <v/>
      </c>
      <c r="O220" s="32">
        <f>IF(N220="not found","not in hayday.info",IF(G220="","no Fandom value",IF(N220=G220,"match","differs")))</f>
        <v/>
      </c>
      <c r="P220" s="32">
        <f>IF(J220="not found","not in hayday.info",IF(C220="","no Fandom value",IF(IFERROR(INDEX(hayday_info!$C$2:$C$349,MATCH($A220,hayday_info!$A$2:$A$349,0)),"not found")=C220,"match","differs")))</f>
        <v/>
      </c>
    </row>
    <row r="221" ht="15" customHeight="1" s="29">
      <c r="A221" s="32" t="inlineStr">
        <is>
          <t>Beeswax</t>
        </is>
      </c>
      <c r="B221" s="32" t="inlineStr">
        <is>
          <t>Honey Extractor</t>
        </is>
      </c>
      <c r="C221" s="33" t="n">
        <v>48</v>
      </c>
      <c r="D221" s="33" t="n">
        <v>45</v>
      </c>
      <c r="E221" s="33" t="n">
        <v>38</v>
      </c>
      <c r="F221" s="35" t="n">
        <v>234</v>
      </c>
      <c r="G221" s="33" t="n">
        <v>28</v>
      </c>
      <c r="H221" s="32" t="n"/>
      <c r="I221" s="32" t="inlineStr">
        <is>
          <t>Hay Day Wiki (Fandom) https://hayday.fandom.com/wiki/Honey_Extractor</t>
        </is>
      </c>
      <c r="J221" s="39">
        <f>IFERROR(INDEX(hayday_info!$D$2:$D$349,MATCH($A221,hayday_info!$A$2:$A$349,0)),"not found")</f>
        <v/>
      </c>
      <c r="K221" s="32">
        <f>IF(J221="not found","not in hayday.info",IF(J221=E221,"matches mastered",IF(J221=D221,"matches normal","differs")))</f>
        <v/>
      </c>
      <c r="L221" s="40">
        <f>IFERROR(INDEX(hayday_info!$E$2:$E$349,MATCH($A221,hayday_info!$A$2:$A$349,0)),"not found")</f>
        <v/>
      </c>
      <c r="M221" s="32">
        <f>IF(L221="not found","not in hayday.info",IF(F221="","no Fandom value",IF(L221=F221,"match","differs")))</f>
        <v/>
      </c>
      <c r="N221" s="32">
        <f>IFERROR(INDEX(hayday_info!$F$2:$F$349,MATCH($A221,hayday_info!$A$2:$A$349,0)),"not found")</f>
        <v/>
      </c>
      <c r="O221" s="32">
        <f>IF(N221="not found","not in hayday.info",IF(G221="","no Fandom value",IF(N221=G221,"match","differs")))</f>
        <v/>
      </c>
      <c r="P221" s="32">
        <f>IF(J221="not found","not in hayday.info",IF(C221="","no Fandom value",IF(IFERROR(INDEX(hayday_info!$C$2:$C$349,MATCH($A221,hayday_info!$A$2:$A$349,0)),"not found")=C221,"match","differs")))</f>
        <v/>
      </c>
    </row>
    <row r="222" ht="15" customHeight="1" s="29">
      <c r="A222" s="32" t="inlineStr">
        <is>
          <t>Duck Feather</t>
        </is>
      </c>
      <c r="B222" s="32" t="inlineStr">
        <is>
          <t>Duck Salon</t>
        </is>
      </c>
      <c r="C222" s="33" t="n">
        <v>50</v>
      </c>
      <c r="D222" s="33" t="n">
        <v>180</v>
      </c>
      <c r="E222" s="33" t="n"/>
      <c r="F222" s="35" t="n"/>
      <c r="G222" s="33" t="n"/>
      <c r="H222" s="32" t="inlineStr">
        <is>
          <t>Cannot be mastered; price and XP not stated on the page</t>
        </is>
      </c>
      <c r="I222" s="32" t="inlineStr">
        <is>
          <t>Hay Day Wiki (Fandom) https://hayday.fandom.com/wiki/Duck_Salon</t>
        </is>
      </c>
      <c r="J222" s="39">
        <f>IFERROR(INDEX(hayday_info!$D$2:$D$349,MATCH($A222,hayday_info!$A$2:$A$349,0)),"not found")</f>
        <v/>
      </c>
      <c r="K222" s="32">
        <f>IF(J222="not found","not in hayday.info",IF(J222=E222,"matches mastered",IF(J222=D222,"matches normal","differs")))</f>
        <v/>
      </c>
      <c r="L222" s="40">
        <f>IFERROR(INDEX(hayday_info!$E$2:$E$349,MATCH($A222,hayday_info!$A$2:$A$349,0)),"not found")</f>
        <v/>
      </c>
      <c r="M222" s="32">
        <f>IF(L222="not found","not in hayday.info",IF(F222="","no Fandom value",IF(L222=F222,"match","differs")))</f>
        <v/>
      </c>
      <c r="N222" s="32">
        <f>IFERROR(INDEX(hayday_info!$F$2:$F$349,MATCH($A222,hayday_info!$A$2:$A$349,0)),"not found")</f>
        <v/>
      </c>
      <c r="O222" s="32">
        <f>IF(N222="not found","not in hayday.info",IF(G222="","no Fandom value",IF(N222=G222,"match","differs")))</f>
        <v/>
      </c>
      <c r="P222" s="32">
        <f>IF(J222="not found","not in hayday.info",IF(C222="","no Fandom value",IF(IFERROR(INDEX(hayday_info!$C$2:$C$349,MATCH($A222,hayday_info!$A$2:$A$349,0)),"not found")=C222,"match","differs")))</f>
        <v/>
      </c>
    </row>
    <row r="223" ht="15" customHeight="1" s="29">
      <c r="A223" s="32" t="inlineStr">
        <is>
          <t>Lobster tail</t>
        </is>
      </c>
      <c r="B223" s="32" t="inlineStr">
        <is>
          <t>Lobster Pool</t>
        </is>
      </c>
      <c r="C223" s="33" t="n">
        <v>44</v>
      </c>
      <c r="D223" s="33" t="n">
        <v>360</v>
      </c>
      <c r="E223" s="33" t="n"/>
      <c r="F223" s="35" t="n">
        <v>201</v>
      </c>
      <c r="G223" s="33" t="n">
        <v>24</v>
      </c>
      <c r="H223" s="32" t="inlineStr">
        <is>
          <t>Cannot be mastered</t>
        </is>
      </c>
      <c r="I223" s="32" t="inlineStr">
        <is>
          <t>Hay Day Wiki (Fandom) https://hayday.fandom.com/wiki/Lobster_Pool</t>
        </is>
      </c>
      <c r="J223" s="39">
        <f>IFERROR(INDEX(hayday_info!$D$2:$D$349,MATCH($A223,hayday_info!$A$2:$A$349,0)),"not found")</f>
        <v/>
      </c>
      <c r="K223" s="32">
        <f>IF(J223="not found","not in hayday.info",IF(J223=E223,"matches mastered",IF(J223=D223,"matches normal","differs")))</f>
        <v/>
      </c>
      <c r="L223" s="40">
        <f>IFERROR(INDEX(hayday_info!$E$2:$E$349,MATCH($A223,hayday_info!$A$2:$A$349,0)),"not found")</f>
        <v/>
      </c>
      <c r="M223" s="32">
        <f>IF(L223="not found","not in hayday.info",IF(F223="","no Fandom value",IF(L223=F223,"match","differs")))</f>
        <v/>
      </c>
      <c r="N223" s="32">
        <f>IFERROR(INDEX(hayday_info!$F$2:$F$349,MATCH($A223,hayday_info!$A$2:$A$349,0)),"not found")</f>
        <v/>
      </c>
      <c r="O223" s="32">
        <f>IF(N223="not found","not in hayday.info",IF(G223="","no Fandom value",IF(N223=G223,"match","differs")))</f>
        <v/>
      </c>
      <c r="P223" s="32">
        <f>IF(J223="not found","not in hayday.info",IF(C223="","no Fandom value",IF(IFERROR(INDEX(hayday_info!$C$2:$C$349,MATCH($A223,hayday_info!$A$2:$A$349,0)),"not found")=C223,"match","differs")))</f>
        <v/>
      </c>
    </row>
    <row r="224" ht="15" customHeight="1" s="29">
      <c r="A224" s="32" t="inlineStr">
        <is>
          <t>Apple</t>
        </is>
      </c>
      <c r="B224" s="32" t="inlineStr">
        <is>
          <t>Trees &amp; Bushes</t>
        </is>
      </c>
      <c r="C224" s="33" t="n">
        <v>15</v>
      </c>
      <c r="D224" s="33" t="n">
        <v>960</v>
      </c>
      <c r="E224" s="33" t="n"/>
      <c r="F224" s="35" t="n"/>
      <c r="G224" s="33" t="n"/>
      <c r="H224" s="32" t="inlineStr">
        <is>
          <t>Page lists 'Apple tree' with unlabeled value 160 (likely tree purchase cost, not sell price)</t>
        </is>
      </c>
      <c r="I224" s="32" t="inlineStr">
        <is>
          <t>Hay Day Wiki (Fandom) https://hayday.fandom.com/wiki/Trees_and_Bushes</t>
        </is>
      </c>
      <c r="J224" s="39">
        <f>IFERROR(INDEX(hayday_info!$D$2:$D$349,MATCH($A224,hayday_info!$A$2:$A$349,0)),"not found")</f>
        <v/>
      </c>
      <c r="K224" s="32">
        <f>IF(J224="not found","not in hayday.info",IF(J224=E224,"matches mastered",IF(J224=D224,"matches normal","differs")))</f>
        <v/>
      </c>
      <c r="L224" s="40">
        <f>IFERROR(INDEX(hayday_info!$E$2:$E$349,MATCH($A224,hayday_info!$A$2:$A$349,0)),"not found")</f>
        <v/>
      </c>
      <c r="M224" s="32">
        <f>IF(L224="not found","not in hayday.info",IF(F224="","no Fandom value",IF(L224=F224,"match","differs")))</f>
        <v/>
      </c>
      <c r="N224" s="32">
        <f>IFERROR(INDEX(hayday_info!$F$2:$F$349,MATCH($A224,hayday_info!$A$2:$A$349,0)),"not found")</f>
        <v/>
      </c>
      <c r="O224" s="32">
        <f>IF(N224="not found","not in hayday.info",IF(G224="","no Fandom value",IF(N224=G224,"match","differs")))</f>
        <v/>
      </c>
      <c r="P224" s="32">
        <f>IF(J224="not found","not in hayday.info",IF(C224="","no Fandom value",IF(IFERROR(INDEX(hayday_info!$C$2:$C$349,MATCH($A224,hayday_info!$A$2:$A$349,0)),"not found")=C224,"match","differs")))</f>
        <v/>
      </c>
    </row>
    <row r="225" ht="15" customHeight="1" s="29">
      <c r="A225" s="32" t="inlineStr">
        <is>
          <t>Raspberry</t>
        </is>
      </c>
      <c r="B225" s="32" t="inlineStr">
        <is>
          <t>Trees &amp; Bushes</t>
        </is>
      </c>
      <c r="C225" s="33" t="n">
        <v>19</v>
      </c>
      <c r="D225" s="33" t="n">
        <v>1080</v>
      </c>
      <c r="E225" s="33" t="n"/>
      <c r="F225" s="35" t="n"/>
      <c r="G225" s="33" t="n"/>
      <c r="H225" s="32" t="inlineStr">
        <is>
          <t>Page lists 'Raspberry bush' with unlabeled value 220 (likely purchase cost)</t>
        </is>
      </c>
      <c r="I225" s="32" t="inlineStr">
        <is>
          <t>Hay Day Wiki (Fandom) https://hayday.fandom.com/wiki/Trees_and_Bushes</t>
        </is>
      </c>
      <c r="J225" s="39">
        <f>IFERROR(INDEX(hayday_info!$D$2:$D$349,MATCH($A225,hayday_info!$A$2:$A$349,0)),"not found")</f>
        <v/>
      </c>
      <c r="K225" s="32">
        <f>IF(J225="not found","not in hayday.info",IF(J225=E225,"matches mastered",IF(J225=D225,"matches normal","differs")))</f>
        <v/>
      </c>
      <c r="L225" s="40">
        <f>IFERROR(INDEX(hayday_info!$E$2:$E$349,MATCH($A225,hayday_info!$A$2:$A$349,0)),"not found")</f>
        <v/>
      </c>
      <c r="M225" s="32">
        <f>IF(L225="not found","not in hayday.info",IF(F225="","no Fandom value",IF(L225=F225,"match","differs")))</f>
        <v/>
      </c>
      <c r="N225" s="32">
        <f>IFERROR(INDEX(hayday_info!$F$2:$F$349,MATCH($A225,hayday_info!$A$2:$A$349,0)),"not found")</f>
        <v/>
      </c>
      <c r="O225" s="32">
        <f>IF(N225="not found","not in hayday.info",IF(G225="","no Fandom value",IF(N225=G225,"match","differs")))</f>
        <v/>
      </c>
      <c r="P225" s="32">
        <f>IF(J225="not found","not in hayday.info",IF(C225="","no Fandom value",IF(IFERROR(INDEX(hayday_info!$C$2:$C$349,MATCH($A225,hayday_info!$A$2:$A$349,0)),"not found")=C225,"match","differs")))</f>
        <v/>
      </c>
    </row>
    <row r="226" ht="15" customHeight="1" s="29">
      <c r="A226" s="32" t="inlineStr">
        <is>
          <t>Cherry</t>
        </is>
      </c>
      <c r="B226" s="32" t="inlineStr">
        <is>
          <t>Trees &amp; Bushes</t>
        </is>
      </c>
      <c r="C226" s="33" t="n">
        <v>22</v>
      </c>
      <c r="D226" s="33" t="n">
        <v>1620</v>
      </c>
      <c r="E226" s="33" t="n"/>
      <c r="F226" s="35" t="n"/>
      <c r="G226" s="33" t="n"/>
      <c r="H226" s="32" t="inlineStr">
        <is>
          <t>Page lists 'Cherry tree' with unlabeled value 410 (likely purchase cost)</t>
        </is>
      </c>
      <c r="I226" s="32" t="inlineStr">
        <is>
          <t>Hay Day Wiki (Fandom) https://hayday.fandom.com/wiki/Trees_and_Bushes</t>
        </is>
      </c>
      <c r="J226" s="39">
        <f>IFERROR(INDEX(hayday_info!$D$2:$D$349,MATCH($A226,hayday_info!$A$2:$A$349,0)),"not found")</f>
        <v/>
      </c>
      <c r="K226" s="32">
        <f>IF(J226="not found","not in hayday.info",IF(J226=E226,"matches mastered",IF(J226=D226,"matches normal","differs")))</f>
        <v/>
      </c>
      <c r="L226" s="40">
        <f>IFERROR(INDEX(hayday_info!$E$2:$E$349,MATCH($A226,hayday_info!$A$2:$A$349,0)),"not found")</f>
        <v/>
      </c>
      <c r="M226" s="32">
        <f>IF(L226="not found","not in hayday.info",IF(F226="","no Fandom value",IF(L226=F226,"match","differs")))</f>
        <v/>
      </c>
      <c r="N226" s="32">
        <f>IFERROR(INDEX(hayday_info!$F$2:$F$349,MATCH($A226,hayday_info!$A$2:$A$349,0)),"not found")</f>
        <v/>
      </c>
      <c r="O226" s="32">
        <f>IF(N226="not found","not in hayday.info",IF(G226="","no Fandom value",IF(N226=G226,"match","differs")))</f>
        <v/>
      </c>
      <c r="P226" s="32">
        <f>IF(J226="not found","not in hayday.info",IF(C226="","no Fandom value",IF(IFERROR(INDEX(hayday_info!$C$2:$C$349,MATCH($A226,hayday_info!$A$2:$A$349,0)),"not found")=C226,"match","differs")))</f>
        <v/>
      </c>
    </row>
    <row r="227" ht="15" customHeight="1" s="29">
      <c r="A227" s="32" t="inlineStr">
        <is>
          <t>Blackberry</t>
        </is>
      </c>
      <c r="B227" s="32" t="inlineStr">
        <is>
          <t>Trees &amp; Bushes</t>
        </is>
      </c>
      <c r="C227" s="33" t="n">
        <v>26</v>
      </c>
      <c r="D227" s="33" t="n">
        <v>1920</v>
      </c>
      <c r="E227" s="33" t="n"/>
      <c r="F227" s="35" t="n"/>
      <c r="G227" s="33" t="n"/>
      <c r="H227" s="32" t="inlineStr">
        <is>
          <t>Page lists 'Blackberry bush' with unlabeled value 530 (likely purchase cost)</t>
        </is>
      </c>
      <c r="I227" s="32" t="inlineStr">
        <is>
          <t>Hay Day Wiki (Fandom) https://hayday.fandom.com/wiki/Trees_and_Bushes</t>
        </is>
      </c>
      <c r="J227" s="39">
        <f>IFERROR(INDEX(hayday_info!$D$2:$D$349,MATCH($A227,hayday_info!$A$2:$A$349,0)),"not found")</f>
        <v/>
      </c>
      <c r="K227" s="32">
        <f>IF(J227="not found","not in hayday.info",IF(J227=E227,"matches mastered",IF(J227=D227,"matches normal","differs")))</f>
        <v/>
      </c>
      <c r="L227" s="40">
        <f>IFERROR(INDEX(hayday_info!$E$2:$E$349,MATCH($A227,hayday_info!$A$2:$A$349,0)),"not found")</f>
        <v/>
      </c>
      <c r="M227" s="32">
        <f>IF(L227="not found","not in hayday.info",IF(F227="","no Fandom value",IF(L227=F227,"match","differs")))</f>
        <v/>
      </c>
      <c r="N227" s="32">
        <f>IFERROR(INDEX(hayday_info!$F$2:$F$349,MATCH($A227,hayday_info!$A$2:$A$349,0)),"not found")</f>
        <v/>
      </c>
      <c r="O227" s="32">
        <f>IF(N227="not found","not in hayday.info",IF(G227="","no Fandom value",IF(N227=G227,"match","differs")))</f>
        <v/>
      </c>
      <c r="P227" s="32">
        <f>IF(J227="not found","not in hayday.info",IF(C227="","no Fandom value",IF(IFERROR(INDEX(hayday_info!$C$2:$C$349,MATCH($A227,hayday_info!$A$2:$A$349,0)),"not found")=C227,"match","differs")))</f>
        <v/>
      </c>
    </row>
    <row r="228" ht="15" customHeight="1" s="29">
      <c r="A228" s="32" t="inlineStr">
        <is>
          <t>Cacao</t>
        </is>
      </c>
      <c r="B228" s="32" t="inlineStr">
        <is>
          <t>Trees &amp; Bushes</t>
        </is>
      </c>
      <c r="C228" s="33" t="n">
        <v>36</v>
      </c>
      <c r="D228" s="33" t="n">
        <v>2100</v>
      </c>
      <c r="E228" s="33" t="n"/>
      <c r="F228" s="35" t="n"/>
      <c r="G228" s="33" t="n"/>
      <c r="H228" s="32" t="inlineStr">
        <is>
          <t>Page lists 'Cacao tree' with unlabeled value 550 (likely purchase cost)</t>
        </is>
      </c>
      <c r="I228" s="32" t="inlineStr">
        <is>
          <t>Hay Day Wiki (Fandom) https://hayday.fandom.com/wiki/Trees_and_Bushes</t>
        </is>
      </c>
      <c r="J228" s="39">
        <f>IFERROR(INDEX(hayday_info!$D$2:$D$349,MATCH($A228,hayday_info!$A$2:$A$349,0)),"not found")</f>
        <v/>
      </c>
      <c r="K228" s="32">
        <f>IF(J228="not found","not in hayday.info",IF(J228=E228,"matches mastered",IF(J228=D228,"matches normal","differs")))</f>
        <v/>
      </c>
      <c r="L228" s="40">
        <f>IFERROR(INDEX(hayday_info!$E$2:$E$349,MATCH($A228,hayday_info!$A$2:$A$349,0)),"not found")</f>
        <v/>
      </c>
      <c r="M228" s="32">
        <f>IF(L228="not found","not in hayday.info",IF(F228="","no Fandom value",IF(L228=F228,"match","differs")))</f>
        <v/>
      </c>
      <c r="N228" s="32">
        <f>IFERROR(INDEX(hayday_info!$F$2:$F$349,MATCH($A228,hayday_info!$A$2:$A$349,0)),"not found")</f>
        <v/>
      </c>
      <c r="O228" s="32">
        <f>IF(N228="not found","not in hayday.info",IF(G228="","no Fandom value",IF(N228=G228,"match","differs")))</f>
        <v/>
      </c>
      <c r="P228" s="32">
        <f>IF(J228="not found","not in hayday.info",IF(C228="","no Fandom value",IF(IFERROR(INDEX(hayday_info!$C$2:$C$349,MATCH($A228,hayday_info!$A$2:$A$349,0)),"not found")=C228,"match","differs")))</f>
        <v/>
      </c>
    </row>
    <row r="229" ht="15" customHeight="1" s="29">
      <c r="A229" s="32" t="inlineStr">
        <is>
          <t>Coffee</t>
        </is>
      </c>
      <c r="B229" s="32" t="inlineStr">
        <is>
          <t>Trees &amp; Bushes</t>
        </is>
      </c>
      <c r="C229" s="33" t="n">
        <v>42</v>
      </c>
      <c r="D229" s="33" t="n">
        <v>1440</v>
      </c>
      <c r="E229" s="33" t="n"/>
      <c r="F229" s="35" t="n"/>
      <c r="G229" s="33" t="n"/>
      <c r="H229" s="32" t="inlineStr">
        <is>
          <t>Page lists 'Coffee bush' with unlabeled value 375 (likely purchase cost)</t>
        </is>
      </c>
      <c r="I229" s="32" t="inlineStr">
        <is>
          <t>Hay Day Wiki (Fandom) https://hayday.fandom.com/wiki/Trees_and_Bushes</t>
        </is>
      </c>
      <c r="J229" s="39">
        <f>IFERROR(INDEX(hayday_info!$D$2:$D$349,MATCH($A229,hayday_info!$A$2:$A$349,0)),"not found")</f>
        <v/>
      </c>
      <c r="K229" s="32">
        <f>IF(J229="not found","not in hayday.info",IF(J229=E229,"matches mastered",IF(J229=D229,"matches normal","differs")))</f>
        <v/>
      </c>
      <c r="L229" s="40">
        <f>IFERROR(INDEX(hayday_info!$E$2:$E$349,MATCH($A229,hayday_info!$A$2:$A$349,0)),"not found")</f>
        <v/>
      </c>
      <c r="M229" s="32">
        <f>IF(L229="not found","not in hayday.info",IF(F229="","no Fandom value",IF(L229=F229,"match","differs")))</f>
        <v/>
      </c>
      <c r="N229" s="32">
        <f>IFERROR(INDEX(hayday_info!$F$2:$F$349,MATCH($A229,hayday_info!$A$2:$A$349,0)),"not found")</f>
        <v/>
      </c>
      <c r="O229" s="32">
        <f>IF(N229="not found","not in hayday.info",IF(G229="","no Fandom value",IF(N229=G229,"match","differs")))</f>
        <v/>
      </c>
      <c r="P229" s="32">
        <f>IF(J229="not found","not in hayday.info",IF(C229="","no Fandom value",IF(IFERROR(INDEX(hayday_info!$C$2:$C$349,MATCH($A229,hayday_info!$A$2:$A$349,0)),"not found")=C229,"match","differs")))</f>
        <v/>
      </c>
    </row>
    <row r="230" ht="15" customHeight="1" s="29">
      <c r="A230" s="32" t="inlineStr">
        <is>
          <t>Olive</t>
        </is>
      </c>
      <c r="B230" s="32" t="inlineStr">
        <is>
          <t>Trees &amp; Bushes</t>
        </is>
      </c>
      <c r="C230" s="33" t="n">
        <v>57</v>
      </c>
      <c r="D230" s="33" t="n">
        <v>1440</v>
      </c>
      <c r="E230" s="33" t="n"/>
      <c r="F230" s="35" t="n"/>
      <c r="G230" s="33" t="n"/>
      <c r="H230" s="32" t="inlineStr">
        <is>
          <t>Page lists 'Olive tree' with unlabeled value 620 (likely purchase cost)</t>
        </is>
      </c>
      <c r="I230" s="32" t="inlineStr">
        <is>
          <t>Hay Day Wiki (Fandom) https://hayday.fandom.com/wiki/Trees_and_Bushes</t>
        </is>
      </c>
      <c r="J230" s="39">
        <f>IFERROR(INDEX(hayday_info!$D$2:$D$349,MATCH($A230,hayday_info!$A$2:$A$349,0)),"not found")</f>
        <v/>
      </c>
      <c r="K230" s="32">
        <f>IF(J230="not found","not in hayday.info",IF(J230=E230,"matches mastered",IF(J230=D230,"matches normal","differs")))</f>
        <v/>
      </c>
      <c r="L230" s="40">
        <f>IFERROR(INDEX(hayday_info!$E$2:$E$349,MATCH($A230,hayday_info!$A$2:$A$349,0)),"not found")</f>
        <v/>
      </c>
      <c r="M230" s="32">
        <f>IF(L230="not found","not in hayday.info",IF(F230="","no Fandom value",IF(L230=F230,"match","differs")))</f>
        <v/>
      </c>
      <c r="N230" s="32">
        <f>IFERROR(INDEX(hayday_info!$F$2:$F$349,MATCH($A230,hayday_info!$A$2:$A$349,0)),"not found")</f>
        <v/>
      </c>
      <c r="O230" s="32">
        <f>IF(N230="not found","not in hayday.info",IF(G230="","no Fandom value",IF(N230=G230,"match","differs")))</f>
        <v/>
      </c>
      <c r="P230" s="32">
        <f>IF(J230="not found","not in hayday.info",IF(C230="","no Fandom value",IF(IFERROR(INDEX(hayday_info!$C$2:$C$349,MATCH($A230,hayday_info!$A$2:$A$349,0)),"not found")=C230,"match","differs")))</f>
        <v/>
      </c>
    </row>
    <row r="231" ht="15" customHeight="1" s="29">
      <c r="A231" s="32" t="inlineStr">
        <is>
          <t>Lemon</t>
        </is>
      </c>
      <c r="B231" s="32" t="inlineStr">
        <is>
          <t>Trees &amp; Bushes</t>
        </is>
      </c>
      <c r="C231" s="33" t="n">
        <v>66</v>
      </c>
      <c r="D231" s="33" t="n">
        <v>1740</v>
      </c>
      <c r="E231" s="33" t="n"/>
      <c r="F231" s="35" t="n"/>
      <c r="G231" s="33" t="n"/>
      <c r="H231" s="32" t="inlineStr">
        <is>
          <t>Page lists 'Lemon tree' with unlabeled value 670 (likely purchase cost)</t>
        </is>
      </c>
      <c r="I231" s="32" t="inlineStr">
        <is>
          <t>Hay Day Wiki (Fandom) https://hayday.fandom.com/wiki/Trees_and_Bushes</t>
        </is>
      </c>
      <c r="J231" s="39">
        <f>IFERROR(INDEX(hayday_info!$D$2:$D$349,MATCH($A231,hayday_info!$A$2:$A$349,0)),"not found")</f>
        <v/>
      </c>
      <c r="K231" s="32">
        <f>IF(J231="not found","not in hayday.info",IF(J231=E231,"matches mastered",IF(J231=D231,"matches normal","differs")))</f>
        <v/>
      </c>
      <c r="L231" s="40">
        <f>IFERROR(INDEX(hayday_info!$E$2:$E$349,MATCH($A231,hayday_info!$A$2:$A$349,0)),"not found")</f>
        <v/>
      </c>
      <c r="M231" s="32">
        <f>IF(L231="not found","not in hayday.info",IF(F231="","no Fandom value",IF(L231=F231,"match","differs")))</f>
        <v/>
      </c>
      <c r="N231" s="32">
        <f>IFERROR(INDEX(hayday_info!$F$2:$F$349,MATCH($A231,hayday_info!$A$2:$A$349,0)),"not found")</f>
        <v/>
      </c>
      <c r="O231" s="32">
        <f>IF(N231="not found","not in hayday.info",IF(G231="","no Fandom value",IF(N231=G231,"match","differs")))</f>
        <v/>
      </c>
      <c r="P231" s="32">
        <f>IF(J231="not found","not in hayday.info",IF(C231="","no Fandom value",IF(IFERROR(INDEX(hayday_info!$C$2:$C$349,MATCH($A231,hayday_info!$A$2:$A$349,0)),"not found")=C231,"match","differs")))</f>
        <v/>
      </c>
    </row>
    <row r="232" ht="15" customHeight="1" s="29">
      <c r="A232" s="32" t="inlineStr">
        <is>
          <t>Orange</t>
        </is>
      </c>
      <c r="B232" s="32" t="inlineStr">
        <is>
          <t>Trees &amp; Bushes</t>
        </is>
      </c>
      <c r="C232" s="33" t="n">
        <v>71</v>
      </c>
      <c r="D232" s="33" t="n">
        <v>1860</v>
      </c>
      <c r="E232" s="33" t="n"/>
      <c r="F232" s="35" t="n"/>
      <c r="G232" s="33" t="n"/>
      <c r="H232" s="32" t="inlineStr">
        <is>
          <t>Page lists 'Orange tree' with unlabeled value 720 (likely purchase cost)</t>
        </is>
      </c>
      <c r="I232" s="32" t="inlineStr">
        <is>
          <t>Hay Day Wiki (Fandom) https://hayday.fandom.com/wiki/Trees_and_Bushes</t>
        </is>
      </c>
      <c r="J232" s="39">
        <f>IFERROR(INDEX(hayday_info!$D$2:$D$349,MATCH($A232,hayday_info!$A$2:$A$349,0)),"not found")</f>
        <v/>
      </c>
      <c r="K232" s="32">
        <f>IF(J232="not found","not in hayday.info",IF(J232=E232,"matches mastered",IF(J232=D232,"matches normal","differs")))</f>
        <v/>
      </c>
      <c r="L232" s="40">
        <f>IFERROR(INDEX(hayday_info!$E$2:$E$349,MATCH($A232,hayday_info!$A$2:$A$349,0)),"not found")</f>
        <v/>
      </c>
      <c r="M232" s="32">
        <f>IF(L232="not found","not in hayday.info",IF(F232="","no Fandom value",IF(L232=F232,"match","differs")))</f>
        <v/>
      </c>
      <c r="N232" s="32">
        <f>IFERROR(INDEX(hayday_info!$F$2:$F$349,MATCH($A232,hayday_info!$A$2:$A$349,0)),"not found")</f>
        <v/>
      </c>
      <c r="O232" s="32">
        <f>IF(N232="not found","not in hayday.info",IF(G232="","no Fandom value",IF(N232=G232,"match","differs")))</f>
        <v/>
      </c>
      <c r="P232" s="32">
        <f>IF(J232="not found","not in hayday.info",IF(C232="","no Fandom value",IF(IFERROR(INDEX(hayday_info!$C$2:$C$349,MATCH($A232,hayday_info!$A$2:$A$349,0)),"not found")=C232,"match","differs")))</f>
        <v/>
      </c>
    </row>
    <row r="233" ht="15" customHeight="1" s="29">
      <c r="A233" s="32" t="inlineStr">
        <is>
          <t>Peach</t>
        </is>
      </c>
      <c r="B233" s="32" t="inlineStr">
        <is>
          <t>Trees &amp; Bushes</t>
        </is>
      </c>
      <c r="C233" s="33" t="n">
        <v>76</v>
      </c>
      <c r="D233" s="33" t="n">
        <v>1800</v>
      </c>
      <c r="E233" s="33" t="n"/>
      <c r="F233" s="35" t="n"/>
      <c r="G233" s="33" t="n"/>
      <c r="H233" s="32" t="inlineStr">
        <is>
          <t>Page lists 'Peach tree' with unlabeled value 750 (likely purchase cost)</t>
        </is>
      </c>
      <c r="I233" s="32" t="inlineStr">
        <is>
          <t>Hay Day Wiki (Fandom) https://hayday.fandom.com/wiki/Trees_and_Bushes</t>
        </is>
      </c>
      <c r="J233" s="39">
        <f>IFERROR(INDEX(hayday_info!$D$2:$D$349,MATCH($A233,hayday_info!$A$2:$A$349,0)),"not found")</f>
        <v/>
      </c>
      <c r="K233" s="32">
        <f>IF(J233="not found","not in hayday.info",IF(J233=E233,"matches mastered",IF(J233=D233,"matches normal","differs")))</f>
        <v/>
      </c>
      <c r="L233" s="40">
        <f>IFERROR(INDEX(hayday_info!$E$2:$E$349,MATCH($A233,hayday_info!$A$2:$A$349,0)),"not found")</f>
        <v/>
      </c>
      <c r="M233" s="32">
        <f>IF(L233="not found","not in hayday.info",IF(F233="","no Fandom value",IF(L233=F233,"match","differs")))</f>
        <v/>
      </c>
      <c r="N233" s="32">
        <f>IFERROR(INDEX(hayday_info!$F$2:$F$349,MATCH($A233,hayday_info!$A$2:$A$349,0)),"not found")</f>
        <v/>
      </c>
      <c r="O233" s="32">
        <f>IF(N233="not found","not in hayday.info",IF(G233="","no Fandom value",IF(N233=G233,"match","differs")))</f>
        <v/>
      </c>
      <c r="P233" s="32">
        <f>IF(J233="not found","not in hayday.info",IF(C233="","no Fandom value",IF(IFERROR(INDEX(hayday_info!$C$2:$C$349,MATCH($A233,hayday_info!$A$2:$A$349,0)),"not found")=C233,"match","differs")))</f>
        <v/>
      </c>
    </row>
    <row r="234" ht="15" customHeight="1" s="29">
      <c r="A234" s="32" t="inlineStr">
        <is>
          <t>Banana</t>
        </is>
      </c>
      <c r="B234" s="32" t="inlineStr">
        <is>
          <t>Trees &amp; Bushes</t>
        </is>
      </c>
      <c r="C234" s="33" t="n">
        <v>88</v>
      </c>
      <c r="D234" s="33" t="n">
        <v>1620</v>
      </c>
      <c r="E234" s="33" t="n"/>
      <c r="F234" s="35" t="n"/>
      <c r="G234" s="33" t="n"/>
      <c r="H234" s="32" t="inlineStr">
        <is>
          <t>Page lists 'Banana tree' with unlabeled value 800 (likely purchase cost)</t>
        </is>
      </c>
      <c r="I234" s="32" t="inlineStr">
        <is>
          <t>Hay Day Wiki (Fandom) https://hayday.fandom.com/wiki/Trees_and_Bushes</t>
        </is>
      </c>
      <c r="J234" s="39">
        <f>IFERROR(INDEX(hayday_info!$D$2:$D$349,MATCH($A234,hayday_info!$A$2:$A$349,0)),"not found")</f>
        <v/>
      </c>
      <c r="K234" s="32">
        <f>IF(J234="not found","not in hayday.info",IF(J234=E234,"matches mastered",IF(J234=D234,"matches normal","differs")))</f>
        <v/>
      </c>
      <c r="L234" s="40">
        <f>IFERROR(INDEX(hayday_info!$E$2:$E$349,MATCH($A234,hayday_info!$A$2:$A$349,0)),"not found")</f>
        <v/>
      </c>
      <c r="M234" s="32">
        <f>IF(L234="not found","not in hayday.info",IF(F234="","no Fandom value",IF(L234=F234,"match","differs")))</f>
        <v/>
      </c>
      <c r="N234" s="32">
        <f>IFERROR(INDEX(hayday_info!$F$2:$F$349,MATCH($A234,hayday_info!$A$2:$A$349,0)),"not found")</f>
        <v/>
      </c>
      <c r="O234" s="32">
        <f>IF(N234="not found","not in hayday.info",IF(G234="","no Fandom value",IF(N234=G234,"match","differs")))</f>
        <v/>
      </c>
      <c r="P234" s="32">
        <f>IF(J234="not found","not in hayday.info",IF(C234="","no Fandom value",IF(IFERROR(INDEX(hayday_info!$C$2:$C$349,MATCH($A234,hayday_info!$A$2:$A$349,0)),"not found")=C234,"match","differs")))</f>
        <v/>
      </c>
    </row>
    <row r="235" ht="15" customHeight="1" s="29">
      <c r="A235" s="32" t="inlineStr">
        <is>
          <t>Plum</t>
        </is>
      </c>
      <c r="B235" s="32" t="inlineStr">
        <is>
          <t>Trees &amp; Bushes</t>
        </is>
      </c>
      <c r="C235" s="33" t="n">
        <v>94</v>
      </c>
      <c r="D235" s="33" t="n">
        <v>1500</v>
      </c>
      <c r="E235" s="33" t="n"/>
      <c r="F235" s="35" t="n"/>
      <c r="G235" s="33" t="n"/>
      <c r="H235" s="32" t="inlineStr">
        <is>
          <t>Page lists 'Plum tree' with unlabeled value 600 (likely purchase cost)</t>
        </is>
      </c>
      <c r="I235" s="32" t="inlineStr">
        <is>
          <t>Hay Day Wiki (Fandom) https://hayday.fandom.com/wiki/Trees_and_Bushes</t>
        </is>
      </c>
      <c r="J235" s="39">
        <f>IFERROR(INDEX(hayday_info!$D$2:$D$349,MATCH($A235,hayday_info!$A$2:$A$349,0)),"not found")</f>
        <v/>
      </c>
      <c r="K235" s="32">
        <f>IF(J235="not found","not in hayday.info",IF(J235=E235,"matches mastered",IF(J235=D235,"matches normal","differs")))</f>
        <v/>
      </c>
      <c r="L235" s="40">
        <f>IFERROR(INDEX(hayday_info!$E$2:$E$349,MATCH($A235,hayday_info!$A$2:$A$349,0)),"not found")</f>
        <v/>
      </c>
      <c r="M235" s="32">
        <f>IF(L235="not found","not in hayday.info",IF(F235="","no Fandom value",IF(L235=F235,"match","differs")))</f>
        <v/>
      </c>
      <c r="N235" s="32">
        <f>IFERROR(INDEX(hayday_info!$F$2:$F$349,MATCH($A235,hayday_info!$A$2:$A$349,0)),"not found")</f>
        <v/>
      </c>
      <c r="O235" s="32">
        <f>IF(N235="not found","not in hayday.info",IF(G235="","no Fandom value",IF(N235=G235,"match","differs")))</f>
        <v/>
      </c>
      <c r="P235" s="32">
        <f>IF(J235="not found","not in hayday.info",IF(C235="","no Fandom value",IF(IFERROR(INDEX(hayday_info!$C$2:$C$349,MATCH($A235,hayday_info!$A$2:$A$349,0)),"not found")=C235,"match","differs")))</f>
        <v/>
      </c>
    </row>
    <row r="236" ht="15" customHeight="1" s="29">
      <c r="A236" s="32" t="inlineStr">
        <is>
          <t>Mango</t>
        </is>
      </c>
      <c r="B236" s="32" t="inlineStr">
        <is>
          <t>Trees &amp; Bushes</t>
        </is>
      </c>
      <c r="C236" s="33" t="n">
        <v>97</v>
      </c>
      <c r="D236" s="33" t="n">
        <v>1920</v>
      </c>
      <c r="E236" s="33" t="n"/>
      <c r="F236" s="35" t="n"/>
      <c r="G236" s="33" t="n"/>
      <c r="H236" s="32" t="inlineStr">
        <is>
          <t>Page lists 'Mango tree' with unlabeled value 770 (likely purchase cost)</t>
        </is>
      </c>
      <c r="I236" s="32" t="inlineStr">
        <is>
          <t>Hay Day Wiki (Fandom) https://hayday.fandom.com/wiki/Trees_and_Bushes</t>
        </is>
      </c>
      <c r="J236" s="39">
        <f>IFERROR(INDEX(hayday_info!$D$2:$D$349,MATCH($A236,hayday_info!$A$2:$A$349,0)),"not found")</f>
        <v/>
      </c>
      <c r="K236" s="32">
        <f>IF(J236="not found","not in hayday.info",IF(J236=E236,"matches mastered",IF(J236=D236,"matches normal","differs")))</f>
        <v/>
      </c>
      <c r="L236" s="40">
        <f>IFERROR(INDEX(hayday_info!$E$2:$E$349,MATCH($A236,hayday_info!$A$2:$A$349,0)),"not found")</f>
        <v/>
      </c>
      <c r="M236" s="32">
        <f>IF(L236="not found","not in hayday.info",IF(F236="","no Fandom value",IF(L236=F236,"match","differs")))</f>
        <v/>
      </c>
      <c r="N236" s="32">
        <f>IFERROR(INDEX(hayday_info!$F$2:$F$349,MATCH($A236,hayday_info!$A$2:$A$349,0)),"not found")</f>
        <v/>
      </c>
      <c r="O236" s="32">
        <f>IF(N236="not found","not in hayday.info",IF(G236="","no Fandom value",IF(N236=G236,"match","differs")))</f>
        <v/>
      </c>
      <c r="P236" s="32">
        <f>IF(J236="not found","not in hayday.info",IF(C236="","no Fandom value",IF(IFERROR(INDEX(hayday_info!$C$2:$C$349,MATCH($A236,hayday_info!$A$2:$A$349,0)),"not found")=C236,"match","differs")))</f>
        <v/>
      </c>
    </row>
    <row r="237" ht="15" customHeight="1" s="29">
      <c r="A237" s="32" t="inlineStr">
        <is>
          <t>Coconut</t>
        </is>
      </c>
      <c r="B237" s="32" t="inlineStr">
        <is>
          <t>Trees &amp; Bushes</t>
        </is>
      </c>
      <c r="C237" s="33" t="n">
        <v>101</v>
      </c>
      <c r="D237" s="33" t="n">
        <v>2160</v>
      </c>
      <c r="E237" s="33" t="n"/>
      <c r="F237" s="35" t="n"/>
      <c r="G237" s="33" t="n"/>
      <c r="H237" s="32" t="inlineStr">
        <is>
          <t>Page lists 'Coconut tree' with unlabeled value 810 (likely purchase cost)</t>
        </is>
      </c>
      <c r="I237" s="32" t="inlineStr">
        <is>
          <t>Hay Day Wiki (Fandom) https://hayday.fandom.com/wiki/Trees_and_Bushes</t>
        </is>
      </c>
      <c r="J237" s="39">
        <f>IFERROR(INDEX(hayday_info!$D$2:$D$349,MATCH($A237,hayday_info!$A$2:$A$349,0)),"not found")</f>
        <v/>
      </c>
      <c r="K237" s="32">
        <f>IF(J237="not found","not in hayday.info",IF(J237=E237,"matches mastered",IF(J237=D237,"matches normal","differs")))</f>
        <v/>
      </c>
      <c r="L237" s="40">
        <f>IFERROR(INDEX(hayday_info!$E$2:$E$349,MATCH($A237,hayday_info!$A$2:$A$349,0)),"not found")</f>
        <v/>
      </c>
      <c r="M237" s="32">
        <f>IF(L237="not found","not in hayday.info",IF(F237="","no Fandom value",IF(L237=F237,"match","differs")))</f>
        <v/>
      </c>
      <c r="N237" s="32">
        <f>IFERROR(INDEX(hayday_info!$F$2:$F$349,MATCH($A237,hayday_info!$A$2:$A$349,0)),"not found")</f>
        <v/>
      </c>
      <c r="O237" s="32">
        <f>IF(N237="not found","not in hayday.info",IF(G237="","no Fandom value",IF(N237=G237,"match","differs")))</f>
        <v/>
      </c>
      <c r="P237" s="32">
        <f>IF(J237="not found","not in hayday.info",IF(C237="","no Fandom value",IF(IFERROR(INDEX(hayday_info!$C$2:$C$349,MATCH($A237,hayday_info!$A$2:$A$349,0)),"not found")=C237,"match","differs")))</f>
        <v/>
      </c>
    </row>
    <row r="238" ht="15" customHeight="1" s="29">
      <c r="A238" s="32" t="inlineStr">
        <is>
          <t>Guava</t>
        </is>
      </c>
      <c r="B238" s="32" t="inlineStr">
        <is>
          <t>Trees &amp; Bushes</t>
        </is>
      </c>
      <c r="C238" s="33" t="n">
        <v>104</v>
      </c>
      <c r="D238" s="33" t="n">
        <v>2040</v>
      </c>
      <c r="E238" s="33" t="n"/>
      <c r="F238" s="35" t="n"/>
      <c r="G238" s="33" t="n"/>
      <c r="H238" s="32" t="inlineStr">
        <is>
          <t>Page lists 'Guava tree' with unlabeled value 860 (likely purchase cost)</t>
        </is>
      </c>
      <c r="I238" s="32" t="inlineStr">
        <is>
          <t>Hay Day Wiki (Fandom) https://hayday.fandom.com/wiki/Trees_and_Bushes</t>
        </is>
      </c>
      <c r="J238" s="39">
        <f>IFERROR(INDEX(hayday_info!$D$2:$D$349,MATCH($A238,hayday_info!$A$2:$A$349,0)),"not found")</f>
        <v/>
      </c>
      <c r="K238" s="32">
        <f>IF(J238="not found","not in hayday.info",IF(J238=E238,"matches mastered",IF(J238=D238,"matches normal","differs")))</f>
        <v/>
      </c>
      <c r="L238" s="40">
        <f>IFERROR(INDEX(hayday_info!$E$2:$E$349,MATCH($A238,hayday_info!$A$2:$A$349,0)),"not found")</f>
        <v/>
      </c>
      <c r="M238" s="32">
        <f>IF(L238="not found","not in hayday.info",IF(F238="","no Fandom value",IF(L238=F238,"match","differs")))</f>
        <v/>
      </c>
      <c r="N238" s="32">
        <f>IFERROR(INDEX(hayday_info!$F$2:$F$349,MATCH($A238,hayday_info!$A$2:$A$349,0)),"not found")</f>
        <v/>
      </c>
      <c r="O238" s="32">
        <f>IF(N238="not found","not in hayday.info",IF(G238="","no Fandom value",IF(N238=G238,"match","differs")))</f>
        <v/>
      </c>
      <c r="P238" s="32">
        <f>IF(J238="not found","not in hayday.info",IF(C238="","no Fandom value",IF(IFERROR(INDEX(hayday_info!$C$2:$C$349,MATCH($A238,hayday_info!$A$2:$A$349,0)),"not found")=C238,"match","differs")))</f>
        <v/>
      </c>
    </row>
    <row r="239" ht="15" customHeight="1" s="29">
      <c r="A239" s="32" t="inlineStr">
        <is>
          <t>Pomegranate</t>
        </is>
      </c>
      <c r="B239" s="32" t="inlineStr">
        <is>
          <t>Trees &amp; Bushes</t>
        </is>
      </c>
      <c r="C239" s="33" t="n">
        <v>107</v>
      </c>
      <c r="D239" s="33" t="n">
        <v>1620</v>
      </c>
      <c r="E239" s="33" t="n"/>
      <c r="F239" s="35" t="n"/>
      <c r="G239" s="33" t="n"/>
      <c r="H239" s="32" t="inlineStr">
        <is>
          <t>Page lists 'Pomegranate tree' with unlabeled value 910 (likely purchase cost)</t>
        </is>
      </c>
      <c r="I239" s="32" t="inlineStr">
        <is>
          <t>Hay Day Wiki (Fandom) https://hayday.fandom.com/wiki/Trees_and_Bushes</t>
        </is>
      </c>
      <c r="J239" s="32">
        <f>IFERROR(INDEX(hayday_info!$D$2:$D$349,MATCH($A239,hayday_info!$A$2:$A$349,0)),"not found")</f>
        <v/>
      </c>
      <c r="K239" s="32">
        <f>IF(J239="not found","not in hayday.info",IF(J239=E239,"matches mastered",IF(J239=D239,"matches normal","differs")))</f>
        <v/>
      </c>
      <c r="L239" s="32">
        <f>IFERROR(INDEX(hayday_info!$E$2:$E$349,MATCH($A239,hayday_info!$A$2:$A$349,0)),"not found")</f>
        <v/>
      </c>
      <c r="M239" s="32">
        <f>IF(L239="not found","not in hayday.info",IF(F239="","no Fandom value",IF(L239=F239,"match","differs")))</f>
        <v/>
      </c>
      <c r="N239" s="32">
        <f>IFERROR(INDEX(hayday_info!$F$2:$F$349,MATCH($A239,hayday_info!$A$2:$A$349,0)),"not found")</f>
        <v/>
      </c>
      <c r="O239" s="32">
        <f>IF(N239="not found","not in hayday.info",IF(G239="","no Fandom value",IF(N239=G239,"match","differs")))</f>
        <v/>
      </c>
      <c r="P239" s="32">
        <f>IF(J239="not found","not in hayday.info",IF(C239="","no Fandom value",IF(IFERROR(INDEX(hayday_info!$C$2:$C$349,MATCH($A239,hayday_info!$A$2:$A$349,0)),"not found")=C239,"match","differs")))</f>
        <v/>
      </c>
    </row>
  </sheetData>
  <autoFilter ref="A1:P239"/>
  <conditionalFormatting sqref="K2:K239">
    <cfRule type="expression" rank="0" priority="2" equalAverage="0" aboveAverage="0" dxfId="10" text="" percent="0" bottom="0">
      <formula>OR(K2="differs",K2="not in hayday.info")</formula>
    </cfRule>
  </conditionalFormatting>
  <conditionalFormatting sqref="M2:M239">
    <cfRule type="expression" rank="0" priority="3" equalAverage="0" aboveAverage="0" dxfId="10" text="" percent="0" bottom="0">
      <formula>OR(M2="differs",M2="not in hayday.info")</formula>
    </cfRule>
  </conditionalFormatting>
  <conditionalFormatting sqref="O2:O239">
    <cfRule type="expression" rank="0" priority="4" equalAverage="0" aboveAverage="0" dxfId="10" text="" percent="0" bottom="0">
      <formula>OR(O2="differs",O2="not in hayday.info")</formula>
    </cfRule>
  </conditionalFormatting>
  <conditionalFormatting sqref="P2:P239">
    <cfRule type="expression" rank="0" priority="5" equalAverage="0" aboveAverage="0" dxfId="10" text="" percent="0" bottom="0">
      <formula>OR(P2="differs",P2="not in hayday.info")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10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28" min="1" max="1"/>
    <col width="100" customWidth="1" style="28" min="2" max="2"/>
    <col width="60" customWidth="1" style="28" min="3" max="3"/>
  </cols>
  <sheetData>
    <row r="1" ht="15.75" customHeight="1" s="29">
      <c r="A1" s="41" t="inlineStr">
        <is>
          <t>Hay Day production data - notes</t>
        </is>
      </c>
    </row>
    <row r="3" ht="15" customHeight="1" s="29">
      <c r="A3" s="42" t="inlineStr">
        <is>
          <t>Settings</t>
        </is>
      </c>
    </row>
    <row r="4" ht="23.25" customHeight="1" s="29">
      <c r="A4" s="43" t="inlineStr">
        <is>
          <t>High-profit flag threshold (profit/hr)</t>
        </is>
      </c>
      <c r="B4" s="44" t="n">
        <v>200</v>
      </c>
      <c r="C4" s="45" t="inlineStr">
        <is>
          <t>Assumption: chosen by me, not from any source. Values above are flagged in hayday_info column I.</t>
        </is>
      </c>
    </row>
    <row r="6" ht="15" customHeight="1" s="29">
      <c r="A6" s="42" t="inlineStr">
        <is>
          <t>Comparison summary (live formulas over fandom_all)</t>
        </is>
      </c>
    </row>
    <row r="7" ht="15" customHeight="1" s="29">
      <c r="A7" s="43" t="inlineStr">
        <is>
          <t>Fandom rows</t>
        </is>
      </c>
      <c r="B7" s="46">
        <f>COUNTA(fandom_all!A2:A239)</f>
        <v/>
      </c>
    </row>
    <row r="8" ht="15" customHeight="1" s="29">
      <c r="A8" s="43" t="inlineStr">
        <is>
          <t xml:space="preserve">  found in hayday.info</t>
        </is>
      </c>
      <c r="B8" s="46">
        <f>COUNTIF(fandom_all!K2:K239,"&lt;&gt;not in hayday.info")</f>
        <v/>
      </c>
    </row>
    <row r="9" ht="15" customHeight="1" s="29">
      <c r="A9" s="43" t="inlineStr">
        <is>
          <t xml:space="preserve">  not in hayday.info (new/renamed items)</t>
        </is>
      </c>
      <c r="B9" s="46">
        <f>COUNTIF(fandom_all!K2:K239,"not in hayday.info")</f>
        <v/>
      </c>
    </row>
    <row r="10" ht="15" customHeight="1" s="29">
      <c r="A10" s="43" t="inlineStr">
        <is>
          <t>Time = Fandom mastered time</t>
        </is>
      </c>
      <c r="B10" s="46">
        <f>COUNTIF(fandom_all!K2:K239,"matches mastered")</f>
        <v/>
      </c>
    </row>
    <row r="11" ht="15" customHeight="1" s="29">
      <c r="A11" s="43" t="inlineStr">
        <is>
          <t>Time = Fandom normal time (not mastered)</t>
        </is>
      </c>
      <c r="B11" s="46">
        <f>COUNTIF(fandom_all!K2:K239,"matches normal")</f>
        <v/>
      </c>
    </row>
    <row r="12" ht="15" customHeight="1" s="29">
      <c r="A12" s="43" t="inlineStr">
        <is>
          <t>Time differs from both</t>
        </is>
      </c>
      <c r="B12" s="46">
        <f>COUNTIF(fandom_all!K2:K239,"differs")</f>
        <v/>
      </c>
    </row>
    <row r="13" ht="15" customHeight="1" s="29">
      <c r="A13" s="43" t="inlineStr">
        <is>
          <t>Price matches</t>
        </is>
      </c>
      <c r="B13" s="46">
        <f>COUNTIF(fandom_all!M2:M239,"match")</f>
        <v/>
      </c>
    </row>
    <row r="14" ht="15" customHeight="1" s="29">
      <c r="A14" s="43" t="inlineStr">
        <is>
          <t>Price differs</t>
        </is>
      </c>
      <c r="B14" s="46">
        <f>COUNTIF(fandom_all!M2:M239,"differs")</f>
        <v/>
      </c>
    </row>
    <row r="15" ht="15" customHeight="1" s="29">
      <c r="A15" s="43" t="inlineStr">
        <is>
          <t>XP matches</t>
        </is>
      </c>
      <c r="B15" s="46">
        <f>COUNTIF(fandom_all!O2:O239,"match")</f>
        <v/>
      </c>
    </row>
    <row r="16" ht="15" customHeight="1" s="29">
      <c r="A16" s="43" t="inlineStr">
        <is>
          <t>XP differs</t>
        </is>
      </c>
      <c r="B16" s="46">
        <f>COUNTIF(fandom_all!O2:O239,"differs")</f>
        <v/>
      </c>
    </row>
    <row r="17" ht="15" customHeight="1" s="29">
      <c r="A17" s="43" t="inlineStr">
        <is>
          <t>Level differs</t>
        </is>
      </c>
      <c r="B17" s="46">
        <f>COUNTIF(fandom_all!P2:P239,"differs")</f>
        <v/>
      </c>
    </row>
    <row r="19" ht="15" customHeight="1" s="29">
      <c r="A19" s="42" t="inlineStr">
        <is>
          <t>Sources</t>
        </is>
      </c>
    </row>
    <row r="20" ht="23.25" customHeight="1" s="29">
      <c r="A20" s="47" t="inlineStr">
        <is>
          <t>hayday.info</t>
        </is>
      </c>
      <c r="B20" s="45" t="inlineStr">
        <is>
          <t>Community database. Endpoint https://hayday.info/api/production-data returned a flat JSON array of 348 records across 48 machines/categories. Retrieved 2026-10-13. Unofficial and undocumented - format may change.</t>
        </is>
      </c>
    </row>
    <row r="21" ht="34.5" customHeight="1" s="29">
      <c r="A21" s="47" t="inlineStr">
        <is>
          <t>Hay Day Wiki (Fandom)</t>
        </is>
      </c>
      <c r="B21" s="45" t="inlineStr">
        <is>
          <t>Product tables read from individual machine pages (https://hayday.fandom.com/wiki/&lt;Machine&gt;), plus Trees_and_Bushes. Retrieved 2026-10-13 through a web page reader that summarises the page, so values may contain reader errors - 'differs' rows should be checked against the page or the game.</t>
        </is>
      </c>
    </row>
    <row r="22" ht="23.25" customHeight="1" s="29">
      <c r="A22" s="47" t="inlineStr">
        <is>
          <t>Not retrieved</t>
        </is>
      </c>
      <c r="B22" s="45" t="inlineStr">
        <is>
          <t>Fandom pages that failed to load twice: BBQ Grill, Salad Bar, Deep Fryer, Cupcake Maker, Fudge Shop, Bath Kiosk. The Crops page had an empty table. Animal Products and the individual crop list were not fetched.</t>
        </is>
      </c>
    </row>
    <row r="23" ht="23.25" customHeight="1" s="29">
      <c r="A23" s="47" t="inlineStr">
        <is>
          <t>Ingredients</t>
        </is>
      </c>
      <c r="B23" s="45" t="inlineStr">
        <is>
          <t>NOT available. Machine pages only give general notes (e.g. 'every jam needs 3 fruit'), not per-product recipes, so no ingredient or cost columns could be built.</t>
        </is>
      </c>
    </row>
    <row r="24" ht="15" customHeight="1" s="29">
      <c r="A24" s="47" t="n"/>
      <c r="B24" s="45" t="n"/>
    </row>
    <row r="25" ht="15" customHeight="1" s="29">
      <c r="A25" s="42" t="inlineStr">
        <is>
          <t>Findings</t>
        </is>
      </c>
    </row>
    <row r="26" ht="23.25" customHeight="1" s="29">
      <c r="A26" s="47" t="inlineStr">
        <is>
          <t>Time = mastered time</t>
        </is>
      </c>
      <c r="B26" s="45" t="inlineStr">
        <is>
          <t>hayday.info 'time_min' is generally the Fandom mastered (3-star) time, not the normal time. See the summary above; exceptions are listed in fandom_all column K.</t>
        </is>
      </c>
    </row>
    <row r="27" ht="23.25" customHeight="1" s="29">
      <c r="A27" s="47" t="inlineStr">
        <is>
          <t>profit_per_hour</t>
        </is>
      </c>
      <c r="B27" s="45" t="inlineStr">
        <is>
          <t>Computed by the site, formula not published. Consistent with (price - ingredient cost) / hours on Egg and Wheat; not verified for every row.</t>
        </is>
      </c>
    </row>
    <row r="28" ht="15" customHeight="1" s="29">
      <c r="A28" s="47" t="inlineStr">
        <is>
          <t>Suspicious values</t>
        </is>
      </c>
      <c r="B28" s="45" t="inlineStr">
        <is>
          <t>Large negative or very high profit/hr rows are flagged in hayday_info column I. Not verified in-game.</t>
        </is>
      </c>
    </row>
    <row r="29" ht="15" customHeight="1" s="29">
      <c r="A29" s="47" t="inlineStr">
        <is>
          <t>Items only on Fandom</t>
        </is>
      </c>
      <c r="B29" s="45" t="inlineStr">
        <is>
          <t>Some items appear on Fandom but not in hayday.info (e.g. Breakfast Bowl, Pomegranate) - see 'not in hayday.info' rows.</t>
        </is>
      </c>
    </row>
    <row r="30" ht="15" customHeight="1" s="29">
      <c r="A30" s="47" t="n"/>
      <c r="B30" s="45" t="n"/>
    </row>
    <row r="31" ht="15" customHeight="1" s="29">
      <c r="A31" s="42" t="inlineStr">
        <is>
          <t>Cleaning applied</t>
        </is>
      </c>
    </row>
    <row r="32" ht="23.25" customHeight="1" s="29">
      <c r="A32" s="47" t="inlineStr">
        <is>
          <t>hayday_info</t>
        </is>
      </c>
      <c r="B32" s="45" t="inlineStr">
        <is>
          <t>Trailing zero-width characters removed from 'Ginger' and 'Affogato'. Rows sorted by machine, level, product. No values changed.</t>
        </is>
      </c>
    </row>
    <row r="33" ht="15" customHeight="1" s="29">
      <c r="A33" s="47" t="inlineStr">
        <is>
          <t>fandom_all</t>
        </is>
      </c>
      <c r="B33" s="45" t="inlineStr">
        <is>
          <t>Times converted from 'h/min' text to minutes. Blank cell = value not on the page. Source column holds the exact page URL.</t>
        </is>
      </c>
    </row>
    <row r="34" ht="15" customHeight="1" s="29">
      <c r="A34" s="47" t="n"/>
      <c r="B34" s="45" t="n"/>
    </row>
    <row r="35" ht="34.5" customHeight="1" s="29">
      <c r="A35" s="47" t="inlineStr">
        <is>
          <t>How data was obtained</t>
        </is>
      </c>
      <c r="B35" s="45" t="inlineStr">
        <is>
          <t>Direct download from the shell was blocked by the workspace proxy (HTTP 403), so pages were read with the web fetch tool and the results typed into CSV files, then loaded here. Typing errors are possible; hayday_info row count (348) was checked against the source.</t>
        </is>
      </c>
    </row>
    <row r="36" ht="15" customHeight="1" s="29">
      <c r="A36" s="47" t="inlineStr">
        <is>
          <t>Colour code</t>
        </is>
      </c>
      <c r="B36" s="45" t="inlineStr">
        <is>
          <t>Blue = values taken from a source; black = formulas / labels; brown header = comparison columns (formulas).</t>
        </is>
      </c>
    </row>
    <row r="38" ht="15" customHeight="1" s="29">
      <c r="A38" s="42" t="inlineStr">
        <is>
          <t>Merged sheet (merged_clean)</t>
        </is>
      </c>
    </row>
    <row r="39" ht="15" customHeight="1" s="29">
      <c r="A39" s="43" t="inlineStr">
        <is>
          <t>Rows</t>
        </is>
      </c>
      <c r="B39" s="46">
        <f>COUNTA(merged_clean!A2:A351)</f>
        <v/>
      </c>
    </row>
    <row r="40" ht="15" customHeight="1" s="29">
      <c r="A40" s="43" t="inlineStr">
        <is>
          <t xml:space="preserve">  in both sources</t>
        </is>
      </c>
      <c r="B40" s="46">
        <f>COUNTIF(merged_clean!O2:O351,"both")</f>
        <v/>
      </c>
    </row>
    <row r="41" ht="15" customHeight="1" s="29">
      <c r="A41" s="43" t="inlineStr">
        <is>
          <t xml:space="preserve">  hayday.info only</t>
        </is>
      </c>
      <c r="B41" s="46">
        <f>COUNTIF(merged_clean!O2:O351,"hayday.info")</f>
        <v/>
      </c>
    </row>
    <row r="42" ht="15" customHeight="1" s="29">
      <c r="A42" s="43" t="inlineStr">
        <is>
          <t xml:space="preserve">  Fandom only</t>
        </is>
      </c>
      <c r="B42" s="46">
        <f>COUNTIF(merged_clean!O2:O351,"Fandom")</f>
        <v/>
      </c>
    </row>
    <row r="43" ht="15" customHeight="1" s="29">
      <c r="A43" s="43" t="inlineStr">
        <is>
          <t xml:space="preserve">  status = conflict</t>
        </is>
      </c>
      <c r="B43" s="46">
        <f>COUNTIF(merged_clean!P2:P351,"conflict")</f>
        <v/>
      </c>
    </row>
    <row r="44" ht="15" customHeight="1" s="29">
      <c r="A44" s="43" t="inlineStr">
        <is>
          <t xml:space="preserve">  hayday.info time basis = mastered</t>
        </is>
      </c>
      <c r="B44" s="46">
        <f>COUNTIF(merged_clean!G2:G351,"mastered")</f>
        <v/>
      </c>
    </row>
    <row r="45" ht="15" customHeight="1" s="29">
      <c r="A45" s="43" t="inlineStr">
        <is>
          <t xml:space="preserve">  hayday.info time basis = normal</t>
        </is>
      </c>
      <c r="B45" s="46">
        <f>COUNTIF(merged_clean!G2:G351,"normal")</f>
        <v/>
      </c>
    </row>
    <row r="46" ht="15" customHeight="1" s="29">
      <c r="A46" s="43" t="inlineStr">
        <is>
          <t xml:space="preserve">  hayday.info time basis = differs</t>
        </is>
      </c>
      <c r="B46" s="46">
        <f>COUNTIF(merged_clean!G2:G351,"differs")</f>
        <v/>
      </c>
    </row>
    <row r="48" ht="15" customHeight="1" s="29">
      <c r="A48" s="47" t="inlineStr">
        <is>
          <t>Merge key</t>
        </is>
      </c>
      <c r="B48" s="45" t="inlineStr">
        <is>
          <t>Product name, case-insensitive. One row per product.</t>
        </is>
      </c>
    </row>
    <row r="49" ht="35.05" customHeight="1" s="29">
      <c r="A49" s="47" t="inlineStr">
        <is>
          <t>Primary values</t>
        </is>
      </c>
      <c r="B49" s="45" t="inlineStr">
        <is>
          <t>Where both sources have a value, hayday.info is kept as the primary (sell price, XP, level, time, profit/hr) because it is structured data; the Fandom values passed through a page reader that sometimes had to guess columns. This is my choice, not a verified ruling.</t>
        </is>
      </c>
    </row>
    <row r="50" ht="23.85" customHeight="1" s="29">
      <c r="A50" s="47" t="inlineStr">
        <is>
          <t>Conflicts</t>
        </is>
      </c>
      <c r="B50" s="45" t="inlineStr">
        <is>
          <t>If Fandom disagrees on price or XP, the Fandom number is shown in the '(Fandom, if different)' column and Status = conflict. Time conflicts show as 'differs' in the time-basis column. Nothing is overwritten silently.</t>
        </is>
      </c>
    </row>
    <row r="51" ht="23.85" customHeight="1" s="29">
      <c r="A51" s="47" t="inlineStr">
        <is>
          <t>Times</t>
        </is>
      </c>
      <c r="B51" s="45" t="inlineStr">
        <is>
          <t>Fandom normal and mastered times are kept next to hayday.info's time; 'time basis' says which one hayday.info used. Profit/hr from the site uses its own time, so rows with basis 'normal' or 'differs' are not comparable to 'mastered' rows.</t>
        </is>
      </c>
    </row>
    <row r="52" ht="15" customHeight="1" s="29">
      <c r="A52" s="47" t="inlineStr">
        <is>
          <t>Fandom-only rows</t>
        </is>
      </c>
      <c r="B52" s="45" t="inlineStr">
        <is>
          <t>Items missing from hayday.info keep the Fandom values; site profit/hr columns are blank for them.</t>
        </is>
      </c>
    </row>
    <row r="53" ht="35.05" customHeight="1" s="29">
      <c r="A53" s="47" t="inlineStr">
        <is>
          <t>Name cleaning</t>
        </is>
      </c>
      <c r="B53" s="45" t="inlineStr">
        <is>
          <t>Product names normalised to Title Case (small words 'and/di/of' lower-case, 'BLT' upper-case); 234 names changed. Machine names standardised ('Jewler' -&gt; 'Jeweler', 'Donut maker' -&gt; 'Donut Maker', 'Preservation station' -&gt; 'Preservation Station'). Zero-width characters and extra spaces removed. No duplicates remain.</t>
        </is>
      </c>
    </row>
    <row r="54" ht="15" customHeight="1" s="29">
      <c r="A54" s="47" t="inlineStr">
        <is>
          <t>Raw sheets</t>
        </is>
      </c>
      <c r="B54" s="45" t="inlineStr">
        <is>
          <t>hayday_info and fandom_all are kept unchanged as the raw record behind merged_clean.</t>
        </is>
      </c>
    </row>
    <row r="56">
      <c r="A56" s="48" t="inlineStr">
        <is>
          <t>Fandom API pull (2026-10-13)</t>
        </is>
      </c>
    </row>
    <row r="57">
      <c r="A57" s="28" t="inlineStr">
        <is>
          <t>Method</t>
        </is>
      </c>
      <c r="B57" s="28" t="inlineStr">
        <is>
          <t>MediaWiki API (action=query&amp;prop=revisions, 50 titles/request) on hayday.fandom.com; raw wikitext cached in raw/fandom/pages.json. Scripts: scripts/fetch_fandom.py, parse_fandom.py, check_fandom.py, build_v2.py.</t>
        </is>
      </c>
    </row>
    <row r="58">
      <c r="A58" s="28" t="inlineStr">
        <is>
          <t>Product values</t>
        </is>
      </c>
      <c r="B58" s="28" t="inlineStr">
        <is>
          <t>fandom_api_products = Infobox on each product page (level, 'price = 1 to N' -&gt; N, time, time3 = mastered time, xp, source). Icon file = first [[File:]] on the page.</t>
        </is>
      </c>
    </row>
    <row r="59">
      <c r="A59" s="28" t="inlineStr">
        <is>
          <t>Machine tables</t>
        </is>
      </c>
      <c r="B59" s="28" t="inlineStr">
        <is>
          <t>fandom_api_machine_lists = {{Building Products}} rows on machine pages (name|level|time|price[/xp]). Includes the 6 pages that failed before (BBQ Grill, Salad Bar, Deep Fryer, Cupcake Maker, Fudge Shop, Bath Kiosk).</t>
        </is>
      </c>
    </row>
    <row r="60">
      <c r="A60" s="28" t="inlineStr">
        <is>
          <t>Recipes</t>
        </is>
      </c>
      <c r="B60" s="28" t="inlineStr">
        <is>
          <t>recipes = 'Making ...' table on each product page (ingredient icon row + xN row). Cross-checked against {{Item Usage}} on each ingredient page (check_recipe_vs_usage): 877 pairs agree; most disagreements are ingredient pages that omit a product, true qty conflicts: Tofu Dog (tomato 4 vs 2), Mint Fudge (cabbage vs butter).</t>
        </is>
      </c>
    </row>
    <row r="61">
      <c r="A61" s="28" t="inlineStr">
        <is>
          <t>Hand sheet reliability</t>
        </is>
      </c>
      <c r="B61" s="28" t="inlineStr">
        <is>
          <t>check_hand_vs_api: fandom_all (hand) disagrees with the API in 24 cells. Several hand values equal hayday.info instead of Fandom, so fandom_all - and the Status/conflict columns in merged_clean built from it - should not be trusted. Use fandom_api_* instead.</t>
        </is>
      </c>
    </row>
    <row r="62">
      <c r="A62" s="28" t="inlineStr">
        <is>
          <t>Fandom self-conflicts</t>
        </is>
      </c>
      <c r="B62" s="28" t="inlineStr">
        <is>
          <t>Infobox and machine table disagree for some products (e.g. Affogato XP, Iron Bracelet XP, Hummus Wrap time, Tea Pot time). Both values kept; unresolved.</t>
        </is>
      </c>
    </row>
    <row r="63">
      <c r="A63" s="28" t="inlineStr">
        <is>
          <t>Name aliases</t>
        </is>
      </c>
      <c r="B63" s="28" t="inlineStr">
        <is>
          <t>hayday.info 'Coffee' (Trees &amp; Bushes) = Fandom 'Coffee Bean' (assumed from machine; not verified). 40 Fandom products (lamb, mussel, asparagus, mine ores, etc.) are not in hayday.info.</t>
        </is>
      </c>
    </row>
    <row r="64">
      <c r="A64" s="28" t="inlineStr">
        <is>
          <t>Ingredient cost / max price</t>
        </is>
      </c>
      <c r="B64" s="28" t="inlineStr">
        <is>
          <t>'Ingredient cost (Fandom text)' and 'Max price per 10' are parsed from the page prose ('Buying the ingredients ... costs N'); prose may be outdated.</t>
        </is>
      </c>
    </row>
    <row r="66">
      <c r="A66" s="48" t="inlineStr">
        <is>
          <t>Merged sheet v2 (merged_v2) - replaces merged_clean</t>
        </is>
      </c>
    </row>
    <row r="67">
      <c r="A67" s="28" t="inlineStr">
        <is>
          <t>Rows</t>
        </is>
      </c>
      <c r="B67" s="28">
        <f>COUNTA(merged_v2!A2:A390)</f>
        <v/>
      </c>
    </row>
    <row r="68">
      <c r="A68" s="28" t="inlineStr">
        <is>
          <t xml:space="preserve">  in both sources</t>
        </is>
      </c>
      <c r="B68" s="28">
        <f>COUNTIF(merged_v2!T2:T390,"both")</f>
        <v/>
      </c>
    </row>
    <row r="69">
      <c r="A69" s="28" t="inlineStr">
        <is>
          <t xml:space="preserve">  hayday.info only</t>
        </is>
      </c>
      <c r="B69" s="28">
        <f>COUNTIF(merged_v2!T2:T390,"hayday.info")</f>
        <v/>
      </c>
    </row>
    <row r="70">
      <c r="A70" s="28" t="inlineStr">
        <is>
          <t xml:space="preserve">  Fandom only</t>
        </is>
      </c>
      <c r="B70" s="28">
        <f>COUNTIF(merged_v2!T2:T390,"Fandom")</f>
        <v/>
      </c>
    </row>
    <row r="71">
      <c r="A71" s="28" t="inlineStr">
        <is>
          <t xml:space="preserve">  status = conflict</t>
        </is>
      </c>
      <c r="B71" s="28">
        <f>COUNTIF(merged_v2!U2:U390,"conflict")</f>
        <v/>
      </c>
    </row>
    <row r="72">
      <c r="A72" s="28" t="inlineStr">
        <is>
          <t xml:space="preserve">  price conflicts</t>
        </is>
      </c>
      <c r="B72" s="28">
        <f>COUNTIF(merged_v2!V2:V390,"*price*")</f>
        <v/>
      </c>
    </row>
    <row r="73">
      <c r="A73" s="28" t="inlineStr">
        <is>
          <t xml:space="preserve">  xp conflicts</t>
        </is>
      </c>
      <c r="B73" s="28">
        <f>COUNTIF(merged_v2!V2:V390,"*xp*")</f>
        <v/>
      </c>
    </row>
    <row r="74">
      <c r="A74" s="28" t="inlineStr">
        <is>
          <t xml:space="preserve">  level conflicts</t>
        </is>
      </c>
      <c r="B74" s="28">
        <f>COUNTIF(merged_v2!V2:V390,"*level*")</f>
        <v/>
      </c>
    </row>
    <row r="75">
      <c r="A75" s="28" t="inlineStr">
        <is>
          <t xml:space="preserve">  time basis = mastered</t>
        </is>
      </c>
      <c r="B75" s="28">
        <f>COUNTIF(merged_v2!J2:J390,"mastered")</f>
        <v/>
      </c>
    </row>
    <row r="76">
      <c r="A76" s="28" t="inlineStr">
        <is>
          <t xml:space="preserve">  time basis = normal</t>
        </is>
      </c>
      <c r="B76" s="28">
        <f>COUNTIF(merged_v2!J2:J390,"normal")</f>
        <v/>
      </c>
    </row>
    <row r="77">
      <c r="A77" s="28" t="inlineStr">
        <is>
          <t xml:space="preserve">  time basis = differs</t>
        </is>
      </c>
      <c r="B77" s="28">
        <f>COUNTIF(merged_v2!J2:J390,"differs")</f>
        <v/>
      </c>
    </row>
    <row r="78">
      <c r="A78" s="28" t="inlineStr">
        <is>
          <t xml:space="preserve">  Fandom internal conflict</t>
        </is>
      </c>
      <c r="B78" s="28">
        <f>COUNTIF(merged_v2!W2:W390,"?*")</f>
        <v/>
      </c>
    </row>
    <row r="79">
      <c r="A79" s="28" t="inlineStr">
        <is>
          <t xml:space="preserve">  with ingredients</t>
        </is>
      </c>
      <c r="B79" s="28">
        <f>COUNTIF(merged_v2!X2:X390,"?*")</f>
        <v/>
      </c>
    </row>
    <row r="80">
      <c r="A80" s="28" t="inlineStr">
        <is>
          <t xml:space="preserve">  with local icon</t>
        </is>
      </c>
      <c r="B80" s="28">
        <f>COUNTIF(merged_v2!Z2:Z390,"?*")</f>
        <v/>
      </c>
    </row>
    <row r="81">
      <c r="A81" s="28" t="inlineStr">
        <is>
          <t>Icons</t>
        </is>
      </c>
      <c r="B81" s="28" t="inlineStr">
        <is>
          <t>icons/&lt;Machine&gt;/&lt;Product&gt;.png = 256px-wide PNG thumbnail of the first image on the Fandom product page (CDN scale-to-width-down + format=original). Manifest: icons/icon_manifest.csv. Artwork (c) Supercell, personal reference use only. Lead image assumed to be the item icon - spot-checked via icons/contact_sheet.png.</t>
        </is>
      </c>
    </row>
    <row r="82">
      <c r="A82" s="28" t="inlineStr">
        <is>
          <t>Inputs</t>
        </is>
      </c>
      <c r="B82" s="28" t="inlineStr">
        <is>
          <t>hayday.info JSON (verified identical to hayday_info sheet) + fandom_api_products (product-page infobox). fandom_all (hand-typed) is NOT used.</t>
        </is>
      </c>
    </row>
    <row r="83">
      <c r="A83" s="28" t="inlineStr">
        <is>
          <t>Primary values</t>
        </is>
      </c>
      <c r="B83" s="28" t="inlineStr">
        <is>
          <t>Level / Sell price / XP columns are formulas: hayday.info if present, else Fandom. Same rule as before (my choice, not verified). Both sources are always shown, not only when different.</t>
        </is>
      </c>
    </row>
    <row r="84">
      <c r="A84" s="28" t="inlineStr">
        <is>
          <t>Conflicts</t>
        </is>
      </c>
      <c r="B84" s="28" t="inlineStr">
        <is>
          <t>Conflict fields compares hayday.info vs Fandom infobox for level, price, xp, and time (basis 'differs'). 'Fandom internal conflict' = machine page table disagrees with product page infobox.</t>
        </is>
      </c>
    </row>
    <row r="85">
      <c r="A85" s="28" t="inlineStr">
        <is>
          <t>Machine</t>
        </is>
      </c>
      <c r="B85" s="28" t="inlineStr">
        <is>
          <t>hayday.info machine (spelling fixed) if present; for Fandom-only rows: Farm crops -&gt; Crops, tree/bush crops -&gt; Trees &amp; Bushes, animal goods -&gt; Animal Products, else the infobox source.</t>
        </is>
      </c>
    </row>
    <row r="86">
      <c r="A86" s="28" t="inlineStr">
        <is>
          <t>Product name</t>
        </is>
      </c>
      <c r="B86" s="28" t="inlineStr">
        <is>
          <t>Fandom page title if the item has a page, else Title Case of the hayday.info name. Original hayday.info name kept in the last column.</t>
        </is>
      </c>
    </row>
    <row r="87">
      <c r="A87" s="28" t="inlineStr">
        <is>
          <t>merged_clean</t>
        </is>
      </c>
      <c r="B87" s="28" t="inlineStr">
        <is>
          <t>Kept for history only. Its conflict/Status columns were computed from fandom_all, which contains transcription errors (see check_hand_vs_api).</t>
        </is>
      </c>
    </row>
    <row r="89">
      <c r="A89" s="48" t="inlineStr">
        <is>
          <t>Chain economics (chain_economics) - planner step 1</t>
        </is>
      </c>
    </row>
    <row r="90">
      <c r="A90" t="inlineStr">
        <is>
          <t>What</t>
        </is>
      </c>
      <c r="B90" t="inlineStr">
        <is>
          <t>Per 1 unit of each product, over its whole ingredient chain: resource-minutes by type, total chain minutes, critical path, ingredient value, coins/hr. Script: scripts/chain_economics.py.</t>
        </is>
      </c>
    </row>
    <row r="91">
      <c r="A91" t="inlineStr">
        <is>
          <t>Price</t>
        </is>
      </c>
      <c r="B91" t="inlineStr">
        <is>
          <t>verified_in_game.csv first, then hayday.info, then Fandom max price. Apple Juice = 129 confirmed in game 2026-10-14.</t>
        </is>
      </c>
    </row>
    <row r="92">
      <c r="A92" t="inlineStr">
        <is>
          <t>Times</t>
        </is>
      </c>
      <c r="B92" t="inlineStr">
        <is>
          <t>Fandom normal times; '... mastered' columns use Fandom mastered time for machine steps only (crops/animals have no mastery).</t>
        </is>
      </c>
    </row>
    <row r="93">
      <c r="A93" t="inlineStr">
        <is>
          <t>Crops</t>
        </is>
      </c>
      <c r="B93" t="inlineStr">
        <is>
          <t>1 field-cycle = net 1 crop (plant 1, harvest 2). Field-min per crop = grow time.</t>
        </is>
      </c>
    </row>
    <row r="94">
      <c r="A94" t="inlineStr">
        <is>
          <t>Trees</t>
        </is>
      </c>
      <c r="B94" t="inlineStr">
        <is>
          <t>Assumption: 3 fruit per harvest (wiki: harvests give 2, 3, 4). Tree-min per fruit = time / 3. Tree purchase cost ignored.</t>
        </is>
      </c>
    </row>
    <row r="95">
      <c r="A95" t="inlineStr">
        <is>
          <t>Animals</t>
        </is>
      </c>
      <c r="B95" t="inlineStr">
        <is>
          <t>1 good per feed per animal timer. Feed links (Egg&lt;-Chicken Feed, Milk&lt;-Cow Feed, Bacon&lt;-Pig Feed, Wool&lt;-Sheep Feed, Goat Milk&lt;-Goat Feed, Lamb Chop&lt;-Lamb Feed) typed from Fandom page text. Honeycomb = beehive timer, no feed.</t>
        </is>
      </c>
    </row>
    <row r="96">
      <c r="A96" t="inlineStr">
        <is>
          <t>Feed batches</t>
        </is>
      </c>
      <c r="B96" t="inlineStr">
        <is>
          <t>Feed Mill makes 3 sacks per batch (Fandom 'three by three'); recipe quantities and time divided by 3 per sack.</t>
        </is>
      </c>
    </row>
    <row r="97">
      <c r="A97" t="inlineStr">
        <is>
          <t>External</t>
        </is>
      </c>
      <c r="B97" t="inlineStr">
        <is>
          <t>Mine ores, fish, lobster, duck feather, mussel, peanuts need tools/lures/nets: counted at market value with 0 production time. Products using them look better than they are (column 'External inputs').</t>
        </is>
      </c>
    </row>
    <row r="98">
      <c r="A98" t="inlineStr">
        <is>
          <t>Diamond</t>
        </is>
      </c>
      <c r="B98" t="inlineStr">
        <is>
          <t>Diamond Ring and Gracious Bouquet use diamonds (premium currency) - not costed.</t>
        </is>
      </c>
    </row>
    <row r="99">
      <c r="A99" t="inlineStr">
        <is>
          <t>Critical path</t>
        </is>
      </c>
      <c r="B99" t="inlineStr">
        <is>
          <t>Wall-clock from empty barn: unlimited fields/animals in parallel, one machine of each kind, ingredient batches back to back. Ignores your check-in interval (planner step 2).</t>
        </is>
      </c>
    </row>
    <row r="100">
      <c r="A100" t="inlineStr">
        <is>
          <t>Coins/hr per chain-min</t>
        </is>
      </c>
      <c r="B100" t="inlineStr">
        <is>
          <t>Price / (machine + field + animal + tree minutes) x 60. Weighs a field-minute the same as a machine-minute - a rough ranking only; the LP planner weighs them by what you actually have.</t>
        </is>
      </c>
    </row>
    <row r="101">
      <c r="A101" t="inlineStr">
        <is>
          <t>Value added/hr own machine</t>
        </is>
      </c>
      <c r="B101" t="inlineStr">
        <is>
          <t>(Price - ingredient value) / own machine time x 60. Same formula as hayday.info profit_per_hour: 273 of 289 rows match (site uses unrounded mastered time = normal x 0.85, or normal time). 16 rows differ - see 'Check vs hayday.info'.</t>
        </is>
      </c>
    </row>
    <row r="102">
      <c r="A102" t="inlineStr">
        <is>
          <t>Unlocked</t>
        </is>
      </c>
      <c r="B102" t="inlineStr">
        <is>
          <t>'Unlocked at L39' = product and every ingredient in its chain have Fandom level &lt;= 39. Unknown level = not unlocked.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R390"/>
  <sheetViews>
    <sheetView workbookViewId="0">
      <pane ySplit="1" topLeftCell="A2" activePane="bottomLeft" state="frozen"/>
      <selection pane="bottomLeft" activeCell="A1" sqref="A1"/>
    </sheetView>
  </sheetViews>
  <sheetFormatPr baseColWidth="8" defaultRowHeight="15"/>
  <cols>
    <col width="23" customWidth="1" style="29" min="1" max="1"/>
    <col width="23" customWidth="1" style="29" min="2" max="2"/>
    <col width="13" customWidth="1" style="29" min="3" max="3"/>
    <col width="10" customWidth="1" style="29" min="4" max="4"/>
    <col width="16" customWidth="1" style="29" min="5" max="5"/>
    <col width="19" customWidth="1" style="29" min="6" max="6"/>
    <col width="21" customWidth="1" style="29" min="7" max="7"/>
    <col width="10" customWidth="1" style="29" min="8" max="8"/>
    <col width="22" customWidth="1" style="29" min="9" max="9"/>
    <col width="12" customWidth="1" style="29" min="10" max="10"/>
    <col width="15" customWidth="1" style="29" min="11" max="11"/>
    <col width="27" customWidth="1" style="29" min="12" max="12"/>
    <col width="31" customWidth="1" style="29" min="13" max="13"/>
    <col width="32" customWidth="1" style="29" min="14" max="14"/>
    <col width="13" customWidth="1" style="29" min="15" max="15"/>
    <col width="16" customWidth="1" style="29" min="16" max="16"/>
    <col width="11" customWidth="1" style="29" min="17" max="17"/>
    <col width="45" customWidth="1" style="29" min="18" max="18"/>
  </cols>
  <sheetData>
    <row r="1">
      <c r="A1" s="48" t="inlineStr">
        <is>
          <t>Page title</t>
        </is>
      </c>
      <c r="B1" s="48" t="inlineStr">
        <is>
          <t>Requested as</t>
        </is>
      </c>
      <c r="C1" s="48" t="inlineStr">
        <is>
          <t>Kind</t>
        </is>
      </c>
      <c r="D1" s="48" t="inlineStr">
        <is>
          <t>Level</t>
        </is>
      </c>
      <c r="E1" s="48" t="inlineStr">
        <is>
          <t>Sell price max</t>
        </is>
      </c>
      <c r="F1" s="48" t="inlineStr">
        <is>
          <t>Time normal (min)</t>
        </is>
      </c>
      <c r="G1" s="48" t="inlineStr">
        <is>
          <t>Time mastered (min)</t>
        </is>
      </c>
      <c r="H1" s="48" t="inlineStr">
        <is>
          <t>XP</t>
        </is>
      </c>
      <c r="I1" s="48" t="inlineStr">
        <is>
          <t>Made in / from</t>
        </is>
      </c>
      <c r="J1" s="48" t="inlineStr">
        <is>
          <t>Base price</t>
        </is>
      </c>
      <c r="K1" s="48" t="inlineStr">
        <is>
          <t>Diamond price</t>
        </is>
      </c>
      <c r="L1" s="48" t="inlineStr">
        <is>
          <t>Icon file</t>
        </is>
      </c>
      <c r="M1" s="48" t="inlineStr">
        <is>
          <t>Ingredient cost (Fandom text)</t>
        </is>
      </c>
      <c r="N1" s="48" t="inlineStr">
        <is>
          <t>Max price per 10 (Fandom text)</t>
        </is>
      </c>
      <c r="O1" s="48" t="inlineStr">
        <is>
          <t>Raw time</t>
        </is>
      </c>
      <c r="P1" s="48" t="inlineStr">
        <is>
          <t>Raw time3</t>
        </is>
      </c>
      <c r="Q1" s="48" t="inlineStr">
        <is>
          <t>Raw price</t>
        </is>
      </c>
      <c r="R1" s="48" t="inlineStr">
        <is>
          <t>Fandom page</t>
        </is>
      </c>
    </row>
    <row r="2">
      <c r="A2" s="28" t="inlineStr">
        <is>
          <t>Affogato</t>
        </is>
      </c>
      <c r="B2" s="28" t="inlineStr">
        <is>
          <t>Affogato</t>
        </is>
      </c>
      <c r="C2" s="28" t="inlineStr">
        <is>
          <t>Product</t>
        </is>
      </c>
      <c r="D2" s="28" t="n">
        <v>78</v>
      </c>
      <c r="E2" s="28" t="n">
        <v>435</v>
      </c>
      <c r="F2" s="28" t="n">
        <v>20</v>
      </c>
      <c r="G2" s="28" t="n">
        <v>17</v>
      </c>
      <c r="H2" s="28" t="n">
        <v>56</v>
      </c>
      <c r="I2" s="28" t="inlineStr">
        <is>
          <t>Ice Cream Maker</t>
        </is>
      </c>
      <c r="J2" s="28" t="n">
        <v>121</v>
      </c>
      <c r="K2" s="28" t="n">
        <v>2</v>
      </c>
      <c r="L2" s="28" t="inlineStr">
        <is>
          <t>Affogato.png</t>
        </is>
      </c>
      <c r="M2" s="28" t="n">
        <v>420</v>
      </c>
      <c r="N2" s="28" t="n">
        <v>4356</v>
      </c>
      <c r="O2" s="28" t="inlineStr">
        <is>
          <t>20 min</t>
        </is>
      </c>
      <c r="P2" s="28" t="inlineStr">
        <is>
          <t>17 min</t>
        </is>
      </c>
      <c r="Q2" s="28" t="inlineStr">
        <is>
          <t>1 to 435</t>
        </is>
      </c>
      <c r="R2" s="28" t="inlineStr">
        <is>
          <t>https://hayday.fandom.com/wiki/Affogato</t>
        </is>
      </c>
    </row>
    <row r="3">
      <c r="A3" s="28" t="inlineStr">
        <is>
          <t>Apple</t>
        </is>
      </c>
      <c r="B3" s="28" t="inlineStr">
        <is>
          <t>Apple</t>
        </is>
      </c>
      <c r="C3" s="28" t="inlineStr">
        <is>
          <t>Crop</t>
        </is>
      </c>
      <c r="D3" s="28" t="n">
        <v>15</v>
      </c>
      <c r="E3" s="28" t="n">
        <v>39</v>
      </c>
      <c r="F3" s="28" t="n">
        <v>960</v>
      </c>
      <c r="H3" s="28" t="n">
        <v>7</v>
      </c>
      <c r="I3" s="28" t="inlineStr">
        <is>
          <t>Apple Tree</t>
        </is>
      </c>
      <c r="J3" s="28" t="n">
        <v>11</v>
      </c>
      <c r="K3" s="28" t="n">
        <v>7</v>
      </c>
      <c r="L3" s="28" t="inlineStr">
        <is>
          <t>Apple.png</t>
        </is>
      </c>
      <c r="N3" s="28" t="n">
        <v>396</v>
      </c>
      <c r="O3" s="28" t="inlineStr">
        <is>
          <t>16 h</t>
        </is>
      </c>
      <c r="Q3" s="28" t="inlineStr">
        <is>
          <t>1 to 39</t>
        </is>
      </c>
      <c r="R3" s="28" t="inlineStr">
        <is>
          <t>https://hayday.fandom.com/wiki/Apple</t>
        </is>
      </c>
    </row>
    <row r="4">
      <c r="A4" s="28" t="inlineStr">
        <is>
          <t>Apple Ginger Tea</t>
        </is>
      </c>
      <c r="B4" s="28" t="inlineStr">
        <is>
          <t>Apple Ginger Tea</t>
        </is>
      </c>
      <c r="C4" s="28" t="inlineStr">
        <is>
          <t>Product</t>
        </is>
      </c>
      <c r="D4" s="28" t="n">
        <v>88</v>
      </c>
      <c r="E4" s="28" t="n">
        <v>169</v>
      </c>
      <c r="F4" s="28" t="n">
        <v>30</v>
      </c>
      <c r="G4" s="28" t="n">
        <v>25</v>
      </c>
      <c r="H4" s="28" t="n">
        <v>20</v>
      </c>
      <c r="I4" s="28" t="inlineStr">
        <is>
          <t>Tea Stand</t>
        </is>
      </c>
      <c r="J4" s="28" t="n">
        <v>47</v>
      </c>
      <c r="K4" s="28" t="n">
        <v>3</v>
      </c>
      <c r="L4" s="28" t="inlineStr">
        <is>
          <t>Apple Ginger Tea.png</t>
        </is>
      </c>
      <c r="O4" s="28" t="inlineStr">
        <is>
          <t>30 min</t>
        </is>
      </c>
      <c r="P4" s="28" t="inlineStr">
        <is>
          <t>25 min</t>
        </is>
      </c>
      <c r="Q4" s="28" t="inlineStr">
        <is>
          <t>1 to 169</t>
        </is>
      </c>
      <c r="R4" s="28" t="inlineStr">
        <is>
          <t>https://hayday.fandom.com/wiki/Apple_Ginger_Tea</t>
        </is>
      </c>
    </row>
    <row r="5">
      <c r="A5" s="28" t="inlineStr">
        <is>
          <t>Apple Jam</t>
        </is>
      </c>
      <c r="B5" s="28" t="inlineStr">
        <is>
          <t>Apple Jam</t>
        </is>
      </c>
      <c r="C5" s="28" t="inlineStr">
        <is>
          <t>Product</t>
        </is>
      </c>
      <c r="D5" s="28" t="n">
        <v>35</v>
      </c>
      <c r="E5" s="28" t="n">
        <v>219</v>
      </c>
      <c r="F5" s="28" t="n">
        <v>360</v>
      </c>
      <c r="G5" s="28" t="n">
        <v>306</v>
      </c>
      <c r="H5" s="28" t="n">
        <v>26</v>
      </c>
      <c r="I5" s="28" t="inlineStr">
        <is>
          <t>Jam Maker</t>
        </is>
      </c>
      <c r="J5" s="28" t="n">
        <v>61</v>
      </c>
      <c r="K5" s="28" t="n">
        <v>7</v>
      </c>
      <c r="L5" s="28" t="inlineStr">
        <is>
          <t>Apple Jam.png</t>
        </is>
      </c>
      <c r="M5" s="28" t="n">
        <v>117</v>
      </c>
      <c r="N5" s="28" t="n">
        <v>2196</v>
      </c>
      <c r="O5" s="28" t="inlineStr">
        <is>
          <t>6 h</t>
        </is>
      </c>
      <c r="P5" s="28" t="inlineStr">
        <is>
          <t>5 h 6 min</t>
        </is>
      </c>
      <c r="Q5" s="28" t="inlineStr">
        <is>
          <t>1 to 219</t>
        </is>
      </c>
      <c r="R5" s="28" t="inlineStr">
        <is>
          <t>https://hayday.fandom.com/wiki/Apple_Jam</t>
        </is>
      </c>
    </row>
    <row r="6">
      <c r="A6" s="28" t="inlineStr">
        <is>
          <t>Apple Juice</t>
        </is>
      </c>
      <c r="B6" s="28" t="inlineStr">
        <is>
          <t>Apple Juice</t>
        </is>
      </c>
      <c r="C6" s="28" t="inlineStr">
        <is>
          <t>Product</t>
        </is>
      </c>
      <c r="D6" s="28" t="n">
        <v>28</v>
      </c>
      <c r="E6" s="28" t="n">
        <v>111</v>
      </c>
      <c r="F6" s="28" t="n">
        <v>120</v>
      </c>
      <c r="G6" s="28" t="n">
        <v>102</v>
      </c>
      <c r="H6" s="28" t="n">
        <v>15</v>
      </c>
      <c r="I6" s="28" t="inlineStr">
        <is>
          <t>Juice Press</t>
        </is>
      </c>
      <c r="J6" s="28" t="n">
        <v>31</v>
      </c>
      <c r="K6" s="28" t="n">
        <v>5</v>
      </c>
      <c r="L6" s="28" t="inlineStr">
        <is>
          <t>Apple Juice.png</t>
        </is>
      </c>
      <c r="M6" s="28" t="n">
        <v>78</v>
      </c>
      <c r="N6" s="28" t="n">
        <v>1116</v>
      </c>
      <c r="O6" s="28" t="inlineStr">
        <is>
          <t>2h</t>
        </is>
      </c>
      <c r="P6" s="28" t="inlineStr">
        <is>
          <t>1 h 42 min</t>
        </is>
      </c>
      <c r="Q6" s="28" t="inlineStr">
        <is>
          <t>1 to 111</t>
        </is>
      </c>
      <c r="R6" s="28" t="inlineStr">
        <is>
          <t>https://hayday.fandom.com/wiki/Apple_Juice</t>
        </is>
      </c>
    </row>
    <row r="7">
      <c r="A7" s="28" t="inlineStr">
        <is>
          <t>Apple Pie</t>
        </is>
      </c>
      <c r="B7" s="28" t="inlineStr">
        <is>
          <t>Apple Pie</t>
        </is>
      </c>
      <c r="C7" s="28" t="inlineStr">
        <is>
          <t>Product</t>
        </is>
      </c>
      <c r="D7" s="28" t="n">
        <v>28</v>
      </c>
      <c r="E7" s="28" t="n">
        <v>270</v>
      </c>
      <c r="F7" s="28" t="n">
        <v>150</v>
      </c>
      <c r="G7" s="28" t="n">
        <v>127</v>
      </c>
      <c r="H7" s="28" t="n">
        <v>32</v>
      </c>
      <c r="I7" s="28" t="inlineStr">
        <is>
          <t>Pie Oven</t>
        </is>
      </c>
      <c r="J7" s="28" t="n">
        <v>75</v>
      </c>
      <c r="K7" s="28" t="n">
        <v>6</v>
      </c>
      <c r="L7" s="28" t="inlineStr">
        <is>
          <t>Apple Pie.png</t>
        </is>
      </c>
      <c r="M7" s="28" t="n">
        <v>231</v>
      </c>
      <c r="N7" s="28" t="n">
        <v>2700</v>
      </c>
      <c r="O7" s="28" t="inlineStr">
        <is>
          <t>2 h 30 m</t>
        </is>
      </c>
      <c r="P7" s="28" t="inlineStr">
        <is>
          <t>2 h 7 min</t>
        </is>
      </c>
      <c r="Q7" s="28" t="inlineStr">
        <is>
          <t>1 to 270</t>
        </is>
      </c>
      <c r="R7" s="28" t="inlineStr">
        <is>
          <t>https://hayday.fandom.com/wiki/Apple_Pie</t>
        </is>
      </c>
    </row>
    <row r="8">
      <c r="A8" s="28" t="inlineStr">
        <is>
          <t>Asparagus Quiche</t>
        </is>
      </c>
      <c r="B8" s="28" t="inlineStr">
        <is>
          <t>Asparagus Quiche</t>
        </is>
      </c>
      <c r="C8" s="28" t="inlineStr">
        <is>
          <t>Product</t>
        </is>
      </c>
      <c r="D8" s="28" t="n">
        <v>49</v>
      </c>
      <c r="E8" s="28" t="n">
        <v>302</v>
      </c>
      <c r="F8" s="28" t="n">
        <v>120</v>
      </c>
      <c r="G8" s="28" t="n">
        <v>102</v>
      </c>
      <c r="H8" s="28" t="n">
        <v>36</v>
      </c>
      <c r="I8" s="28" t="inlineStr">
        <is>
          <t>Pie Oven</t>
        </is>
      </c>
      <c r="J8" s="28" t="n">
        <v>102</v>
      </c>
      <c r="K8" s="28" t="n">
        <v>5</v>
      </c>
      <c r="L8" s="28" t="inlineStr">
        <is>
          <t>Asparagus Quiche.png</t>
        </is>
      </c>
      <c r="M8" s="28" t="n">
        <v>256</v>
      </c>
      <c r="N8" s="28" t="n">
        <v>3024</v>
      </c>
      <c r="O8" s="28" t="inlineStr">
        <is>
          <t>2 h</t>
        </is>
      </c>
      <c r="P8" s="28" t="inlineStr">
        <is>
          <t>1 h 42 min</t>
        </is>
      </c>
      <c r="Q8" s="28" t="inlineStr">
        <is>
          <t>1 to 302</t>
        </is>
      </c>
      <c r="R8" s="28" t="inlineStr">
        <is>
          <t>https://hayday.fandom.com/wiki/Asparagus_Quiche</t>
        </is>
      </c>
    </row>
    <row r="9">
      <c r="A9" s="28" t="inlineStr">
        <is>
          <t>Asparagus Soup</t>
        </is>
      </c>
      <c r="B9" s="28" t="inlineStr">
        <is>
          <t>Asparagus Soup</t>
        </is>
      </c>
      <c r="C9" s="28" t="inlineStr">
        <is>
          <t>Product</t>
        </is>
      </c>
      <c r="D9" s="28" t="n">
        <v>51</v>
      </c>
      <c r="E9" s="28" t="n">
        <v>255</v>
      </c>
      <c r="F9" s="28" t="n">
        <v>60</v>
      </c>
      <c r="G9" s="28" t="n">
        <v>51</v>
      </c>
      <c r="H9" s="28" t="n">
        <v>30</v>
      </c>
      <c r="I9" s="28" t="inlineStr">
        <is>
          <t>Soup Kitchen</t>
        </is>
      </c>
      <c r="J9" s="28" t="n">
        <v>71</v>
      </c>
      <c r="K9" s="28" t="n">
        <v>4</v>
      </c>
      <c r="L9" s="28" t="inlineStr">
        <is>
          <t>Asparagus Soup.png</t>
        </is>
      </c>
      <c r="M9" s="28" t="n">
        <v>229</v>
      </c>
      <c r="N9" s="28" t="n">
        <v>2556</v>
      </c>
      <c r="O9" s="28" t="inlineStr">
        <is>
          <t>1 h</t>
        </is>
      </c>
      <c r="P9" s="28" t="inlineStr">
        <is>
          <t>51 min</t>
        </is>
      </c>
      <c r="Q9" s="28" t="inlineStr">
        <is>
          <t>1 to 255</t>
        </is>
      </c>
      <c r="R9" s="28" t="inlineStr">
        <is>
          <t>https://hayday.fandom.com/wiki/Asparagus_Soup</t>
        </is>
      </c>
    </row>
    <row r="10">
      <c r="A10" s="28" t="inlineStr">
        <is>
          <t>BLT Salad</t>
        </is>
      </c>
      <c r="B10" s="28" t="inlineStr">
        <is>
          <t>BLT Salad</t>
        </is>
      </c>
      <c r="C10" s="28" t="inlineStr">
        <is>
          <t>Product</t>
        </is>
      </c>
      <c r="D10" s="28" t="n">
        <v>62</v>
      </c>
      <c r="E10" s="28" t="n">
        <v>723</v>
      </c>
      <c r="F10" s="28" t="n">
        <v>105</v>
      </c>
      <c r="G10" s="28" t="n">
        <v>89</v>
      </c>
      <c r="H10" s="28" t="n">
        <v>86</v>
      </c>
      <c r="I10" s="28" t="inlineStr">
        <is>
          <t>Salad Bar</t>
        </is>
      </c>
      <c r="J10" s="28" t="n">
        <v>201</v>
      </c>
      <c r="K10" s="28" t="n">
        <v>5</v>
      </c>
      <c r="L10" s="28" t="inlineStr">
        <is>
          <t>BLT_Salad.png</t>
        </is>
      </c>
      <c r="M10" s="28" t="n">
        <v>681</v>
      </c>
      <c r="N10" s="28" t="n">
        <v>7236</v>
      </c>
      <c r="O10" s="28" t="inlineStr">
        <is>
          <t>1 h 45 min</t>
        </is>
      </c>
      <c r="P10" s="28" t="inlineStr">
        <is>
          <t>1 h 29 min</t>
        </is>
      </c>
      <c r="Q10" s="28" t="inlineStr">
        <is>
          <t>1 to 723</t>
        </is>
      </c>
      <c r="R10" s="28" t="inlineStr">
        <is>
          <t>https://hayday.fandom.com/wiki/BLT_Salad</t>
        </is>
      </c>
    </row>
    <row r="11">
      <c r="A11" s="28" t="inlineStr">
        <is>
          <t>Bacon</t>
        </is>
      </c>
      <c r="B11" s="28" t="inlineStr">
        <is>
          <t>Bacon</t>
        </is>
      </c>
      <c r="C11" s="28" t="inlineStr">
        <is>
          <t>Animal good</t>
        </is>
      </c>
      <c r="D11" s="28" t="n">
        <v>10</v>
      </c>
      <c r="E11" s="28" t="n">
        <v>50</v>
      </c>
      <c r="F11" s="28" t="n">
        <v>240</v>
      </c>
      <c r="H11" s="28" t="n">
        <v>5</v>
      </c>
      <c r="I11" s="28" t="inlineStr">
        <is>
          <t>Pig</t>
        </is>
      </c>
      <c r="J11" s="28" t="n">
        <v>14</v>
      </c>
      <c r="K11" s="28" t="n">
        <v>7</v>
      </c>
      <c r="L11" s="28" t="inlineStr">
        <is>
          <t>Bacon.png</t>
        </is>
      </c>
      <c r="N11" s="28" t="n">
        <v>504</v>
      </c>
      <c r="O11" s="28" t="inlineStr">
        <is>
          <t>4 h</t>
        </is>
      </c>
      <c r="Q11" s="28" t="inlineStr">
        <is>
          <t>1 to 50</t>
        </is>
      </c>
      <c r="R11" s="28" t="inlineStr">
        <is>
          <t>https://hayday.fandom.com/wiki/Bacon</t>
        </is>
      </c>
    </row>
    <row r="12">
      <c r="A12" s="28" t="inlineStr">
        <is>
          <t>Bacon Donut</t>
        </is>
      </c>
      <c r="B12" s="28" t="inlineStr">
        <is>
          <t>Bacon Donut</t>
        </is>
      </c>
      <c r="C12" s="28" t="inlineStr">
        <is>
          <t>Product</t>
        </is>
      </c>
      <c r="D12" s="28" t="n">
        <v>88</v>
      </c>
      <c r="E12" s="28" t="n">
        <v>388</v>
      </c>
      <c r="F12" s="28" t="n">
        <v>30</v>
      </c>
      <c r="G12" s="28" t="n">
        <v>25</v>
      </c>
      <c r="H12" s="28" t="n">
        <v>46</v>
      </c>
      <c r="I12" s="28" t="inlineStr">
        <is>
          <t>Donut Maker</t>
        </is>
      </c>
      <c r="J12" s="28" t="n">
        <v>108</v>
      </c>
      <c r="K12" s="28" t="n">
        <v>3</v>
      </c>
      <c r="L12" s="28" t="inlineStr">
        <is>
          <t>Bacon Donut.png</t>
        </is>
      </c>
      <c r="M12" s="28" t="n">
        <v>369</v>
      </c>
      <c r="N12" s="28" t="n">
        <v>3888</v>
      </c>
      <c r="O12" s="28" t="inlineStr">
        <is>
          <t>30 min</t>
        </is>
      </c>
      <c r="P12" s="28" t="inlineStr">
        <is>
          <t>25 min</t>
        </is>
      </c>
      <c r="Q12" s="28" t="inlineStr">
        <is>
          <t>1 to 388</t>
        </is>
      </c>
      <c r="R12" s="28" t="inlineStr">
        <is>
          <t>https://hayday.fandom.com/wiki/Bacon_Donut</t>
        </is>
      </c>
    </row>
    <row r="13">
      <c r="A13" s="28" t="inlineStr">
        <is>
          <t>Bacon Fondue</t>
        </is>
      </c>
      <c r="B13" s="28" t="inlineStr">
        <is>
          <t>Bacon Fondue</t>
        </is>
      </c>
      <c r="C13" s="28" t="inlineStr">
        <is>
          <t>product</t>
        </is>
      </c>
      <c r="D13" s="28" t="n">
        <v>86</v>
      </c>
      <c r="E13" s="28" t="n">
        <v>507</v>
      </c>
      <c r="F13" s="28" t="n">
        <v>30</v>
      </c>
      <c r="G13" s="28" t="n">
        <v>25</v>
      </c>
      <c r="H13" s="28" t="n">
        <v>60</v>
      </c>
      <c r="I13" s="28" t="inlineStr">
        <is>
          <t>Fondue Pot</t>
        </is>
      </c>
      <c r="J13" s="28" t="n">
        <v>141</v>
      </c>
      <c r="K13" s="28" t="n">
        <v>3</v>
      </c>
      <c r="L13" s="28" t="inlineStr">
        <is>
          <t>Bacon Fondue.png</t>
        </is>
      </c>
      <c r="M13" s="28" t="n">
        <v>484</v>
      </c>
      <c r="N13" s="28" t="n">
        <v>5076</v>
      </c>
      <c r="O13" s="28" t="inlineStr">
        <is>
          <t>30 min</t>
        </is>
      </c>
      <c r="P13" s="28" t="inlineStr">
        <is>
          <t>25 min</t>
        </is>
      </c>
      <c r="Q13" s="28" t="inlineStr">
        <is>
          <t>1 to 507</t>
        </is>
      </c>
      <c r="R13" s="28" t="inlineStr">
        <is>
          <t>https://hayday.fandom.com/wiki/Bacon_Fondue</t>
        </is>
      </c>
    </row>
    <row r="14">
      <c r="A14" s="28" t="inlineStr">
        <is>
          <t>Bacon Fries</t>
        </is>
      </c>
      <c r="B14" s="28" t="inlineStr">
        <is>
          <t>Bacon Fries</t>
        </is>
      </c>
      <c r="C14" s="28" t="inlineStr">
        <is>
          <t>Product</t>
        </is>
      </c>
      <c r="D14" s="28" t="n">
        <v>87</v>
      </c>
      <c r="E14" s="28" t="n">
        <v>302</v>
      </c>
      <c r="F14" s="28" t="n">
        <v>25</v>
      </c>
      <c r="G14" s="28" t="n">
        <v>21</v>
      </c>
      <c r="H14" s="28" t="n">
        <v>36</v>
      </c>
      <c r="I14" s="28" t="inlineStr">
        <is>
          <t>Deep Fryer</t>
        </is>
      </c>
      <c r="J14" s="28" t="n">
        <v>84</v>
      </c>
      <c r="K14" s="28" t="n">
        <v>3</v>
      </c>
      <c r="L14" s="28" t="inlineStr">
        <is>
          <t>Bacon Fries.png</t>
        </is>
      </c>
      <c r="M14" s="28" t="n">
        <v>294</v>
      </c>
      <c r="N14" s="28" t="n">
        <v>3024</v>
      </c>
      <c r="O14" s="28" t="inlineStr">
        <is>
          <t>25 min</t>
        </is>
      </c>
      <c r="P14" s="28" t="inlineStr">
        <is>
          <t>21 min</t>
        </is>
      </c>
      <c r="Q14" s="28" t="inlineStr">
        <is>
          <t>1 to 302</t>
        </is>
      </c>
      <c r="R14" s="28" t="inlineStr">
        <is>
          <t>https://hayday.fandom.com/wiki/Bacon_Fries</t>
        </is>
      </c>
    </row>
    <row r="15">
      <c r="A15" s="28" t="inlineStr">
        <is>
          <t>Bacon Pie</t>
        </is>
      </c>
      <c r="B15" s="28" t="inlineStr">
        <is>
          <t>Bacon Pie</t>
        </is>
      </c>
      <c r="C15" s="28" t="inlineStr">
        <is>
          <t>Product</t>
        </is>
      </c>
      <c r="D15" s="28" t="n">
        <v>18</v>
      </c>
      <c r="E15" s="28" t="n">
        <v>219</v>
      </c>
      <c r="F15" s="28" t="n">
        <v>180</v>
      </c>
      <c r="G15" s="28" t="n">
        <v>153</v>
      </c>
      <c r="H15" s="28" t="n">
        <v>26</v>
      </c>
      <c r="I15" s="28" t="inlineStr">
        <is>
          <t>Pie Oven</t>
        </is>
      </c>
      <c r="J15" s="28" t="n">
        <v>61</v>
      </c>
      <c r="K15" s="28" t="n">
        <v>6</v>
      </c>
      <c r="L15" s="28" t="inlineStr">
        <is>
          <t>Bacon Pie.png</t>
        </is>
      </c>
      <c r="M15" s="28" t="n">
        <v>174</v>
      </c>
      <c r="N15" s="28" t="n">
        <v>2196</v>
      </c>
      <c r="O15" s="28" t="inlineStr">
        <is>
          <t>3 h</t>
        </is>
      </c>
      <c r="P15" s="28" t="inlineStr">
        <is>
          <t>2 hr 33 min</t>
        </is>
      </c>
      <c r="Q15" s="28" t="inlineStr">
        <is>
          <t>1 to 219</t>
        </is>
      </c>
      <c r="R15" s="28" t="inlineStr">
        <is>
          <t>https://hayday.fandom.com/wiki/Bacon_Pie</t>
        </is>
      </c>
    </row>
    <row r="16">
      <c r="A16" s="28" t="inlineStr">
        <is>
          <t>Bacon Toast</t>
        </is>
      </c>
      <c r="B16" s="28" t="inlineStr">
        <is>
          <t>Bacon Toast</t>
        </is>
      </c>
      <c r="C16" s="28" t="inlineStr">
        <is>
          <t>Product</t>
        </is>
      </c>
      <c r="D16" s="28" t="n">
        <v>65</v>
      </c>
      <c r="E16" s="28" t="n">
        <v>648</v>
      </c>
      <c r="F16" s="28" t="n">
        <v>100</v>
      </c>
      <c r="G16" s="28" t="n">
        <v>85</v>
      </c>
      <c r="H16" s="28" t="n">
        <v>77</v>
      </c>
      <c r="I16" s="28" t="inlineStr">
        <is>
          <t>Sandwich Bar</t>
        </is>
      </c>
      <c r="J16" s="28" t="n">
        <v>180</v>
      </c>
      <c r="K16" s="28" t="n">
        <v>5</v>
      </c>
      <c r="L16" s="28" t="inlineStr">
        <is>
          <t>Bacon_Toast.png</t>
        </is>
      </c>
      <c r="M16" s="28" t="n">
        <v>605</v>
      </c>
      <c r="N16" s="28" t="n">
        <v>6480</v>
      </c>
      <c r="O16" s="28" t="inlineStr">
        <is>
          <t>1 h 40 min</t>
        </is>
      </c>
      <c r="P16" s="28" t="inlineStr">
        <is>
          <t>1 h 25 min</t>
        </is>
      </c>
      <c r="Q16" s="28" t="inlineStr">
        <is>
          <t>1 to 648</t>
        </is>
      </c>
      <c r="R16" s="28" t="inlineStr">
        <is>
          <t>https://hayday.fandom.com/wiki/Bacon_Toast</t>
        </is>
      </c>
    </row>
    <row r="17">
      <c r="A17" s="28" t="inlineStr">
        <is>
          <t>Bacon and Eggs</t>
        </is>
      </c>
      <c r="B17" s="28" t="inlineStr">
        <is>
          <t>Bacon and Eggs</t>
        </is>
      </c>
      <c r="C17" s="28" t="inlineStr">
        <is>
          <t>Product</t>
        </is>
      </c>
      <c r="D17" s="28" t="n">
        <v>11</v>
      </c>
      <c r="E17" s="28" t="n">
        <v>201</v>
      </c>
      <c r="F17" s="28" t="n">
        <v>60</v>
      </c>
      <c r="G17" s="28" t="n">
        <v>51</v>
      </c>
      <c r="H17" s="28" t="n">
        <v>24</v>
      </c>
      <c r="I17" s="28" t="inlineStr">
        <is>
          <t>BBQ Grill</t>
        </is>
      </c>
      <c r="J17" s="28" t="n">
        <v>56</v>
      </c>
      <c r="K17" s="28" t="n">
        <v>4</v>
      </c>
      <c r="L17" s="28" t="inlineStr">
        <is>
          <t>Bacon_and_Eggs.png</t>
        </is>
      </c>
      <c r="M17" s="28" t="n">
        <v>172</v>
      </c>
      <c r="N17" s="28" t="n">
        <v>2016</v>
      </c>
      <c r="O17" s="28" t="inlineStr">
        <is>
          <t>1 h</t>
        </is>
      </c>
      <c r="P17" s="28" t="inlineStr">
        <is>
          <t>51 minutes</t>
        </is>
      </c>
      <c r="Q17" s="28" t="inlineStr">
        <is>
          <t>1 to 201</t>
        </is>
      </c>
      <c r="R17" s="28" t="inlineStr">
        <is>
          <t>https://hayday.fandom.com/wiki/Bacon_and_Eggs</t>
        </is>
      </c>
    </row>
    <row r="18">
      <c r="A18" s="28" t="inlineStr">
        <is>
          <t>Baked Potato</t>
        </is>
      </c>
      <c r="B18" s="28" t="inlineStr">
        <is>
          <t>Baked Potato</t>
        </is>
      </c>
      <c r="C18" s="28" t="inlineStr">
        <is>
          <t>Product</t>
        </is>
      </c>
      <c r="D18" s="28" t="n">
        <v>35</v>
      </c>
      <c r="E18" s="28" t="n">
        <v>298</v>
      </c>
      <c r="F18" s="28" t="n">
        <v>35</v>
      </c>
      <c r="G18" s="28" t="n">
        <v>29</v>
      </c>
      <c r="H18" s="28" t="n">
        <v>36</v>
      </c>
      <c r="I18" s="28" t="inlineStr">
        <is>
          <t>BBQ Grill</t>
        </is>
      </c>
      <c r="J18" s="28" t="n">
        <v>83</v>
      </c>
      <c r="K18" s="28" t="n">
        <v>3</v>
      </c>
      <c r="L18" s="28" t="inlineStr">
        <is>
          <t>Baked Potato.png</t>
        </is>
      </c>
      <c r="M18" s="28" t="n">
        <v>280</v>
      </c>
      <c r="N18" s="28" t="n">
        <v>2988</v>
      </c>
      <c r="O18" s="28" t="inlineStr">
        <is>
          <t>35 minutes</t>
        </is>
      </c>
      <c r="P18" s="28" t="inlineStr">
        <is>
          <t>29 minutes</t>
        </is>
      </c>
      <c r="Q18" s="28" t="inlineStr">
        <is>
          <t>1 to 298</t>
        </is>
      </c>
      <c r="R18" s="28" t="inlineStr">
        <is>
          <t>https://hayday.fandom.com/wiki/Baked_Potato</t>
        </is>
      </c>
    </row>
    <row r="19">
      <c r="A19" s="28" t="inlineStr">
        <is>
          <t>Banana</t>
        </is>
      </c>
      <c r="B19" s="28" t="inlineStr">
        <is>
          <t>Banana</t>
        </is>
      </c>
      <c r="C19" s="28" t="inlineStr">
        <is>
          <t>Crop</t>
        </is>
      </c>
      <c r="D19" s="28" t="n">
        <v>88</v>
      </c>
      <c r="E19" s="28" t="n">
        <v>104</v>
      </c>
      <c r="F19" s="28" t="n">
        <v>1680</v>
      </c>
      <c r="H19" s="28" t="n">
        <v>20</v>
      </c>
      <c r="I19" s="28" t="inlineStr">
        <is>
          <t>Banana Tree</t>
        </is>
      </c>
      <c r="J19" s="28" t="n">
        <v>29</v>
      </c>
      <c r="K19" s="28" t="n">
        <v>17</v>
      </c>
      <c r="L19" s="28" t="inlineStr">
        <is>
          <t>Banana.png</t>
        </is>
      </c>
      <c r="O19" s="28" t="inlineStr">
        <is>
          <t>1 d 4 h</t>
        </is>
      </c>
      <c r="Q19" s="28" t="inlineStr">
        <is>
          <t>1 to 104</t>
        </is>
      </c>
      <c r="R19" s="28" t="inlineStr">
        <is>
          <t>https://hayday.fandom.com/wiki/Banana</t>
        </is>
      </c>
    </row>
    <row r="20">
      <c r="A20" s="28" t="inlineStr">
        <is>
          <t>Banana Bread</t>
        </is>
      </c>
      <c r="B20" s="28" t="inlineStr">
        <is>
          <t>Banana Bread</t>
        </is>
      </c>
      <c r="C20" s="28" t="inlineStr">
        <is>
          <t>Product</t>
        </is>
      </c>
      <c r="D20" s="28" t="n">
        <v>91</v>
      </c>
      <c r="E20" s="28" t="n">
        <v>424</v>
      </c>
      <c r="F20" s="28" t="n">
        <v>30</v>
      </c>
      <c r="G20" s="28" t="n">
        <v>25</v>
      </c>
      <c r="H20" s="28" t="n">
        <v>50</v>
      </c>
      <c r="I20" s="28" t="inlineStr">
        <is>
          <t>Bakery</t>
        </is>
      </c>
      <c r="J20" s="28" t="n">
        <v>118</v>
      </c>
      <c r="K20" s="28" t="n">
        <v>3</v>
      </c>
      <c r="L20" s="28" t="inlineStr">
        <is>
          <t>Banana Bread.png</t>
        </is>
      </c>
      <c r="M20" s="28" t="n">
        <v>403</v>
      </c>
      <c r="N20" s="28" t="n">
        <v>4248</v>
      </c>
      <c r="O20" s="28" t="inlineStr">
        <is>
          <t>30 min</t>
        </is>
      </c>
      <c r="P20" s="28" t="inlineStr">
        <is>
          <t>25 min</t>
        </is>
      </c>
      <c r="Q20" s="28" t="inlineStr">
        <is>
          <t>1 to 424</t>
        </is>
      </c>
      <c r="R20" s="28" t="inlineStr">
        <is>
          <t>https://hayday.fandom.com/wiki/Banana_Bread</t>
        </is>
      </c>
    </row>
    <row r="21">
      <c r="A21" s="28" t="inlineStr">
        <is>
          <t>Banana Pancakes</t>
        </is>
      </c>
      <c r="B21" s="28" t="inlineStr">
        <is>
          <t>Banana Pancakes</t>
        </is>
      </c>
      <c r="C21" s="28" t="inlineStr">
        <is>
          <t>Product</t>
        </is>
      </c>
      <c r="D21" s="28" t="n">
        <v>94</v>
      </c>
      <c r="E21" s="28" t="n">
        <v>352</v>
      </c>
      <c r="F21" s="28" t="n">
        <v>60</v>
      </c>
      <c r="G21" s="28" t="n">
        <v>51</v>
      </c>
      <c r="H21" s="28" t="n">
        <v>42</v>
      </c>
      <c r="I21" s="28" t="inlineStr">
        <is>
          <t>BBQ Grill</t>
        </is>
      </c>
      <c r="J21" s="28" t="n">
        <v>98</v>
      </c>
      <c r="K21" s="28" t="n">
        <v>4</v>
      </c>
      <c r="L21" s="28" t="inlineStr">
        <is>
          <t>Banana Pancakes.png</t>
        </is>
      </c>
      <c r="M21" s="28" t="n">
        <v>327</v>
      </c>
      <c r="N21" s="28" t="n">
        <v>3528</v>
      </c>
      <c r="O21" s="28" t="inlineStr">
        <is>
          <t>1 h</t>
        </is>
      </c>
      <c r="P21" s="28" t="inlineStr">
        <is>
          <t>51 min</t>
        </is>
      </c>
      <c r="Q21" s="28" t="inlineStr">
        <is>
          <t>1 to 352</t>
        </is>
      </c>
      <c r="R21" s="28" t="inlineStr">
        <is>
          <t>https://hayday.fandom.com/wiki/Banana_Pancakes</t>
        </is>
      </c>
    </row>
    <row r="22">
      <c r="A22" s="28" t="inlineStr">
        <is>
          <t>Banana Split</t>
        </is>
      </c>
      <c r="B22" s="28" t="inlineStr">
        <is>
          <t>Banana Split</t>
        </is>
      </c>
      <c r="C22" s="28" t="inlineStr">
        <is>
          <t>Product</t>
        </is>
      </c>
      <c r="D22" s="28" t="n">
        <v>96</v>
      </c>
      <c r="E22" s="28" t="n">
        <v>403</v>
      </c>
      <c r="F22" s="28" t="n">
        <v>210</v>
      </c>
      <c r="G22" s="28" t="n">
        <v>178</v>
      </c>
      <c r="H22" s="28" t="n">
        <v>48</v>
      </c>
      <c r="I22" s="28" t="inlineStr">
        <is>
          <t>Ice Cream Maker</t>
        </is>
      </c>
      <c r="J22" s="28" t="n">
        <v>112</v>
      </c>
      <c r="K22" s="28" t="n">
        <v>6</v>
      </c>
      <c r="L22" s="28" t="inlineStr">
        <is>
          <t>Banana Split.png</t>
        </is>
      </c>
      <c r="M22" s="28" t="n">
        <v>358</v>
      </c>
      <c r="N22" s="28" t="n">
        <v>4032</v>
      </c>
      <c r="O22" s="28" t="inlineStr">
        <is>
          <t>3 h 30 min</t>
        </is>
      </c>
      <c r="P22" s="28" t="inlineStr">
        <is>
          <t>2 h 58 min</t>
        </is>
      </c>
      <c r="Q22" s="28" t="inlineStr">
        <is>
          <t>1 to 403</t>
        </is>
      </c>
      <c r="R22" s="28" t="inlineStr">
        <is>
          <t>https://hayday.fandom.com/wiki/Banana_Split</t>
        </is>
      </c>
    </row>
    <row r="23">
      <c r="A23" s="28" t="inlineStr">
        <is>
          <t>Bean Dip</t>
        </is>
      </c>
      <c r="B23" s="28" t="inlineStr">
        <is>
          <t>Bean Dip</t>
        </is>
      </c>
      <c r="C23" s="28" t="inlineStr">
        <is>
          <t>Product</t>
        </is>
      </c>
      <c r="D23" s="28" t="n">
        <v>54</v>
      </c>
      <c r="E23" s="28" t="n">
        <v>126</v>
      </c>
      <c r="F23" s="28" t="n">
        <v>40</v>
      </c>
      <c r="G23" s="28" t="n">
        <v>34</v>
      </c>
      <c r="H23" s="28" t="n">
        <v>15</v>
      </c>
      <c r="I23" s="28" t="inlineStr">
        <is>
          <t>Sauce Maker</t>
        </is>
      </c>
      <c r="J23" s="28" t="n">
        <v>35</v>
      </c>
      <c r="K23" s="28" t="n">
        <v>3</v>
      </c>
      <c r="L23" s="28" t="inlineStr">
        <is>
          <t>Bean Dip.png</t>
        </is>
      </c>
      <c r="M23" s="28" t="n">
        <v>100</v>
      </c>
      <c r="N23" s="28" t="n">
        <v>1260</v>
      </c>
      <c r="O23" s="28" t="inlineStr">
        <is>
          <t>40 min</t>
        </is>
      </c>
      <c r="P23" s="28" t="inlineStr">
        <is>
          <t>34 min</t>
        </is>
      </c>
      <c r="Q23" s="28" t="inlineStr">
        <is>
          <t>1 to 126</t>
        </is>
      </c>
      <c r="R23" s="28" t="inlineStr">
        <is>
          <t>https://hayday.fandom.com/wiki/Bean_Dip</t>
        </is>
      </c>
    </row>
    <row r="24">
      <c r="A24" s="28" t="inlineStr">
        <is>
          <t>Bean Salad</t>
        </is>
      </c>
      <c r="B24" s="28" t="inlineStr">
        <is>
          <t>Bean Salad</t>
        </is>
      </c>
      <c r="C24" s="28" t="inlineStr">
        <is>
          <t>Product</t>
        </is>
      </c>
      <c r="D24" s="28" t="n">
        <v>58</v>
      </c>
      <c r="E24" s="28" t="n">
        <v>169</v>
      </c>
      <c r="F24" s="28" t="n">
        <v>60</v>
      </c>
      <c r="G24" s="28" t="n">
        <v>51</v>
      </c>
      <c r="H24" s="28" t="n">
        <v>20</v>
      </c>
      <c r="I24" s="28" t="inlineStr">
        <is>
          <t>Salad Bar</t>
        </is>
      </c>
      <c r="J24" s="28" t="n">
        <v>47</v>
      </c>
      <c r="K24" s="28" t="n">
        <v>4</v>
      </c>
      <c r="L24" s="28" t="inlineStr">
        <is>
          <t>Bean Salad.png</t>
        </is>
      </c>
      <c r="M24" s="28" t="n">
        <v>135</v>
      </c>
      <c r="N24" s="28" t="n">
        <v>1692</v>
      </c>
      <c r="O24" s="28" t="inlineStr">
        <is>
          <t>1 h</t>
        </is>
      </c>
      <c r="P24" s="28" t="inlineStr">
        <is>
          <t>51 min</t>
        </is>
      </c>
      <c r="Q24" s="28" t="inlineStr">
        <is>
          <t>1 to 169</t>
        </is>
      </c>
      <c r="R24" s="28" t="inlineStr">
        <is>
          <t>https://hayday.fandom.com/wiki/Bean_Salad</t>
        </is>
      </c>
    </row>
    <row r="25">
      <c r="A25" s="28" t="inlineStr">
        <is>
          <t>Beeswax</t>
        </is>
      </c>
      <c r="B25" s="28" t="inlineStr">
        <is>
          <t>Beeswax</t>
        </is>
      </c>
      <c r="C25" s="28" t="inlineStr">
        <is>
          <t>Product</t>
        </is>
      </c>
      <c r="D25" s="28" t="n">
        <v>48</v>
      </c>
      <c r="E25" s="28" t="n">
        <v>234</v>
      </c>
      <c r="F25" s="28" t="n">
        <v>45</v>
      </c>
      <c r="G25" s="28" t="n">
        <v>38</v>
      </c>
      <c r="H25" s="28" t="n">
        <v>28</v>
      </c>
      <c r="I25" s="28" t="inlineStr">
        <is>
          <t>Honey Extractor</t>
        </is>
      </c>
      <c r="J25" s="28" t="n">
        <v>65</v>
      </c>
      <c r="K25" s="28" t="n">
        <v>3</v>
      </c>
      <c r="L25" s="28" t="inlineStr">
        <is>
          <t>Beeswax.png</t>
        </is>
      </c>
      <c r="M25" s="28" t="n">
        <v>204</v>
      </c>
      <c r="N25" s="28" t="n">
        <v>2340</v>
      </c>
      <c r="O25" s="28" t="inlineStr">
        <is>
          <t>45 min</t>
        </is>
      </c>
      <c r="P25" s="28" t="inlineStr">
        <is>
          <t>38 min</t>
        </is>
      </c>
      <c r="Q25" s="28" t="inlineStr">
        <is>
          <t>1 to 234</t>
        </is>
      </c>
      <c r="R25" s="28" t="inlineStr">
        <is>
          <t>https://hayday.fandom.com/wiki/Beeswax</t>
        </is>
      </c>
    </row>
    <row r="26">
      <c r="A26" s="28" t="inlineStr">
        <is>
          <t>Beetroot</t>
        </is>
      </c>
      <c r="B26" s="28" t="inlineStr">
        <is>
          <t>Beetroot</t>
        </is>
      </c>
      <c r="C26" s="28" t="inlineStr">
        <is>
          <t>Crop</t>
        </is>
      </c>
      <c r="D26" s="28" t="n">
        <v>72</v>
      </c>
      <c r="E26" s="28" t="n">
        <v>14</v>
      </c>
      <c r="F26" s="28" t="n">
        <v>40</v>
      </c>
      <c r="H26" s="28" t="n">
        <v>3</v>
      </c>
      <c r="I26" s="28" t="inlineStr">
        <is>
          <t>Farm</t>
        </is>
      </c>
      <c r="J26" s="28" t="n">
        <v>4</v>
      </c>
      <c r="K26" s="28" t="n">
        <v>3</v>
      </c>
      <c r="L26" s="28" t="inlineStr">
        <is>
          <t>Beetroot.png</t>
        </is>
      </c>
      <c r="N26" s="28" t="n">
        <v>144</v>
      </c>
      <c r="O26" s="28" t="inlineStr">
        <is>
          <t>40 min</t>
        </is>
      </c>
      <c r="Q26" s="28" t="inlineStr">
        <is>
          <t>1 to 14</t>
        </is>
      </c>
      <c r="R26" s="28" t="inlineStr">
        <is>
          <t>https://hayday.fandom.com/wiki/Beetroot</t>
        </is>
      </c>
    </row>
    <row r="27">
      <c r="A27" s="28" t="inlineStr">
        <is>
          <t>Beetroot Salad</t>
        </is>
      </c>
      <c r="B27" s="28" t="inlineStr">
        <is>
          <t>Beetroot Salad</t>
        </is>
      </c>
      <c r="C27" s="28" t="inlineStr">
        <is>
          <t>product</t>
        </is>
      </c>
      <c r="D27" s="28" t="n">
        <v>76</v>
      </c>
      <c r="E27" s="28" t="n">
        <v>234</v>
      </c>
      <c r="F27" s="28" t="n">
        <v>45</v>
      </c>
      <c r="G27" s="28" t="n">
        <v>38</v>
      </c>
      <c r="H27" s="28" t="n">
        <v>28</v>
      </c>
      <c r="I27" s="28" t="inlineStr">
        <is>
          <t>Salad Bar</t>
        </is>
      </c>
      <c r="J27" s="28" t="n">
        <v>65</v>
      </c>
      <c r="K27" s="28" t="n">
        <v>3</v>
      </c>
      <c r="L27" s="28" t="inlineStr">
        <is>
          <t>Beetroot Salad.png</t>
        </is>
      </c>
      <c r="M27" s="28" t="n">
        <v>204</v>
      </c>
      <c r="N27" s="28" t="n">
        <v>2340</v>
      </c>
      <c r="O27" s="28" t="inlineStr">
        <is>
          <t>45 min</t>
        </is>
      </c>
      <c r="P27" s="28" t="inlineStr">
        <is>
          <t>38 min</t>
        </is>
      </c>
      <c r="Q27" s="28" t="inlineStr">
        <is>
          <t>1 to 234</t>
        </is>
      </c>
      <c r="R27" s="28" t="inlineStr">
        <is>
          <t>https://hayday.fandom.com/wiki/Beetroot_Salad</t>
        </is>
      </c>
    </row>
    <row r="28">
      <c r="A28" s="28" t="inlineStr">
        <is>
          <t>Bell Pepper</t>
        </is>
      </c>
      <c r="B28" s="28" t="inlineStr">
        <is>
          <t>Bell Pepper</t>
        </is>
      </c>
      <c r="C28" s="28" t="inlineStr">
        <is>
          <t>Crop</t>
        </is>
      </c>
      <c r="D28" s="28" t="n">
        <v>74</v>
      </c>
      <c r="E28" s="28" t="n">
        <v>36</v>
      </c>
      <c r="F28" s="28" t="n">
        <v>270</v>
      </c>
      <c r="H28" s="28" t="n">
        <v>7</v>
      </c>
      <c r="I28" s="28" t="inlineStr">
        <is>
          <t>Farm</t>
        </is>
      </c>
      <c r="J28" s="28" t="n">
        <v>10</v>
      </c>
      <c r="K28" s="28" t="n">
        <v>7</v>
      </c>
      <c r="L28" s="28" t="inlineStr">
        <is>
          <t>Bell Pepper.png</t>
        </is>
      </c>
      <c r="N28" s="28" t="n">
        <v>360</v>
      </c>
      <c r="O28" s="28" t="inlineStr">
        <is>
          <t>4 h 30m</t>
        </is>
      </c>
      <c r="Q28" s="28" t="inlineStr">
        <is>
          <t>1 to 36</t>
        </is>
      </c>
      <c r="R28" s="28" t="inlineStr">
        <is>
          <t>https://hayday.fandom.com/wiki/Bell_Pepper</t>
        </is>
      </c>
    </row>
    <row r="29">
      <c r="A29" s="28" t="inlineStr">
        <is>
          <t>Bell Pepper Soup</t>
        </is>
      </c>
      <c r="B29" s="28" t="inlineStr">
        <is>
          <t>Bell Pepper Soup</t>
        </is>
      </c>
      <c r="C29" s="28" t="inlineStr">
        <is>
          <t>Product</t>
        </is>
      </c>
      <c r="D29" s="28" t="n">
        <v>81</v>
      </c>
      <c r="E29" s="28" t="n">
        <v>439</v>
      </c>
      <c r="F29" s="28" t="n">
        <v>60</v>
      </c>
      <c r="G29" s="28" t="n">
        <v>51</v>
      </c>
      <c r="H29" s="28" t="n">
        <v>52</v>
      </c>
      <c r="I29" s="28" t="inlineStr">
        <is>
          <t>Soup Kitchen</t>
        </is>
      </c>
      <c r="J29" s="28" t="n">
        <v>122</v>
      </c>
      <c r="K29" s="28" t="n">
        <v>4</v>
      </c>
      <c r="L29" s="28" t="inlineStr">
        <is>
          <t>Bell Pepper Soup.png</t>
        </is>
      </c>
      <c r="M29" s="28" t="n">
        <v>406</v>
      </c>
      <c r="N29" s="28" t="n">
        <v>4392</v>
      </c>
      <c r="O29" s="28" t="inlineStr">
        <is>
          <t>1 h</t>
        </is>
      </c>
      <c r="P29" s="28" t="inlineStr">
        <is>
          <t>51 min</t>
        </is>
      </c>
      <c r="Q29" s="28" t="inlineStr">
        <is>
          <t>1 to 439</t>
        </is>
      </c>
      <c r="R29" s="28" t="inlineStr">
        <is>
          <t>https://hayday.fandom.com/wiki/Bell_Pepper_Soup</t>
        </is>
      </c>
    </row>
    <row r="30">
      <c r="A30" s="28" t="inlineStr">
        <is>
          <t>Berry Juice</t>
        </is>
      </c>
      <c r="B30" s="28" t="inlineStr">
        <is>
          <t>Berry Juice</t>
        </is>
      </c>
      <c r="C30" s="28" t="inlineStr">
        <is>
          <t>Product</t>
        </is>
      </c>
      <c r="D30" s="28" t="n">
        <v>31</v>
      </c>
      <c r="E30" s="28" t="n">
        <v>205</v>
      </c>
      <c r="F30" s="28" t="n">
        <v>180</v>
      </c>
      <c r="G30" s="28" t="n">
        <v>153</v>
      </c>
      <c r="H30" s="28" t="n">
        <v>24</v>
      </c>
      <c r="I30" s="28" t="inlineStr">
        <is>
          <t>Juice Press</t>
        </is>
      </c>
      <c r="J30" s="28" t="n">
        <v>57</v>
      </c>
      <c r="K30" s="28" t="n">
        <v>6</v>
      </c>
      <c r="L30" s="28" t="inlineStr">
        <is>
          <t>Berry Juice.png</t>
        </is>
      </c>
      <c r="M30" s="28" t="n">
        <v>128</v>
      </c>
      <c r="O30" s="28" t="inlineStr">
        <is>
          <t>3 h</t>
        </is>
      </c>
      <c r="P30" s="28" t="inlineStr">
        <is>
          <t>2 h 33 min</t>
        </is>
      </c>
      <c r="Q30" s="28" t="inlineStr">
        <is>
          <t>1 to 205</t>
        </is>
      </c>
      <c r="R30" s="28" t="inlineStr">
        <is>
          <t>https://hayday.fandom.com/wiki/Berry_Juice</t>
        </is>
      </c>
    </row>
    <row r="31">
      <c r="A31" s="28" t="inlineStr">
        <is>
          <t>Berry Smoothie</t>
        </is>
      </c>
      <c r="B31" s="28" t="inlineStr">
        <is>
          <t>Berry Smoothie</t>
        </is>
      </c>
      <c r="C31" s="28" t="inlineStr">
        <is>
          <t>Product</t>
        </is>
      </c>
      <c r="D31" s="28" t="n">
        <v>64</v>
      </c>
      <c r="E31" s="28" t="n">
        <v>547</v>
      </c>
      <c r="F31" s="28" t="n">
        <v>75</v>
      </c>
      <c r="G31" s="28" t="n">
        <v>63</v>
      </c>
      <c r="H31" s="28" t="n">
        <v>65</v>
      </c>
      <c r="I31" s="28" t="inlineStr">
        <is>
          <t>Smoothie Mixer</t>
        </is>
      </c>
      <c r="J31" s="28" t="n">
        <v>152</v>
      </c>
      <c r="K31" s="28" t="n">
        <v>4</v>
      </c>
      <c r="L31" s="28" t="inlineStr">
        <is>
          <t>Berry Smoothie.png</t>
        </is>
      </c>
      <c r="M31" s="28" t="n">
        <v>534</v>
      </c>
      <c r="N31" s="28" t="n">
        <v>5472</v>
      </c>
      <c r="O31" s="28" t="inlineStr">
        <is>
          <t>1 h 15 min</t>
        </is>
      </c>
      <c r="P31" s="28" t="inlineStr">
        <is>
          <t>1 h 3 min</t>
        </is>
      </c>
      <c r="Q31" s="28" t="inlineStr">
        <is>
          <t>1 to 547</t>
        </is>
      </c>
      <c r="R31" s="28" t="inlineStr">
        <is>
          <t>https://hayday.fandom.com/wiki/Berry_Smoothie</t>
        </is>
      </c>
    </row>
    <row r="32">
      <c r="A32" s="28" t="inlineStr">
        <is>
          <t>Big Sushi Roll</t>
        </is>
      </c>
      <c r="B32" s="28" t="inlineStr">
        <is>
          <t>Big Sushi Roll</t>
        </is>
      </c>
      <c r="C32" s="28" t="inlineStr">
        <is>
          <t>Product</t>
        </is>
      </c>
      <c r="D32" s="28" t="n">
        <v>76</v>
      </c>
      <c r="E32" s="28" t="n">
        <v>648</v>
      </c>
      <c r="F32" s="28" t="n">
        <v>90</v>
      </c>
      <c r="G32" s="28" t="n">
        <v>76</v>
      </c>
      <c r="H32" s="28" t="n">
        <v>77</v>
      </c>
      <c r="I32" s="28" t="inlineStr">
        <is>
          <t>Sushi Bar</t>
        </is>
      </c>
      <c r="J32" s="28" t="n">
        <v>180</v>
      </c>
      <c r="K32" s="28" t="n">
        <v>5</v>
      </c>
      <c r="L32" s="28" t="inlineStr">
        <is>
          <t>Big Sushi Roll.png</t>
        </is>
      </c>
      <c r="M32" s="28" t="n">
        <v>628</v>
      </c>
      <c r="O32" s="28" t="inlineStr">
        <is>
          <t>1 h 30 min</t>
        </is>
      </c>
      <c r="P32" s="28" t="inlineStr">
        <is>
          <t>1 h 16 min</t>
        </is>
      </c>
      <c r="Q32" s="28" t="inlineStr">
        <is>
          <t>1 to 648</t>
        </is>
      </c>
      <c r="R32" s="28" t="inlineStr">
        <is>
          <t>https://hayday.fandom.com/wiki/Big_Sushi_Roll</t>
        </is>
      </c>
    </row>
    <row r="33">
      <c r="A33" s="28" t="inlineStr">
        <is>
          <t>Birthday Bouquet</t>
        </is>
      </c>
      <c r="B33" s="28" t="inlineStr">
        <is>
          <t>Birthday Bouquet</t>
        </is>
      </c>
      <c r="C33" s="28" t="inlineStr">
        <is>
          <t>Product</t>
        </is>
      </c>
      <c r="D33" s="28" t="n">
        <v>92</v>
      </c>
      <c r="E33" s="28" t="n">
        <v>349</v>
      </c>
      <c r="F33" s="28" t="n">
        <v>20</v>
      </c>
      <c r="G33" s="28" t="n">
        <v>17</v>
      </c>
      <c r="H33" s="28" t="n">
        <v>42</v>
      </c>
      <c r="I33" s="28" t="inlineStr">
        <is>
          <t>Flower Shop</t>
        </is>
      </c>
      <c r="J33" s="28" t="n">
        <v>97</v>
      </c>
      <c r="K33" s="28" t="n">
        <v>2</v>
      </c>
      <c r="L33" s="28" t="inlineStr">
        <is>
          <t>Birthday Bouquet.png</t>
        </is>
      </c>
      <c r="M33" s="28" t="n">
        <v>370</v>
      </c>
      <c r="N33" s="28" t="n">
        <v>3492</v>
      </c>
      <c r="O33" s="28" t="inlineStr">
        <is>
          <t>20 min</t>
        </is>
      </c>
      <c r="P33" s="28" t="inlineStr">
        <is>
          <t>17 min</t>
        </is>
      </c>
      <c r="Q33" s="28" t="inlineStr">
        <is>
          <t>1 to 349</t>
        </is>
      </c>
      <c r="R33" s="28" t="inlineStr">
        <is>
          <t>https://hayday.fandom.com/wiki/Birthday_Bouquet</t>
        </is>
      </c>
    </row>
    <row r="34">
      <c r="A34" s="28" t="inlineStr">
        <is>
          <t>Black Sesame Smoothie</t>
        </is>
      </c>
      <c r="B34" s="28" t="inlineStr">
        <is>
          <t>Black Sesame Smoothie</t>
        </is>
      </c>
      <c r="C34" s="28" t="inlineStr">
        <is>
          <t>Product</t>
        </is>
      </c>
      <c r="D34" s="28" t="n">
        <v>93</v>
      </c>
      <c r="E34" s="28" t="n">
        <v>313</v>
      </c>
      <c r="F34" s="28" t="n">
        <v>45</v>
      </c>
      <c r="G34" s="28" t="n">
        <v>38</v>
      </c>
      <c r="H34" s="28" t="n">
        <v>37</v>
      </c>
      <c r="I34" s="28" t="inlineStr">
        <is>
          <t>Smoothie Mixer</t>
        </is>
      </c>
      <c r="J34" s="28" t="n">
        <v>87</v>
      </c>
      <c r="K34" s="28" t="n">
        <v>3</v>
      </c>
      <c r="L34" s="28" t="inlineStr">
        <is>
          <t>Black Sesame Smoothie.png</t>
        </is>
      </c>
      <c r="O34" s="28" t="inlineStr">
        <is>
          <t>45 min</t>
        </is>
      </c>
      <c r="P34" s="28" t="inlineStr">
        <is>
          <t>38 min</t>
        </is>
      </c>
      <c r="Q34" s="28" t="inlineStr">
        <is>
          <t>1 to 313</t>
        </is>
      </c>
      <c r="R34" s="28" t="inlineStr">
        <is>
          <t>https://hayday.fandom.com/wiki/Black_Sesame_Smoothie</t>
        </is>
      </c>
    </row>
    <row r="35">
      <c r="A35" s="28" t="inlineStr">
        <is>
          <t>Blackberry</t>
        </is>
      </c>
      <c r="B35" s="28" t="inlineStr">
        <is>
          <t>Blackberry</t>
        </is>
      </c>
      <c r="C35" s="28" t="inlineStr">
        <is>
          <t>Crop</t>
        </is>
      </c>
      <c r="D35" s="28" t="n">
        <v>26</v>
      </c>
      <c r="E35" s="28" t="n">
        <v>82</v>
      </c>
      <c r="F35" s="28" t="n">
        <v>1920</v>
      </c>
      <c r="H35" s="28" t="n">
        <v>16</v>
      </c>
      <c r="I35" s="28" t="inlineStr">
        <is>
          <t>Blackberry Bush</t>
        </is>
      </c>
      <c r="J35" s="28" t="n">
        <v>23</v>
      </c>
      <c r="K35" s="28" t="n">
        <v>16</v>
      </c>
      <c r="L35" s="28" t="inlineStr">
        <is>
          <t>Blackberry.png</t>
        </is>
      </c>
      <c r="O35" s="28" t="inlineStr">
        <is>
          <t>1 d 8 h</t>
        </is>
      </c>
      <c r="Q35" s="28" t="inlineStr">
        <is>
          <t>1 to 82</t>
        </is>
      </c>
      <c r="R35" s="28" t="inlineStr">
        <is>
          <t>https://hayday.fandom.com/wiki/Blackberry</t>
        </is>
      </c>
    </row>
    <row r="36">
      <c r="A36" s="28" t="inlineStr">
        <is>
          <t>Blackberry Jam</t>
        </is>
      </c>
      <c r="B36" s="28" t="inlineStr">
        <is>
          <t>Blackberry Jam</t>
        </is>
      </c>
      <c r="C36" s="28" t="inlineStr">
        <is>
          <t>Product</t>
        </is>
      </c>
      <c r="D36" s="28" t="n">
        <v>37</v>
      </c>
      <c r="E36" s="28" t="n">
        <v>388</v>
      </c>
      <c r="F36" s="28" t="n">
        <v>480</v>
      </c>
      <c r="G36" s="28" t="n">
        <v>408</v>
      </c>
      <c r="H36" s="28" t="n">
        <v>46</v>
      </c>
      <c r="I36" s="28" t="inlineStr">
        <is>
          <t>Jam Maker</t>
        </is>
      </c>
      <c r="J36" s="28" t="n">
        <v>107</v>
      </c>
      <c r="K36" s="28" t="n">
        <v>9</v>
      </c>
      <c r="L36" s="28" t="inlineStr">
        <is>
          <t>Blackberry Jam.png</t>
        </is>
      </c>
      <c r="M36" s="28" t="n">
        <v>246</v>
      </c>
      <c r="N36" s="28" t="n">
        <v>3888</v>
      </c>
      <c r="O36" s="28" t="inlineStr">
        <is>
          <t>8 h</t>
        </is>
      </c>
      <c r="P36" s="28" t="inlineStr">
        <is>
          <t>6 h 48 min</t>
        </is>
      </c>
      <c r="Q36" s="28" t="inlineStr">
        <is>
          <t>1 to 388</t>
        </is>
      </c>
      <c r="R36" s="28" t="inlineStr">
        <is>
          <t>https://hayday.fandom.com/wiki/Blackberry_Jam</t>
        </is>
      </c>
    </row>
    <row r="37">
      <c r="A37" s="28" t="inlineStr">
        <is>
          <t>Blackberry Muffin</t>
        </is>
      </c>
      <c r="B37" s="28" t="inlineStr">
        <is>
          <t>Blackberry Muffin</t>
        </is>
      </c>
      <c r="C37" s="28" t="inlineStr">
        <is>
          <t>Product</t>
        </is>
      </c>
      <c r="D37" s="28" t="n">
        <v>26</v>
      </c>
      <c r="E37" s="28" t="n">
        <v>226</v>
      </c>
      <c r="F37" s="28" t="n">
        <v>45</v>
      </c>
      <c r="G37" s="28" t="n">
        <v>38</v>
      </c>
      <c r="H37" s="28" t="n">
        <v>27</v>
      </c>
      <c r="I37" s="28" t="inlineStr">
        <is>
          <t>Bakery</t>
        </is>
      </c>
      <c r="J37" s="28" t="n">
        <v>63</v>
      </c>
      <c r="K37" s="28" t="n">
        <v>3</v>
      </c>
      <c r="L37" s="28" t="inlineStr">
        <is>
          <t>Blackberry_Muffin.png</t>
        </is>
      </c>
      <c r="M37" s="28" t="n">
        <v>203</v>
      </c>
      <c r="N37" s="28" t="n">
        <v>2268</v>
      </c>
      <c r="O37" s="28" t="inlineStr">
        <is>
          <t>45 min</t>
        </is>
      </c>
      <c r="P37" s="28" t="inlineStr">
        <is>
          <t>38 min</t>
        </is>
      </c>
      <c r="Q37" s="28" t="inlineStr">
        <is>
          <t>1 to 226</t>
        </is>
      </c>
      <c r="R37" s="28" t="inlineStr">
        <is>
          <t>https://hayday.fandom.com/wiki/Blackberry_Muffin</t>
        </is>
      </c>
    </row>
    <row r="38">
      <c r="A38" s="28" t="inlineStr">
        <is>
          <t>Blanket</t>
        </is>
      </c>
      <c r="B38" s="28" t="inlineStr">
        <is>
          <t>Blanket</t>
        </is>
      </c>
      <c r="C38" s="28" t="inlineStr">
        <is>
          <t>Product</t>
        </is>
      </c>
      <c r="D38" s="28" t="n">
        <v>59</v>
      </c>
      <c r="E38" s="28" t="n">
        <v>1098</v>
      </c>
      <c r="F38" s="28" t="n">
        <v>210</v>
      </c>
      <c r="G38" s="28" t="n">
        <v>178</v>
      </c>
      <c r="H38" s="28" t="n">
        <v>131</v>
      </c>
      <c r="I38" s="28" t="inlineStr">
        <is>
          <t>Sewing Machine</t>
        </is>
      </c>
      <c r="J38" s="28" t="n">
        <v>305</v>
      </c>
      <c r="K38" s="28" t="n">
        <v>6</v>
      </c>
      <c r="L38" s="28" t="inlineStr">
        <is>
          <t>Blanket.png</t>
        </is>
      </c>
      <c r="M38" s="28" t="n">
        <v>1056</v>
      </c>
      <c r="N38" s="28" t="n">
        <v>10980</v>
      </c>
      <c r="O38" s="28" t="inlineStr">
        <is>
          <t>3 h 30 min</t>
        </is>
      </c>
      <c r="P38" s="28" t="inlineStr">
        <is>
          <t>2 h 58 min</t>
        </is>
      </c>
      <c r="Q38" s="28" t="inlineStr">
        <is>
          <t>1 to 1098</t>
        </is>
      </c>
      <c r="R38" s="28" t="inlineStr">
        <is>
          <t>https://hayday.fandom.com/wiki/Blanket</t>
        </is>
      </c>
    </row>
    <row r="39">
      <c r="A39" s="28" t="inlineStr">
        <is>
          <t>Blue Sweater</t>
        </is>
      </c>
      <c r="B39" s="28" t="inlineStr">
        <is>
          <t>Blue Sweater</t>
        </is>
      </c>
      <c r="C39" s="28" t="inlineStr">
        <is>
          <t>Product</t>
        </is>
      </c>
      <c r="D39" s="28" t="n">
        <v>20</v>
      </c>
      <c r="E39" s="28" t="n">
        <v>208</v>
      </c>
      <c r="F39" s="28" t="n">
        <v>180</v>
      </c>
      <c r="G39" s="28" t="n">
        <v>153</v>
      </c>
      <c r="H39" s="28" t="n">
        <v>25</v>
      </c>
      <c r="I39" s="28" t="inlineStr">
        <is>
          <t>Loom</t>
        </is>
      </c>
      <c r="J39" s="28" t="n">
        <v>58</v>
      </c>
      <c r="K39" s="28" t="n">
        <v>6</v>
      </c>
      <c r="L39" s="28" t="inlineStr">
        <is>
          <t>Blue_Sweater.png</t>
        </is>
      </c>
      <c r="M39" s="28" t="n">
        <v>158</v>
      </c>
      <c r="N39" s="28" t="n">
        <v>2088</v>
      </c>
      <c r="O39" s="28" t="inlineStr">
        <is>
          <t>3 h</t>
        </is>
      </c>
      <c r="P39" s="28" t="inlineStr">
        <is>
          <t>2 hr 33 min</t>
        </is>
      </c>
      <c r="Q39" s="28" t="inlineStr">
        <is>
          <t>1 to 208</t>
        </is>
      </c>
      <c r="R39" s="28" t="inlineStr">
        <is>
          <t>https://hayday.fandom.com/wiki/Blue_Sweater</t>
        </is>
      </c>
    </row>
    <row r="40">
      <c r="A40" s="28" t="inlineStr">
        <is>
          <t>Blue Woolly Hat</t>
        </is>
      </c>
      <c r="B40" s="28" t="inlineStr">
        <is>
          <t>Blue Woolly Hat</t>
        </is>
      </c>
      <c r="C40" s="28" t="inlineStr">
        <is>
          <t>Product</t>
        </is>
      </c>
      <c r="D40" s="28" t="n">
        <v>19</v>
      </c>
      <c r="E40" s="28" t="n">
        <v>111</v>
      </c>
      <c r="F40" s="28" t="n">
        <v>60</v>
      </c>
      <c r="G40" s="28" t="n">
        <v>51</v>
      </c>
      <c r="H40" s="28" t="n">
        <v>13</v>
      </c>
      <c r="I40" s="28" t="inlineStr">
        <is>
          <t>Loom</t>
        </is>
      </c>
      <c r="J40" s="28" t="n">
        <v>31</v>
      </c>
      <c r="K40" s="28" t="n">
        <v>4</v>
      </c>
      <c r="L40" s="28" t="inlineStr">
        <is>
          <t>Blue_Woolly_Hat.png</t>
        </is>
      </c>
      <c r="M40" s="28" t="n">
        <v>79</v>
      </c>
      <c r="N40" s="28" t="n">
        <v>1116</v>
      </c>
      <c r="O40" s="28" t="inlineStr">
        <is>
          <t>1 h</t>
        </is>
      </c>
      <c r="P40" s="28" t="inlineStr">
        <is>
          <t>51 min</t>
        </is>
      </c>
      <c r="Q40" s="28" t="inlineStr">
        <is>
          <t>1 to 111</t>
        </is>
      </c>
      <c r="R40" s="28" t="inlineStr">
        <is>
          <t>https://hayday.fandom.com/wiki/Blue_Woolly_Hat</t>
        </is>
      </c>
    </row>
    <row r="41">
      <c r="A41" s="28" t="inlineStr">
        <is>
          <t>Blueberry Cheesecake</t>
        </is>
      </c>
      <c r="B41" s="28" t="inlineStr">
        <is>
          <t>Blueberry Cheesecake</t>
        </is>
      </c>
      <c r="C41" s="28" t="inlineStr">
        <is>
          <t>Product</t>
        </is>
      </c>
      <c r="D41" s="28" t="n">
        <v>31</v>
      </c>
      <c r="E41" s="28" t="n">
        <v>500</v>
      </c>
      <c r="F41" s="28" t="n">
        <v>240</v>
      </c>
      <c r="G41" s="28" t="n">
        <v>204</v>
      </c>
      <c r="H41" s="28" t="n">
        <v>60</v>
      </c>
      <c r="I41" s="28" t="inlineStr">
        <is>
          <t>Cake Oven</t>
        </is>
      </c>
      <c r="J41" s="28" t="n">
        <v>139</v>
      </c>
      <c r="K41" s="28" t="n">
        <v>6</v>
      </c>
      <c r="L41" s="28" t="inlineStr">
        <is>
          <t>Blueberry Cheesecake.png</t>
        </is>
      </c>
      <c r="M41" s="28" t="n">
        <v>448</v>
      </c>
      <c r="N41" s="28" t="n">
        <v>5004</v>
      </c>
      <c r="O41" s="28" t="inlineStr">
        <is>
          <t>4 h</t>
        </is>
      </c>
      <c r="P41" s="28" t="inlineStr">
        <is>
          <t>3 h 24 min</t>
        </is>
      </c>
      <c r="Q41" s="28" t="inlineStr">
        <is>
          <t>1 to 500</t>
        </is>
      </c>
      <c r="R41" s="28" t="inlineStr">
        <is>
          <t>https://hayday.fandom.com/wiki/Blueberry_Cheesecake</t>
        </is>
      </c>
    </row>
    <row r="42">
      <c r="A42" s="28" t="inlineStr">
        <is>
          <t>Blueberry Chutney</t>
        </is>
      </c>
      <c r="B42" s="28" t="inlineStr">
        <is>
          <t>Blueberry Chutney</t>
        </is>
      </c>
      <c r="C42" s="28" t="inlineStr">
        <is>
          <t>Product</t>
        </is>
      </c>
      <c r="D42" s="28" t="n">
        <v>70</v>
      </c>
      <c r="E42" s="28" t="n">
        <v>579</v>
      </c>
      <c r="F42" s="28" t="n">
        <v>240</v>
      </c>
      <c r="G42" s="28" t="n">
        <v>204</v>
      </c>
      <c r="H42" s="28" t="n">
        <v>69</v>
      </c>
      <c r="I42" s="28" t="inlineStr">
        <is>
          <t>Jam Maker</t>
        </is>
      </c>
      <c r="J42" s="28" t="n">
        <v>161</v>
      </c>
      <c r="K42" s="28" t="n">
        <v>3</v>
      </c>
      <c r="L42" s="28" t="inlineStr">
        <is>
          <t>Blueberry Chutney.png</t>
        </is>
      </c>
      <c r="M42" s="28" t="n">
        <v>410</v>
      </c>
      <c r="N42" s="28" t="n">
        <v>5796</v>
      </c>
      <c r="O42" s="28" t="inlineStr">
        <is>
          <t>4 h</t>
        </is>
      </c>
      <c r="P42" s="28" t="inlineStr">
        <is>
          <t>3 h 24 min</t>
        </is>
      </c>
      <c r="Q42" s="28" t="inlineStr">
        <is>
          <t>1 to 579</t>
        </is>
      </c>
      <c r="R42" s="28" t="inlineStr">
        <is>
          <t>https://hayday.fandom.com/wiki/Blueberry_Chutney</t>
        </is>
      </c>
    </row>
    <row r="43">
      <c r="A43" s="28" t="inlineStr">
        <is>
          <t>Blueberry Muffin</t>
        </is>
      </c>
      <c r="B43" s="28" t="inlineStr">
        <is>
          <t>Blueberry Muffin</t>
        </is>
      </c>
      <c r="C43" s="28" t="inlineStr">
        <is>
          <t>Product</t>
        </is>
      </c>
      <c r="D43" s="28" t="n">
        <v>33</v>
      </c>
      <c r="E43" s="28" t="n">
        <v>230</v>
      </c>
      <c r="F43" s="28" t="n">
        <v>45</v>
      </c>
      <c r="G43" s="28" t="n">
        <v>38</v>
      </c>
      <c r="H43" s="28" t="n">
        <v>28</v>
      </c>
      <c r="I43" s="28" t="inlineStr">
        <is>
          <t>Bakery</t>
        </is>
      </c>
      <c r="J43" s="28" t="n">
        <v>64</v>
      </c>
      <c r="K43" s="28" t="n">
        <v>3</v>
      </c>
      <c r="L43" s="28" t="inlineStr">
        <is>
          <t>Blueberry_Muffin.png</t>
        </is>
      </c>
      <c r="M43" s="28" t="n">
        <v>203</v>
      </c>
      <c r="N43" s="28" t="n">
        <v>2304</v>
      </c>
      <c r="O43" s="28" t="inlineStr">
        <is>
          <t>45 min</t>
        </is>
      </c>
      <c r="P43" s="28" t="inlineStr">
        <is>
          <t>38 min</t>
        </is>
      </c>
      <c r="Q43" s="28" t="inlineStr">
        <is>
          <t>1 to 230</t>
        </is>
      </c>
      <c r="R43" s="28" t="inlineStr">
        <is>
          <t>https://hayday.fandom.com/wiki/Blueberry_Muffin</t>
        </is>
      </c>
    </row>
    <row r="44">
      <c r="A44" s="28" t="inlineStr">
        <is>
          <t>Bracelet</t>
        </is>
      </c>
      <c r="B44" s="28" t="inlineStr">
        <is>
          <t>Bracelet</t>
        </is>
      </c>
      <c r="C44" s="28" t="inlineStr">
        <is>
          <t>Product</t>
        </is>
      </c>
      <c r="D44" s="28" t="n">
        <v>38</v>
      </c>
      <c r="E44" s="28" t="n">
        <v>514</v>
      </c>
      <c r="F44" s="28" t="n">
        <v>120</v>
      </c>
      <c r="G44" s="28" t="n">
        <v>102</v>
      </c>
      <c r="H44" s="28" t="n">
        <v>61</v>
      </c>
      <c r="I44" s="28" t="inlineStr">
        <is>
          <t>Jeweler</t>
        </is>
      </c>
      <c r="J44" s="28" t="n">
        <v>143</v>
      </c>
      <c r="K44" s="28" t="n">
        <v>5</v>
      </c>
      <c r="L44" s="28" t="inlineStr">
        <is>
          <t>Bracelet.png</t>
        </is>
      </c>
      <c r="M44" s="28" t="n">
        <v>474</v>
      </c>
      <c r="N44" s="28" t="n">
        <v>5148</v>
      </c>
      <c r="O44" s="28" t="inlineStr">
        <is>
          <t>2 h</t>
        </is>
      </c>
      <c r="P44" s="28" t="inlineStr">
        <is>
          <t>1 h 42 min</t>
        </is>
      </c>
      <c r="Q44" s="28" t="inlineStr">
        <is>
          <t>1 to 514</t>
        </is>
      </c>
      <c r="R44" s="28" t="inlineStr">
        <is>
          <t>https://hayday.fandom.com/wiki/Bracelet</t>
        </is>
      </c>
    </row>
    <row r="45">
      <c r="A45" s="28" t="inlineStr">
        <is>
          <t>Bread</t>
        </is>
      </c>
      <c r="B45" s="28" t="inlineStr">
        <is>
          <t>Bread</t>
        </is>
      </c>
      <c r="C45" s="28" t="inlineStr">
        <is>
          <t>Product</t>
        </is>
      </c>
      <c r="D45" s="28" t="n">
        <v>4</v>
      </c>
      <c r="E45" s="28" t="n">
        <v>21</v>
      </c>
      <c r="F45" s="28" t="n">
        <v>5</v>
      </c>
      <c r="G45" s="28" t="n">
        <v>4</v>
      </c>
      <c r="H45" s="28" t="n">
        <v>3</v>
      </c>
      <c r="I45" s="28" t="inlineStr">
        <is>
          <t>Bakery</t>
        </is>
      </c>
      <c r="J45" s="28" t="n">
        <v>6</v>
      </c>
      <c r="K45" s="28" t="n">
        <v>1</v>
      </c>
      <c r="L45" s="28" t="inlineStr">
        <is>
          <t>Bread.png</t>
        </is>
      </c>
      <c r="M45" s="28" t="n">
        <v>9</v>
      </c>
      <c r="N45" s="28" t="n">
        <v>216</v>
      </c>
      <c r="O45" s="28" t="inlineStr">
        <is>
          <t>5 min</t>
        </is>
      </c>
      <c r="P45" s="28" t="inlineStr">
        <is>
          <t>4 min</t>
        </is>
      </c>
      <c r="Q45" s="28" t="inlineStr">
        <is>
          <t>1 to 21</t>
        </is>
      </c>
      <c r="R45" s="28" t="inlineStr">
        <is>
          <t>https://hayday.fandom.com/wiki/Bread</t>
        </is>
      </c>
    </row>
    <row r="46">
      <c r="A46" s="28" t="inlineStr">
        <is>
          <t>Breakfast Bowl</t>
        </is>
      </c>
      <c r="B46" s="28" t="inlineStr">
        <is>
          <t>Breakfast Bowl</t>
        </is>
      </c>
      <c r="C46" s="28" t="inlineStr">
        <is>
          <t>product</t>
        </is>
      </c>
      <c r="D46" s="28" t="n">
        <v>119</v>
      </c>
      <c r="E46" s="28" t="n">
        <v>604</v>
      </c>
      <c r="F46" s="28" t="n">
        <v>50</v>
      </c>
      <c r="G46" s="28" t="n">
        <v>42</v>
      </c>
      <c r="H46" s="28" t="n">
        <v>72</v>
      </c>
      <c r="I46" s="28" t="inlineStr">
        <is>
          <t>Yogurt Maker</t>
        </is>
      </c>
      <c r="J46" s="28" t="n">
        <v>168</v>
      </c>
      <c r="K46" s="28" t="n">
        <v>3</v>
      </c>
      <c r="L46" s="28" t="inlineStr">
        <is>
          <t>Breakfast Bowl.png</t>
        </is>
      </c>
      <c r="M46" s="28" t="n">
        <v>580</v>
      </c>
      <c r="N46" s="28" t="n">
        <v>6048</v>
      </c>
      <c r="O46" s="28" t="inlineStr">
        <is>
          <t>50 min</t>
        </is>
      </c>
      <c r="P46" s="28" t="inlineStr">
        <is>
          <t>42 min</t>
        </is>
      </c>
      <c r="Q46" s="28" t="inlineStr">
        <is>
          <t>1 to 604</t>
        </is>
      </c>
      <c r="R46" s="28" t="inlineStr">
        <is>
          <t>https://hayday.fandom.com/wiki/Breakfast_Bowl</t>
        </is>
      </c>
    </row>
    <row r="47">
      <c r="A47" s="28" t="inlineStr">
        <is>
          <t>Bright Bouquet</t>
        </is>
      </c>
      <c r="B47" s="28" t="inlineStr">
        <is>
          <t>Bright Bouquet</t>
        </is>
      </c>
      <c r="C47" s="28" t="inlineStr">
        <is>
          <t>Product</t>
        </is>
      </c>
      <c r="D47" s="28" t="n">
        <v>65</v>
      </c>
      <c r="E47" s="28" t="n">
        <v>338</v>
      </c>
      <c r="F47" s="28" t="n">
        <v>20</v>
      </c>
      <c r="G47" s="28" t="n">
        <v>17</v>
      </c>
      <c r="H47" s="28" t="n">
        <v>40</v>
      </c>
      <c r="I47" s="28" t="inlineStr">
        <is>
          <t>Flower Shop</t>
        </is>
      </c>
      <c r="J47" s="28" t="n">
        <v>94</v>
      </c>
      <c r="K47" s="28" t="n">
        <v>2</v>
      </c>
      <c r="L47" s="28" t="inlineStr">
        <is>
          <t>Bright Bouquet.png</t>
        </is>
      </c>
      <c r="M47" s="28" t="n">
        <v>278</v>
      </c>
      <c r="N47" s="28" t="n">
        <v>3384</v>
      </c>
      <c r="O47" s="28" t="inlineStr">
        <is>
          <t>20 min</t>
        </is>
      </c>
      <c r="P47" s="28" t="inlineStr">
        <is>
          <t>17 min</t>
        </is>
      </c>
      <c r="Q47" s="28" t="inlineStr">
        <is>
          <t>1 to 338</t>
        </is>
      </c>
      <c r="R47" s="28" t="inlineStr">
        <is>
          <t>https://hayday.fandom.com/wiki/Bright_Bouquet</t>
        </is>
      </c>
    </row>
    <row r="48">
      <c r="A48" s="28" t="inlineStr">
        <is>
          <t>Broccoli</t>
        </is>
      </c>
      <c r="B48" s="28" t="inlineStr">
        <is>
          <t>Broccoli</t>
        </is>
      </c>
      <c r="C48" s="28" t="inlineStr">
        <is>
          <t>Crop</t>
        </is>
      </c>
      <c r="D48" s="28" t="n">
        <v>83</v>
      </c>
      <c r="E48" s="28" t="n">
        <v>21</v>
      </c>
      <c r="F48" s="28" t="n">
        <v>80</v>
      </c>
      <c r="H48" s="28" t="n">
        <v>4</v>
      </c>
      <c r="I48" s="28" t="inlineStr">
        <is>
          <t>Farm</t>
        </is>
      </c>
      <c r="J48" s="28" t="n">
        <v>6</v>
      </c>
      <c r="K48" s="28" t="n">
        <v>4</v>
      </c>
      <c r="L48" s="28" t="inlineStr">
        <is>
          <t>Broccoli.png</t>
        </is>
      </c>
      <c r="N48" s="28" t="n">
        <v>216</v>
      </c>
      <c r="O48" s="28" t="inlineStr">
        <is>
          <t>1 h 20 min</t>
        </is>
      </c>
      <c r="Q48" s="28" t="inlineStr">
        <is>
          <t>1 to 21</t>
        </is>
      </c>
      <c r="R48" s="28" t="inlineStr">
        <is>
          <t>https://hayday.fandom.com/wiki/Broccoli</t>
        </is>
      </c>
    </row>
    <row r="49">
      <c r="A49" s="28" t="inlineStr">
        <is>
          <t>Broccoli Pasta</t>
        </is>
      </c>
      <c r="B49" s="28" t="inlineStr">
        <is>
          <t>Broccoli Pasta</t>
        </is>
      </c>
      <c r="C49" s="28" t="inlineStr">
        <is>
          <t>Product</t>
        </is>
      </c>
      <c r="D49" s="28" t="n">
        <v>83</v>
      </c>
      <c r="E49" s="28" t="n">
        <v>345</v>
      </c>
      <c r="F49" s="28" t="n">
        <v>60</v>
      </c>
      <c r="G49" s="28" t="n">
        <v>51</v>
      </c>
      <c r="H49" s="28" t="n">
        <v>41</v>
      </c>
      <c r="I49" s="28" t="inlineStr">
        <is>
          <t>Pasta Kitchen</t>
        </is>
      </c>
      <c r="J49" s="28" t="n">
        <v>96</v>
      </c>
      <c r="K49" s="28" t="n">
        <v>4</v>
      </c>
      <c r="L49" s="28" t="inlineStr">
        <is>
          <t>Broccoli Pasta.png</t>
        </is>
      </c>
      <c r="M49" s="28" t="n">
        <v>314</v>
      </c>
      <c r="N49" s="28" t="n">
        <v>3456</v>
      </c>
      <c r="O49" s="28" t="inlineStr">
        <is>
          <t>1 h</t>
        </is>
      </c>
      <c r="P49" s="28" t="inlineStr">
        <is>
          <t>51 min</t>
        </is>
      </c>
      <c r="Q49" s="28" t="inlineStr">
        <is>
          <t>1 to 345</t>
        </is>
      </c>
      <c r="R49" s="28" t="inlineStr">
        <is>
          <t>https://hayday.fandom.com/wiki/Broccoli_Pasta</t>
        </is>
      </c>
    </row>
    <row r="50">
      <c r="A50" s="28" t="inlineStr">
        <is>
          <t>Broccoli Soup</t>
        </is>
      </c>
      <c r="B50" s="28" t="inlineStr">
        <is>
          <t>Broccoli Soup</t>
        </is>
      </c>
      <c r="C50" s="28" t="inlineStr">
        <is>
          <t>Product</t>
        </is>
      </c>
      <c r="D50" s="28" t="n">
        <v>87</v>
      </c>
      <c r="E50" s="28" t="n">
        <v>237</v>
      </c>
      <c r="F50" s="28" t="n">
        <v>90</v>
      </c>
      <c r="G50" s="28" t="n">
        <v>76</v>
      </c>
      <c r="H50" s="28" t="n">
        <v>28</v>
      </c>
      <c r="I50" s="28" t="inlineStr">
        <is>
          <t>Soup Kitchen</t>
        </is>
      </c>
      <c r="J50" s="28" t="n">
        <v>66</v>
      </c>
      <c r="K50" s="28" t="n">
        <v>5</v>
      </c>
      <c r="L50" s="28" t="inlineStr">
        <is>
          <t>Broccoli Soup.png</t>
        </is>
      </c>
      <c r="M50" s="28" t="n">
        <v>189</v>
      </c>
      <c r="N50" s="28" t="n">
        <v>2376</v>
      </c>
      <c r="O50" s="28" t="inlineStr">
        <is>
          <t>1 h 30 min</t>
        </is>
      </c>
      <c r="P50" s="28" t="inlineStr">
        <is>
          <t>1 h 16 min</t>
        </is>
      </c>
      <c r="Q50" s="28" t="inlineStr">
        <is>
          <t>1 to 237</t>
        </is>
      </c>
      <c r="R50" s="28" t="inlineStr">
        <is>
          <t>https://hayday.fandom.com/wiki/Broccoli_Soup</t>
        </is>
      </c>
    </row>
    <row r="51">
      <c r="A51" s="28" t="inlineStr">
        <is>
          <t>Brown Sugar</t>
        </is>
      </c>
      <c r="B51" s="28" t="inlineStr">
        <is>
          <t>Brown Sugar</t>
        </is>
      </c>
      <c r="C51" s="28" t="inlineStr">
        <is>
          <t>Product</t>
        </is>
      </c>
      <c r="D51" s="28" t="n">
        <v>7</v>
      </c>
      <c r="E51" s="28" t="n">
        <v>32</v>
      </c>
      <c r="F51" s="28" t="n">
        <v>20</v>
      </c>
      <c r="G51" s="28" t="n">
        <v>17</v>
      </c>
      <c r="H51" s="28" t="n">
        <v>4</v>
      </c>
      <c r="I51" s="28" t="inlineStr">
        <is>
          <t>Sugar Mill</t>
        </is>
      </c>
      <c r="J51" s="28" t="n">
        <v>9</v>
      </c>
      <c r="K51" s="28" t="n">
        <v>2</v>
      </c>
      <c r="L51" s="28" t="inlineStr">
        <is>
          <t>Brown Sugar.png</t>
        </is>
      </c>
      <c r="M51" s="28" t="n">
        <v>14</v>
      </c>
      <c r="N51" s="28" t="n">
        <v>324</v>
      </c>
      <c r="O51" s="28" t="inlineStr">
        <is>
          <t>20 min</t>
        </is>
      </c>
      <c r="P51" s="28" t="inlineStr">
        <is>
          <t>17 min</t>
        </is>
      </c>
      <c r="Q51" s="28" t="inlineStr">
        <is>
          <t>1 to 32</t>
        </is>
      </c>
      <c r="R51" s="28" t="inlineStr">
        <is>
          <t>https://hayday.fandom.com/wiki/Brown_Sugar</t>
        </is>
      </c>
    </row>
    <row r="52">
      <c r="A52" s="28" t="inlineStr">
        <is>
          <t>Butter</t>
        </is>
      </c>
      <c r="B52" s="28" t="inlineStr">
        <is>
          <t>Butter</t>
        </is>
      </c>
      <c r="C52" s="28" t="inlineStr">
        <is>
          <t>Product</t>
        </is>
      </c>
      <c r="D52" s="28" t="n">
        <v>9</v>
      </c>
      <c r="E52" s="28" t="n">
        <v>82</v>
      </c>
      <c r="F52" s="28" t="n">
        <v>30</v>
      </c>
      <c r="G52" s="28" t="n">
        <v>25</v>
      </c>
      <c r="H52" s="28" t="n">
        <v>10</v>
      </c>
      <c r="I52" s="28" t="inlineStr">
        <is>
          <t>Dairy</t>
        </is>
      </c>
      <c r="J52" s="28" t="n">
        <v>23</v>
      </c>
      <c r="K52" s="28" t="n">
        <v>3</v>
      </c>
      <c r="L52" s="28" t="inlineStr">
        <is>
          <t>Butter.png</t>
        </is>
      </c>
      <c r="M52" s="28" t="n">
        <v>64</v>
      </c>
      <c r="N52" s="28" t="n">
        <v>828</v>
      </c>
      <c r="O52" s="28" t="inlineStr">
        <is>
          <t>30 min</t>
        </is>
      </c>
      <c r="P52" s="28" t="inlineStr">
        <is>
          <t>25 min</t>
        </is>
      </c>
      <c r="Q52" s="28" t="inlineStr">
        <is>
          <t>1 to 82</t>
        </is>
      </c>
      <c r="R52" s="28" t="inlineStr">
        <is>
          <t>https://hayday.fandom.com/wiki/Butter</t>
        </is>
      </c>
    </row>
    <row r="53">
      <c r="A53" s="28" t="inlineStr">
        <is>
          <t>Buttered Popcorn</t>
        </is>
      </c>
      <c r="B53" s="28" t="inlineStr">
        <is>
          <t>Buttered Popcorn</t>
        </is>
      </c>
      <c r="C53" s="28" t="inlineStr">
        <is>
          <t>Product</t>
        </is>
      </c>
      <c r="D53" s="28" t="n">
        <v>16</v>
      </c>
      <c r="E53" s="28" t="n">
        <v>126</v>
      </c>
      <c r="F53" s="28" t="n">
        <v>60</v>
      </c>
      <c r="G53" s="28" t="n">
        <v>51</v>
      </c>
      <c r="H53" s="28" t="n">
        <v>15</v>
      </c>
      <c r="I53" s="28" t="inlineStr">
        <is>
          <t>Popcorn Pot</t>
        </is>
      </c>
      <c r="J53" s="28" t="n">
        <v>35</v>
      </c>
      <c r="K53" s="28" t="n">
        <v>4</v>
      </c>
      <c r="L53" s="28" t="inlineStr">
        <is>
          <t>Buttered_Popcorn.png</t>
        </is>
      </c>
      <c r="M53" s="28" t="n">
        <v>96</v>
      </c>
      <c r="N53" s="28" t="n">
        <v>1260</v>
      </c>
      <c r="O53" s="28" t="inlineStr">
        <is>
          <t>1 h</t>
        </is>
      </c>
      <c r="P53" s="28" t="inlineStr">
        <is>
          <t>51 min</t>
        </is>
      </c>
      <c r="Q53" s="28" t="inlineStr">
        <is>
          <t>1 to 126</t>
        </is>
      </c>
      <c r="R53" s="28" t="inlineStr">
        <is>
          <t>https://hayday.fandom.com/wiki/Buttered_Popcorn</t>
        </is>
      </c>
    </row>
    <row r="54">
      <c r="A54" s="28" t="inlineStr">
        <is>
          <t>Cabbage</t>
        </is>
      </c>
      <c r="B54" s="28" t="inlineStr">
        <is>
          <t>Cabbage</t>
        </is>
      </c>
      <c r="C54" s="28" t="inlineStr">
        <is>
          <t>Crop</t>
        </is>
      </c>
      <c r="D54" s="28" t="n">
        <v>65</v>
      </c>
      <c r="E54" s="28" t="n">
        <v>18</v>
      </c>
      <c r="F54" s="28" t="n">
        <v>45</v>
      </c>
      <c r="H54" s="28" t="n">
        <v>3</v>
      </c>
      <c r="I54" s="28" t="inlineStr">
        <is>
          <t>Farm</t>
        </is>
      </c>
      <c r="J54" s="28" t="n">
        <v>5</v>
      </c>
      <c r="K54" s="28" t="n">
        <v>3</v>
      </c>
      <c r="L54" s="28" t="inlineStr">
        <is>
          <t>Cabbage.png</t>
        </is>
      </c>
      <c r="N54" s="28" t="n">
        <v>180</v>
      </c>
      <c r="O54" s="28" t="inlineStr">
        <is>
          <t>45 min</t>
        </is>
      </c>
      <c r="Q54" s="28" t="inlineStr">
        <is>
          <t>1 to 18</t>
        </is>
      </c>
      <c r="R54" s="28" t="inlineStr">
        <is>
          <t>https://hayday.fandom.com/wiki/Cabbage</t>
        </is>
      </c>
    </row>
    <row r="55">
      <c r="A55" s="28" t="inlineStr">
        <is>
          <t>Cabbage Soup</t>
        </is>
      </c>
      <c r="B55" s="28" t="inlineStr">
        <is>
          <t>Cabbage Soup</t>
        </is>
      </c>
      <c r="C55" s="28" t="inlineStr">
        <is>
          <t>Product</t>
        </is>
      </c>
      <c r="D55" s="28" t="n">
        <v>65</v>
      </c>
      <c r="E55" s="28" t="n">
        <v>270</v>
      </c>
      <c r="F55" s="28" t="n">
        <v>90</v>
      </c>
      <c r="G55" s="28" t="n">
        <v>76</v>
      </c>
      <c r="H55" s="28" t="n">
        <v>32</v>
      </c>
      <c r="I55" s="28" t="inlineStr">
        <is>
          <t>Soup Kitchen</t>
        </is>
      </c>
      <c r="J55" s="28" t="n">
        <v>75</v>
      </c>
      <c r="K55" s="28" t="n">
        <v>5</v>
      </c>
      <c r="L55" s="28" t="inlineStr">
        <is>
          <t>Cabbage Soup.png</t>
        </is>
      </c>
      <c r="M55" s="28" t="n">
        <v>240</v>
      </c>
      <c r="N55" s="28" t="n">
        <v>2700</v>
      </c>
      <c r="O55" s="28" t="inlineStr">
        <is>
          <t>1 h 30 m</t>
        </is>
      </c>
      <c r="P55" s="28" t="inlineStr">
        <is>
          <t>1 h 16 min</t>
        </is>
      </c>
      <c r="Q55" s="28" t="inlineStr">
        <is>
          <t>1 to 270</t>
        </is>
      </c>
      <c r="R55" s="28" t="inlineStr">
        <is>
          <t>https://hayday.fandom.com/wiki/Cabbage_Soup</t>
        </is>
      </c>
    </row>
    <row r="56">
      <c r="A56" s="28" t="inlineStr">
        <is>
          <t>Cacao</t>
        </is>
      </c>
      <c r="B56" s="28" t="inlineStr">
        <is>
          <t>Cacao</t>
        </is>
      </c>
      <c r="C56" s="28" t="inlineStr">
        <is>
          <t>Crop</t>
        </is>
      </c>
      <c r="D56" s="28" t="n">
        <v>36</v>
      </c>
      <c r="E56" s="28" t="n">
        <v>86</v>
      </c>
      <c r="F56" s="28" t="n">
        <v>2100</v>
      </c>
      <c r="H56" s="28" t="n">
        <v>16</v>
      </c>
      <c r="I56" s="28" t="inlineStr">
        <is>
          <t>Cacao Tree</t>
        </is>
      </c>
      <c r="J56" s="28" t="n">
        <v>24</v>
      </c>
      <c r="K56" s="28" t="n">
        <v>16</v>
      </c>
      <c r="L56" s="28" t="inlineStr">
        <is>
          <t>Cacao.png</t>
        </is>
      </c>
      <c r="N56" s="28" t="n">
        <v>864</v>
      </c>
      <c r="O56" s="28" t="inlineStr">
        <is>
          <t>1 d 11 h</t>
        </is>
      </c>
      <c r="Q56" s="28" t="inlineStr">
        <is>
          <t>1 to 86</t>
        </is>
      </c>
      <c r="R56" s="28" t="inlineStr">
        <is>
          <t>https://hayday.fandom.com/wiki/Cacao</t>
        </is>
      </c>
    </row>
    <row r="57">
      <c r="A57" s="28" t="inlineStr">
        <is>
          <t>Caffè Latte</t>
        </is>
      </c>
      <c r="B57" s="28" t="inlineStr">
        <is>
          <t>Caffè Latte</t>
        </is>
      </c>
      <c r="C57" s="28" t="inlineStr">
        <is>
          <t>Product</t>
        </is>
      </c>
      <c r="D57" s="28" t="n">
        <v>43</v>
      </c>
      <c r="E57" s="28" t="n">
        <v>219</v>
      </c>
      <c r="F57" s="28" t="n">
        <v>10</v>
      </c>
      <c r="G57" s="28" t="n">
        <v>8</v>
      </c>
      <c r="H57" s="28" t="n">
        <v>26</v>
      </c>
      <c r="I57" s="28" t="inlineStr">
        <is>
          <t>Coffee Kiosk</t>
        </is>
      </c>
      <c r="J57" s="28" t="n">
        <v>61</v>
      </c>
      <c r="K57" s="28" t="n">
        <v>2</v>
      </c>
      <c r="L57" s="28" t="inlineStr">
        <is>
          <t>Caffe Latte.png</t>
        </is>
      </c>
      <c r="M57" s="28" t="n">
        <v>210</v>
      </c>
      <c r="N57" s="28" t="n">
        <v>2196</v>
      </c>
      <c r="O57" s="28" t="inlineStr">
        <is>
          <t>10 min</t>
        </is>
      </c>
      <c r="P57" s="28" t="inlineStr">
        <is>
          <t>8 min</t>
        </is>
      </c>
      <c r="Q57" s="28" t="inlineStr">
        <is>
          <t>1 to 219</t>
        </is>
      </c>
      <c r="R57" s="28" t="inlineStr">
        <is>
          <t>https://hayday.fandom.com/wiki/Caffè_Latte</t>
        </is>
      </c>
    </row>
    <row r="58">
      <c r="A58" s="28" t="inlineStr">
        <is>
          <t>Caffè Mocha</t>
        </is>
      </c>
      <c r="B58" s="28" t="inlineStr">
        <is>
          <t>Caffè Mocha</t>
        </is>
      </c>
      <c r="C58" s="28" t="inlineStr">
        <is>
          <t>Product</t>
        </is>
      </c>
      <c r="D58" s="28" t="n">
        <v>45</v>
      </c>
      <c r="E58" s="28" t="n">
        <v>291</v>
      </c>
      <c r="F58" s="28" t="n">
        <v>15</v>
      </c>
      <c r="G58" s="28" t="n">
        <v>12</v>
      </c>
      <c r="H58" s="28" t="n">
        <v>35</v>
      </c>
      <c r="I58" s="28" t="inlineStr">
        <is>
          <t>Coffee Kiosk</t>
        </is>
      </c>
      <c r="J58" s="28" t="n">
        <v>81</v>
      </c>
      <c r="K58" s="28" t="n">
        <v>2</v>
      </c>
      <c r="L58" s="28" t="inlineStr">
        <is>
          <t>Caffe Mocha.png</t>
        </is>
      </c>
      <c r="M58" s="28" t="n">
        <v>286</v>
      </c>
      <c r="N58" s="28" t="n">
        <v>2916</v>
      </c>
      <c r="O58" s="28" t="inlineStr">
        <is>
          <t>15 min</t>
        </is>
      </c>
      <c r="P58" s="28" t="inlineStr">
        <is>
          <t>12 min</t>
        </is>
      </c>
      <c r="Q58" s="28" t="inlineStr">
        <is>
          <t>1 to 291</t>
        </is>
      </c>
      <c r="R58" s="28" t="inlineStr">
        <is>
          <t>https://hayday.fandom.com/wiki/Caffè_Mocha</t>
        </is>
      </c>
    </row>
    <row r="59">
      <c r="A59" s="28" t="inlineStr">
        <is>
          <t>Candy Bouquet</t>
        </is>
      </c>
      <c r="B59" s="28" t="inlineStr">
        <is>
          <t>Candy Bouquet</t>
        </is>
      </c>
      <c r="C59" s="28" t="inlineStr">
        <is>
          <t>Product</t>
        </is>
      </c>
      <c r="D59" s="28" t="n">
        <v>90</v>
      </c>
      <c r="E59" s="28" t="n">
        <v>554</v>
      </c>
      <c r="F59" s="28" t="n">
        <v>20</v>
      </c>
      <c r="G59" s="28" t="n">
        <v>17</v>
      </c>
      <c r="H59" s="28" t="n">
        <v>66</v>
      </c>
      <c r="I59" s="28" t="inlineStr">
        <is>
          <t>Flower Shop</t>
        </is>
      </c>
      <c r="J59" s="28" t="n">
        <v>154</v>
      </c>
      <c r="K59" s="28" t="n">
        <v>2</v>
      </c>
      <c r="L59" s="28" t="inlineStr">
        <is>
          <t>Candy Bouquet.png</t>
        </is>
      </c>
      <c r="M59" s="28" t="n">
        <v>539</v>
      </c>
      <c r="N59" s="28" t="n">
        <v>5544</v>
      </c>
      <c r="O59" s="28" t="inlineStr">
        <is>
          <t>20 min</t>
        </is>
      </c>
      <c r="P59" s="28" t="inlineStr">
        <is>
          <t>17 min</t>
        </is>
      </c>
      <c r="Q59" s="28" t="inlineStr">
        <is>
          <t>1 to 554</t>
        </is>
      </c>
      <c r="R59" s="28" t="inlineStr">
        <is>
          <t>https://hayday.fandom.com/wiki/Candy_Bouquet</t>
        </is>
      </c>
    </row>
    <row r="60">
      <c r="A60" s="28" t="inlineStr">
        <is>
          <t>Canned Fish</t>
        </is>
      </c>
      <c r="B60" s="28" t="inlineStr">
        <is>
          <t>Canned Fish</t>
        </is>
      </c>
      <c r="C60" s="28" t="inlineStr">
        <is>
          <t>Product</t>
        </is>
      </c>
      <c r="D60" s="28" t="n">
        <v>95</v>
      </c>
      <c r="E60" s="28" t="n">
        <v>471</v>
      </c>
      <c r="F60" s="28" t="n">
        <v>220</v>
      </c>
      <c r="G60" s="28" t="n">
        <v>187</v>
      </c>
      <c r="H60" s="28" t="n">
        <v>56</v>
      </c>
      <c r="I60" s="28" t="inlineStr">
        <is>
          <t>Preservation Station</t>
        </is>
      </c>
      <c r="J60" s="28" t="n">
        <v>131</v>
      </c>
      <c r="K60" s="28" t="n">
        <v>7</v>
      </c>
      <c r="L60" s="28" t="inlineStr">
        <is>
          <t>Canned Fish.png</t>
        </is>
      </c>
      <c r="M60" s="28" t="n">
        <v>421</v>
      </c>
      <c r="N60" s="28" t="n">
        <v>4716</v>
      </c>
      <c r="O60" s="28" t="inlineStr">
        <is>
          <t>3 h 40 m</t>
        </is>
      </c>
      <c r="P60" s="28" t="inlineStr">
        <is>
          <t>3 h 7 min</t>
        </is>
      </c>
      <c r="Q60" s="28" t="inlineStr">
        <is>
          <t>1 to 471</t>
        </is>
      </c>
      <c r="R60" s="28" t="inlineStr">
        <is>
          <t>https://hayday.fandom.com/wiki/Canned_Fish</t>
        </is>
      </c>
    </row>
    <row r="61">
      <c r="A61" s="28" t="inlineStr">
        <is>
          <t>Caramel Apple</t>
        </is>
      </c>
      <c r="B61" s="28" t="inlineStr">
        <is>
          <t>Caramel Apple</t>
        </is>
      </c>
      <c r="C61" s="28" t="inlineStr">
        <is>
          <t>Product</t>
        </is>
      </c>
      <c r="D61" s="28" t="n">
        <v>51</v>
      </c>
      <c r="E61" s="28" t="n">
        <v>255</v>
      </c>
      <c r="F61" s="28" t="n">
        <v>120</v>
      </c>
      <c r="G61" s="28" t="n">
        <v>102</v>
      </c>
      <c r="H61" s="28" t="n">
        <v>31</v>
      </c>
      <c r="I61" s="28" t="inlineStr">
        <is>
          <t>Candy Machine</t>
        </is>
      </c>
      <c r="J61" s="28" t="n">
        <v>71</v>
      </c>
      <c r="K61" s="28" t="n">
        <v>5</v>
      </c>
      <c r="L61" s="28" t="inlineStr">
        <is>
          <t>Caramel Apple.png</t>
        </is>
      </c>
      <c r="M61" s="28" t="n">
        <v>219</v>
      </c>
      <c r="N61" s="28" t="n">
        <v>2556</v>
      </c>
      <c r="O61" s="28" t="inlineStr">
        <is>
          <t>2 h</t>
        </is>
      </c>
      <c r="P61" s="28" t="inlineStr">
        <is>
          <t>1 h 42 min</t>
        </is>
      </c>
      <c r="Q61" s="28" t="inlineStr">
        <is>
          <t>1 to 255</t>
        </is>
      </c>
      <c r="R61" s="28" t="inlineStr">
        <is>
          <t>https://hayday.fandom.com/wiki/Caramel_Apple</t>
        </is>
      </c>
    </row>
    <row r="62">
      <c r="A62" s="28" t="inlineStr">
        <is>
          <t>Caramel Latte</t>
        </is>
      </c>
      <c r="B62" s="28" t="inlineStr">
        <is>
          <t>Caramel Latte</t>
        </is>
      </c>
      <c r="C62" s="28" t="inlineStr">
        <is>
          <t>Product</t>
        </is>
      </c>
      <c r="D62" s="28" t="n">
        <v>62</v>
      </c>
      <c r="E62" s="28" t="n">
        <v>345</v>
      </c>
      <c r="F62" s="28" t="n">
        <v>15</v>
      </c>
      <c r="G62" s="28" t="n">
        <v>12</v>
      </c>
      <c r="H62" s="28" t="n">
        <v>41</v>
      </c>
      <c r="I62" s="28" t="inlineStr">
        <is>
          <t>Coffee Kiosk</t>
        </is>
      </c>
      <c r="J62" s="28" t="n">
        <v>96</v>
      </c>
      <c r="K62" s="28" t="n">
        <v>2</v>
      </c>
      <c r="L62" s="28" t="inlineStr">
        <is>
          <t>Caramel Latte.png</t>
        </is>
      </c>
      <c r="M62" s="28" t="n">
        <v>336</v>
      </c>
      <c r="N62" s="28" t="n">
        <v>3456</v>
      </c>
      <c r="O62" s="28" t="inlineStr">
        <is>
          <t>15 min</t>
        </is>
      </c>
      <c r="P62" s="28" t="inlineStr">
        <is>
          <t>12 min</t>
        </is>
      </c>
      <c r="Q62" s="28" t="inlineStr">
        <is>
          <t>1 to 345</t>
        </is>
      </c>
      <c r="R62" s="28" t="inlineStr">
        <is>
          <t>https://hayday.fandom.com/wiki/Caramel_Latte</t>
        </is>
      </c>
    </row>
    <row r="63">
      <c r="A63" s="28" t="inlineStr">
        <is>
          <t>Carrot</t>
        </is>
      </c>
      <c r="B63" s="28" t="inlineStr">
        <is>
          <t>Carrot</t>
        </is>
      </c>
      <c r="C63" s="28" t="inlineStr">
        <is>
          <t>Crop</t>
        </is>
      </c>
      <c r="D63" s="28" t="n">
        <v>9</v>
      </c>
      <c r="E63" s="28" t="n">
        <v>7</v>
      </c>
      <c r="F63" s="28" t="n">
        <v>10</v>
      </c>
      <c r="H63" s="28" t="n">
        <v>2</v>
      </c>
      <c r="I63" s="28" t="inlineStr">
        <is>
          <t>Farm</t>
        </is>
      </c>
      <c r="J63" s="28" t="n">
        <v>2</v>
      </c>
      <c r="K63" s="28" t="n">
        <v>2</v>
      </c>
      <c r="L63" s="28" t="inlineStr">
        <is>
          <t>Carrot.png</t>
        </is>
      </c>
      <c r="N63" s="28" t="n">
        <v>72</v>
      </c>
      <c r="O63" s="28" t="inlineStr">
        <is>
          <t>10 min</t>
        </is>
      </c>
      <c r="Q63" s="28" t="inlineStr">
        <is>
          <t>1 to 7</t>
        </is>
      </c>
      <c r="R63" s="28" t="inlineStr">
        <is>
          <t>https://hayday.fandom.com/wiki/Carrot</t>
        </is>
      </c>
    </row>
    <row r="64">
      <c r="A64" s="28" t="inlineStr">
        <is>
          <t>Carrot Cake</t>
        </is>
      </c>
      <c r="B64" s="28" t="inlineStr">
        <is>
          <t>Carrot Cake</t>
        </is>
      </c>
      <c r="C64" s="28" t="inlineStr">
        <is>
          <t>Product</t>
        </is>
      </c>
      <c r="D64" s="28" t="n">
        <v>21</v>
      </c>
      <c r="E64" s="28" t="n">
        <v>165</v>
      </c>
      <c r="F64" s="28" t="n">
        <v>90</v>
      </c>
      <c r="G64" s="28" t="n">
        <v>76</v>
      </c>
      <c r="H64" s="28" t="n">
        <v>20</v>
      </c>
      <c r="I64" s="28" t="inlineStr">
        <is>
          <t>Cake Oven</t>
        </is>
      </c>
      <c r="J64" s="28" t="n">
        <v>46</v>
      </c>
      <c r="K64" s="28" t="n">
        <v>5</v>
      </c>
      <c r="L64" s="28" t="inlineStr">
        <is>
          <t>Carrot Cake.png</t>
        </is>
      </c>
      <c r="M64" s="28" t="n">
        <v>128</v>
      </c>
      <c r="N64" s="28" t="n">
        <v>1656</v>
      </c>
      <c r="O64" s="28" t="inlineStr">
        <is>
          <t>1 h 30 min</t>
        </is>
      </c>
      <c r="P64" s="28" t="inlineStr">
        <is>
          <t>1 h 16 min</t>
        </is>
      </c>
      <c r="Q64" s="28" t="inlineStr">
        <is>
          <t>1 to 165</t>
        </is>
      </c>
      <c r="R64" s="28" t="inlineStr">
        <is>
          <t>https://hayday.fandom.com/wiki/Carrot_Cake</t>
        </is>
      </c>
    </row>
    <row r="65">
      <c r="A65" s="28" t="inlineStr">
        <is>
          <t>Carrot Juice</t>
        </is>
      </c>
      <c r="B65" s="28" t="inlineStr">
        <is>
          <t>Carrot Juice</t>
        </is>
      </c>
      <c r="C65" s="28" t="inlineStr">
        <is>
          <t>Product</t>
        </is>
      </c>
      <c r="D65" s="28" t="n">
        <v>26</v>
      </c>
      <c r="E65" s="28" t="n">
        <v>46</v>
      </c>
      <c r="F65" s="28" t="n">
        <v>30</v>
      </c>
      <c r="G65" s="28" t="n">
        <v>25</v>
      </c>
      <c r="H65" s="28" t="n">
        <v>6</v>
      </c>
      <c r="I65" s="28" t="inlineStr">
        <is>
          <t>Juice Press</t>
        </is>
      </c>
      <c r="J65" s="28" t="n">
        <v>13</v>
      </c>
      <c r="K65" s="28" t="n">
        <v>3</v>
      </c>
      <c r="L65" s="28" t="inlineStr">
        <is>
          <t>Carrot Juice.png</t>
        </is>
      </c>
      <c r="M65" s="28" t="n">
        <v>21</v>
      </c>
      <c r="O65" s="28" t="inlineStr">
        <is>
          <t>30 min</t>
        </is>
      </c>
      <c r="P65" s="28" t="inlineStr">
        <is>
          <t>25 min</t>
        </is>
      </c>
      <c r="Q65" s="28" t="inlineStr">
        <is>
          <t>1 to 46</t>
        </is>
      </c>
      <c r="R65" s="28" t="inlineStr">
        <is>
          <t>https://hayday.fandom.com/wiki/Carrot_Juice</t>
        </is>
      </c>
    </row>
    <row r="66">
      <c r="A66" s="28" t="inlineStr">
        <is>
          <t>Carrot Pie</t>
        </is>
      </c>
      <c r="B66" s="28" t="inlineStr">
        <is>
          <t>Carrot Pie</t>
        </is>
      </c>
      <c r="C66" s="28" t="inlineStr">
        <is>
          <t>Product</t>
        </is>
      </c>
      <c r="D66" s="28" t="n">
        <v>14</v>
      </c>
      <c r="E66" s="28" t="n">
        <v>82</v>
      </c>
      <c r="F66" s="28" t="n">
        <v>60</v>
      </c>
      <c r="G66" s="28" t="n">
        <v>51</v>
      </c>
      <c r="H66" s="28" t="n">
        <v>10</v>
      </c>
      <c r="I66" s="28" t="inlineStr">
        <is>
          <t>Pie Oven</t>
        </is>
      </c>
      <c r="J66" s="28" t="n">
        <v>23</v>
      </c>
      <c r="K66" s="28" t="n">
        <v>4</v>
      </c>
      <c r="L66" s="28" t="inlineStr">
        <is>
          <t>Carrot Pie.png</t>
        </is>
      </c>
      <c r="M66" s="28" t="n">
        <v>45</v>
      </c>
      <c r="N66" s="28" t="n">
        <v>828</v>
      </c>
      <c r="O66" s="28" t="inlineStr">
        <is>
          <t>1 h</t>
        </is>
      </c>
      <c r="P66" s="28" t="inlineStr">
        <is>
          <t>51 min</t>
        </is>
      </c>
      <c r="Q66" s="28" t="inlineStr">
        <is>
          <t>1 to 82</t>
        </is>
      </c>
      <c r="R66" s="28" t="inlineStr">
        <is>
          <t>https://hayday.fandom.com/wiki/Carrot_Pie</t>
        </is>
      </c>
    </row>
    <row r="67">
      <c r="A67" s="28" t="inlineStr">
        <is>
          <t>Casserole</t>
        </is>
      </c>
      <c r="B67" s="28" t="inlineStr">
        <is>
          <t>Casserole</t>
        </is>
      </c>
      <c r="C67" s="28" t="inlineStr">
        <is>
          <t>Product</t>
        </is>
      </c>
      <c r="D67" s="28" t="n">
        <v>36</v>
      </c>
      <c r="E67" s="28" t="n">
        <v>367</v>
      </c>
      <c r="F67" s="28" t="n">
        <v>120</v>
      </c>
      <c r="G67" s="28" t="n">
        <v>102</v>
      </c>
      <c r="H67" s="28" t="n">
        <v>44</v>
      </c>
      <c r="I67" s="28" t="inlineStr">
        <is>
          <t>Pie Oven</t>
        </is>
      </c>
      <c r="J67" s="28" t="n">
        <v>102</v>
      </c>
      <c r="K67" s="28" t="n">
        <v>5</v>
      </c>
      <c r="L67" s="28" t="inlineStr">
        <is>
          <t>Casserole.png</t>
        </is>
      </c>
      <c r="M67" s="28" t="n">
        <v>330</v>
      </c>
      <c r="N67" s="28" t="n">
        <v>3672</v>
      </c>
      <c r="O67" s="28" t="inlineStr">
        <is>
          <t>2 h</t>
        </is>
      </c>
      <c r="P67" s="28" t="inlineStr">
        <is>
          <t>1 h 42 min</t>
        </is>
      </c>
      <c r="Q67" s="28" t="inlineStr">
        <is>
          <t>1 to 367</t>
        </is>
      </c>
      <c r="R67" s="28" t="inlineStr">
        <is>
          <t>https://hayday.fandom.com/wiki/Casserole</t>
        </is>
      </c>
    </row>
    <row r="68">
      <c r="A68" s="28" t="inlineStr">
        <is>
          <t>Chamomile Tea</t>
        </is>
      </c>
      <c r="B68" s="28" t="inlineStr">
        <is>
          <t>Chamomile Tea</t>
        </is>
      </c>
      <c r="C68" s="28" t="inlineStr">
        <is>
          <t>Product</t>
        </is>
      </c>
      <c r="D68" s="28" t="n">
        <v>100</v>
      </c>
      <c r="E68" s="28" t="n">
        <v>144</v>
      </c>
      <c r="F68" s="28" t="n">
        <v>20</v>
      </c>
      <c r="G68" s="28" t="n">
        <v>17</v>
      </c>
      <c r="H68" s="28" t="n">
        <v>17</v>
      </c>
      <c r="I68" s="28" t="inlineStr">
        <is>
          <t>Tea Stand</t>
        </is>
      </c>
      <c r="J68" s="28" t="n">
        <v>40</v>
      </c>
      <c r="K68" s="28" t="n">
        <v>2</v>
      </c>
      <c r="L68" s="28" t="inlineStr">
        <is>
          <t>Chamomile Tea.png</t>
        </is>
      </c>
      <c r="M68" s="28" t="n">
        <v>118</v>
      </c>
      <c r="N68" s="28" t="n">
        <v>1440</v>
      </c>
      <c r="O68" s="28" t="inlineStr">
        <is>
          <t>20 min</t>
        </is>
      </c>
      <c r="P68" s="28" t="inlineStr">
        <is>
          <t>17 min</t>
        </is>
      </c>
      <c r="Q68" s="28" t="inlineStr">
        <is>
          <t>1 to 144</t>
        </is>
      </c>
      <c r="R68" s="28" t="inlineStr">
        <is>
          <t>https://hayday.fandom.com/wiki/Chamomile_Tea</t>
        </is>
      </c>
    </row>
    <row r="69">
      <c r="A69" s="28" t="inlineStr">
        <is>
          <t>Cheese</t>
        </is>
      </c>
      <c r="B69" s="28" t="inlineStr">
        <is>
          <t>Cheese</t>
        </is>
      </c>
      <c r="C69" s="28" t="inlineStr">
        <is>
          <t>Product</t>
        </is>
      </c>
      <c r="D69" s="28" t="n">
        <v>12</v>
      </c>
      <c r="E69" s="28" t="n">
        <v>122</v>
      </c>
      <c r="F69" s="28" t="n">
        <v>60</v>
      </c>
      <c r="G69" s="28" t="n">
        <v>51</v>
      </c>
      <c r="H69" s="28" t="n">
        <v>15</v>
      </c>
      <c r="I69" s="28" t="inlineStr">
        <is>
          <t>Dairy</t>
        </is>
      </c>
      <c r="J69" s="28" t="n">
        <v>34</v>
      </c>
      <c r="K69" s="28" t="n">
        <v>4</v>
      </c>
      <c r="L69" s="28" t="inlineStr">
        <is>
          <t>Cheese.png</t>
        </is>
      </c>
      <c r="M69" s="28" t="n">
        <v>96</v>
      </c>
      <c r="N69" s="28" t="n">
        <v>1224</v>
      </c>
      <c r="O69" s="28" t="inlineStr">
        <is>
          <t>1 h</t>
        </is>
      </c>
      <c r="P69" s="28" t="inlineStr">
        <is>
          <t>51 min</t>
        </is>
      </c>
      <c r="Q69" s="28" t="inlineStr">
        <is>
          <t>1 to 122</t>
        </is>
      </c>
      <c r="R69" s="28" t="inlineStr">
        <is>
          <t>https://hayday.fandom.com/wiki/Cheese</t>
        </is>
      </c>
    </row>
    <row r="70">
      <c r="A70" s="28" t="inlineStr">
        <is>
          <t>Cheese Fondue</t>
        </is>
      </c>
      <c r="B70" s="28" t="inlineStr">
        <is>
          <t>Cheese Fondue</t>
        </is>
      </c>
      <c r="C70" s="28" t="inlineStr">
        <is>
          <t>product</t>
        </is>
      </c>
      <c r="D70" s="28" t="n">
        <v>91</v>
      </c>
      <c r="E70" s="28" t="n">
        <v>493</v>
      </c>
      <c r="F70" s="28" t="n">
        <v>20</v>
      </c>
      <c r="G70" s="28" t="n">
        <v>17</v>
      </c>
      <c r="H70" s="28" t="n">
        <v>59</v>
      </c>
      <c r="I70" s="28" t="inlineStr">
        <is>
          <t>Fondue Pot</t>
        </is>
      </c>
      <c r="J70" s="28" t="n">
        <v>137</v>
      </c>
      <c r="K70" s="28" t="n">
        <v>2</v>
      </c>
      <c r="L70" s="28" t="inlineStr">
        <is>
          <t>Cheese Fondue.png</t>
        </is>
      </c>
      <c r="M70" s="28" t="n">
        <v>469</v>
      </c>
      <c r="N70" s="28" t="n">
        <v>4932</v>
      </c>
      <c r="O70" s="28" t="inlineStr">
        <is>
          <t>20 min</t>
        </is>
      </c>
      <c r="P70" s="28" t="inlineStr">
        <is>
          <t>17 min</t>
        </is>
      </c>
      <c r="Q70" s="28" t="inlineStr">
        <is>
          <t>1 to 493</t>
        </is>
      </c>
      <c r="R70" s="28" t="inlineStr">
        <is>
          <t>https://hayday.fandom.com/wiki/Cheese_Fondue</t>
        </is>
      </c>
    </row>
    <row r="71">
      <c r="A71" s="28" t="inlineStr">
        <is>
          <t>Cheesecake</t>
        </is>
      </c>
      <c r="B71" s="28" t="inlineStr">
        <is>
          <t>Cheesecake</t>
        </is>
      </c>
      <c r="C71" s="28" t="inlineStr">
        <is>
          <t>Product</t>
        </is>
      </c>
      <c r="D71" s="28" t="n">
        <v>24</v>
      </c>
      <c r="E71" s="28" t="n">
        <v>284</v>
      </c>
      <c r="F71" s="28" t="n">
        <v>240</v>
      </c>
      <c r="G71" s="28" t="n">
        <v>204</v>
      </c>
      <c r="H71" s="28" t="n">
        <v>34</v>
      </c>
      <c r="I71" s="28" t="inlineStr">
        <is>
          <t>Cake Oven</t>
        </is>
      </c>
      <c r="J71" s="28" t="n">
        <v>79</v>
      </c>
      <c r="K71" s="28" t="n">
        <v>6</v>
      </c>
      <c r="L71" s="28" t="inlineStr">
        <is>
          <t>Cheesecake.png</t>
        </is>
      </c>
      <c r="M71" s="28" t="n">
        <v>226</v>
      </c>
      <c r="N71" s="28" t="n">
        <v>2844</v>
      </c>
      <c r="O71" s="28" t="inlineStr">
        <is>
          <t>4 h</t>
        </is>
      </c>
      <c r="P71" s="28" t="inlineStr">
        <is>
          <t>3 h 24 min</t>
        </is>
      </c>
      <c r="Q71" s="28" t="inlineStr">
        <is>
          <t>1 to 284</t>
        </is>
      </c>
      <c r="R71" s="28" t="inlineStr">
        <is>
          <t>https://hayday.fandom.com/wiki/Cheesecake</t>
        </is>
      </c>
    </row>
    <row r="72">
      <c r="A72" s="28" t="inlineStr">
        <is>
          <t>Cherry</t>
        </is>
      </c>
      <c r="B72" s="28" t="inlineStr">
        <is>
          <t>Cherry</t>
        </is>
      </c>
      <c r="C72" s="28" t="inlineStr">
        <is>
          <t>Crop</t>
        </is>
      </c>
      <c r="D72" s="28" t="n">
        <v>22</v>
      </c>
      <c r="E72" s="28" t="n">
        <v>68</v>
      </c>
      <c r="F72" s="28" t="n">
        <v>1680</v>
      </c>
      <c r="H72" s="28" t="n">
        <v>13</v>
      </c>
      <c r="I72" s="28" t="inlineStr">
        <is>
          <t>Cherry Tree</t>
        </is>
      </c>
      <c r="J72" s="28" t="n">
        <v>19</v>
      </c>
      <c r="K72" s="28" t="n">
        <v>13</v>
      </c>
      <c r="L72" s="28" t="inlineStr">
        <is>
          <t>Cherry.png</t>
        </is>
      </c>
      <c r="N72" s="28" t="n">
        <v>684</v>
      </c>
      <c r="O72" s="28" t="inlineStr">
        <is>
          <t>1 d 4 h</t>
        </is>
      </c>
      <c r="Q72" s="28" t="inlineStr">
        <is>
          <t>1 to 68</t>
        </is>
      </c>
      <c r="R72" s="28" t="inlineStr">
        <is>
          <t>https://hayday.fandom.com/wiki/Cherry</t>
        </is>
      </c>
    </row>
    <row r="73">
      <c r="A73" s="28" t="inlineStr">
        <is>
          <t>Cherry Jam</t>
        </is>
      </c>
      <c r="B73" s="28" t="inlineStr">
        <is>
          <t>Cherry Jam</t>
        </is>
      </c>
      <c r="C73" s="28" t="inlineStr">
        <is>
          <t>Product</t>
        </is>
      </c>
      <c r="D73" s="28" t="n">
        <v>38</v>
      </c>
      <c r="E73" s="28" t="n">
        <v>334</v>
      </c>
      <c r="F73" s="28" t="n">
        <v>420</v>
      </c>
      <c r="G73" s="28" t="n">
        <v>357</v>
      </c>
      <c r="H73" s="28" t="n">
        <v>40</v>
      </c>
      <c r="I73" s="28" t="inlineStr">
        <is>
          <t>Jam Maker</t>
        </is>
      </c>
      <c r="J73" s="28" t="n">
        <v>93</v>
      </c>
      <c r="K73" s="28" t="n">
        <v>8</v>
      </c>
      <c r="L73" s="28" t="inlineStr">
        <is>
          <t>Cherry Jam.png</t>
        </is>
      </c>
      <c r="M73" s="28" t="n">
        <v>204</v>
      </c>
      <c r="N73" s="28" t="n">
        <v>3348</v>
      </c>
      <c r="O73" s="28" t="inlineStr">
        <is>
          <t>7 h</t>
        </is>
      </c>
      <c r="P73" s="28" t="inlineStr">
        <is>
          <t>5 h 57 min</t>
        </is>
      </c>
      <c r="Q73" s="28" t="inlineStr">
        <is>
          <t>1 to 334</t>
        </is>
      </c>
      <c r="R73" s="28" t="inlineStr">
        <is>
          <t>https://hayday.fandom.com/wiki/Cherry_Jam</t>
        </is>
      </c>
    </row>
    <row r="74">
      <c r="A74" s="28" t="inlineStr">
        <is>
          <t>Cherry Juice</t>
        </is>
      </c>
      <c r="B74" s="28" t="inlineStr">
        <is>
          <t>Cherry Juice</t>
        </is>
      </c>
      <c r="C74" s="28" t="inlineStr">
        <is>
          <t>Product</t>
        </is>
      </c>
      <c r="D74" s="28" t="n">
        <v>30</v>
      </c>
      <c r="E74" s="28" t="n">
        <v>216</v>
      </c>
      <c r="F74" s="28" t="n">
        <v>150</v>
      </c>
      <c r="G74" s="28" t="n">
        <v>127</v>
      </c>
      <c r="H74" s="28" t="n">
        <v>26</v>
      </c>
      <c r="I74" s="28" t="inlineStr">
        <is>
          <t>Juice Press</t>
        </is>
      </c>
      <c r="J74" s="28" t="n">
        <v>60</v>
      </c>
      <c r="K74" s="28" t="n">
        <v>6</v>
      </c>
      <c r="L74" s="28" t="inlineStr">
        <is>
          <t>Cherry Juice.png</t>
        </is>
      </c>
      <c r="M74" s="28" t="n">
        <v>136</v>
      </c>
      <c r="O74" s="28" t="inlineStr">
        <is>
          <t>2 h 30 m</t>
        </is>
      </c>
      <c r="P74" s="28" t="inlineStr">
        <is>
          <t>2 h 7 m</t>
        </is>
      </c>
      <c r="Q74" s="28" t="inlineStr">
        <is>
          <t>1 to 216</t>
        </is>
      </c>
      <c r="R74" s="28" t="inlineStr">
        <is>
          <t>https://hayday.fandom.com/wiki/Cherry_Juice</t>
        </is>
      </c>
    </row>
    <row r="75">
      <c r="A75" s="28" t="inlineStr">
        <is>
          <t>Cherry Popsicle</t>
        </is>
      </c>
      <c r="B75" s="28" t="inlineStr">
        <is>
          <t>Cherry Popsicle</t>
        </is>
      </c>
      <c r="C75" s="28" t="inlineStr">
        <is>
          <t>Product</t>
        </is>
      </c>
      <c r="D75" s="28" t="n">
        <v>33</v>
      </c>
      <c r="E75" s="28" t="n">
        <v>352</v>
      </c>
      <c r="F75" s="28" t="n">
        <v>180</v>
      </c>
      <c r="G75" s="28" t="n">
        <v>153</v>
      </c>
      <c r="H75" s="28" t="n">
        <v>42</v>
      </c>
      <c r="I75" s="28" t="inlineStr">
        <is>
          <t>Ice Cream Maker</t>
        </is>
      </c>
      <c r="J75" s="28" t="n">
        <v>98</v>
      </c>
      <c r="K75" s="28" t="n">
        <v>6</v>
      </c>
      <c r="L75" s="28" t="inlineStr">
        <is>
          <t>Cherry Popsicle.png</t>
        </is>
      </c>
      <c r="M75" s="28" t="n">
        <v>306</v>
      </c>
      <c r="N75" s="28" t="n">
        <v>3528</v>
      </c>
      <c r="O75" s="28" t="inlineStr">
        <is>
          <t>3 h</t>
        </is>
      </c>
      <c r="P75" s="28" t="inlineStr">
        <is>
          <t>2 h 33 m</t>
        </is>
      </c>
      <c r="Q75" s="28" t="inlineStr">
        <is>
          <t>1 to 352</t>
        </is>
      </c>
      <c r="R75" s="28" t="inlineStr">
        <is>
          <t>https://hayday.fandom.com/wiki/Cherry_Popsicle</t>
        </is>
      </c>
    </row>
    <row r="76">
      <c r="A76" s="28" t="inlineStr">
        <is>
          <t>Chicken Feed</t>
        </is>
      </c>
      <c r="B76" s="28" t="inlineStr">
        <is>
          <t>Chicken Feed</t>
        </is>
      </c>
      <c r="C76" s="28" t="inlineStr">
        <is>
          <t>Product</t>
        </is>
      </c>
      <c r="D76" s="28" t="n">
        <v>2</v>
      </c>
      <c r="E76" s="28" t="n">
        <v>7</v>
      </c>
      <c r="F76" s="28" t="n">
        <v>5</v>
      </c>
      <c r="G76" s="28" t="n">
        <v>4</v>
      </c>
      <c r="H76" s="28" t="n">
        <v>1</v>
      </c>
      <c r="I76" s="28" t="inlineStr">
        <is>
          <t>Feed Mill</t>
        </is>
      </c>
      <c r="J76" s="28" t="n">
        <v>2</v>
      </c>
      <c r="K76" s="28" t="n">
        <v>1</v>
      </c>
      <c r="L76" s="28" t="inlineStr">
        <is>
          <t>Chicken_Feed.png</t>
        </is>
      </c>
      <c r="M76" s="28" t="n">
        <v>13</v>
      </c>
      <c r="N76" s="28" t="n">
        <v>72</v>
      </c>
      <c r="O76" s="28" t="inlineStr">
        <is>
          <t>5 min</t>
        </is>
      </c>
      <c r="P76" s="28" t="inlineStr">
        <is>
          <t>4 min</t>
        </is>
      </c>
      <c r="Q76" s="28" t="inlineStr">
        <is>
          <t>1 to 7</t>
        </is>
      </c>
      <c r="R76" s="28" t="inlineStr">
        <is>
          <t>https://hayday.fandom.com/wiki/Chicken_Feed</t>
        </is>
      </c>
    </row>
    <row r="77">
      <c r="A77" s="28" t="inlineStr">
        <is>
          <t>Chickpea</t>
        </is>
      </c>
      <c r="B77" s="28" t="inlineStr">
        <is>
          <t>Chickpea</t>
        </is>
      </c>
      <c r="C77" s="28" t="inlineStr">
        <is>
          <t>Crop</t>
        </is>
      </c>
      <c r="D77" s="28" t="n">
        <v>95</v>
      </c>
      <c r="E77" s="28" t="n">
        <v>18</v>
      </c>
      <c r="F77" s="28" t="n">
        <v>60</v>
      </c>
      <c r="H77" s="28" t="n">
        <v>4</v>
      </c>
      <c r="I77" s="28" t="inlineStr">
        <is>
          <t>Farm</t>
        </is>
      </c>
      <c r="J77" s="28" t="n">
        <v>5</v>
      </c>
      <c r="K77" s="28" t="n">
        <v>4</v>
      </c>
      <c r="L77" s="28" t="inlineStr">
        <is>
          <t>Chickpea.png</t>
        </is>
      </c>
      <c r="N77" s="28" t="n">
        <v>180</v>
      </c>
      <c r="O77" s="28" t="inlineStr">
        <is>
          <t>1 h</t>
        </is>
      </c>
      <c r="Q77" s="28" t="inlineStr">
        <is>
          <t>1 to 18</t>
        </is>
      </c>
      <c r="R77" s="28" t="inlineStr">
        <is>
          <t>https://hayday.fandom.com/wiki/Chickpea</t>
        </is>
      </c>
    </row>
    <row r="78">
      <c r="A78" s="28" t="inlineStr">
        <is>
          <t>Chickpea Stew</t>
        </is>
      </c>
      <c r="B78" s="28" t="inlineStr">
        <is>
          <t>Chickpea Stew</t>
        </is>
      </c>
      <c r="C78" s="28" t="inlineStr">
        <is>
          <t>Product</t>
        </is>
      </c>
      <c r="D78" s="28" t="n">
        <v>106</v>
      </c>
      <c r="E78" s="28" t="n">
        <v>284</v>
      </c>
      <c r="F78" s="28" t="n">
        <v>90</v>
      </c>
      <c r="G78" s="28" t="n">
        <v>76</v>
      </c>
      <c r="H78" s="28" t="n">
        <v>34</v>
      </c>
      <c r="I78" s="28" t="inlineStr">
        <is>
          <t>Stew Pot</t>
        </is>
      </c>
      <c r="J78" s="28" t="n">
        <v>79</v>
      </c>
      <c r="K78" s="28" t="n">
        <v>5</v>
      </c>
      <c r="L78" s="28" t="inlineStr">
        <is>
          <t>Chickpea Stew.png</t>
        </is>
      </c>
      <c r="M78" s="28" t="n">
        <v>248</v>
      </c>
      <c r="N78" s="28" t="n">
        <v>2844</v>
      </c>
      <c r="O78" s="28" t="inlineStr">
        <is>
          <t>1 hr 30 min</t>
        </is>
      </c>
      <c r="P78" s="28" t="inlineStr">
        <is>
          <t>1 hr 16 min</t>
        </is>
      </c>
      <c r="Q78" s="28" t="inlineStr">
        <is>
          <t>1 to 284</t>
        </is>
      </c>
      <c r="R78" s="28" t="inlineStr">
        <is>
          <t>https://hayday.fandom.com/wiki/Chickpea_Stew</t>
        </is>
      </c>
    </row>
    <row r="79">
      <c r="A79" s="28" t="inlineStr">
        <is>
          <t>Chili Fudge</t>
        </is>
      </c>
      <c r="B79" s="28" t="inlineStr">
        <is>
          <t>Chili Fudge</t>
        </is>
      </c>
      <c r="C79" s="28" t="inlineStr">
        <is>
          <t>Product</t>
        </is>
      </c>
      <c r="D79" s="28" t="n">
        <v>104</v>
      </c>
      <c r="E79" s="28" t="n">
        <v>540</v>
      </c>
      <c r="F79" s="28" t="n">
        <v>170</v>
      </c>
      <c r="G79" s="28" t="n">
        <v>144</v>
      </c>
      <c r="H79" s="28" t="n">
        <v>64</v>
      </c>
      <c r="I79" s="28" t="inlineStr">
        <is>
          <t>Fudge Shop</t>
        </is>
      </c>
      <c r="J79" s="28" t="n">
        <v>150</v>
      </c>
      <c r="K79" s="28" t="n">
        <v>6</v>
      </c>
      <c r="L79" s="28" t="inlineStr">
        <is>
          <t>Chili Fudge.png</t>
        </is>
      </c>
      <c r="M79" s="28" t="n">
        <v>494</v>
      </c>
      <c r="N79" s="28" t="n">
        <v>5400</v>
      </c>
      <c r="O79" s="28" t="inlineStr">
        <is>
          <t>2 h 50 m</t>
        </is>
      </c>
      <c r="P79" s="28" t="inlineStr">
        <is>
          <t>2 h 24 min</t>
        </is>
      </c>
      <c r="Q79" s="28" t="inlineStr">
        <is>
          <t>1 to 540</t>
        </is>
      </c>
      <c r="R79" s="28" t="inlineStr">
        <is>
          <t>https://hayday.fandom.com/wiki/Chili_Fudge</t>
        </is>
      </c>
    </row>
    <row r="80">
      <c r="A80" s="28" t="inlineStr">
        <is>
          <t>Chili Pepper</t>
        </is>
      </c>
      <c r="B80" s="28" t="inlineStr">
        <is>
          <t>Chili Pepper</t>
        </is>
      </c>
      <c r="C80" s="28" t="inlineStr">
        <is>
          <t>Crop</t>
        </is>
      </c>
      <c r="D80" s="28" t="n">
        <v>25</v>
      </c>
      <c r="E80" s="28" t="n">
        <v>36</v>
      </c>
      <c r="F80" s="28" t="n">
        <v>240</v>
      </c>
      <c r="H80" s="28" t="n">
        <v>7</v>
      </c>
      <c r="I80" s="28" t="inlineStr">
        <is>
          <t>Farm</t>
        </is>
      </c>
      <c r="J80" s="28" t="n">
        <v>10</v>
      </c>
      <c r="K80" s="28" t="n">
        <v>7</v>
      </c>
      <c r="L80" s="28" t="inlineStr">
        <is>
          <t>Chili Pepper.png</t>
        </is>
      </c>
      <c r="N80" s="28" t="n">
        <v>360</v>
      </c>
      <c r="O80" s="28" t="inlineStr">
        <is>
          <t>4 h</t>
        </is>
      </c>
      <c r="Q80" s="28" t="inlineStr">
        <is>
          <t>1 to 36</t>
        </is>
      </c>
      <c r="R80" s="28" t="inlineStr">
        <is>
          <t>https://hayday.fandom.com/wiki/Chili_Pepper</t>
        </is>
      </c>
    </row>
    <row r="81">
      <c r="A81" s="28" t="inlineStr">
        <is>
          <t>Chili Popcorn</t>
        </is>
      </c>
      <c r="B81" s="28" t="inlineStr">
        <is>
          <t>Chili Popcorn</t>
        </is>
      </c>
      <c r="C81" s="28" t="inlineStr">
        <is>
          <t>Product</t>
        </is>
      </c>
      <c r="D81" s="28" t="n">
        <v>25</v>
      </c>
      <c r="E81" s="28" t="n">
        <v>122</v>
      </c>
      <c r="F81" s="28" t="n">
        <v>120</v>
      </c>
      <c r="G81" s="28" t="n">
        <v>102</v>
      </c>
      <c r="H81" s="28" t="n">
        <v>15</v>
      </c>
      <c r="I81" s="28" t="inlineStr">
        <is>
          <t>Popcorn Pot</t>
        </is>
      </c>
      <c r="J81" s="28" t="n">
        <v>34</v>
      </c>
      <c r="K81" s="28" t="n">
        <v>5</v>
      </c>
      <c r="L81" s="28" t="inlineStr">
        <is>
          <t>Chili_Popcorn.png</t>
        </is>
      </c>
      <c r="M81" s="28" t="n">
        <v>86</v>
      </c>
      <c r="N81" s="28" t="n">
        <v>1224</v>
      </c>
      <c r="O81" s="28" t="inlineStr">
        <is>
          <t>2 h</t>
        </is>
      </c>
      <c r="P81" s="28" t="inlineStr">
        <is>
          <t>1 h 42 min</t>
        </is>
      </c>
      <c r="Q81" s="28" t="inlineStr">
        <is>
          <t>1 to 122</t>
        </is>
      </c>
      <c r="R81" s="28" t="inlineStr">
        <is>
          <t>https://hayday.fandom.com/wiki/Chili_Popcorn</t>
        </is>
      </c>
    </row>
    <row r="82">
      <c r="A82" s="28" t="inlineStr">
        <is>
          <t>Chili Poppers</t>
        </is>
      </c>
      <c r="B82" s="28" t="inlineStr">
        <is>
          <t>Chili Poppers</t>
        </is>
      </c>
      <c r="C82" s="28" t="inlineStr">
        <is>
          <t>Product</t>
        </is>
      </c>
      <c r="D82" s="28" t="n">
        <v>98</v>
      </c>
      <c r="E82" s="28" t="n">
        <v>406</v>
      </c>
      <c r="F82" s="28" t="n">
        <v>40</v>
      </c>
      <c r="G82" s="28" t="n">
        <v>34</v>
      </c>
      <c r="H82" s="28" t="n">
        <v>48</v>
      </c>
      <c r="I82" s="28" t="inlineStr">
        <is>
          <t>Deep Fryer</t>
        </is>
      </c>
      <c r="J82" s="28" t="n">
        <v>113</v>
      </c>
      <c r="K82" s="28" t="n">
        <v>3</v>
      </c>
      <c r="L82" s="28" t="inlineStr">
        <is>
          <t>Chili Poppers.png</t>
        </is>
      </c>
      <c r="M82" s="28" t="n">
        <v>383</v>
      </c>
      <c r="N82" s="28" t="n">
        <v>4068</v>
      </c>
      <c r="O82" s="28" t="inlineStr">
        <is>
          <t>40 min</t>
        </is>
      </c>
      <c r="P82" s="28" t="inlineStr">
        <is>
          <t>34 min</t>
        </is>
      </c>
      <c r="Q82" s="28" t="inlineStr">
        <is>
          <t>1 to 406</t>
        </is>
      </c>
      <c r="R82" s="28" t="inlineStr">
        <is>
          <t>https://hayday.fandom.com/wiki/Chili_Poppers</t>
        </is>
      </c>
    </row>
    <row r="83">
      <c r="A83" s="28" t="inlineStr">
        <is>
          <t>Chili Stew</t>
        </is>
      </c>
      <c r="B83" s="28" t="inlineStr">
        <is>
          <t>Chili Stew</t>
        </is>
      </c>
      <c r="C83" s="28" t="inlineStr">
        <is>
          <t>Product</t>
        </is>
      </c>
      <c r="D83" s="28" t="n">
        <v>109</v>
      </c>
      <c r="E83" s="28" t="n">
        <v>370</v>
      </c>
      <c r="F83" s="28" t="n">
        <v>120</v>
      </c>
      <c r="G83" s="28" t="n">
        <v>102</v>
      </c>
      <c r="H83" s="28" t="n">
        <v>44</v>
      </c>
      <c r="I83" s="28" t="inlineStr">
        <is>
          <t>Stew Pot</t>
        </is>
      </c>
      <c r="J83" s="28" t="n">
        <v>103</v>
      </c>
      <c r="K83" s="28" t="n">
        <v>5</v>
      </c>
      <c r="L83" s="28" t="inlineStr">
        <is>
          <t>Chili Stew.png</t>
        </is>
      </c>
      <c r="M83" s="28" t="n">
        <v>336</v>
      </c>
      <c r="N83" s="28" t="n">
        <v>3708</v>
      </c>
      <c r="O83" s="28" t="inlineStr">
        <is>
          <t>2 hr</t>
        </is>
      </c>
      <c r="P83" s="28" t="inlineStr">
        <is>
          <t>1 hr 42 min</t>
        </is>
      </c>
      <c r="Q83" s="28" t="inlineStr">
        <is>
          <t>1 to 370</t>
        </is>
      </c>
      <c r="R83" s="28" t="inlineStr">
        <is>
          <t>https://hayday.fandom.com/wiki/Chili_Stew</t>
        </is>
      </c>
    </row>
    <row r="84">
      <c r="A84" s="28" t="inlineStr">
        <is>
          <t>Chocolate</t>
        </is>
      </c>
      <c r="B84" s="28" t="inlineStr">
        <is>
          <t>Chocolate</t>
        </is>
      </c>
      <c r="C84" s="28" t="inlineStr">
        <is>
          <t>Product</t>
        </is>
      </c>
      <c r="D84" s="28" t="n">
        <v>54</v>
      </c>
      <c r="E84" s="28" t="n">
        <v>460</v>
      </c>
      <c r="F84" s="28" t="n">
        <v>1200</v>
      </c>
      <c r="G84" s="28" t="n">
        <v>1020</v>
      </c>
      <c r="H84" s="28" t="n">
        <v>55</v>
      </c>
      <c r="I84" s="28" t="inlineStr">
        <is>
          <t>Candy Machine</t>
        </is>
      </c>
      <c r="J84" s="28" t="n">
        <v>128</v>
      </c>
      <c r="K84" s="28" t="n">
        <v>13</v>
      </c>
      <c r="L84" s="28" t="inlineStr">
        <is>
          <t>Chocolate.png</t>
        </is>
      </c>
      <c r="M84" s="28" t="n">
        <v>358</v>
      </c>
      <c r="N84" s="28" t="n">
        <v>4608</v>
      </c>
      <c r="O84" s="28" t="inlineStr">
        <is>
          <t>20 h</t>
        </is>
      </c>
      <c r="P84" s="28" t="inlineStr">
        <is>
          <t>17 h</t>
        </is>
      </c>
      <c r="Q84" s="28" t="inlineStr">
        <is>
          <t>1 to 460</t>
        </is>
      </c>
      <c r="R84" s="28" t="inlineStr">
        <is>
          <t>https://hayday.fandom.com/wiki/Chocolate</t>
        </is>
      </c>
    </row>
    <row r="85">
      <c r="A85" s="28" t="inlineStr">
        <is>
          <t>Chocolate Cake</t>
        </is>
      </c>
      <c r="B85" s="28" t="inlineStr">
        <is>
          <t>Chocolate Cake</t>
        </is>
      </c>
      <c r="C85" s="28" t="inlineStr">
        <is>
          <t>Product</t>
        </is>
      </c>
      <c r="D85" s="28" t="n">
        <v>36</v>
      </c>
      <c r="E85" s="28" t="n">
        <v>320</v>
      </c>
      <c r="F85" s="28" t="n">
        <v>120</v>
      </c>
      <c r="G85" s="28" t="n">
        <v>102</v>
      </c>
      <c r="H85" s="28" t="n">
        <v>38</v>
      </c>
      <c r="I85" s="28" t="inlineStr">
        <is>
          <t>Cake Oven</t>
        </is>
      </c>
      <c r="J85" s="28" t="n">
        <v>89</v>
      </c>
      <c r="K85" s="28" t="n">
        <v>5</v>
      </c>
      <c r="L85" s="28" t="inlineStr">
        <is>
          <t>Chocolate_Cake.png</t>
        </is>
      </c>
      <c r="M85" s="28" t="n">
        <v>286</v>
      </c>
      <c r="N85" s="28" t="n">
        <v>3204</v>
      </c>
      <c r="O85" s="28" t="inlineStr">
        <is>
          <t>2 h</t>
        </is>
      </c>
      <c r="P85" s="28" t="inlineStr">
        <is>
          <t>1 h 42 min</t>
        </is>
      </c>
      <c r="Q85" s="28" t="inlineStr">
        <is>
          <t>1 to 320</t>
        </is>
      </c>
      <c r="R85" s="28" t="inlineStr">
        <is>
          <t>https://hayday.fandom.com/wiki/Chocolate_Cake</t>
        </is>
      </c>
    </row>
    <row r="86">
      <c r="A86" s="28" t="inlineStr">
        <is>
          <t>Chocolate Fondue</t>
        </is>
      </c>
      <c r="B86" s="28" t="inlineStr">
        <is>
          <t>Chocolate Fondue</t>
        </is>
      </c>
      <c r="C86" s="28" t="inlineStr">
        <is>
          <t>Product</t>
        </is>
      </c>
      <c r="D86" s="28" t="n">
        <v>81</v>
      </c>
      <c r="E86" s="28" t="n">
        <v>626</v>
      </c>
      <c r="F86" s="28" t="n">
        <v>25</v>
      </c>
      <c r="G86" s="28" t="n">
        <v>21</v>
      </c>
      <c r="H86" s="28" t="n">
        <v>74</v>
      </c>
      <c r="I86" s="28" t="inlineStr">
        <is>
          <t>Fondue Pot</t>
        </is>
      </c>
      <c r="J86" s="28" t="n">
        <v>174</v>
      </c>
      <c r="K86" s="28" t="n">
        <v>3</v>
      </c>
      <c r="L86" s="28" t="inlineStr">
        <is>
          <t>Chocolate Fondue.png</t>
        </is>
      </c>
      <c r="M86" s="28" t="n">
        <v>610</v>
      </c>
      <c r="N86" s="28" t="n">
        <v>6264</v>
      </c>
      <c r="O86" s="28" t="inlineStr">
        <is>
          <t>25 min</t>
        </is>
      </c>
      <c r="P86" s="28" t="inlineStr">
        <is>
          <t>21 min</t>
        </is>
      </c>
      <c r="Q86" s="28" t="inlineStr">
        <is>
          <t>1 to 626</t>
        </is>
      </c>
      <c r="R86" s="28" t="inlineStr">
        <is>
          <t>https://hayday.fandom.com/wiki/Chocolate_Fondue</t>
        </is>
      </c>
    </row>
    <row r="87">
      <c r="A87" s="28" t="inlineStr">
        <is>
          <t>Chocolate Ice Cream</t>
        </is>
      </c>
      <c r="B87" s="28" t="inlineStr">
        <is>
          <t>Chocolate Ice Cream</t>
        </is>
      </c>
      <c r="C87" s="28" t="inlineStr">
        <is>
          <t>Product</t>
        </is>
      </c>
      <c r="D87" s="28" t="n">
        <v>39</v>
      </c>
      <c r="E87" s="28" t="n">
        <v>342</v>
      </c>
      <c r="F87" s="28" t="n">
        <v>150</v>
      </c>
      <c r="G87" s="28" t="n">
        <v>127</v>
      </c>
      <c r="H87" s="28" t="n">
        <v>41</v>
      </c>
      <c r="I87" s="28" t="inlineStr">
        <is>
          <t>Ice Cream Maker</t>
        </is>
      </c>
      <c r="J87" s="28" t="n">
        <v>95</v>
      </c>
      <c r="K87" s="28" t="n">
        <v>6</v>
      </c>
      <c r="L87" s="28" t="inlineStr">
        <is>
          <t>Chocolate Ice Cream.png</t>
        </is>
      </c>
      <c r="M87" s="28" t="n">
        <v>304</v>
      </c>
      <c r="N87" s="28" t="n">
        <v>3420</v>
      </c>
      <c r="O87" s="28" t="inlineStr">
        <is>
          <t>2 h 30 min</t>
        </is>
      </c>
      <c r="P87" s="28" t="inlineStr">
        <is>
          <t>2 h 7 min</t>
        </is>
      </c>
      <c r="Q87" s="28" t="inlineStr">
        <is>
          <t>1 to 342</t>
        </is>
      </c>
      <c r="R87" s="28" t="inlineStr">
        <is>
          <t>https://hayday.fandom.com/wiki/Chocolate_Ice_Cream</t>
        </is>
      </c>
    </row>
    <row r="88">
      <c r="A88" s="28" t="inlineStr">
        <is>
          <t>Chocolate Pie</t>
        </is>
      </c>
      <c r="B88" s="28" t="inlineStr">
        <is>
          <t>Chocolate Pie</t>
        </is>
      </c>
      <c r="C88" s="28" t="inlineStr">
        <is>
          <t>Product</t>
        </is>
      </c>
      <c r="D88" s="28" t="n">
        <v>65</v>
      </c>
      <c r="E88" s="28" t="n">
        <v>514</v>
      </c>
      <c r="F88" s="28" t="n">
        <v>75</v>
      </c>
      <c r="G88" s="28" t="n">
        <v>63</v>
      </c>
      <c r="H88" s="28" t="n">
        <v>70</v>
      </c>
      <c r="I88" s="28" t="inlineStr">
        <is>
          <t>Pie Oven</t>
        </is>
      </c>
      <c r="J88" s="28" t="n">
        <v>143</v>
      </c>
      <c r="K88" s="28" t="n">
        <v>4</v>
      </c>
      <c r="L88" s="28" t="inlineStr">
        <is>
          <t>Chocolate Pie.png</t>
        </is>
      </c>
      <c r="M88" s="28" t="n">
        <v>433</v>
      </c>
      <c r="N88" s="28" t="n">
        <v>5148</v>
      </c>
      <c r="O88" s="28" t="inlineStr">
        <is>
          <t>1 h 15 min</t>
        </is>
      </c>
      <c r="P88" s="28" t="inlineStr">
        <is>
          <t>1 hr 3 min</t>
        </is>
      </c>
      <c r="Q88" s="28" t="inlineStr">
        <is>
          <t>1 to 514</t>
        </is>
      </c>
      <c r="R88" s="28" t="inlineStr">
        <is>
          <t>https://hayday.fandom.com/wiki/Chocolate_Pie</t>
        </is>
      </c>
    </row>
    <row r="89">
      <c r="A89" s="28" t="inlineStr">
        <is>
          <t>Chocolate Popcorn</t>
        </is>
      </c>
      <c r="B89" s="28" t="inlineStr">
        <is>
          <t>Chocolate Popcorn</t>
        </is>
      </c>
      <c r="C89" s="28" t="inlineStr">
        <is>
          <t>Product</t>
        </is>
      </c>
      <c r="D89" s="28" t="n">
        <v>44</v>
      </c>
      <c r="E89" s="28" t="n">
        <v>248</v>
      </c>
      <c r="F89" s="28" t="n">
        <v>150</v>
      </c>
      <c r="G89" s="28" t="n">
        <v>127</v>
      </c>
      <c r="H89" s="28" t="n">
        <v>29</v>
      </c>
      <c r="I89" s="28" t="inlineStr">
        <is>
          <t>Popcorn Pot</t>
        </is>
      </c>
      <c r="J89" s="28" t="n">
        <v>69</v>
      </c>
      <c r="K89" s="28" t="n">
        <v>8</v>
      </c>
      <c r="L89" s="28" t="inlineStr">
        <is>
          <t>Chocolate_Popcorn.png</t>
        </is>
      </c>
      <c r="M89" s="28" t="n">
        <v>186</v>
      </c>
      <c r="N89" s="28" t="n">
        <v>2484</v>
      </c>
      <c r="O89" s="28" t="inlineStr">
        <is>
          <t>2 h 30 min</t>
        </is>
      </c>
      <c r="P89" s="28" t="inlineStr">
        <is>
          <t>2 h 7 min</t>
        </is>
      </c>
      <c r="Q89" s="28" t="inlineStr">
        <is>
          <t>1 to 248</t>
        </is>
      </c>
      <c r="R89" s="28" t="inlineStr">
        <is>
          <t>https://hayday.fandom.com/wiki/Chocolate_Popcorn</t>
        </is>
      </c>
    </row>
    <row r="90">
      <c r="A90" s="28" t="inlineStr">
        <is>
          <t>Chocolate Roll</t>
        </is>
      </c>
      <c r="B90" s="28" t="inlineStr">
        <is>
          <t>Chocolate Roll</t>
        </is>
      </c>
      <c r="C90" s="28" t="inlineStr">
        <is>
          <t>Product</t>
        </is>
      </c>
      <c r="D90" s="28" t="n">
        <v>95</v>
      </c>
      <c r="E90" s="28" t="n">
        <v>604</v>
      </c>
      <c r="F90" s="28" t="n">
        <v>90</v>
      </c>
      <c r="G90" s="28" t="n">
        <v>76</v>
      </c>
      <c r="H90" s="28" t="n">
        <v>72</v>
      </c>
      <c r="I90" s="28" t="inlineStr">
        <is>
          <t>Cake Oven</t>
        </is>
      </c>
      <c r="J90" s="28" t="n">
        <v>168</v>
      </c>
      <c r="K90" s="28" t="n">
        <v>5</v>
      </c>
      <c r="L90" s="28" t="inlineStr">
        <is>
          <t>Chocolate Roll.png</t>
        </is>
      </c>
      <c r="M90" s="28" t="n">
        <v>585</v>
      </c>
      <c r="N90" s="28" t="n">
        <v>6048</v>
      </c>
      <c r="O90" s="28" t="inlineStr">
        <is>
          <t>1 h 30 min</t>
        </is>
      </c>
      <c r="P90" s="28" t="inlineStr">
        <is>
          <t>1 h 16 min</t>
        </is>
      </c>
      <c r="Q90" s="28" t="inlineStr">
        <is>
          <t>1 to 604</t>
        </is>
      </c>
      <c r="R90" s="28" t="inlineStr">
        <is>
          <t>https://hayday.fandom.com/wiki/Chocolate_Roll</t>
        </is>
      </c>
    </row>
    <row r="91">
      <c r="A91" s="28" t="inlineStr">
        <is>
          <t>Clay</t>
        </is>
      </c>
      <c r="B91" s="28" t="inlineStr">
        <is>
          <t>Clay</t>
        </is>
      </c>
      <c r="C91" s="28" t="inlineStr">
        <is>
          <t>Crop</t>
        </is>
      </c>
      <c r="D91" s="28" t="n">
        <v>94</v>
      </c>
      <c r="E91" s="28" t="n">
        <v>18</v>
      </c>
      <c r="F91" s="28" t="n">
        <v>110</v>
      </c>
      <c r="H91" s="28" t="n">
        <v>5</v>
      </c>
      <c r="I91" s="28" t="inlineStr">
        <is>
          <t>Farm</t>
        </is>
      </c>
      <c r="J91" s="28" t="n">
        <v>5</v>
      </c>
      <c r="K91" s="28" t="n">
        <v>5</v>
      </c>
      <c r="L91" s="28" t="inlineStr">
        <is>
          <t>Clay.png</t>
        </is>
      </c>
      <c r="N91" s="28" t="n">
        <v>180</v>
      </c>
      <c r="O91" s="28" t="inlineStr">
        <is>
          <t>1 h 50 m</t>
        </is>
      </c>
      <c r="Q91" s="28" t="inlineStr">
        <is>
          <t>1 to 18</t>
        </is>
      </c>
      <c r="R91" s="28" t="inlineStr">
        <is>
          <t>https://hayday.fandom.com/wiki/Clay</t>
        </is>
      </c>
    </row>
    <row r="92">
      <c r="A92" s="28" t="inlineStr">
        <is>
          <t>Clay Mug</t>
        </is>
      </c>
      <c r="B92" s="28" t="inlineStr">
        <is>
          <t>Clay Mug</t>
        </is>
      </c>
      <c r="C92" s="28" t="inlineStr">
        <is>
          <t>Product</t>
        </is>
      </c>
      <c r="D92" s="28" t="n">
        <v>99</v>
      </c>
      <c r="E92" s="28" t="n">
        <v>212</v>
      </c>
      <c r="F92" s="28" t="n">
        <v>200</v>
      </c>
      <c r="G92" s="28" t="n">
        <v>170</v>
      </c>
      <c r="H92" s="28" t="n">
        <v>25</v>
      </c>
      <c r="I92" s="28" t="inlineStr">
        <is>
          <t>Pottery Studio</t>
        </is>
      </c>
      <c r="J92" s="28" t="n">
        <v>59</v>
      </c>
      <c r="K92" s="28" t="n">
        <v>1</v>
      </c>
      <c r="L92" s="28" t="inlineStr">
        <is>
          <t>Clay Mug.png</t>
        </is>
      </c>
      <c r="M92" s="28" t="n">
        <v>140</v>
      </c>
      <c r="N92" s="28" t="n">
        <v>2124</v>
      </c>
      <c r="O92" s="28" t="inlineStr">
        <is>
          <t>3 h 20 m</t>
        </is>
      </c>
      <c r="P92" s="28" t="inlineStr">
        <is>
          <t>2 h 50 m</t>
        </is>
      </c>
      <c r="Q92" s="28" t="inlineStr">
        <is>
          <t>1 to 212</t>
        </is>
      </c>
      <c r="R92" s="28" t="inlineStr">
        <is>
          <t>https://hayday.fandom.com/wiki/Clay_Mug</t>
        </is>
      </c>
    </row>
    <row r="93">
      <c r="A93" s="28" t="inlineStr">
        <is>
          <t>Cloche Hat</t>
        </is>
      </c>
      <c r="B93" s="28" t="inlineStr">
        <is>
          <t>Cloche Hat</t>
        </is>
      </c>
      <c r="C93" s="28" t="inlineStr">
        <is>
          <t>Product</t>
        </is>
      </c>
      <c r="D93" s="28" t="n">
        <v>70</v>
      </c>
      <c r="E93" s="28" t="n">
        <v>468</v>
      </c>
      <c r="F93" s="28" t="n">
        <v>120</v>
      </c>
      <c r="G93" s="28" t="n">
        <v>102</v>
      </c>
      <c r="H93" s="28" t="n">
        <v>56</v>
      </c>
      <c r="I93" s="28" t="inlineStr">
        <is>
          <t>Hat Maker</t>
        </is>
      </c>
      <c r="J93" s="28" t="n">
        <v>130</v>
      </c>
      <c r="K93" s="28" t="n">
        <v>5</v>
      </c>
      <c r="L93" s="28" t="inlineStr">
        <is>
          <t>Cloche Hat.png</t>
        </is>
      </c>
      <c r="M93" s="28" t="n">
        <v>424</v>
      </c>
      <c r="N93" s="28" t="n">
        <v>4680</v>
      </c>
      <c r="O93" s="28" t="inlineStr">
        <is>
          <t>2 h</t>
        </is>
      </c>
      <c r="P93" s="28" t="inlineStr">
        <is>
          <t>1 h 42 min</t>
        </is>
      </c>
      <c r="Q93" s="28" t="inlineStr">
        <is>
          <t>1 to 468</t>
        </is>
      </c>
      <c r="R93" s="28" t="inlineStr">
        <is>
          <t>https://hayday.fandom.com/wiki/Cloche_Hat</t>
        </is>
      </c>
    </row>
    <row r="94">
      <c r="A94" s="28" t="inlineStr">
        <is>
          <t>Cocoa Smoothie</t>
        </is>
      </c>
      <c r="B94" s="28" t="inlineStr">
        <is>
          <t>Cocoa Smoothie</t>
        </is>
      </c>
      <c r="C94" s="28" t="inlineStr">
        <is>
          <t>Product</t>
        </is>
      </c>
      <c r="D94" s="28" t="n">
        <v>100</v>
      </c>
      <c r="E94" s="28" t="n">
        <v>511</v>
      </c>
      <c r="F94" s="28" t="n">
        <v>40</v>
      </c>
      <c r="G94" s="28" t="n">
        <v>34</v>
      </c>
      <c r="H94" s="28" t="n">
        <v>61</v>
      </c>
      <c r="I94" s="28" t="inlineStr">
        <is>
          <t>Smoothie Mixer</t>
        </is>
      </c>
      <c r="J94" s="28" t="n">
        <v>142</v>
      </c>
      <c r="K94" s="28" t="n">
        <v>3</v>
      </c>
      <c r="L94" s="28" t="inlineStr">
        <is>
          <t>Cocoa Smoothie.png</t>
        </is>
      </c>
      <c r="M94" s="28" t="n">
        <v>498</v>
      </c>
      <c r="N94" s="28" t="n">
        <v>5112</v>
      </c>
      <c r="O94" s="28" t="inlineStr">
        <is>
          <t>40 min</t>
        </is>
      </c>
      <c r="P94" s="28" t="inlineStr">
        <is>
          <t>34 min</t>
        </is>
      </c>
      <c r="Q94" s="28" t="inlineStr">
        <is>
          <t>1 to 511</t>
        </is>
      </c>
      <c r="R94" s="28" t="inlineStr">
        <is>
          <t>https://hayday.fandom.com/wiki/Cocoa_Smoothie</t>
        </is>
      </c>
    </row>
    <row r="95">
      <c r="A95" s="28" t="inlineStr">
        <is>
          <t>Coconut</t>
        </is>
      </c>
      <c r="B95" s="28" t="inlineStr">
        <is>
          <t>Coconut</t>
        </is>
      </c>
      <c r="C95" s="28" t="inlineStr">
        <is>
          <t>Crop</t>
        </is>
      </c>
      <c r="D95" s="28" t="n">
        <v>101</v>
      </c>
      <c r="E95" s="28" t="n">
        <v>108</v>
      </c>
      <c r="F95" s="28" t="n">
        <v>2160</v>
      </c>
      <c r="H95" s="28" t="n">
        <v>21</v>
      </c>
      <c r="I95" s="28" t="inlineStr">
        <is>
          <t>Coconut Tree</t>
        </is>
      </c>
      <c r="J95" s="28" t="n">
        <v>30</v>
      </c>
      <c r="K95" s="28" t="n">
        <v>19</v>
      </c>
      <c r="L95" s="28" t="inlineStr">
        <is>
          <t>Coconut.png</t>
        </is>
      </c>
      <c r="N95" s="28" t="n">
        <v>1080</v>
      </c>
      <c r="O95" s="28" t="inlineStr">
        <is>
          <t>1 d 12 h</t>
        </is>
      </c>
      <c r="Q95" s="28" t="inlineStr">
        <is>
          <t>1 to 108</t>
        </is>
      </c>
      <c r="R95" s="28" t="inlineStr">
        <is>
          <t>https://hayday.fandom.com/wiki/Coconut</t>
        </is>
      </c>
    </row>
    <row r="96">
      <c r="A96" s="28" t="inlineStr">
        <is>
          <t>Coconut Ice Cream</t>
        </is>
      </c>
      <c r="B96" s="28" t="inlineStr">
        <is>
          <t>Coconut Ice Cream</t>
        </is>
      </c>
      <c r="C96" s="28" t="inlineStr">
        <is>
          <t>Product</t>
        </is>
      </c>
      <c r="D96" s="28" t="n">
        <v>102</v>
      </c>
      <c r="E96" s="28" t="n">
        <v>320</v>
      </c>
      <c r="F96" s="28" t="n">
        <v>15</v>
      </c>
      <c r="G96" s="28" t="n">
        <v>12</v>
      </c>
      <c r="H96" s="28" t="n">
        <v>38</v>
      </c>
      <c r="I96" s="28" t="inlineStr">
        <is>
          <t>Ice Cream Maker</t>
        </is>
      </c>
      <c r="J96" s="28" t="n">
        <v>89</v>
      </c>
      <c r="K96" s="28" t="n">
        <v>2</v>
      </c>
      <c r="L96" s="28" t="inlineStr">
        <is>
          <t>Coconut Ice Cream.png</t>
        </is>
      </c>
      <c r="M96" s="28" t="n">
        <v>306</v>
      </c>
      <c r="N96" s="28" t="n">
        <v>3204</v>
      </c>
      <c r="O96" s="28" t="inlineStr">
        <is>
          <t>15 min</t>
        </is>
      </c>
      <c r="P96" s="28" t="inlineStr">
        <is>
          <t>12 min</t>
        </is>
      </c>
      <c r="Q96" s="28" t="inlineStr">
        <is>
          <t>1 to 320</t>
        </is>
      </c>
      <c r="R96" s="28" t="inlineStr">
        <is>
          <t>https://hayday.fandom.com/wiki/Coconut_Ice_Cream</t>
        </is>
      </c>
    </row>
    <row r="97">
      <c r="A97" s="28" t="inlineStr">
        <is>
          <t>Coleslaw</t>
        </is>
      </c>
      <c r="B97" s="28" t="inlineStr">
        <is>
          <t>Coleslaw</t>
        </is>
      </c>
      <c r="C97" s="28" t="inlineStr">
        <is>
          <t>product</t>
        </is>
      </c>
      <c r="D97" s="28" t="n">
        <v>75</v>
      </c>
      <c r="E97" s="28" t="n">
        <v>468</v>
      </c>
      <c r="F97" s="28" t="n">
        <v>75</v>
      </c>
      <c r="G97" s="28" t="n">
        <v>63</v>
      </c>
      <c r="H97" s="28" t="n">
        <v>56</v>
      </c>
      <c r="I97" s="28" t="inlineStr">
        <is>
          <t>Salad Bar</t>
        </is>
      </c>
      <c r="J97" s="28" t="n">
        <v>130</v>
      </c>
      <c r="K97" s="28" t="n">
        <v>4</v>
      </c>
      <c r="L97" s="28" t="inlineStr">
        <is>
          <t>Coleslaw.png</t>
        </is>
      </c>
      <c r="M97" s="28" t="n">
        <v>435</v>
      </c>
      <c r="N97" s="28" t="n">
        <v>4680</v>
      </c>
      <c r="O97" s="28" t="inlineStr">
        <is>
          <t>1 hr 15 min</t>
        </is>
      </c>
      <c r="P97" s="28" t="inlineStr">
        <is>
          <t>1 hr 3 min</t>
        </is>
      </c>
      <c r="Q97" s="28" t="inlineStr">
        <is>
          <t>1 to 468</t>
        </is>
      </c>
      <c r="R97" s="28" t="inlineStr">
        <is>
          <t>https://hayday.fandom.com/wiki/Coleslaw</t>
        </is>
      </c>
    </row>
    <row r="98">
      <c r="A98" s="28" t="inlineStr">
        <is>
          <t>Colorful Candles</t>
        </is>
      </c>
      <c r="B98" s="28" t="inlineStr">
        <is>
          <t>Colorful Candles</t>
        </is>
      </c>
      <c r="C98" s="28" t="inlineStr">
        <is>
          <t>Product</t>
        </is>
      </c>
      <c r="D98" s="28" t="n">
        <v>84</v>
      </c>
      <c r="E98" s="28" t="n">
        <v>324</v>
      </c>
      <c r="F98" s="28" t="n">
        <v>110</v>
      </c>
      <c r="G98" s="28" t="n">
        <v>93</v>
      </c>
      <c r="H98" s="28" t="n">
        <v>39</v>
      </c>
      <c r="I98" s="28" t="inlineStr">
        <is>
          <t>Candle Maker</t>
        </is>
      </c>
      <c r="J98" s="28" t="n">
        <v>90</v>
      </c>
      <c r="K98" s="28" t="n">
        <v>5</v>
      </c>
      <c r="L98" s="28" t="inlineStr">
        <is>
          <t>Colorful Candles.png</t>
        </is>
      </c>
      <c r="M98" s="28" t="n">
        <v>287</v>
      </c>
      <c r="N98" s="28" t="n">
        <v>3240</v>
      </c>
      <c r="O98" s="28" t="inlineStr">
        <is>
          <t>1 h 50 min</t>
        </is>
      </c>
      <c r="P98" s="28" t="inlineStr">
        <is>
          <t>1 h 33 min</t>
        </is>
      </c>
      <c r="Q98" s="28" t="inlineStr">
        <is>
          <t>1 to 324</t>
        </is>
      </c>
      <c r="R98" s="28" t="inlineStr">
        <is>
          <t>https://hayday.fandom.com/wiki/Colorful_Candles</t>
        </is>
      </c>
    </row>
    <row r="99">
      <c r="A99" s="28" t="inlineStr">
        <is>
          <t>Cookie</t>
        </is>
      </c>
      <c r="B99" s="28" t="inlineStr">
        <is>
          <t>Cookie</t>
        </is>
      </c>
      <c r="C99" s="28" t="inlineStr">
        <is>
          <t>Product</t>
        </is>
      </c>
      <c r="D99" s="28" t="n">
        <v>10</v>
      </c>
      <c r="E99" s="28" t="n">
        <v>104</v>
      </c>
      <c r="F99" s="28" t="n">
        <v>60</v>
      </c>
      <c r="G99" s="28" t="n">
        <v>51</v>
      </c>
      <c r="H99" s="28" t="n">
        <v>13</v>
      </c>
      <c r="I99" s="28" t="inlineStr">
        <is>
          <t>Bakery</t>
        </is>
      </c>
      <c r="J99" s="28" t="n">
        <v>29</v>
      </c>
      <c r="K99" s="28" t="n">
        <v>4</v>
      </c>
      <c r="L99" s="28" t="inlineStr">
        <is>
          <t>Cookie.png</t>
        </is>
      </c>
      <c r="M99" s="28" t="n">
        <v>74</v>
      </c>
      <c r="N99" s="28" t="n">
        <v>1044</v>
      </c>
      <c r="O99" s="28" t="inlineStr">
        <is>
          <t>1 h</t>
        </is>
      </c>
      <c r="P99" s="28" t="inlineStr">
        <is>
          <t>51 min</t>
        </is>
      </c>
      <c r="Q99" s="28" t="inlineStr">
        <is>
          <t>1 to 104</t>
        </is>
      </c>
      <c r="R99" s="28" t="inlineStr">
        <is>
          <t>https://hayday.fandom.com/wiki/Cookie</t>
        </is>
      </c>
    </row>
    <row r="100">
      <c r="A100" s="28" t="inlineStr">
        <is>
          <t>Cookie Cupcake</t>
        </is>
      </c>
      <c r="B100" s="28" t="inlineStr">
        <is>
          <t>Cookie Cupcake</t>
        </is>
      </c>
      <c r="C100" s="28" t="inlineStr">
        <is>
          <t>Product</t>
        </is>
      </c>
      <c r="D100" s="28" t="n">
        <v>114</v>
      </c>
      <c r="E100" s="28" t="n">
        <v>712</v>
      </c>
      <c r="F100" s="28" t="n">
        <v>120</v>
      </c>
      <c r="G100" s="28" t="n">
        <v>102</v>
      </c>
      <c r="H100" s="28" t="n">
        <v>85</v>
      </c>
      <c r="I100" s="28" t="inlineStr">
        <is>
          <t>Cupcake Maker</t>
        </is>
      </c>
      <c r="J100" s="28" t="n">
        <v>198</v>
      </c>
      <c r="K100" s="28" t="n">
        <v>5</v>
      </c>
      <c r="L100" s="28" t="inlineStr">
        <is>
          <t>Cookie Cupcake.png</t>
        </is>
      </c>
      <c r="M100" s="28" t="n">
        <v>674</v>
      </c>
      <c r="N100" s="28" t="n">
        <v>7128</v>
      </c>
      <c r="O100" s="28" t="inlineStr">
        <is>
          <t>2 h</t>
        </is>
      </c>
      <c r="P100" s="28" t="inlineStr">
        <is>
          <t>1 h 42 min</t>
        </is>
      </c>
      <c r="Q100" s="28" t="inlineStr">
        <is>
          <t>1 to 712</t>
        </is>
      </c>
      <c r="R100" s="28" t="inlineStr">
        <is>
          <t>https://hayday.fandom.com/wiki/Cookie_Cupcake</t>
        </is>
      </c>
    </row>
    <row r="101">
      <c r="A101" s="28" t="inlineStr">
        <is>
          <t>Corn</t>
        </is>
      </c>
      <c r="B101" s="28" t="inlineStr">
        <is>
          <t>Corn</t>
        </is>
      </c>
      <c r="C101" s="28" t="inlineStr">
        <is>
          <t>Crop</t>
        </is>
      </c>
      <c r="D101" s="28" t="n">
        <v>2</v>
      </c>
      <c r="E101" s="28" t="n">
        <v>7</v>
      </c>
      <c r="F101" s="28" t="n">
        <v>5</v>
      </c>
      <c r="H101" s="28" t="n">
        <v>1</v>
      </c>
      <c r="I101" s="28" t="inlineStr">
        <is>
          <t>Farm</t>
        </is>
      </c>
      <c r="J101" s="28" t="n">
        <v>2</v>
      </c>
      <c r="K101" s="28" t="n">
        <v>1</v>
      </c>
      <c r="L101" s="28" t="inlineStr">
        <is>
          <t>Corn.png</t>
        </is>
      </c>
      <c r="N101" s="28" t="n">
        <v>72</v>
      </c>
      <c r="O101" s="28" t="inlineStr">
        <is>
          <t>5 min</t>
        </is>
      </c>
      <c r="Q101" s="28" t="inlineStr">
        <is>
          <t>1 to 7</t>
        </is>
      </c>
      <c r="R101" s="28" t="inlineStr">
        <is>
          <t>https://hayday.fandom.com/wiki/Corn</t>
        </is>
      </c>
    </row>
    <row r="102">
      <c r="A102" s="28" t="inlineStr">
        <is>
          <t>Corn Bread</t>
        </is>
      </c>
      <c r="B102" s="28" t="inlineStr">
        <is>
          <t>Corn Bread</t>
        </is>
      </c>
      <c r="C102" s="28" t="inlineStr">
        <is>
          <t>Product</t>
        </is>
      </c>
      <c r="D102" s="28" t="n">
        <v>7</v>
      </c>
      <c r="E102" s="28" t="n">
        <v>72</v>
      </c>
      <c r="F102" s="28" t="n">
        <v>30</v>
      </c>
      <c r="G102" s="28" t="n">
        <v>25</v>
      </c>
      <c r="H102" s="28" t="n">
        <v>8</v>
      </c>
      <c r="I102" s="28" t="inlineStr">
        <is>
          <t>Bakery</t>
        </is>
      </c>
      <c r="J102" s="28" t="n">
        <v>20</v>
      </c>
      <c r="K102" s="28" t="n">
        <v>3</v>
      </c>
      <c r="L102" s="28" t="inlineStr">
        <is>
          <t>Corn_Bread.png</t>
        </is>
      </c>
      <c r="M102" s="28" t="n">
        <v>50</v>
      </c>
      <c r="N102" s="28" t="n">
        <v>720</v>
      </c>
      <c r="O102" s="28" t="inlineStr">
        <is>
          <t>30 min</t>
        </is>
      </c>
      <c r="P102" s="28" t="inlineStr">
        <is>
          <t>25 min</t>
        </is>
      </c>
      <c r="Q102" s="28" t="inlineStr">
        <is>
          <t>1 to 72</t>
        </is>
      </c>
      <c r="R102" s="28" t="inlineStr">
        <is>
          <t>https://hayday.fandom.com/wiki/Corn_Bread</t>
        </is>
      </c>
    </row>
    <row r="103">
      <c r="A103" s="28" t="inlineStr">
        <is>
          <t>Corn Dog</t>
        </is>
      </c>
      <c r="B103" s="28" t="inlineStr">
        <is>
          <t>Corn Dog</t>
        </is>
      </c>
      <c r="C103" s="28" t="inlineStr">
        <is>
          <t>Product</t>
        </is>
      </c>
      <c r="D103" s="28" t="n">
        <v>78</v>
      </c>
      <c r="E103" s="28" t="n">
        <v>529</v>
      </c>
      <c r="F103" s="28" t="n">
        <v>60</v>
      </c>
      <c r="G103" s="28" t="n">
        <v>51</v>
      </c>
      <c r="H103" s="28" t="n">
        <v>63</v>
      </c>
      <c r="I103" s="28" t="inlineStr">
        <is>
          <t>Hot Dog Stand</t>
        </is>
      </c>
      <c r="J103" s="28" t="n">
        <v>147</v>
      </c>
      <c r="K103" s="28" t="n">
        <v>4</v>
      </c>
      <c r="L103" s="28" t="inlineStr">
        <is>
          <t>Corn Dog.png</t>
        </is>
      </c>
      <c r="M103" s="28" t="n">
        <v>505</v>
      </c>
      <c r="N103" s="28" t="n">
        <v>5292</v>
      </c>
      <c r="O103" s="28" t="inlineStr">
        <is>
          <t>1 h</t>
        </is>
      </c>
      <c r="P103" s="28" t="inlineStr">
        <is>
          <t>51 min</t>
        </is>
      </c>
      <c r="Q103" s="28" t="inlineStr">
        <is>
          <t>1 to 529</t>
        </is>
      </c>
      <c r="R103" s="28" t="inlineStr">
        <is>
          <t>https://hayday.fandom.com/wiki/Corn_Dog</t>
        </is>
      </c>
    </row>
    <row r="104">
      <c r="A104" s="28" t="inlineStr">
        <is>
          <t>Cotton</t>
        </is>
      </c>
      <c r="B104" s="28" t="inlineStr">
        <is>
          <t>Cotton</t>
        </is>
      </c>
      <c r="C104" s="28" t="inlineStr">
        <is>
          <t>Crop</t>
        </is>
      </c>
      <c r="D104" s="28" t="n">
        <v>18</v>
      </c>
      <c r="E104" s="28" t="n">
        <v>28</v>
      </c>
      <c r="F104" s="28" t="n">
        <v>150</v>
      </c>
      <c r="H104" s="28" t="n">
        <v>6</v>
      </c>
      <c r="I104" s="28" t="inlineStr">
        <is>
          <t>Farm</t>
        </is>
      </c>
      <c r="J104" s="28" t="n">
        <v>8</v>
      </c>
      <c r="K104" s="28" t="n">
        <v>7</v>
      </c>
      <c r="L104" s="28" t="inlineStr">
        <is>
          <t>Cotton.png</t>
        </is>
      </c>
      <c r="N104" s="28" t="n">
        <v>288</v>
      </c>
      <c r="O104" s="28" t="inlineStr">
        <is>
          <t>2 h 30 min</t>
        </is>
      </c>
      <c r="Q104" s="28" t="inlineStr">
        <is>
          <t>1 to 28</t>
        </is>
      </c>
      <c r="R104" s="28" t="inlineStr">
        <is>
          <t>https://hayday.fandom.com/wiki/Cotton</t>
        </is>
      </c>
    </row>
    <row r="105">
      <c r="A105" s="28" t="inlineStr">
        <is>
          <t>Cotton Candy</t>
        </is>
      </c>
      <c r="B105" s="28" t="inlineStr">
        <is>
          <t>Cotton Candy</t>
        </is>
      </c>
      <c r="C105" s="28" t="inlineStr">
        <is>
          <t>Product</t>
        </is>
      </c>
      <c r="D105" s="28" t="n">
        <v>75</v>
      </c>
      <c r="E105" s="28" t="n">
        <v>226</v>
      </c>
      <c r="F105" s="28" t="n">
        <v>30</v>
      </c>
      <c r="G105" s="28" t="n">
        <v>25</v>
      </c>
      <c r="H105" s="28" t="n">
        <v>27</v>
      </c>
      <c r="I105" s="28" t="inlineStr">
        <is>
          <t>Candy Machine</t>
        </is>
      </c>
      <c r="J105" s="28" t="n">
        <v>63</v>
      </c>
      <c r="K105" s="28" t="n">
        <v>3</v>
      </c>
      <c r="L105" s="28" t="inlineStr">
        <is>
          <t>Cotton Candy.png</t>
        </is>
      </c>
      <c r="M105" s="28" t="n">
        <v>200</v>
      </c>
      <c r="N105" s="28" t="n">
        <v>2268</v>
      </c>
      <c r="O105" s="28" t="inlineStr">
        <is>
          <t>30 min</t>
        </is>
      </c>
      <c r="P105" s="28" t="inlineStr">
        <is>
          <t>25 min</t>
        </is>
      </c>
      <c r="Q105" s="28" t="inlineStr">
        <is>
          <t>1 to 226</t>
        </is>
      </c>
      <c r="R105" s="28" t="inlineStr">
        <is>
          <t>https://hayday.fandom.com/wiki/Cotton_Candy</t>
        </is>
      </c>
    </row>
    <row r="106">
      <c r="A106" s="28" t="inlineStr">
        <is>
          <t>Cotton Fabric</t>
        </is>
      </c>
      <c r="B106" s="28" t="inlineStr">
        <is>
          <t>Cotton Fabric</t>
        </is>
      </c>
      <c r="C106" s="28" t="inlineStr">
        <is>
          <t>Product</t>
        </is>
      </c>
      <c r="D106" s="28" t="n">
        <v>18</v>
      </c>
      <c r="E106" s="28" t="n">
        <v>108</v>
      </c>
      <c r="F106" s="28" t="n">
        <v>30</v>
      </c>
      <c r="G106" s="28" t="n">
        <v>25</v>
      </c>
      <c r="H106" s="28" t="n">
        <v>13</v>
      </c>
      <c r="I106" s="28" t="inlineStr">
        <is>
          <t>Loom</t>
        </is>
      </c>
      <c r="J106" s="28" t="n">
        <v>30</v>
      </c>
      <c r="K106" s="28" t="n">
        <v>3</v>
      </c>
      <c r="L106" s="28" t="inlineStr">
        <is>
          <t>Cotton Fabric.png</t>
        </is>
      </c>
      <c r="M106" s="28" t="n">
        <v>84</v>
      </c>
      <c r="N106" s="28" t="n">
        <v>1080</v>
      </c>
      <c r="O106" s="28" t="inlineStr">
        <is>
          <t>30 min</t>
        </is>
      </c>
      <c r="P106" s="28" t="inlineStr">
        <is>
          <t>25 min</t>
        </is>
      </c>
      <c r="Q106" s="28" t="inlineStr">
        <is>
          <t>1 to 108</t>
        </is>
      </c>
      <c r="R106" s="28" t="inlineStr">
        <is>
          <t>https://hayday.fandom.com/wiki/Cotton_Fabric</t>
        </is>
      </c>
    </row>
    <row r="107">
      <c r="A107" s="28" t="inlineStr">
        <is>
          <t>Cotton Shirt</t>
        </is>
      </c>
      <c r="B107" s="28" t="inlineStr">
        <is>
          <t>Cotton Shirt</t>
        </is>
      </c>
      <c r="C107" s="28" t="inlineStr">
        <is>
          <t>Product</t>
        </is>
      </c>
      <c r="D107" s="28" t="n">
        <v>19</v>
      </c>
      <c r="E107" s="28" t="n">
        <v>241</v>
      </c>
      <c r="F107" s="28" t="n">
        <v>45</v>
      </c>
      <c r="G107" s="28" t="n">
        <v>38</v>
      </c>
      <c r="H107" s="28" t="n">
        <v>29</v>
      </c>
      <c r="I107" s="28" t="inlineStr">
        <is>
          <t>Sewing Machine</t>
        </is>
      </c>
      <c r="J107" s="28" t="n">
        <v>67</v>
      </c>
      <c r="K107" s="28" t="n">
        <v>3</v>
      </c>
      <c r="L107" s="28" t="inlineStr">
        <is>
          <t>Cotton Shirt.png</t>
        </is>
      </c>
      <c r="M107" s="28" t="n">
        <v>216</v>
      </c>
      <c r="N107" s="28" t="n">
        <v>2412</v>
      </c>
      <c r="O107" s="28" t="inlineStr">
        <is>
          <t>45 min</t>
        </is>
      </c>
      <c r="P107" s="28" t="inlineStr">
        <is>
          <t>38 min</t>
        </is>
      </c>
      <c r="Q107" s="28" t="inlineStr">
        <is>
          <t>1 to 241</t>
        </is>
      </c>
      <c r="R107" s="28" t="inlineStr">
        <is>
          <t>https://hayday.fandom.com/wiki/Cotton_Shirt</t>
        </is>
      </c>
    </row>
    <row r="108">
      <c r="A108" s="28" t="inlineStr">
        <is>
          <t>Cow Feed</t>
        </is>
      </c>
      <c r="B108" s="28" t="inlineStr">
        <is>
          <t>Cow Feed</t>
        </is>
      </c>
      <c r="C108" s="28" t="inlineStr">
        <is>
          <t>Product</t>
        </is>
      </c>
      <c r="D108" s="28" t="n">
        <v>6</v>
      </c>
      <c r="E108" s="28" t="n">
        <v>14</v>
      </c>
      <c r="F108" s="28" t="n">
        <v>10</v>
      </c>
      <c r="G108" s="28" t="n">
        <v>8</v>
      </c>
      <c r="H108" s="28" t="n">
        <v>2</v>
      </c>
      <c r="I108" s="28" t="inlineStr">
        <is>
          <t>Feed Mill</t>
        </is>
      </c>
      <c r="J108" s="28" t="n">
        <v>4</v>
      </c>
      <c r="K108" s="28" t="n">
        <v>2</v>
      </c>
      <c r="L108" s="28" t="inlineStr">
        <is>
          <t>Cow_Feed.png</t>
        </is>
      </c>
      <c r="M108" s="28" t="n">
        <v>27</v>
      </c>
      <c r="N108" s="28" t="n">
        <v>144</v>
      </c>
      <c r="O108" s="28" t="inlineStr">
        <is>
          <t>10 min</t>
        </is>
      </c>
      <c r="P108" s="28" t="inlineStr">
        <is>
          <t>8 min</t>
        </is>
      </c>
      <c r="Q108" s="28" t="inlineStr">
        <is>
          <t>1 to 14</t>
        </is>
      </c>
      <c r="R108" s="28" t="inlineStr">
        <is>
          <t>https://hayday.fandom.com/wiki/Cow_Feed</t>
        </is>
      </c>
    </row>
    <row r="109">
      <c r="A109" s="28" t="inlineStr">
        <is>
          <t>Cream</t>
        </is>
      </c>
      <c r="B109" s="28" t="inlineStr">
        <is>
          <t>Cream</t>
        </is>
      </c>
      <c r="C109" s="28" t="inlineStr">
        <is>
          <t>Product</t>
        </is>
      </c>
      <c r="D109" s="28" t="n">
        <v>6</v>
      </c>
      <c r="E109" s="28" t="n">
        <v>50</v>
      </c>
      <c r="F109" s="28" t="n">
        <v>20</v>
      </c>
      <c r="G109" s="28" t="n">
        <v>17</v>
      </c>
      <c r="H109" s="28" t="n">
        <v>6</v>
      </c>
      <c r="I109" s="28" t="inlineStr">
        <is>
          <t>Dairy</t>
        </is>
      </c>
      <c r="J109" s="28" t="n">
        <v>14</v>
      </c>
      <c r="K109" s="28" t="n">
        <v>2</v>
      </c>
      <c r="L109" s="28" t="inlineStr">
        <is>
          <t>Cream.png</t>
        </is>
      </c>
      <c r="M109" s="28" t="n">
        <v>32</v>
      </c>
      <c r="N109" s="28" t="n">
        <v>504</v>
      </c>
      <c r="O109" s="28" t="inlineStr">
        <is>
          <t>20 min</t>
        </is>
      </c>
      <c r="P109" s="28" t="inlineStr">
        <is>
          <t>17 min</t>
        </is>
      </c>
      <c r="Q109" s="28" t="inlineStr">
        <is>
          <t>1 to 50</t>
        </is>
      </c>
      <c r="R109" s="28" t="inlineStr">
        <is>
          <t>https://hayday.fandom.com/wiki/Cream</t>
        </is>
      </c>
    </row>
    <row r="110">
      <c r="A110" s="28" t="inlineStr">
        <is>
          <t>Cream Cake</t>
        </is>
      </c>
      <c r="B110" s="28" t="inlineStr">
        <is>
          <t>Cream Cake</t>
        </is>
      </c>
      <c r="C110" s="28" t="inlineStr">
        <is>
          <t>Product</t>
        </is>
      </c>
      <c r="D110" s="28" t="n">
        <v>23</v>
      </c>
      <c r="E110" s="28" t="n">
        <v>219</v>
      </c>
      <c r="F110" s="28" t="n">
        <v>180</v>
      </c>
      <c r="G110" s="28" t="n">
        <v>153</v>
      </c>
      <c r="H110" s="28" t="n">
        <v>26</v>
      </c>
      <c r="I110" s="28" t="inlineStr">
        <is>
          <t>Cake Oven</t>
        </is>
      </c>
      <c r="J110" s="28" t="n">
        <v>61</v>
      </c>
      <c r="K110" s="28" t="n">
        <v>6</v>
      </c>
      <c r="L110" s="28" t="inlineStr">
        <is>
          <t>Cream Cake.png</t>
        </is>
      </c>
      <c r="M110" s="28" t="n">
        <v>115</v>
      </c>
      <c r="N110" s="28" t="n">
        <v>2196</v>
      </c>
      <c r="O110" s="28" t="inlineStr">
        <is>
          <t>3 h</t>
        </is>
      </c>
      <c r="P110" s="28" t="inlineStr">
        <is>
          <t>2 h 33 min</t>
        </is>
      </c>
      <c r="Q110" s="28" t="inlineStr">
        <is>
          <t>1 to 219</t>
        </is>
      </c>
      <c r="R110" s="28" t="inlineStr">
        <is>
          <t>https://hayday.fandom.com/wiki/Cream_Cake</t>
        </is>
      </c>
    </row>
    <row r="111">
      <c r="A111" s="28" t="inlineStr">
        <is>
          <t>Cream Donut</t>
        </is>
      </c>
      <c r="B111" s="28" t="inlineStr">
        <is>
          <t>Cream Donut</t>
        </is>
      </c>
      <c r="C111" s="28" t="inlineStr">
        <is>
          <t>Product</t>
        </is>
      </c>
      <c r="D111" s="28" t="n">
        <v>86</v>
      </c>
      <c r="E111" s="28" t="n">
        <v>230</v>
      </c>
      <c r="F111" s="28" t="n">
        <v>25</v>
      </c>
      <c r="G111" s="28" t="n">
        <v>21</v>
      </c>
      <c r="H111" s="28" t="n">
        <v>27</v>
      </c>
      <c r="I111" s="28" t="inlineStr">
        <is>
          <t>Donut Maker</t>
        </is>
      </c>
      <c r="J111" s="28" t="n">
        <v>64</v>
      </c>
      <c r="K111" s="28" t="n">
        <v>3</v>
      </c>
      <c r="L111" s="28" t="inlineStr">
        <is>
          <t>Cream Donut.png</t>
        </is>
      </c>
      <c r="M111" s="28" t="n">
        <v>211</v>
      </c>
      <c r="N111" s="28" t="n">
        <v>2304</v>
      </c>
      <c r="O111" s="28" t="inlineStr">
        <is>
          <t>25 min</t>
        </is>
      </c>
      <c r="P111" s="28" t="inlineStr">
        <is>
          <t>21 min</t>
        </is>
      </c>
      <c r="Q111" s="28" t="inlineStr">
        <is>
          <t>1 to 230</t>
        </is>
      </c>
      <c r="R111" s="28" t="inlineStr">
        <is>
          <t>https://hayday.fandom.com/wiki/Cream_Donut</t>
        </is>
      </c>
    </row>
    <row r="112">
      <c r="A112" s="28" t="inlineStr">
        <is>
          <t>Crunchy Donut</t>
        </is>
      </c>
      <c r="B112" s="28" t="inlineStr">
        <is>
          <t>Crunchy Donut</t>
        </is>
      </c>
      <c r="C112" s="28" t="inlineStr">
        <is>
          <t>Product</t>
        </is>
      </c>
      <c r="D112" s="28" t="n">
        <v>82</v>
      </c>
      <c r="E112" s="28" t="n">
        <v>594</v>
      </c>
      <c r="F112" s="28" t="n">
        <v>30</v>
      </c>
      <c r="G112" s="28" t="n">
        <v>25</v>
      </c>
      <c r="H112" s="28" t="n">
        <v>71</v>
      </c>
      <c r="I112" s="28" t="inlineStr">
        <is>
          <t>Donut Maker</t>
        </is>
      </c>
      <c r="J112" s="28" t="n">
        <v>165</v>
      </c>
      <c r="K112" s="28" t="n">
        <v>3</v>
      </c>
      <c r="L112" s="28" t="inlineStr">
        <is>
          <t>Crunchy Donut.png</t>
        </is>
      </c>
      <c r="M112" s="28" t="n">
        <v>449</v>
      </c>
      <c r="N112" s="28" t="n">
        <v>5940</v>
      </c>
      <c r="O112" s="28" t="inlineStr">
        <is>
          <t>30 min</t>
        </is>
      </c>
      <c r="P112" s="28" t="inlineStr">
        <is>
          <t>25 min</t>
        </is>
      </c>
      <c r="Q112" s="28" t="inlineStr">
        <is>
          <t>1 to 594</t>
        </is>
      </c>
      <c r="R112" s="28" t="inlineStr">
        <is>
          <t>https://hayday.fandom.com/wiki/Crunchy_Donut</t>
        </is>
      </c>
    </row>
    <row r="113">
      <c r="A113" s="28" t="inlineStr">
        <is>
          <t>Cucumber</t>
        </is>
      </c>
      <c r="B113" s="28" t="inlineStr">
        <is>
          <t>Cucumber</t>
        </is>
      </c>
      <c r="C113" s="28" t="inlineStr">
        <is>
          <t>Crop</t>
        </is>
      </c>
      <c r="D113" s="28" t="n">
        <v>70</v>
      </c>
      <c r="E113" s="28" t="n">
        <v>14</v>
      </c>
      <c r="F113" s="28" t="n">
        <v>35</v>
      </c>
      <c r="H113" s="28" t="n">
        <v>3</v>
      </c>
      <c r="I113" s="28" t="inlineStr">
        <is>
          <t>Farm</t>
        </is>
      </c>
      <c r="J113" s="28" t="n">
        <v>4</v>
      </c>
      <c r="K113" s="28" t="n">
        <v>3</v>
      </c>
      <c r="L113" s="28" t="inlineStr">
        <is>
          <t>Cucumber.png</t>
        </is>
      </c>
      <c r="N113" s="28" t="n">
        <v>144</v>
      </c>
      <c r="O113" s="28" t="inlineStr">
        <is>
          <t>35 min</t>
        </is>
      </c>
      <c r="Q113" s="28" t="inlineStr">
        <is>
          <t>1 to 14</t>
        </is>
      </c>
      <c r="R113" s="28" t="inlineStr">
        <is>
          <t>https://hayday.fandom.com/wiki/Cucumber</t>
        </is>
      </c>
    </row>
    <row r="114">
      <c r="A114" s="28" t="inlineStr">
        <is>
          <t>Cucumber Sandwich</t>
        </is>
      </c>
      <c r="B114" s="28" t="inlineStr">
        <is>
          <t>Cucumber Sandwich</t>
        </is>
      </c>
      <c r="C114" s="28" t="inlineStr">
        <is>
          <t>Product</t>
        </is>
      </c>
      <c r="D114" s="28" t="n">
        <v>79</v>
      </c>
      <c r="E114" s="28" t="n">
        <v>464</v>
      </c>
      <c r="F114" s="28" t="n">
        <v>35</v>
      </c>
      <c r="G114" s="28" t="n">
        <v>29</v>
      </c>
      <c r="H114" s="28" t="n">
        <v>55</v>
      </c>
      <c r="I114" s="28" t="inlineStr">
        <is>
          <t>Sandwich Bar</t>
        </is>
      </c>
      <c r="J114" s="28" t="n">
        <v>129</v>
      </c>
      <c r="K114" s="28" t="n">
        <v>2</v>
      </c>
      <c r="L114" s="28" t="inlineStr">
        <is>
          <t>Cucumber Sandwich.png</t>
        </is>
      </c>
      <c r="M114" s="28" t="n">
        <v>437</v>
      </c>
      <c r="N114" s="28" t="n">
        <v>4644</v>
      </c>
      <c r="O114" s="28" t="inlineStr">
        <is>
          <t>35 min</t>
        </is>
      </c>
      <c r="P114" s="28" t="inlineStr">
        <is>
          <t>29 min</t>
        </is>
      </c>
      <c r="Q114" s="28" t="inlineStr">
        <is>
          <t>1 to 464</t>
        </is>
      </c>
      <c r="R114" s="28" t="inlineStr">
        <is>
          <t>https://hayday.fandom.com/wiki/Cucumber_Sandwich</t>
        </is>
      </c>
    </row>
    <row r="115">
      <c r="A115" s="28" t="inlineStr">
        <is>
          <t>Cucumber Smoothie</t>
        </is>
      </c>
      <c r="B115" s="28" t="inlineStr">
        <is>
          <t>Cucumber Smoothie</t>
        </is>
      </c>
      <c r="C115" s="28" t="inlineStr">
        <is>
          <t>Product</t>
        </is>
      </c>
      <c r="D115" s="28" t="n">
        <v>70</v>
      </c>
      <c r="E115" s="28" t="n">
        <v>266</v>
      </c>
      <c r="F115" s="28" t="n">
        <v>40</v>
      </c>
      <c r="G115" s="28" t="n">
        <v>34</v>
      </c>
      <c r="H115" s="28" t="n">
        <v>32</v>
      </c>
      <c r="I115" s="28" t="inlineStr">
        <is>
          <t>Smoothie Mixer</t>
        </is>
      </c>
      <c r="J115" s="28" t="n">
        <v>74</v>
      </c>
      <c r="K115" s="28" t="n">
        <v>3</v>
      </c>
      <c r="L115" s="28" t="inlineStr">
        <is>
          <t>Cucumber Smoothie.png</t>
        </is>
      </c>
      <c r="M115" s="28" t="n">
        <v>238</v>
      </c>
      <c r="N115" s="28" t="n">
        <v>2664</v>
      </c>
      <c r="O115" s="28" t="inlineStr">
        <is>
          <t>40 min</t>
        </is>
      </c>
      <c r="P115" s="28" t="inlineStr">
        <is>
          <t>34 min</t>
        </is>
      </c>
      <c r="Q115" s="28" t="inlineStr">
        <is>
          <t>1 to 266</t>
        </is>
      </c>
      <c r="R115" s="28" t="inlineStr">
        <is>
          <t>https://hayday.fandom.com/wiki/Cucumber_Smoothie</t>
        </is>
      </c>
    </row>
    <row r="116">
      <c r="A116" s="28" t="inlineStr">
        <is>
          <t>Diamond Ring</t>
        </is>
      </c>
      <c r="B116" s="28" t="inlineStr">
        <is>
          <t>Diamond Ring</t>
        </is>
      </c>
      <c r="C116" s="28" t="inlineStr">
        <is>
          <t>Product</t>
        </is>
      </c>
      <c r="D116" s="28" t="n">
        <v>40</v>
      </c>
      <c r="E116" s="28" t="n">
        <v>824</v>
      </c>
      <c r="F116" s="28" t="n">
        <v>240</v>
      </c>
      <c r="G116" s="28" t="n">
        <v>204</v>
      </c>
      <c r="H116" s="28" t="n">
        <v>98</v>
      </c>
      <c r="I116" s="28" t="inlineStr">
        <is>
          <t>Jeweler</t>
        </is>
      </c>
      <c r="J116" s="28" t="n">
        <v>229</v>
      </c>
      <c r="K116" s="28" t="n">
        <v>6</v>
      </c>
      <c r="L116" s="28" t="inlineStr">
        <is>
          <t>Diamond Ring.png</t>
        </is>
      </c>
      <c r="M116" s="28" t="n">
        <v>770</v>
      </c>
      <c r="N116" s="28" t="n">
        <v>8244</v>
      </c>
      <c r="O116" s="28" t="inlineStr">
        <is>
          <t>4 h</t>
        </is>
      </c>
      <c r="P116" s="28" t="inlineStr">
        <is>
          <t>3 h 24 min</t>
        </is>
      </c>
      <c r="Q116" s="28" t="inlineStr">
        <is>
          <t>1 to 824</t>
        </is>
      </c>
      <c r="R116" s="28" t="inlineStr">
        <is>
          <t>https://hayday.fandom.com/wiki/Diamond_Ring</t>
        </is>
      </c>
    </row>
    <row r="117">
      <c r="A117" s="28" t="inlineStr">
        <is>
          <t>Dried Fruit</t>
        </is>
      </c>
      <c r="B117" s="28" t="inlineStr">
        <is>
          <t>Dried Fruit</t>
        </is>
      </c>
      <c r="C117" s="28" t="inlineStr">
        <is>
          <t>Product</t>
        </is>
      </c>
      <c r="D117" s="28" t="n">
        <v>102</v>
      </c>
      <c r="E117" s="28" t="n">
        <v>266</v>
      </c>
      <c r="F117" s="28" t="n">
        <v>180</v>
      </c>
      <c r="G117" s="28" t="n">
        <v>153</v>
      </c>
      <c r="H117" s="28" t="n">
        <v>32</v>
      </c>
      <c r="I117" s="28" t="inlineStr">
        <is>
          <t>Preservation Station</t>
        </is>
      </c>
      <c r="J117" s="28" t="n">
        <v>74</v>
      </c>
      <c r="K117" s="28" t="n">
        <v>6</v>
      </c>
      <c r="L117" s="28" t="inlineStr">
        <is>
          <t>Dried Fruits.png</t>
        </is>
      </c>
      <c r="M117" s="28" t="n">
        <v>225</v>
      </c>
      <c r="N117" s="28" t="n">
        <v>2664</v>
      </c>
      <c r="O117" s="28" t="inlineStr">
        <is>
          <t>3 h</t>
        </is>
      </c>
      <c r="P117" s="28" t="inlineStr">
        <is>
          <t>2 h 33 min</t>
        </is>
      </c>
      <c r="Q117" s="28" t="inlineStr">
        <is>
          <t>1 to 266</t>
        </is>
      </c>
      <c r="R117" s="28" t="inlineStr">
        <is>
          <t>https://hayday.fandom.com/wiki/Dried_Fruit</t>
        </is>
      </c>
    </row>
    <row r="118">
      <c r="A118" s="28" t="inlineStr">
        <is>
          <t>Duck Feather</t>
        </is>
      </c>
      <c r="B118" s="28" t="inlineStr">
        <is>
          <t>Duck Feather</t>
        </is>
      </c>
      <c r="C118" s="28" t="inlineStr">
        <is>
          <t>Animal good</t>
        </is>
      </c>
      <c r="D118" s="28" t="n">
        <v>50</v>
      </c>
      <c r="E118" s="28" t="n">
        <v>140</v>
      </c>
      <c r="F118" s="28" t="n">
        <v>180</v>
      </c>
      <c r="H118" s="28" t="n">
        <v>17</v>
      </c>
      <c r="I118" s="28" t="inlineStr">
        <is>
          <t>Duck</t>
        </is>
      </c>
      <c r="J118" s="28" t="n">
        <v>39</v>
      </c>
      <c r="K118" s="28" t="n">
        <v>5</v>
      </c>
      <c r="L118" s="28" t="inlineStr">
        <is>
          <t>Duck Feather.png</t>
        </is>
      </c>
      <c r="N118" s="28" t="n">
        <v>1404</v>
      </c>
      <c r="O118" s="28" t="inlineStr">
        <is>
          <t>3 h</t>
        </is>
      </c>
      <c r="Q118" s="28" t="inlineStr">
        <is>
          <t>1 to 140</t>
        </is>
      </c>
      <c r="R118" s="28" t="inlineStr">
        <is>
          <t>https://hayday.fandom.com/wiki/Duck_Feather</t>
        </is>
      </c>
    </row>
    <row r="119">
      <c r="A119" s="28" t="inlineStr">
        <is>
          <t>Egg</t>
        </is>
      </c>
      <c r="B119" s="28" t="inlineStr">
        <is>
          <t>Egg</t>
        </is>
      </c>
      <c r="C119" s="28" t="inlineStr">
        <is>
          <t>Animal good</t>
        </is>
      </c>
      <c r="D119" s="28" t="n">
        <v>1</v>
      </c>
      <c r="E119" s="28" t="n">
        <v>18</v>
      </c>
      <c r="F119" s="28" t="n">
        <v>20</v>
      </c>
      <c r="H119" s="28" t="n">
        <v>2</v>
      </c>
      <c r="I119" s="28" t="inlineStr">
        <is>
          <t>Chicken</t>
        </is>
      </c>
      <c r="J119" s="28" t="n">
        <v>5</v>
      </c>
      <c r="K119" s="28" t="n">
        <v>2</v>
      </c>
      <c r="L119" s="28" t="inlineStr">
        <is>
          <t>Egg.png</t>
        </is>
      </c>
      <c r="N119" s="28" t="n">
        <v>180</v>
      </c>
      <c r="O119" s="28" t="inlineStr">
        <is>
          <t>20 min</t>
        </is>
      </c>
      <c r="Q119" s="28" t="inlineStr">
        <is>
          <t>1 to 18</t>
        </is>
      </c>
      <c r="R119" s="28" t="inlineStr">
        <is>
          <t>https://hayday.fandom.com/wiki/Egg</t>
        </is>
      </c>
    </row>
    <row r="120">
      <c r="A120" s="28" t="inlineStr">
        <is>
          <t>Egg Sandwich</t>
        </is>
      </c>
      <c r="B120" s="28" t="inlineStr">
        <is>
          <t>Egg Sandwich</t>
        </is>
      </c>
      <c r="C120" s="28" t="inlineStr">
        <is>
          <t>Product</t>
        </is>
      </c>
      <c r="D120" s="28" t="n">
        <v>66</v>
      </c>
      <c r="E120" s="28" t="n">
        <v>583</v>
      </c>
      <c r="F120" s="28" t="n">
        <v>80</v>
      </c>
      <c r="G120" s="28" t="n">
        <v>68</v>
      </c>
      <c r="H120" s="28" t="n">
        <v>69</v>
      </c>
      <c r="I120" s="28" t="inlineStr">
        <is>
          <t>Sandwich Bar</t>
        </is>
      </c>
      <c r="J120" s="28" t="n">
        <v>162</v>
      </c>
      <c r="K120" s="28" t="n">
        <v>5</v>
      </c>
      <c r="L120" s="28" t="inlineStr">
        <is>
          <t>Egg Sandwich.png</t>
        </is>
      </c>
      <c r="M120" s="28" t="n">
        <v>541</v>
      </c>
      <c r="N120" s="28" t="n">
        <v>5832</v>
      </c>
      <c r="O120" s="28" t="inlineStr">
        <is>
          <t>1 h 20 min</t>
        </is>
      </c>
      <c r="P120" s="28" t="inlineStr">
        <is>
          <t>1 h 8 min</t>
        </is>
      </c>
      <c r="Q120" s="28" t="inlineStr">
        <is>
          <t>1 to 583</t>
        </is>
      </c>
      <c r="R120" s="28" t="inlineStr">
        <is>
          <t>https://hayday.fandom.com/wiki/Egg_Sandwich</t>
        </is>
      </c>
    </row>
    <row r="121">
      <c r="A121" s="28" t="inlineStr">
        <is>
          <t>Egg Sushi</t>
        </is>
      </c>
      <c r="B121" s="28" t="inlineStr">
        <is>
          <t>Egg Sushi</t>
        </is>
      </c>
      <c r="C121" s="28" t="inlineStr">
        <is>
          <t>Product</t>
        </is>
      </c>
      <c r="D121" s="28" t="n">
        <v>63</v>
      </c>
      <c r="E121" s="28" t="n">
        <v>550</v>
      </c>
      <c r="F121" s="28" t="n">
        <v>120</v>
      </c>
      <c r="G121" s="28" t="n">
        <v>102</v>
      </c>
      <c r="H121" s="28" t="n">
        <v>66</v>
      </c>
      <c r="I121" s="28" t="inlineStr">
        <is>
          <t>Sushi Bar</t>
        </is>
      </c>
      <c r="J121" s="28" t="n">
        <v>153</v>
      </c>
      <c r="K121" s="28" t="n">
        <v>5</v>
      </c>
      <c r="L121" s="28" t="inlineStr">
        <is>
          <t>Egg Sushi.png</t>
        </is>
      </c>
      <c r="M121" s="28" t="n">
        <v>528</v>
      </c>
      <c r="N121" s="28" t="n">
        <v>5508</v>
      </c>
      <c r="O121" s="28" t="inlineStr">
        <is>
          <t>2 h</t>
        </is>
      </c>
      <c r="P121" s="28" t="inlineStr">
        <is>
          <t>1 h 42 min</t>
        </is>
      </c>
      <c r="Q121" s="28" t="inlineStr">
        <is>
          <t>1 to 550</t>
        </is>
      </c>
      <c r="R121" s="28" t="inlineStr">
        <is>
          <t>https://hayday.fandom.com/wiki/Egg_Sushi</t>
        </is>
      </c>
    </row>
    <row r="122">
      <c r="A122" s="28" t="inlineStr">
        <is>
          <t>Eggplant</t>
        </is>
      </c>
      <c r="B122" s="28" t="inlineStr">
        <is>
          <t>Eggplant</t>
        </is>
      </c>
      <c r="C122" s="28" t="inlineStr">
        <is>
          <t>Crop</t>
        </is>
      </c>
      <c r="D122" s="28" t="n">
        <v>90</v>
      </c>
      <c r="E122" s="28" t="n">
        <v>14</v>
      </c>
      <c r="F122" s="28" t="n">
        <v>40</v>
      </c>
      <c r="H122" s="28" t="n">
        <v>3</v>
      </c>
      <c r="I122" s="28" t="inlineStr">
        <is>
          <t>Farm</t>
        </is>
      </c>
      <c r="J122" s="28" t="n">
        <v>4</v>
      </c>
      <c r="K122" s="28" t="n">
        <v>3</v>
      </c>
      <c r="L122" s="28" t="inlineStr">
        <is>
          <t>Eggplant.png</t>
        </is>
      </c>
      <c r="N122" s="28" t="n">
        <v>144</v>
      </c>
      <c r="O122" s="28" t="inlineStr">
        <is>
          <t>40 min</t>
        </is>
      </c>
      <c r="Q122" s="28" t="inlineStr">
        <is>
          <t>1 to 14</t>
        </is>
      </c>
      <c r="R122" s="28" t="inlineStr">
        <is>
          <t>https://hayday.fandom.com/wiki/Eggplant</t>
        </is>
      </c>
    </row>
    <row r="123">
      <c r="A123" s="28" t="inlineStr">
        <is>
          <t>Eggplant Parmesan</t>
        </is>
      </c>
      <c r="B123" s="28" t="inlineStr">
        <is>
          <t>Eggplant Parmesan</t>
        </is>
      </c>
      <c r="C123" s="28" t="inlineStr">
        <is>
          <t>Product</t>
        </is>
      </c>
      <c r="D123" s="28" t="n">
        <v>99</v>
      </c>
      <c r="E123" s="28" t="n">
        <v>442</v>
      </c>
      <c r="F123" s="28" t="n">
        <v>45</v>
      </c>
      <c r="G123" s="28" t="n">
        <v>38</v>
      </c>
      <c r="H123" s="28" t="n">
        <v>53</v>
      </c>
      <c r="I123" s="28" t="inlineStr">
        <is>
          <t>Pie Oven</t>
        </is>
      </c>
      <c r="J123" s="28" t="n">
        <v>123</v>
      </c>
      <c r="K123" s="28" t="n">
        <v>3</v>
      </c>
      <c r="L123" s="28" t="inlineStr">
        <is>
          <t>Eggplant Parmesan.png</t>
        </is>
      </c>
      <c r="M123" s="28" t="n">
        <v>408</v>
      </c>
      <c r="N123" s="28" t="n">
        <v>4428</v>
      </c>
      <c r="O123" s="28" t="inlineStr">
        <is>
          <t>45 min</t>
        </is>
      </c>
      <c r="P123" s="28" t="inlineStr">
        <is>
          <t>38 min</t>
        </is>
      </c>
      <c r="Q123" s="28" t="inlineStr">
        <is>
          <t>1 to 442</t>
        </is>
      </c>
      <c r="R123" s="28" t="inlineStr">
        <is>
          <t>https://hayday.fandom.com/wiki/Eggplant_Parmesan</t>
        </is>
      </c>
    </row>
    <row r="124">
      <c r="A124" s="28" t="inlineStr">
        <is>
          <t>Espresso</t>
        </is>
      </c>
      <c r="B124" s="28" t="inlineStr">
        <is>
          <t>Espresso</t>
        </is>
      </c>
      <c r="C124" s="28" t="inlineStr">
        <is>
          <t>Product</t>
        </is>
      </c>
      <c r="D124" s="28" t="n">
        <v>42</v>
      </c>
      <c r="E124" s="28" t="n">
        <v>248</v>
      </c>
      <c r="F124" s="28" t="n">
        <v>5</v>
      </c>
      <c r="G124" s="28" t="n">
        <v>4</v>
      </c>
      <c r="H124" s="28" t="n">
        <v>29</v>
      </c>
      <c r="I124" s="28" t="inlineStr">
        <is>
          <t>Coffee Kiosk</t>
        </is>
      </c>
      <c r="J124" s="28" t="n">
        <v>69</v>
      </c>
      <c r="K124" s="28" t="n">
        <v>1</v>
      </c>
      <c r="L124" s="28" t="inlineStr">
        <is>
          <t>Espresso.png</t>
        </is>
      </c>
      <c r="M124" s="28" t="n">
        <v>242</v>
      </c>
      <c r="N124" s="28" t="n">
        <v>2484</v>
      </c>
      <c r="O124" s="28" t="inlineStr">
        <is>
          <t>5 min</t>
        </is>
      </c>
      <c r="P124" s="28" t="inlineStr">
        <is>
          <t>4 min</t>
        </is>
      </c>
      <c r="Q124" s="28" t="inlineStr">
        <is>
          <t>1 to 248</t>
        </is>
      </c>
      <c r="R124" s="28" t="inlineStr">
        <is>
          <t>https://hayday.fandom.com/wiki/Espresso</t>
        </is>
      </c>
    </row>
    <row r="125">
      <c r="A125" s="28" t="inlineStr">
        <is>
          <t>Exfoliating Soap</t>
        </is>
      </c>
      <c r="B125" s="28" t="inlineStr">
        <is>
          <t>Exfoliating Soap</t>
        </is>
      </c>
      <c r="C125" s="28" t="inlineStr">
        <is>
          <t>Product</t>
        </is>
      </c>
      <c r="D125" s="28" t="n">
        <v>93</v>
      </c>
      <c r="E125" s="28" t="n">
        <v>363</v>
      </c>
      <c r="F125" s="28" t="n">
        <v>60</v>
      </c>
      <c r="G125" s="28" t="n">
        <v>51</v>
      </c>
      <c r="H125" s="28" t="n">
        <v>43</v>
      </c>
      <c r="I125" s="28" t="inlineStr">
        <is>
          <t>Bath Kiosk</t>
        </is>
      </c>
      <c r="J125" s="28" t="n">
        <v>101</v>
      </c>
      <c r="K125" s="28" t="n">
        <v>4</v>
      </c>
      <c r="L125" s="28" t="inlineStr">
        <is>
          <t>Exfoliating Soap.png</t>
        </is>
      </c>
      <c r="M125" s="28" t="n">
        <v>346</v>
      </c>
      <c r="N125" s="28" t="n">
        <v>3636</v>
      </c>
      <c r="O125" s="28" t="inlineStr">
        <is>
          <t>1 hr</t>
        </is>
      </c>
      <c r="P125" s="28" t="inlineStr">
        <is>
          <t>51 min</t>
        </is>
      </c>
      <c r="Q125" s="28" t="inlineStr">
        <is>
          <t>1 to 363</t>
        </is>
      </c>
      <c r="R125" s="28" t="inlineStr">
        <is>
          <t>https://hayday.fandom.com/wiki/Exfoliating_Soap</t>
        </is>
      </c>
    </row>
    <row r="126">
      <c r="A126" s="28" t="inlineStr">
        <is>
          <t>Falafel</t>
        </is>
      </c>
      <c r="B126" s="28" t="inlineStr">
        <is>
          <t>Falafel</t>
        </is>
      </c>
      <c r="C126" s="28" t="inlineStr">
        <is>
          <t>Product</t>
        </is>
      </c>
      <c r="D126" s="28" t="n">
        <v>98</v>
      </c>
      <c r="E126" s="28" t="n">
        <v>226</v>
      </c>
      <c r="F126" s="28" t="n">
        <v>55</v>
      </c>
      <c r="G126" s="28" t="n">
        <v>46</v>
      </c>
      <c r="H126" s="28" t="n">
        <v>27</v>
      </c>
      <c r="I126" s="28" t="inlineStr">
        <is>
          <t>Deep Fryer</t>
        </is>
      </c>
      <c r="J126" s="28" t="n">
        <v>63</v>
      </c>
      <c r="K126" s="28" t="n">
        <v>4</v>
      </c>
      <c r="L126" s="28" t="inlineStr">
        <is>
          <t>Falafel.png</t>
        </is>
      </c>
      <c r="M126" s="28" t="n">
        <v>196</v>
      </c>
      <c r="N126" s="28" t="n">
        <v>2268</v>
      </c>
      <c r="O126" s="28" t="inlineStr">
        <is>
          <t>55 min</t>
        </is>
      </c>
      <c r="P126" s="28" t="inlineStr">
        <is>
          <t>46 min</t>
        </is>
      </c>
      <c r="Q126" s="28" t="inlineStr">
        <is>
          <t>1 to 226</t>
        </is>
      </c>
      <c r="R126" s="28" t="inlineStr">
        <is>
          <t>https://hayday.fandom.com/wiki/Falafel</t>
        </is>
      </c>
    </row>
    <row r="127">
      <c r="A127" s="28" t="inlineStr">
        <is>
          <t>Fancy Cake</t>
        </is>
      </c>
      <c r="B127" s="28" t="inlineStr">
        <is>
          <t>Fancy Cake</t>
        </is>
      </c>
      <c r="C127" s="28" t="inlineStr">
        <is>
          <t>product</t>
        </is>
      </c>
      <c r="D127" s="28" t="n">
        <v>54</v>
      </c>
      <c r="E127" s="28" t="n">
        <v>450</v>
      </c>
      <c r="F127" s="28" t="n">
        <v>15</v>
      </c>
      <c r="G127" s="28" t="n">
        <v>12</v>
      </c>
      <c r="H127" s="28" t="n">
        <v>49</v>
      </c>
      <c r="I127" s="28" t="inlineStr">
        <is>
          <t>Cake Oven</t>
        </is>
      </c>
      <c r="J127" s="28" t="n">
        <v>125</v>
      </c>
      <c r="K127" s="28" t="n">
        <v>2</v>
      </c>
      <c r="L127" s="28" t="inlineStr">
        <is>
          <t>Fancy Cake.png</t>
        </is>
      </c>
      <c r="M127" s="28" t="n">
        <v>450</v>
      </c>
      <c r="N127" s="28" t="n">
        <v>4500</v>
      </c>
      <c r="O127" s="28" t="inlineStr">
        <is>
          <t>15 min</t>
        </is>
      </c>
      <c r="P127" s="28" t="inlineStr">
        <is>
          <t>12 min</t>
        </is>
      </c>
      <c r="Q127" s="28" t="inlineStr">
        <is>
          <t>1 to 450</t>
        </is>
      </c>
      <c r="R127" s="28" t="inlineStr">
        <is>
          <t>https://hayday.fandom.com/wiki/Fancy_Cake</t>
        </is>
      </c>
    </row>
    <row r="128">
      <c r="A128" s="28" t="inlineStr">
        <is>
          <t>Feta Pie</t>
        </is>
      </c>
      <c r="B128" s="28" t="inlineStr">
        <is>
          <t>Feta Pie</t>
        </is>
      </c>
      <c r="C128" s="28" t="inlineStr">
        <is>
          <t>Product</t>
        </is>
      </c>
      <c r="D128" s="28" t="n">
        <v>34</v>
      </c>
      <c r="E128" s="28" t="n">
        <v>223</v>
      </c>
      <c r="F128" s="28" t="n">
        <v>90</v>
      </c>
      <c r="G128" s="28" t="n">
        <v>76</v>
      </c>
      <c r="H128" s="28" t="n">
        <v>26</v>
      </c>
      <c r="I128" s="28" t="inlineStr">
        <is>
          <t>Pie Oven</t>
        </is>
      </c>
      <c r="J128" s="28" t="n">
        <v>62</v>
      </c>
      <c r="K128" s="28" t="n">
        <v>5</v>
      </c>
      <c r="L128" s="28" t="inlineStr">
        <is>
          <t>Feta Pie.png</t>
        </is>
      </c>
      <c r="M128" s="28" t="n">
        <v>183</v>
      </c>
      <c r="N128" s="28" t="n">
        <v>2232</v>
      </c>
      <c r="O128" s="28" t="inlineStr">
        <is>
          <t>1 h 30 m</t>
        </is>
      </c>
      <c r="P128" s="28" t="inlineStr">
        <is>
          <t>1 h 16 min</t>
        </is>
      </c>
      <c r="Q128" s="28" t="inlineStr">
        <is>
          <t>1 to 223</t>
        </is>
      </c>
      <c r="R128" s="28" t="inlineStr">
        <is>
          <t>https://hayday.fandom.com/wiki/Feta_Pie</t>
        </is>
      </c>
    </row>
    <row r="129">
      <c r="A129" s="28" t="inlineStr">
        <is>
          <t>Feta Salad</t>
        </is>
      </c>
      <c r="B129" s="28" t="inlineStr">
        <is>
          <t>Feta Salad</t>
        </is>
      </c>
      <c r="C129" s="28" t="inlineStr">
        <is>
          <t>Product</t>
        </is>
      </c>
      <c r="D129" s="28" t="n">
        <v>58</v>
      </c>
      <c r="E129" s="28" t="n">
        <v>745</v>
      </c>
      <c r="F129" s="28" t="n">
        <v>90</v>
      </c>
      <c r="G129" s="28" t="n">
        <v>76</v>
      </c>
      <c r="H129" s="28" t="n">
        <v>89</v>
      </c>
      <c r="I129" s="28" t="inlineStr">
        <is>
          <t>Salad Bar</t>
        </is>
      </c>
      <c r="J129" s="28" t="n">
        <v>207</v>
      </c>
      <c r="K129" s="28" t="n">
        <v>5</v>
      </c>
      <c r="L129" s="28" t="inlineStr">
        <is>
          <t>Feta Salad.png</t>
        </is>
      </c>
      <c r="M129" s="28" t="n">
        <v>702</v>
      </c>
      <c r="N129" s="28" t="n">
        <v>7452</v>
      </c>
      <c r="O129" s="28" t="inlineStr">
        <is>
          <t>1 h 30 min</t>
        </is>
      </c>
      <c r="P129" s="28" t="inlineStr">
        <is>
          <t>1 h 16 min</t>
        </is>
      </c>
      <c r="Q129" s="28" t="inlineStr">
        <is>
          <t>1 to 745</t>
        </is>
      </c>
      <c r="R129" s="28" t="inlineStr">
        <is>
          <t>https://hayday.fandom.com/wiki/Feta_Salad</t>
        </is>
      </c>
    </row>
    <row r="130">
      <c r="A130" s="28" t="inlineStr">
        <is>
          <t>Filled Donut</t>
        </is>
      </c>
      <c r="B130" s="28" t="inlineStr">
        <is>
          <t>Filled Donut</t>
        </is>
      </c>
      <c r="C130" s="28" t="inlineStr">
        <is>
          <t>Product</t>
        </is>
      </c>
      <c r="D130" s="28" t="n">
        <v>93</v>
      </c>
      <c r="E130" s="28" t="n">
        <v>403</v>
      </c>
      <c r="F130" s="28" t="n">
        <v>35</v>
      </c>
      <c r="G130" s="28" t="n">
        <v>29</v>
      </c>
      <c r="H130" s="28" t="n">
        <v>48</v>
      </c>
      <c r="I130" s="28" t="inlineStr">
        <is>
          <t>Donut Maker</t>
        </is>
      </c>
      <c r="J130" s="28" t="n">
        <v>112</v>
      </c>
      <c r="K130" s="28" t="n">
        <v>3</v>
      </c>
      <c r="L130" s="28" t="inlineStr">
        <is>
          <t>Filled Donut.png</t>
        </is>
      </c>
      <c r="M130" s="28" t="n">
        <v>381</v>
      </c>
      <c r="N130" s="28" t="n">
        <v>4032</v>
      </c>
      <c r="O130" s="28" t="inlineStr">
        <is>
          <t>35 min</t>
        </is>
      </c>
      <c r="P130" s="28" t="inlineStr">
        <is>
          <t>29 min</t>
        </is>
      </c>
      <c r="Q130" s="28" t="inlineStr">
        <is>
          <t>1 to 403</t>
        </is>
      </c>
      <c r="R130" s="28" t="inlineStr">
        <is>
          <t>https://hayday.fandom.com/wiki/Filled_Donut</t>
        </is>
      </c>
    </row>
    <row r="131">
      <c r="A131" s="28" t="inlineStr">
        <is>
          <t>Fish Burger</t>
        </is>
      </c>
      <c r="B131" s="28" t="inlineStr">
        <is>
          <t>Fish Burger</t>
        </is>
      </c>
      <c r="C131" s="28" t="inlineStr">
        <is>
          <t>Product</t>
        </is>
      </c>
      <c r="D131" s="28" t="n">
        <v>27</v>
      </c>
      <c r="E131" s="28" t="n">
        <v>226</v>
      </c>
      <c r="F131" s="28" t="n">
        <v>120</v>
      </c>
      <c r="G131" s="28" t="n">
        <v>102</v>
      </c>
      <c r="H131" s="28" t="n">
        <v>27</v>
      </c>
      <c r="I131" s="28" t="inlineStr">
        <is>
          <t>BBQ Grill</t>
        </is>
      </c>
      <c r="J131" s="28" t="n">
        <v>63</v>
      </c>
      <c r="K131" s="28" t="n">
        <v>5</v>
      </c>
      <c r="L131" s="28" t="inlineStr">
        <is>
          <t>Fish Burger.png</t>
        </is>
      </c>
      <c r="M131" s="28" t="n">
        <v>186</v>
      </c>
      <c r="N131" s="28" t="n">
        <v>2268</v>
      </c>
      <c r="O131" s="28" t="inlineStr">
        <is>
          <t>2 h</t>
        </is>
      </c>
      <c r="P131" s="28" t="inlineStr">
        <is>
          <t>1 h 42 minutes</t>
        </is>
      </c>
      <c r="Q131" s="28" t="inlineStr">
        <is>
          <t>1 to 226</t>
        </is>
      </c>
      <c r="R131" s="28" t="inlineStr">
        <is>
          <t>https://hayday.fandom.com/wiki/Fish_Burger</t>
        </is>
      </c>
    </row>
    <row r="132">
      <c r="A132" s="28" t="inlineStr">
        <is>
          <t>Fish Pie</t>
        </is>
      </c>
      <c r="B132" s="28" t="inlineStr">
        <is>
          <t>Fish Pie</t>
        </is>
      </c>
      <c r="C132" s="28" t="inlineStr">
        <is>
          <t>Product</t>
        </is>
      </c>
      <c r="D132" s="28" t="n">
        <v>28</v>
      </c>
      <c r="E132" s="28" t="n">
        <v>226</v>
      </c>
      <c r="F132" s="28" t="n">
        <v>120</v>
      </c>
      <c r="G132" s="28" t="n">
        <v>102</v>
      </c>
      <c r="H132" s="28" t="n">
        <v>27</v>
      </c>
      <c r="I132" s="28" t="inlineStr">
        <is>
          <t>Pie Oven</t>
        </is>
      </c>
      <c r="J132" s="28" t="n">
        <v>63</v>
      </c>
      <c r="K132" s="28" t="n">
        <v>5</v>
      </c>
      <c r="L132" s="28" t="inlineStr">
        <is>
          <t>Fish Pie.png</t>
        </is>
      </c>
      <c r="M132" s="28" t="n">
        <v>186</v>
      </c>
      <c r="N132" s="28" t="n">
        <v>2268</v>
      </c>
      <c r="O132" s="28" t="inlineStr">
        <is>
          <t>2 h</t>
        </is>
      </c>
      <c r="P132" s="28" t="inlineStr">
        <is>
          <t>1 h 42 min</t>
        </is>
      </c>
      <c r="Q132" s="28" t="inlineStr">
        <is>
          <t>1 to 226</t>
        </is>
      </c>
      <c r="R132" s="28" t="inlineStr">
        <is>
          <t>https://hayday.fandom.com/wiki/Fish_Pie</t>
        </is>
      </c>
    </row>
    <row r="133">
      <c r="A133" s="28" t="inlineStr">
        <is>
          <t>Fish Skewer</t>
        </is>
      </c>
      <c r="B133" s="28" t="inlineStr">
        <is>
          <t>Fish Skewer</t>
        </is>
      </c>
      <c r="C133" s="28" t="inlineStr">
        <is>
          <t>Product</t>
        </is>
      </c>
      <c r="D133" s="28" t="n">
        <v>96</v>
      </c>
      <c r="E133" s="28" t="n">
        <v>176</v>
      </c>
      <c r="F133" s="28" t="n">
        <v>30</v>
      </c>
      <c r="G133" s="28" t="n">
        <v>25</v>
      </c>
      <c r="H133" s="28" t="n">
        <v>21</v>
      </c>
      <c r="I133" s="28" t="inlineStr">
        <is>
          <t>BBQ Grill</t>
        </is>
      </c>
      <c r="J133" s="28" t="n">
        <v>49</v>
      </c>
      <c r="K133" s="28" t="n">
        <v>3</v>
      </c>
      <c r="L133" s="28" t="inlineStr">
        <is>
          <t>Fish Skewer.png</t>
        </is>
      </c>
      <c r="O133" s="28" t="inlineStr">
        <is>
          <t>30 min</t>
        </is>
      </c>
      <c r="P133" s="28" t="inlineStr">
        <is>
          <t>25 min</t>
        </is>
      </c>
      <c r="Q133" s="28" t="inlineStr">
        <is>
          <t>1 to 176</t>
        </is>
      </c>
      <c r="R133" s="28" t="inlineStr">
        <is>
          <t>https://hayday.fandom.com/wiki/Fish_Skewer</t>
        </is>
      </c>
    </row>
    <row r="134">
      <c r="A134" s="28" t="inlineStr">
        <is>
          <t>Fish Soup</t>
        </is>
      </c>
      <c r="B134" s="28" t="inlineStr">
        <is>
          <t>Fish Soup</t>
        </is>
      </c>
      <c r="C134" s="28" t="inlineStr">
        <is>
          <t>Product</t>
        </is>
      </c>
      <c r="D134" s="28" t="n">
        <v>53</v>
      </c>
      <c r="E134" s="28" t="n">
        <v>298</v>
      </c>
      <c r="F134" s="28" t="n">
        <v>180</v>
      </c>
      <c r="G134" s="28" t="n">
        <v>153</v>
      </c>
      <c r="H134" s="28" t="n">
        <v>35</v>
      </c>
      <c r="I134" s="28" t="inlineStr">
        <is>
          <t>Soup Kitchen</t>
        </is>
      </c>
      <c r="J134" s="28" t="n">
        <v>83</v>
      </c>
      <c r="K134" s="28" t="n">
        <v>6</v>
      </c>
      <c r="L134" s="28" t="inlineStr">
        <is>
          <t>Fish Soup.png</t>
        </is>
      </c>
      <c r="M134" s="28" t="n">
        <v>255</v>
      </c>
      <c r="N134" s="28" t="n">
        <v>2988</v>
      </c>
      <c r="O134" s="28" t="inlineStr">
        <is>
          <t>3 h</t>
        </is>
      </c>
      <c r="P134" s="28" t="inlineStr">
        <is>
          <t>2 h 33 min</t>
        </is>
      </c>
      <c r="Q134" s="28" t="inlineStr">
        <is>
          <t>1 to 298</t>
        </is>
      </c>
      <c r="R134" s="28" t="inlineStr">
        <is>
          <t>https://hayday.fandom.com/wiki/Fish_Soup</t>
        </is>
      </c>
    </row>
    <row r="135">
      <c r="A135" s="28" t="inlineStr">
        <is>
          <t>Fish Taco</t>
        </is>
      </c>
      <c r="B135" s="28" t="inlineStr">
        <is>
          <t>Fish Taco</t>
        </is>
      </c>
      <c r="C135" s="28" t="inlineStr">
        <is>
          <t>Product</t>
        </is>
      </c>
      <c r="D135" s="28" t="n">
        <v>79</v>
      </c>
      <c r="E135" s="28" t="n">
        <v>392</v>
      </c>
      <c r="F135" s="28" t="n">
        <v>90</v>
      </c>
      <c r="G135" s="28" t="n">
        <v>76</v>
      </c>
      <c r="H135" s="28" t="n">
        <v>47</v>
      </c>
      <c r="I135" s="28" t="inlineStr">
        <is>
          <t>Taco Kitchen</t>
        </is>
      </c>
      <c r="J135" s="28" t="n">
        <v>109</v>
      </c>
      <c r="K135" s="28" t="n">
        <v>5</v>
      </c>
      <c r="L135" s="28" t="inlineStr">
        <is>
          <t>Fish Taco.png</t>
        </is>
      </c>
      <c r="M135" s="28" t="n">
        <v>363</v>
      </c>
      <c r="N135" s="28" t="n">
        <v>3924</v>
      </c>
      <c r="O135" s="28" t="inlineStr">
        <is>
          <t>1 h 30 min</t>
        </is>
      </c>
      <c r="P135" s="28" t="inlineStr">
        <is>
          <t>1 h 16 min</t>
        </is>
      </c>
      <c r="Q135" s="28" t="inlineStr">
        <is>
          <t>1 to 392</t>
        </is>
      </c>
      <c r="R135" s="28" t="inlineStr">
        <is>
          <t>https://hayday.fandom.com/wiki/Fish_Taco</t>
        </is>
      </c>
    </row>
    <row r="136">
      <c r="A136" s="28" t="inlineStr">
        <is>
          <t>Fish and Chips</t>
        </is>
      </c>
      <c r="B136" s="28" t="inlineStr">
        <is>
          <t>Fish and Chips</t>
        </is>
      </c>
      <c r="C136" s="28" t="inlineStr">
        <is>
          <t>Product</t>
        </is>
      </c>
      <c r="D136" s="28" t="n">
        <v>41</v>
      </c>
      <c r="E136" s="28" t="n">
        <v>244</v>
      </c>
      <c r="F136" s="28" t="n">
        <v>90</v>
      </c>
      <c r="G136" s="28" t="n">
        <v>76</v>
      </c>
      <c r="H136" s="28" t="n">
        <v>29</v>
      </c>
      <c r="I136" s="28" t="inlineStr">
        <is>
          <t>BBQ Grill</t>
        </is>
      </c>
      <c r="J136" s="28" t="n">
        <v>68</v>
      </c>
      <c r="K136" s="28" t="n">
        <v>5</v>
      </c>
      <c r="L136" s="28" t="inlineStr">
        <is>
          <t>Fish and Chips.png</t>
        </is>
      </c>
      <c r="M136" s="28" t="n">
        <v>216</v>
      </c>
      <c r="N136" s="28" t="n">
        <v>2448</v>
      </c>
      <c r="O136" s="28" t="inlineStr">
        <is>
          <t>1 h 30 m</t>
        </is>
      </c>
      <c r="P136" s="28" t="inlineStr">
        <is>
          <t>1 h 16 m</t>
        </is>
      </c>
      <c r="Q136" s="28" t="inlineStr">
        <is>
          <t>1 to 244</t>
        </is>
      </c>
      <c r="R136" s="28" t="inlineStr">
        <is>
          <t>https://hayday.fandom.com/wiki/Fish_and_Chips</t>
        </is>
      </c>
    </row>
    <row r="137">
      <c r="A137" s="28" t="inlineStr">
        <is>
          <t>Floral Candle</t>
        </is>
      </c>
      <c r="B137" s="28" t="inlineStr">
        <is>
          <t>Floral Candle</t>
        </is>
      </c>
      <c r="C137" s="28" t="inlineStr">
        <is>
          <t>Product</t>
        </is>
      </c>
      <c r="D137" s="28" t="n">
        <v>95</v>
      </c>
      <c r="E137" s="28" t="n">
        <v>442</v>
      </c>
      <c r="F137" s="28" t="n">
        <v>120</v>
      </c>
      <c r="G137" s="28" t="n">
        <v>102</v>
      </c>
      <c r="H137" s="28" t="n">
        <v>53</v>
      </c>
      <c r="I137" s="28" t="inlineStr">
        <is>
          <t>Candle Maker</t>
        </is>
      </c>
      <c r="J137" s="28" t="n">
        <v>123</v>
      </c>
      <c r="K137" s="28" t="n">
        <v>5</v>
      </c>
      <c r="L137" s="28" t="inlineStr">
        <is>
          <t>Floral Candle.png</t>
        </is>
      </c>
      <c r="M137" s="28" t="n">
        <v>398</v>
      </c>
      <c r="N137" s="28" t="n">
        <v>4428</v>
      </c>
      <c r="O137" s="28" t="inlineStr">
        <is>
          <t>2 h</t>
        </is>
      </c>
      <c r="P137" s="28" t="inlineStr">
        <is>
          <t>1 h 42 min</t>
        </is>
      </c>
      <c r="Q137" s="28" t="inlineStr">
        <is>
          <t>1 to 442</t>
        </is>
      </c>
      <c r="R137" s="28" t="inlineStr">
        <is>
          <t>https://hayday.fandom.com/wiki/Floral_Candle</t>
        </is>
      </c>
    </row>
    <row r="138">
      <c r="A138" s="28" t="inlineStr">
        <is>
          <t>Flower Crown</t>
        </is>
      </c>
      <c r="B138" s="28" t="inlineStr">
        <is>
          <t>Flower Crown</t>
        </is>
      </c>
      <c r="C138" s="28" t="inlineStr">
        <is>
          <t>Product</t>
        </is>
      </c>
      <c r="D138" s="28" t="n">
        <v>86</v>
      </c>
      <c r="E138" s="28" t="n">
        <v>331</v>
      </c>
      <c r="F138" s="28" t="n">
        <v>120</v>
      </c>
      <c r="G138" s="28" t="n">
        <v>102</v>
      </c>
      <c r="H138" s="28" t="n">
        <v>40</v>
      </c>
      <c r="I138" s="28" t="inlineStr">
        <is>
          <t>Hat Maker</t>
        </is>
      </c>
      <c r="J138" s="28" t="n">
        <v>92</v>
      </c>
      <c r="K138" s="28" t="n">
        <v>5</v>
      </c>
      <c r="L138" s="28" t="inlineStr">
        <is>
          <t>Flower Crown.png</t>
        </is>
      </c>
      <c r="M138" s="28" t="n">
        <v>292</v>
      </c>
      <c r="N138" s="28" t="n">
        <v>3312</v>
      </c>
      <c r="O138" s="28" t="inlineStr">
        <is>
          <t>2 h</t>
        </is>
      </c>
      <c r="P138" s="28" t="inlineStr">
        <is>
          <t>1 h 42 min</t>
        </is>
      </c>
      <c r="Q138" s="28" t="inlineStr">
        <is>
          <t>1 to 331</t>
        </is>
      </c>
      <c r="R138" s="28" t="inlineStr">
        <is>
          <t>https://hayday.fandom.com/wiki/Flower_Crown</t>
        </is>
      </c>
    </row>
    <row r="139">
      <c r="A139" s="28" t="inlineStr">
        <is>
          <t>Flower Pendant</t>
        </is>
      </c>
      <c r="B139" s="28" t="inlineStr">
        <is>
          <t>Flower Pendant</t>
        </is>
      </c>
      <c r="C139" s="28" t="inlineStr">
        <is>
          <t>Product</t>
        </is>
      </c>
      <c r="D139" s="28" t="n">
        <v>98</v>
      </c>
      <c r="E139" s="28" t="n">
        <v>698</v>
      </c>
      <c r="F139" s="28" t="n">
        <v>60</v>
      </c>
      <c r="G139" s="28" t="n">
        <v>51</v>
      </c>
      <c r="H139" s="28" t="n">
        <v>83</v>
      </c>
      <c r="I139" s="28" t="inlineStr">
        <is>
          <t>Jeweler</t>
        </is>
      </c>
      <c r="J139" s="28" t="n">
        <v>194</v>
      </c>
      <c r="K139" s="28" t="n">
        <v>4</v>
      </c>
      <c r="L139" s="28" t="inlineStr">
        <is>
          <t>Flower Pendant.png</t>
        </is>
      </c>
      <c r="M139" s="28" t="n">
        <v>673</v>
      </c>
      <c r="N139" s="28" t="n">
        <v>6984</v>
      </c>
      <c r="O139" s="28" t="inlineStr">
        <is>
          <t>1 h</t>
        </is>
      </c>
      <c r="P139" s="28" t="inlineStr">
        <is>
          <t>51 min</t>
        </is>
      </c>
      <c r="Q139" s="28" t="inlineStr">
        <is>
          <t>1 to 698</t>
        </is>
      </c>
      <c r="R139" s="28" t="inlineStr">
        <is>
          <t>https://hayday.fandom.com/wiki/Flower_Pendant</t>
        </is>
      </c>
    </row>
    <row r="140">
      <c r="A140" s="28" t="inlineStr">
        <is>
          <t>Flower Shawl</t>
        </is>
      </c>
      <c r="B140" s="28" t="inlineStr">
        <is>
          <t>Flower Shawl</t>
        </is>
      </c>
      <c r="C140" s="28" t="inlineStr">
        <is>
          <t>Product</t>
        </is>
      </c>
      <c r="D140" s="28" t="n">
        <v>71</v>
      </c>
      <c r="E140" s="28" t="n">
        <v>295</v>
      </c>
      <c r="F140" s="28" t="n">
        <v>90</v>
      </c>
      <c r="G140" s="28" t="n">
        <v>76</v>
      </c>
      <c r="H140" s="28" t="n">
        <v>35</v>
      </c>
      <c r="I140" s="28" t="inlineStr">
        <is>
          <t>Loom</t>
        </is>
      </c>
      <c r="J140" s="28" t="n">
        <v>82</v>
      </c>
      <c r="K140" s="28" t="n">
        <v>5</v>
      </c>
      <c r="L140" s="28" t="inlineStr">
        <is>
          <t>Flower Shawl.png</t>
        </is>
      </c>
      <c r="M140" s="28" t="n">
        <v>253</v>
      </c>
      <c r="N140" s="28" t="n">
        <v>2952</v>
      </c>
      <c r="O140" s="28" t="inlineStr">
        <is>
          <t>1 h 30 min</t>
        </is>
      </c>
      <c r="P140" s="28" t="inlineStr">
        <is>
          <t>1 h 16 min</t>
        </is>
      </c>
      <c r="Q140" s="28" t="inlineStr">
        <is>
          <t>1 to 295</t>
        </is>
      </c>
      <c r="R140" s="28" t="inlineStr">
        <is>
          <t>https://hayday.fandom.com/wiki/Flower_Shawl</t>
        </is>
      </c>
    </row>
    <row r="141">
      <c r="A141" s="28" t="inlineStr">
        <is>
          <t>Fresh Pasta</t>
        </is>
      </c>
      <c r="B141" s="28" t="inlineStr">
        <is>
          <t>Fresh Pasta</t>
        </is>
      </c>
      <c r="C141" s="28" t="inlineStr">
        <is>
          <t>Product</t>
        </is>
      </c>
      <c r="D141" s="28" t="n">
        <v>67</v>
      </c>
      <c r="E141" s="28" t="n">
        <v>43</v>
      </c>
      <c r="F141" s="28" t="n">
        <v>15</v>
      </c>
      <c r="G141" s="28" t="n">
        <v>12</v>
      </c>
      <c r="H141" s="28" t="n">
        <v>5</v>
      </c>
      <c r="I141" s="28" t="inlineStr">
        <is>
          <t>Pasta Maker</t>
        </is>
      </c>
      <c r="J141" s="28" t="n">
        <v>12</v>
      </c>
      <c r="K141" s="28" t="n">
        <v>2</v>
      </c>
      <c r="L141" s="28" t="inlineStr">
        <is>
          <t>Fresh Pasta.png</t>
        </is>
      </c>
      <c r="M141" s="28" t="n">
        <v>24</v>
      </c>
      <c r="N141" s="28" t="n">
        <v>432</v>
      </c>
      <c r="O141" s="28" t="inlineStr">
        <is>
          <t>15 min</t>
        </is>
      </c>
      <c r="P141" s="28" t="inlineStr">
        <is>
          <t>12 min</t>
        </is>
      </c>
      <c r="Q141" s="28" t="inlineStr">
        <is>
          <t>1 to 43</t>
        </is>
      </c>
      <c r="R141" s="28" t="inlineStr">
        <is>
          <t>https://hayday.fandom.com/wiki/Fresh_Pasta</t>
        </is>
      </c>
    </row>
    <row r="142">
      <c r="A142" s="28" t="inlineStr">
        <is>
          <t>Fried Candy Bar</t>
        </is>
      </c>
      <c r="B142" s="28" t="inlineStr">
        <is>
          <t>Fried Candy Bar</t>
        </is>
      </c>
      <c r="C142" s="28" t="inlineStr">
        <is>
          <t>Product</t>
        </is>
      </c>
      <c r="D142" s="28" t="n">
        <v>100</v>
      </c>
      <c r="E142" s="28" t="n">
        <v>658</v>
      </c>
      <c r="F142" s="28" t="n">
        <v>15</v>
      </c>
      <c r="G142" s="28" t="n">
        <v>12</v>
      </c>
      <c r="H142" s="28" t="n">
        <v>87</v>
      </c>
      <c r="I142" s="28" t="inlineStr">
        <is>
          <t>Deep Fryer</t>
        </is>
      </c>
      <c r="J142" s="28" t="n">
        <v>183</v>
      </c>
      <c r="K142" s="28" t="n">
        <v>2</v>
      </c>
      <c r="L142" s="28" t="inlineStr">
        <is>
          <t>Fried Candy Bar.png</t>
        </is>
      </c>
      <c r="M142" s="28" t="n">
        <v>596</v>
      </c>
      <c r="N142" s="28" t="n">
        <v>6588</v>
      </c>
      <c r="O142" s="28" t="inlineStr">
        <is>
          <t>15 min</t>
        </is>
      </c>
      <c r="P142" s="28" t="inlineStr">
        <is>
          <t>12 min</t>
        </is>
      </c>
      <c r="Q142" s="28" t="inlineStr">
        <is>
          <t>1 to 658</t>
        </is>
      </c>
      <c r="R142" s="28" t="inlineStr">
        <is>
          <t>https://hayday.fandom.com/wiki/Fried_Candy_Bar</t>
        </is>
      </c>
    </row>
    <row r="143">
      <c r="A143" s="28" t="inlineStr">
        <is>
          <t>Fried Rice</t>
        </is>
      </c>
      <c r="B143" s="28" t="inlineStr">
        <is>
          <t>Fried Rice</t>
        </is>
      </c>
      <c r="C143" s="28" t="inlineStr">
        <is>
          <t>Product</t>
        </is>
      </c>
      <c r="D143" s="28" t="n">
        <v>69</v>
      </c>
      <c r="E143" s="28" t="n">
        <v>205</v>
      </c>
      <c r="F143" s="28" t="n">
        <v>60</v>
      </c>
      <c r="G143" s="28" t="n">
        <v>51</v>
      </c>
      <c r="H143" s="28" t="n">
        <v>24</v>
      </c>
      <c r="I143" s="28" t="inlineStr">
        <is>
          <t>Wok Kitchen</t>
        </is>
      </c>
      <c r="J143" s="28" t="n">
        <v>57</v>
      </c>
      <c r="K143" s="28" t="n">
        <v>4</v>
      </c>
      <c r="L143" s="28" t="inlineStr">
        <is>
          <t>Fried Rice.png</t>
        </is>
      </c>
      <c r="M143" s="28" t="n">
        <v>180</v>
      </c>
      <c r="N143" s="28" t="n">
        <v>2052</v>
      </c>
      <c r="O143" s="28" t="inlineStr">
        <is>
          <t>1 h</t>
        </is>
      </c>
      <c r="P143" s="28" t="inlineStr">
        <is>
          <t>51 min</t>
        </is>
      </c>
      <c r="Q143" s="28" t="inlineStr">
        <is>
          <t>1 to 205</t>
        </is>
      </c>
      <c r="R143" s="28" t="inlineStr">
        <is>
          <t>https://hayday.fandom.com/wiki/Fried_Rice</t>
        </is>
      </c>
    </row>
    <row r="144">
      <c r="A144" s="28" t="inlineStr">
        <is>
          <t>Fruit Cake</t>
        </is>
      </c>
      <c r="B144" s="28" t="inlineStr">
        <is>
          <t>Fruit Cake</t>
        </is>
      </c>
      <c r="C144" s="28" t="inlineStr">
        <is>
          <t>Product</t>
        </is>
      </c>
      <c r="D144" s="28" t="n">
        <v>89</v>
      </c>
      <c r="E144" s="28" t="n">
        <v>450</v>
      </c>
      <c r="F144" s="28" t="n">
        <v>180</v>
      </c>
      <c r="G144" s="28" t="n">
        <v>153</v>
      </c>
      <c r="H144" s="28" t="n">
        <v>54</v>
      </c>
      <c r="I144" s="28" t="inlineStr">
        <is>
          <t>Cake Oven</t>
        </is>
      </c>
      <c r="J144" s="28" t="n">
        <v>125</v>
      </c>
      <c r="K144" s="28" t="n">
        <v>6</v>
      </c>
      <c r="L144" s="28" t="inlineStr">
        <is>
          <t>Fruit Cake.png</t>
        </is>
      </c>
      <c r="M144" s="28" t="n">
        <v>403</v>
      </c>
      <c r="N144" s="28" t="n">
        <v>4500</v>
      </c>
      <c r="O144" s="28" t="inlineStr">
        <is>
          <t>3 h</t>
        </is>
      </c>
      <c r="P144" s="28" t="inlineStr">
        <is>
          <t>2 h 33 min</t>
        </is>
      </c>
      <c r="Q144" s="28" t="inlineStr">
        <is>
          <t>1 to 450</t>
        </is>
      </c>
      <c r="R144" s="28" t="inlineStr">
        <is>
          <t>https://hayday.fandom.com/wiki/Fruit_Cake</t>
        </is>
      </c>
    </row>
    <row r="145">
      <c r="A145" s="28" t="inlineStr">
        <is>
          <t>Fruit Salad</t>
        </is>
      </c>
      <c r="B145" s="28" t="inlineStr">
        <is>
          <t>Fruit Salad</t>
        </is>
      </c>
      <c r="C145" s="28" t="inlineStr">
        <is>
          <t>Product</t>
        </is>
      </c>
      <c r="D145" s="28" t="n">
        <v>82</v>
      </c>
      <c r="E145" s="28" t="n">
        <v>597</v>
      </c>
      <c r="F145" s="28" t="n">
        <v>120</v>
      </c>
      <c r="G145" s="28" t="n">
        <v>102</v>
      </c>
      <c r="H145" s="28" t="n">
        <v>71</v>
      </c>
      <c r="I145" s="28" t="inlineStr">
        <is>
          <t>Salad Bar</t>
        </is>
      </c>
      <c r="J145" s="28" t="n">
        <v>166</v>
      </c>
      <c r="K145" s="28" t="n">
        <v>5</v>
      </c>
      <c r="L145" s="28" t="inlineStr">
        <is>
          <t>Fruit Salad.png</t>
        </is>
      </c>
      <c r="M145" s="28" t="n">
        <v>565</v>
      </c>
      <c r="N145" s="28" t="n">
        <v>5976</v>
      </c>
      <c r="O145" s="28" t="inlineStr">
        <is>
          <t>2 h</t>
        </is>
      </c>
      <c r="P145" s="28" t="inlineStr">
        <is>
          <t>1 h 42 min</t>
        </is>
      </c>
      <c r="Q145" s="28" t="inlineStr">
        <is>
          <t>1 to 597</t>
        </is>
      </c>
      <c r="R145" s="28" t="inlineStr">
        <is>
          <t>https://hayday.fandom.com/wiki/Fruit_Salad</t>
        </is>
      </c>
    </row>
    <row r="146">
      <c r="A146" s="28" t="inlineStr">
        <is>
          <t>Fruit Sorbet</t>
        </is>
      </c>
      <c r="B146" s="28" t="inlineStr">
        <is>
          <t>Fruit Sorbet</t>
        </is>
      </c>
      <c r="C146" s="28" t="inlineStr">
        <is>
          <t>Product</t>
        </is>
      </c>
      <c r="D146" s="28" t="n">
        <v>106</v>
      </c>
      <c r="E146" s="28" t="n">
        <v>518</v>
      </c>
      <c r="F146" s="28" t="n">
        <v>60</v>
      </c>
      <c r="G146" s="28" t="n">
        <v>51</v>
      </c>
      <c r="H146" s="28" t="n">
        <v>62</v>
      </c>
      <c r="I146" s="28" t="inlineStr">
        <is>
          <t>Ice Cream Maker</t>
        </is>
      </c>
      <c r="J146" s="28" t="n">
        <v>144</v>
      </c>
      <c r="K146" s="28" t="n">
        <v>4</v>
      </c>
      <c r="L146" s="28" t="inlineStr">
        <is>
          <t>Fruit Sorbet.png</t>
        </is>
      </c>
      <c r="M146" s="28" t="n">
        <v>379</v>
      </c>
      <c r="N146" s="28" t="n">
        <v>5184</v>
      </c>
      <c r="O146" s="28" t="inlineStr">
        <is>
          <t>1 h</t>
        </is>
      </c>
      <c r="P146" s="28" t="inlineStr">
        <is>
          <t>51 min</t>
        </is>
      </c>
      <c r="Q146" s="28" t="inlineStr">
        <is>
          <t>1 to 518</t>
        </is>
      </c>
      <c r="R146" s="28" t="inlineStr">
        <is>
          <t>https://hayday.fandom.com/wiki/Fruit_Sorbet</t>
        </is>
      </c>
    </row>
    <row r="147">
      <c r="A147" s="28" t="inlineStr">
        <is>
          <t>Frutti di Mare Pizza</t>
        </is>
      </c>
      <c r="B147" s="28" t="inlineStr">
        <is>
          <t>Frutti di Mare Pizza</t>
        </is>
      </c>
      <c r="C147" s="28" t="inlineStr">
        <is>
          <t>Product</t>
        </is>
      </c>
      <c r="D147" s="28" t="n">
        <v>45</v>
      </c>
      <c r="E147" s="28" t="n">
        <v>403</v>
      </c>
      <c r="F147" s="28" t="n">
        <v>15</v>
      </c>
      <c r="G147" s="28" t="n">
        <v>12</v>
      </c>
      <c r="H147" s="28" t="n">
        <v>48</v>
      </c>
      <c r="I147" s="28" t="inlineStr">
        <is>
          <t>Bakery</t>
        </is>
      </c>
      <c r="J147" s="28" t="n">
        <v>112</v>
      </c>
      <c r="K147" s="28" t="n">
        <v>2</v>
      </c>
      <c r="L147" s="28" t="inlineStr">
        <is>
          <t>Frutti_di_Mare_Pizza.png</t>
        </is>
      </c>
      <c r="M147" s="28" t="n">
        <v>383</v>
      </c>
      <c r="N147" s="28" t="n">
        <v>4032</v>
      </c>
      <c r="O147" s="28" t="inlineStr">
        <is>
          <t>15 min</t>
        </is>
      </c>
      <c r="P147" s="28" t="inlineStr">
        <is>
          <t>12 min</t>
        </is>
      </c>
      <c r="Q147" s="28" t="inlineStr">
        <is>
          <t>1 to 403</t>
        </is>
      </c>
      <c r="R147" s="28" t="inlineStr">
        <is>
          <t>https://hayday.fandom.com/wiki/Frutti_di_Mare_Pizza</t>
        </is>
      </c>
    </row>
    <row r="148">
      <c r="A148" s="28" t="inlineStr">
        <is>
          <t>Garlic</t>
        </is>
      </c>
      <c r="B148" s="28" t="inlineStr">
        <is>
          <t>Garlic</t>
        </is>
      </c>
      <c r="C148" s="28" t="inlineStr">
        <is>
          <t>Crop</t>
        </is>
      </c>
      <c r="D148" s="28" t="n">
        <v>60</v>
      </c>
      <c r="E148" s="28" t="n">
        <v>14</v>
      </c>
      <c r="F148" s="28" t="n">
        <v>30</v>
      </c>
      <c r="H148" s="28" t="n">
        <v>3</v>
      </c>
      <c r="I148" s="28" t="inlineStr">
        <is>
          <t>Farm</t>
        </is>
      </c>
      <c r="J148" s="28" t="n">
        <v>4</v>
      </c>
      <c r="K148" s="28" t="n">
        <v>3</v>
      </c>
      <c r="L148" s="28" t="inlineStr">
        <is>
          <t>Garlic.png</t>
        </is>
      </c>
      <c r="N148" s="28" t="n">
        <v>144</v>
      </c>
      <c r="O148" s="28" t="inlineStr">
        <is>
          <t>30 min</t>
        </is>
      </c>
      <c r="Q148" s="28" t="inlineStr">
        <is>
          <t>1 to 14</t>
        </is>
      </c>
      <c r="R148" s="28" t="inlineStr">
        <is>
          <t>https://hayday.fandom.com/wiki/Garlic</t>
        </is>
      </c>
    </row>
    <row r="149">
      <c r="A149" s="28" t="inlineStr">
        <is>
          <t>Garlic Bread</t>
        </is>
      </c>
      <c r="B149" s="28" t="inlineStr">
        <is>
          <t>Garlic Bread</t>
        </is>
      </c>
      <c r="C149" s="28" t="inlineStr">
        <is>
          <t>product</t>
        </is>
      </c>
      <c r="D149" s="28" t="n">
        <v>60</v>
      </c>
      <c r="E149" s="28" t="n">
        <v>198</v>
      </c>
      <c r="F149" s="28" t="n">
        <v>15</v>
      </c>
      <c r="G149" s="28" t="n">
        <v>12</v>
      </c>
      <c r="H149" s="28" t="n">
        <v>24</v>
      </c>
      <c r="I149" s="28" t="inlineStr">
        <is>
          <t>BBQ Grill</t>
        </is>
      </c>
      <c r="J149" s="28" t="n">
        <v>55</v>
      </c>
      <c r="K149" s="28" t="n">
        <v>2</v>
      </c>
      <c r="L149" s="28" t="inlineStr">
        <is>
          <t>Garlic Bread.png</t>
        </is>
      </c>
      <c r="M149" s="28" t="n">
        <v>180</v>
      </c>
      <c r="N149" s="28" t="n">
        <v>1980</v>
      </c>
      <c r="O149" s="28" t="inlineStr">
        <is>
          <t>15 min</t>
        </is>
      </c>
      <c r="P149" s="28" t="inlineStr">
        <is>
          <t>12 min</t>
        </is>
      </c>
      <c r="Q149" s="28" t="inlineStr">
        <is>
          <t>1 to 198</t>
        </is>
      </c>
      <c r="R149" s="28" t="inlineStr">
        <is>
          <t>https://hayday.fandom.com/wiki/Garlic_Bread</t>
        </is>
      </c>
    </row>
    <row r="150">
      <c r="A150" s="28" t="inlineStr">
        <is>
          <t>Ginger</t>
        </is>
      </c>
      <c r="B150" s="28" t="inlineStr">
        <is>
          <t>Ginger</t>
        </is>
      </c>
      <c r="C150" s="28" t="inlineStr">
        <is>
          <t>Crop</t>
        </is>
      </c>
      <c r="D150" s="28" t="n">
        <v>78</v>
      </c>
      <c r="E150" s="28" t="n">
        <v>28</v>
      </c>
      <c r="F150" s="28" t="n">
        <v>150</v>
      </c>
      <c r="H150" s="28" t="n">
        <v>6</v>
      </c>
      <c r="I150" s="28" t="inlineStr">
        <is>
          <t>Farm</t>
        </is>
      </c>
      <c r="J150" s="28" t="n">
        <v>8</v>
      </c>
      <c r="K150" s="28" t="n">
        <v>6</v>
      </c>
      <c r="L150" s="28" t="inlineStr">
        <is>
          <t>Ginger.png</t>
        </is>
      </c>
      <c r="N150" s="28" t="n">
        <v>288</v>
      </c>
      <c r="O150" s="28" t="inlineStr">
        <is>
          <t>2 h 30 min</t>
        </is>
      </c>
      <c r="Q150" s="28" t="inlineStr">
        <is>
          <t>1 to 28</t>
        </is>
      </c>
      <c r="R150" s="28" t="inlineStr">
        <is>
          <t>https://hayday.fandom.com/wiki/Ginger</t>
        </is>
      </c>
    </row>
    <row r="151">
      <c r="A151" s="28" t="inlineStr">
        <is>
          <t>Gingerbread Cookie</t>
        </is>
      </c>
      <c r="B151" s="28" t="inlineStr">
        <is>
          <t>Gingerbread Cookie</t>
        </is>
      </c>
      <c r="C151" s="28" t="inlineStr">
        <is>
          <t>Product</t>
        </is>
      </c>
      <c r="D151" s="28" t="n">
        <v>86</v>
      </c>
      <c r="E151" s="28" t="n">
        <v>273</v>
      </c>
      <c r="F151" s="28" t="n">
        <v>30</v>
      </c>
      <c r="G151" s="28" t="n">
        <v>25</v>
      </c>
      <c r="H151" s="28" t="n">
        <v>33</v>
      </c>
      <c r="I151" s="28" t="inlineStr">
        <is>
          <t>Bakery</t>
        </is>
      </c>
      <c r="J151" s="28" t="n">
        <v>76</v>
      </c>
      <c r="K151" s="28" t="n">
        <v>3</v>
      </c>
      <c r="L151" s="28" t="inlineStr">
        <is>
          <t>Gingerbread Cookie.png</t>
        </is>
      </c>
      <c r="M151" s="28" t="n">
        <v>243</v>
      </c>
      <c r="N151" s="28" t="n">
        <v>2736</v>
      </c>
      <c r="O151" s="28" t="inlineStr">
        <is>
          <t>30 min</t>
        </is>
      </c>
      <c r="P151" s="28" t="inlineStr">
        <is>
          <t>25 min</t>
        </is>
      </c>
      <c r="Q151" s="28" t="inlineStr">
        <is>
          <t>1 to 273</t>
        </is>
      </c>
      <c r="R151" s="28" t="inlineStr">
        <is>
          <t>https://hayday.fandom.com/wiki/Gingerbread_Cookie</t>
        </is>
      </c>
    </row>
    <row r="152">
      <c r="A152" s="28" t="inlineStr">
        <is>
          <t>Gnocchi</t>
        </is>
      </c>
      <c r="B152" s="28" t="inlineStr">
        <is>
          <t>Gnocchi</t>
        </is>
      </c>
      <c r="C152" s="28" t="inlineStr">
        <is>
          <t>Product</t>
        </is>
      </c>
      <c r="D152" s="28" t="n">
        <v>72</v>
      </c>
      <c r="E152" s="28" t="n">
        <v>475</v>
      </c>
      <c r="F152" s="28" t="n">
        <v>80</v>
      </c>
      <c r="G152" s="28" t="n">
        <v>68</v>
      </c>
      <c r="H152" s="28" t="n">
        <v>57</v>
      </c>
      <c r="I152" s="28" t="inlineStr">
        <is>
          <t>Pasta Kitchen</t>
        </is>
      </c>
      <c r="J152" s="28" t="n">
        <v>132</v>
      </c>
      <c r="K152" s="28" t="n">
        <v>4</v>
      </c>
      <c r="L152" s="28" t="inlineStr">
        <is>
          <t>Gnocchi.png</t>
        </is>
      </c>
      <c r="M152" s="28" t="n">
        <v>400</v>
      </c>
      <c r="N152" s="28" t="n">
        <v>4752</v>
      </c>
      <c r="O152" s="28" t="inlineStr">
        <is>
          <t>1 h 20 min</t>
        </is>
      </c>
      <c r="P152" s="28" t="inlineStr">
        <is>
          <t>1 h 8 min</t>
        </is>
      </c>
      <c r="Q152" s="28" t="inlineStr">
        <is>
          <t>1 to 475</t>
        </is>
      </c>
      <c r="R152" s="28" t="inlineStr">
        <is>
          <t>https://hayday.fandom.com/wiki/Gnocchi</t>
        </is>
      </c>
    </row>
    <row r="153">
      <c r="A153" s="28" t="inlineStr">
        <is>
          <t>Goat Cheese</t>
        </is>
      </c>
      <c r="B153" s="28" t="inlineStr">
        <is>
          <t>Goat Cheese</t>
        </is>
      </c>
      <c r="C153" s="28" t="inlineStr">
        <is>
          <t>Product</t>
        </is>
      </c>
      <c r="D153" s="28" t="n">
        <v>33</v>
      </c>
      <c r="E153" s="28" t="n">
        <v>162</v>
      </c>
      <c r="F153" s="28" t="n">
        <v>90</v>
      </c>
      <c r="G153" s="28" t="n">
        <v>76</v>
      </c>
      <c r="H153" s="28" t="n">
        <v>19</v>
      </c>
      <c r="I153" s="28" t="inlineStr">
        <is>
          <t>Dairy</t>
        </is>
      </c>
      <c r="J153" s="28" t="n">
        <v>45</v>
      </c>
      <c r="K153" s="28" t="n">
        <v>5</v>
      </c>
      <c r="L153" s="28" t="inlineStr">
        <is>
          <t>Goat Cheese.png</t>
        </is>
      </c>
      <c r="M153" s="28" t="n">
        <v>128</v>
      </c>
      <c r="N153" s="28" t="n">
        <v>1620</v>
      </c>
      <c r="O153" s="28" t="inlineStr">
        <is>
          <t>1 h 30 min</t>
        </is>
      </c>
      <c r="P153" s="28" t="inlineStr">
        <is>
          <t>1 h 16 min</t>
        </is>
      </c>
      <c r="Q153" s="28" t="inlineStr">
        <is>
          <t>1 to 162</t>
        </is>
      </c>
      <c r="R153" s="28" t="inlineStr">
        <is>
          <t>https://hayday.fandom.com/wiki/Goat_Cheese</t>
        </is>
      </c>
    </row>
    <row r="154">
      <c r="A154" s="28" t="inlineStr">
        <is>
          <t>Goat Cheese Toast</t>
        </is>
      </c>
      <c r="B154" s="28" t="inlineStr">
        <is>
          <t>Goat Cheese Toast</t>
        </is>
      </c>
      <c r="C154" s="28" t="inlineStr">
        <is>
          <t>Product</t>
        </is>
      </c>
      <c r="D154" s="28" t="n">
        <v>92</v>
      </c>
      <c r="E154" s="28" t="n">
        <v>302</v>
      </c>
      <c r="F154" s="28" t="n">
        <v>50</v>
      </c>
      <c r="G154" s="28" t="n">
        <v>42</v>
      </c>
      <c r="H154" s="28" t="n">
        <v>36</v>
      </c>
      <c r="I154" s="28" t="inlineStr">
        <is>
          <t>Sandwich Bar</t>
        </is>
      </c>
      <c r="J154" s="28" t="n">
        <v>84</v>
      </c>
      <c r="K154" s="28" t="n">
        <v>3</v>
      </c>
      <c r="L154" s="28" t="inlineStr">
        <is>
          <t>Goat Cheese Toast.png</t>
        </is>
      </c>
      <c r="M154" s="28" t="n">
        <v>279</v>
      </c>
      <c r="N154" s="28" t="n">
        <v>3024</v>
      </c>
      <c r="O154" s="28" t="inlineStr">
        <is>
          <t>50 min</t>
        </is>
      </c>
      <c r="P154" s="28" t="inlineStr">
        <is>
          <t>42 min</t>
        </is>
      </c>
      <c r="Q154" s="28" t="inlineStr">
        <is>
          <t>1 to 302</t>
        </is>
      </c>
      <c r="R154" s="28" t="inlineStr">
        <is>
          <t>https://hayday.fandom.com/wiki/Goat_Cheese_Toast</t>
        </is>
      </c>
    </row>
    <row r="155">
      <c r="A155" s="28" t="inlineStr">
        <is>
          <t>Goat Feed</t>
        </is>
      </c>
      <c r="B155" s="28" t="inlineStr">
        <is>
          <t>Goat Feed</t>
        </is>
      </c>
      <c r="C155" s="28" t="inlineStr">
        <is>
          <t>Product</t>
        </is>
      </c>
      <c r="D155" s="28" t="n">
        <v>32</v>
      </c>
      <c r="E155" s="28" t="n">
        <v>14</v>
      </c>
      <c r="F155" s="28" t="n">
        <v>40</v>
      </c>
      <c r="G155" s="28" t="n">
        <v>34</v>
      </c>
      <c r="H155" s="28" t="n">
        <v>3</v>
      </c>
      <c r="I155" s="28" t="inlineStr">
        <is>
          <t>Feed Mill</t>
        </is>
      </c>
      <c r="J155" s="28" t="n">
        <v>4</v>
      </c>
      <c r="K155" s="28" t="n">
        <v>3</v>
      </c>
      <c r="L155" s="28" t="inlineStr">
        <is>
          <t>Goat Feed.png</t>
        </is>
      </c>
      <c r="M155" s="28" t="n">
        <v>24</v>
      </c>
      <c r="N155" s="28" t="n">
        <v>144</v>
      </c>
      <c r="O155" s="28" t="inlineStr">
        <is>
          <t>40 min</t>
        </is>
      </c>
      <c r="P155" s="28" t="inlineStr">
        <is>
          <t>34 min</t>
        </is>
      </c>
      <c r="Q155" s="28" t="inlineStr">
        <is>
          <t>1 to 14</t>
        </is>
      </c>
      <c r="R155" s="28" t="inlineStr">
        <is>
          <t>https://hayday.fandom.com/wiki/Goat_Feed</t>
        </is>
      </c>
    </row>
    <row r="156">
      <c r="A156" s="28" t="inlineStr">
        <is>
          <t>Goat Milk</t>
        </is>
      </c>
      <c r="B156" s="28" t="inlineStr">
        <is>
          <t>Goat Milk</t>
        </is>
      </c>
      <c r="C156" s="28" t="inlineStr">
        <is>
          <t>Animal good</t>
        </is>
      </c>
      <c r="D156" s="28" t="n">
        <v>32</v>
      </c>
      <c r="E156" s="28" t="n">
        <v>64</v>
      </c>
      <c r="F156" s="28" t="n">
        <v>480</v>
      </c>
      <c r="H156" s="28" t="n">
        <v>6</v>
      </c>
      <c r="I156" s="28" t="inlineStr">
        <is>
          <t>Goat</t>
        </is>
      </c>
      <c r="J156" s="28" t="n">
        <v>18</v>
      </c>
      <c r="K156" s="28" t="n">
        <v>10</v>
      </c>
      <c r="L156" s="28" t="inlineStr">
        <is>
          <t>Goat Milk.png</t>
        </is>
      </c>
      <c r="N156" s="28" t="n">
        <v>648</v>
      </c>
      <c r="O156" s="28" t="inlineStr">
        <is>
          <t>8 h</t>
        </is>
      </c>
      <c r="Q156" s="28" t="inlineStr">
        <is>
          <t>1 to 64</t>
        </is>
      </c>
      <c r="R156" s="28" t="inlineStr">
        <is>
          <t>https://hayday.fandom.com/wiki/Goat_Milk</t>
        </is>
      </c>
    </row>
    <row r="157">
      <c r="A157" s="28" t="inlineStr">
        <is>
          <t>Gold Bar</t>
        </is>
      </c>
      <c r="B157" s="28" t="inlineStr">
        <is>
          <t>Gold Bar</t>
        </is>
      </c>
      <c r="C157" s="28" t="inlineStr">
        <is>
          <t>Product</t>
        </is>
      </c>
      <c r="D157" s="28" t="n">
        <v>25</v>
      </c>
      <c r="E157" s="28" t="n">
        <v>180</v>
      </c>
      <c r="F157" s="28" t="n">
        <v>720</v>
      </c>
      <c r="G157" s="28" t="n">
        <v>612</v>
      </c>
      <c r="H157" s="28" t="n">
        <v>21</v>
      </c>
      <c r="I157" s="28" t="inlineStr">
        <is>
          <t>Smelter</t>
        </is>
      </c>
      <c r="J157" s="28" t="n">
        <v>50</v>
      </c>
      <c r="K157" s="28" t="n">
        <v>11</v>
      </c>
      <c r="L157" s="28" t="inlineStr">
        <is>
          <t>Gold Bar.png</t>
        </is>
      </c>
      <c r="M157" s="28" t="n">
        <v>63</v>
      </c>
      <c r="N157" s="28" t="n">
        <v>1800</v>
      </c>
      <c r="O157" s="28" t="inlineStr">
        <is>
          <t>12 h</t>
        </is>
      </c>
      <c r="P157" s="28" t="inlineStr">
        <is>
          <t>10 h 12 min</t>
        </is>
      </c>
      <c r="Q157" s="28" t="inlineStr">
        <is>
          <t>1 to 180</t>
        </is>
      </c>
      <c r="R157" s="28" t="inlineStr">
        <is>
          <t>https://hayday.fandom.com/wiki/Gold_Bar</t>
        </is>
      </c>
    </row>
    <row r="158">
      <c r="A158" s="28" t="inlineStr">
        <is>
          <t>Gracious Bouquet</t>
        </is>
      </c>
      <c r="B158" s="28" t="inlineStr">
        <is>
          <t>Gracious Bouquet</t>
        </is>
      </c>
      <c r="C158" s="28" t="inlineStr">
        <is>
          <t>product</t>
        </is>
      </c>
      <c r="D158" s="28" t="n">
        <v>73</v>
      </c>
      <c r="E158" s="28" t="n">
        <v>500</v>
      </c>
      <c r="F158" s="28" t="n">
        <v>40</v>
      </c>
      <c r="G158" s="28" t="n">
        <v>34</v>
      </c>
      <c r="H158" s="28" t="n">
        <v>60</v>
      </c>
      <c r="I158" s="28" t="inlineStr">
        <is>
          <t>Flower Shop</t>
        </is>
      </c>
      <c r="J158" s="28" t="n">
        <v>139</v>
      </c>
      <c r="K158" s="28" t="n">
        <v>3</v>
      </c>
      <c r="L158" s="28" t="inlineStr">
        <is>
          <t>Gracious Bouquet.png</t>
        </is>
      </c>
      <c r="M158" s="28" t="n">
        <v>234</v>
      </c>
      <c r="N158" s="28" t="n">
        <v>5004</v>
      </c>
      <c r="O158" s="28" t="inlineStr">
        <is>
          <t>40 min</t>
        </is>
      </c>
      <c r="P158" s="28" t="inlineStr">
        <is>
          <t>34 min</t>
        </is>
      </c>
      <c r="Q158" s="28" t="inlineStr">
        <is>
          <t>1 to 500</t>
        </is>
      </c>
      <c r="R158" s="28" t="inlineStr">
        <is>
          <t>https://hayday.fandom.com/wiki/Gracious_Bouquet</t>
        </is>
      </c>
    </row>
    <row r="159">
      <c r="A159" s="28" t="inlineStr">
        <is>
          <t>Grape Jam</t>
        </is>
      </c>
      <c r="B159" s="28" t="inlineStr">
        <is>
          <t>Grape Jam</t>
        </is>
      </c>
      <c r="C159" s="28" t="inlineStr">
        <is>
          <t>Product</t>
        </is>
      </c>
      <c r="D159" s="28" t="n">
        <v>85</v>
      </c>
      <c r="E159" s="28" t="n">
        <v>162</v>
      </c>
      <c r="F159" s="28" t="n">
        <v>390</v>
      </c>
      <c r="G159" s="28" t="n">
        <v>331</v>
      </c>
      <c r="H159" s="28" t="n">
        <v>19</v>
      </c>
      <c r="I159" s="28" t="inlineStr">
        <is>
          <t>Jam Maker</t>
        </is>
      </c>
      <c r="J159" s="28" t="n">
        <v>45</v>
      </c>
      <c r="K159" s="28" t="n">
        <v>8</v>
      </c>
      <c r="L159" s="28" t="inlineStr">
        <is>
          <t>Grape Jam.png</t>
        </is>
      </c>
      <c r="M159" s="28" t="n">
        <v>96</v>
      </c>
      <c r="N159" s="28" t="n">
        <v>1620</v>
      </c>
      <c r="O159" s="28" t="inlineStr">
        <is>
          <t>6 h 30 min</t>
        </is>
      </c>
      <c r="P159" s="28" t="inlineStr">
        <is>
          <t>5 h 31 min</t>
        </is>
      </c>
      <c r="Q159" s="28" t="inlineStr">
        <is>
          <t>1 to 162</t>
        </is>
      </c>
      <c r="R159" s="28" t="inlineStr">
        <is>
          <t>https://hayday.fandom.com/wiki/Grape_Jam</t>
        </is>
      </c>
    </row>
    <row r="160">
      <c r="A160" s="28" t="inlineStr">
        <is>
          <t>Grape Juice</t>
        </is>
      </c>
      <c r="B160" s="28" t="inlineStr">
        <is>
          <t>Grape Juice</t>
        </is>
      </c>
      <c r="C160" s="28" t="inlineStr">
        <is>
          <t>Product</t>
        </is>
      </c>
      <c r="D160" s="28" t="n">
        <v>84</v>
      </c>
      <c r="E160" s="28" t="n">
        <v>104</v>
      </c>
      <c r="F160" s="28" t="n">
        <v>150</v>
      </c>
      <c r="G160" s="28" t="n">
        <v>127</v>
      </c>
      <c r="H160" s="28" t="n">
        <v>13</v>
      </c>
      <c r="I160" s="28" t="inlineStr">
        <is>
          <t>Juice Press</t>
        </is>
      </c>
      <c r="J160" s="28" t="n">
        <v>29</v>
      </c>
      <c r="K160" s="28" t="n">
        <v>6</v>
      </c>
      <c r="L160" s="28" t="inlineStr">
        <is>
          <t>Grape Juice.png</t>
        </is>
      </c>
      <c r="M160" s="28" t="n">
        <v>64</v>
      </c>
      <c r="N160" s="28" t="n">
        <v>1044</v>
      </c>
      <c r="O160" s="28" t="inlineStr">
        <is>
          <t>2 h 30 min</t>
        </is>
      </c>
      <c r="P160" s="28" t="inlineStr">
        <is>
          <t>2 h 7 min</t>
        </is>
      </c>
      <c r="Q160" s="28" t="inlineStr">
        <is>
          <t>1 to 104</t>
        </is>
      </c>
      <c r="R160" s="28" t="inlineStr">
        <is>
          <t>https://hayday.fandom.com/wiki/Grape_Juice</t>
        </is>
      </c>
    </row>
    <row r="161">
      <c r="A161" s="28" t="inlineStr">
        <is>
          <t>Grapes</t>
        </is>
      </c>
      <c r="B161" s="28" t="inlineStr">
        <is>
          <t>Grapes</t>
        </is>
      </c>
      <c r="C161" s="28" t="inlineStr">
        <is>
          <t>Crop</t>
        </is>
      </c>
      <c r="D161" s="28" t="n">
        <v>84</v>
      </c>
      <c r="E161" s="28" t="n">
        <v>32</v>
      </c>
      <c r="F161" s="28" t="n">
        <v>180</v>
      </c>
      <c r="H161" s="28" t="n">
        <v>6</v>
      </c>
      <c r="I161" s="28" t="inlineStr">
        <is>
          <t>Farm</t>
        </is>
      </c>
      <c r="J161" s="28" t="n">
        <v>9</v>
      </c>
      <c r="K161" s="28" t="n">
        <v>6</v>
      </c>
      <c r="L161" s="28" t="inlineStr">
        <is>
          <t>Grapes.png</t>
        </is>
      </c>
      <c r="N161" s="28" t="n">
        <v>324</v>
      </c>
      <c r="O161" s="28" t="inlineStr">
        <is>
          <t>3 h</t>
        </is>
      </c>
      <c r="Q161" s="28" t="inlineStr">
        <is>
          <t>1 to 32</t>
        </is>
      </c>
      <c r="R161" s="28" t="inlineStr">
        <is>
          <t>https://hayday.fandom.com/wiki/Grapes</t>
        </is>
      </c>
    </row>
    <row r="162">
      <c r="A162" s="28" t="inlineStr">
        <is>
          <t>Green Smoothie</t>
        </is>
      </c>
      <c r="B162" s="28" t="inlineStr">
        <is>
          <t>Green Smoothie</t>
        </is>
      </c>
      <c r="C162" s="28" t="inlineStr">
        <is>
          <t>Product</t>
        </is>
      </c>
      <c r="D162" s="28" t="n">
        <v>66</v>
      </c>
      <c r="E162" s="28" t="n">
        <v>320</v>
      </c>
      <c r="F162" s="28" t="n">
        <v>45</v>
      </c>
      <c r="G162" s="28" t="n">
        <v>38</v>
      </c>
      <c r="H162" s="28" t="n">
        <v>38</v>
      </c>
      <c r="I162" s="28" t="inlineStr">
        <is>
          <t>Smoothie Mixer</t>
        </is>
      </c>
      <c r="J162" s="28" t="n">
        <v>89</v>
      </c>
      <c r="K162" s="28" t="n">
        <v>3</v>
      </c>
      <c r="L162" s="28" t="inlineStr">
        <is>
          <t>Green Smoothie.png</t>
        </is>
      </c>
      <c r="M162" s="28" t="n">
        <v>292</v>
      </c>
      <c r="N162" s="28" t="n">
        <v>3204</v>
      </c>
      <c r="O162" s="28" t="inlineStr">
        <is>
          <t>45 min</t>
        </is>
      </c>
      <c r="P162" s="28" t="inlineStr">
        <is>
          <t>38 min</t>
        </is>
      </c>
      <c r="Q162" s="28" t="inlineStr">
        <is>
          <t>1 to 320</t>
        </is>
      </c>
      <c r="R162" s="28" t="inlineStr">
        <is>
          <t>https://hayday.fandom.com/wiki/Green_Smoothie</t>
        </is>
      </c>
    </row>
    <row r="163">
      <c r="A163" s="28" t="inlineStr">
        <is>
          <t>Green Tea</t>
        </is>
      </c>
      <c r="B163" s="28" t="inlineStr">
        <is>
          <t>Green Tea</t>
        </is>
      </c>
      <c r="C163" s="28" t="inlineStr">
        <is>
          <t>Product</t>
        </is>
      </c>
      <c r="D163" s="28" t="n">
        <v>80</v>
      </c>
      <c r="E163" s="28" t="n">
        <v>241</v>
      </c>
      <c r="F163" s="28" t="n">
        <v>30</v>
      </c>
      <c r="G163" s="28" t="n">
        <v>25</v>
      </c>
      <c r="H163" s="28" t="n">
        <v>29</v>
      </c>
      <c r="I163" s="28" t="inlineStr">
        <is>
          <t>Tea Stand</t>
        </is>
      </c>
      <c r="J163" s="28" t="n">
        <v>67</v>
      </c>
      <c r="K163" s="28" t="n">
        <v>3</v>
      </c>
      <c r="L163" s="28" t="inlineStr">
        <is>
          <t>Green Tea.png</t>
        </is>
      </c>
      <c r="M163" s="28" t="n">
        <v>215</v>
      </c>
      <c r="N163" s="28" t="n">
        <v>2412</v>
      </c>
      <c r="O163" s="28" t="inlineStr">
        <is>
          <t>30 min</t>
        </is>
      </c>
      <c r="P163" s="28" t="inlineStr">
        <is>
          <t>25 min</t>
        </is>
      </c>
      <c r="Q163" s="28" t="inlineStr">
        <is>
          <t>1 to 241</t>
        </is>
      </c>
      <c r="R163" s="28" t="inlineStr">
        <is>
          <t>https://hayday.fandom.com/wiki/Green_Tea</t>
        </is>
      </c>
    </row>
    <row r="164">
      <c r="A164" s="28" t="inlineStr">
        <is>
          <t>Grilled Asparagus</t>
        </is>
      </c>
      <c r="B164" s="28" t="inlineStr">
        <is>
          <t>Grilled Asparagus</t>
        </is>
      </c>
      <c r="C164" s="28" t="inlineStr">
        <is>
          <t>Product</t>
        </is>
      </c>
      <c r="D164" s="28" t="n">
        <v>67</v>
      </c>
      <c r="E164" s="28" t="n">
        <v>486</v>
      </c>
      <c r="F164" s="28" t="n">
        <v>75</v>
      </c>
      <c r="G164" s="28" t="n">
        <v>63</v>
      </c>
      <c r="H164" s="28" t="n">
        <v>58</v>
      </c>
      <c r="I164" s="28" t="inlineStr">
        <is>
          <t>BBQ Grill</t>
        </is>
      </c>
      <c r="J164" s="28" t="n">
        <v>135</v>
      </c>
      <c r="K164" s="28" t="n">
        <v>3</v>
      </c>
      <c r="L164" s="28" t="inlineStr">
        <is>
          <t>Grilled Asparagus.png</t>
        </is>
      </c>
      <c r="M164" s="28" t="n">
        <v>460</v>
      </c>
      <c r="N164" s="28" t="n">
        <v>4860</v>
      </c>
      <c r="O164" s="28" t="inlineStr">
        <is>
          <t>1 h 15 m</t>
        </is>
      </c>
      <c r="P164" s="28" t="inlineStr">
        <is>
          <t>1 h 3 m</t>
        </is>
      </c>
      <c r="Q164" s="28" t="inlineStr">
        <is>
          <t>1 to 486</t>
        </is>
      </c>
      <c r="R164" s="28" t="inlineStr">
        <is>
          <t>https://hayday.fandom.com/wiki/Grilled_Asparagus</t>
        </is>
      </c>
    </row>
    <row r="165">
      <c r="A165" s="28" t="inlineStr">
        <is>
          <t>Grilled Eggplant</t>
        </is>
      </c>
      <c r="B165" s="28" t="inlineStr">
        <is>
          <t>Grilled Eggplant</t>
        </is>
      </c>
      <c r="C165" s="28" t="inlineStr">
        <is>
          <t>Product</t>
        </is>
      </c>
      <c r="D165" s="28" t="n">
        <v>90</v>
      </c>
      <c r="E165" s="28" t="n">
        <v>324</v>
      </c>
      <c r="F165" s="28" t="n">
        <v>40</v>
      </c>
      <c r="G165" s="28" t="n">
        <v>34</v>
      </c>
      <c r="H165" s="28" t="n">
        <v>39</v>
      </c>
      <c r="I165" s="28" t="inlineStr">
        <is>
          <t>BBQ Grill</t>
        </is>
      </c>
      <c r="J165" s="28" t="n">
        <v>90</v>
      </c>
      <c r="K165" s="28" t="n">
        <v>3</v>
      </c>
      <c r="L165" s="28" t="inlineStr">
        <is>
          <t>Grilled Eggplant.png</t>
        </is>
      </c>
      <c r="M165" s="28" t="n">
        <v>294</v>
      </c>
      <c r="N165" s="28" t="n">
        <v>3240</v>
      </c>
      <c r="O165" s="28" t="inlineStr">
        <is>
          <t>40 min</t>
        </is>
      </c>
      <c r="P165" s="28" t="inlineStr">
        <is>
          <t>34 min</t>
        </is>
      </c>
      <c r="Q165" s="28" t="inlineStr">
        <is>
          <t>1 to 324</t>
        </is>
      </c>
      <c r="R165" s="28" t="inlineStr">
        <is>
          <t>https://hayday.fandom.com/wiki/Grilled_Eggplant</t>
        </is>
      </c>
    </row>
    <row r="166">
      <c r="A166" s="28" t="inlineStr">
        <is>
          <t>Grilled Lamb Skewer</t>
        </is>
      </c>
      <c r="B166" s="28" t="inlineStr">
        <is>
          <t>Grilled Lamb Skewer</t>
        </is>
      </c>
      <c r="C166" s="28" t="inlineStr">
        <is>
          <t>Product</t>
        </is>
      </c>
      <c r="D166" s="28" t="n">
        <v>25</v>
      </c>
      <c r="E166" s="28" t="n">
        <v>90</v>
      </c>
      <c r="F166" s="28" t="n">
        <v>20</v>
      </c>
      <c r="G166" s="28" t="n">
        <v>17</v>
      </c>
      <c r="H166" s="28" t="n">
        <v>11</v>
      </c>
      <c r="I166" s="28" t="inlineStr">
        <is>
          <t>BBQ Grill</t>
        </is>
      </c>
      <c r="J166" s="28" t="n">
        <v>25</v>
      </c>
      <c r="K166" s="28" t="n">
        <v>2</v>
      </c>
      <c r="L166" s="28" t="inlineStr">
        <is>
          <t>Grilled Lamb Skewer.png</t>
        </is>
      </c>
      <c r="M166" s="28" t="n">
        <v>72</v>
      </c>
      <c r="O166" s="28" t="inlineStr">
        <is>
          <t>20 min</t>
        </is>
      </c>
      <c r="P166" s="28" t="inlineStr">
        <is>
          <t>17 min</t>
        </is>
      </c>
      <c r="Q166" s="28" t="inlineStr">
        <is>
          <t>1 to 90</t>
        </is>
      </c>
      <c r="R166" s="28" t="inlineStr">
        <is>
          <t>https://hayday.fandom.com/wiki/Grilled_Lamb_Skewer</t>
        </is>
      </c>
    </row>
    <row r="167">
      <c r="A167" s="28" t="inlineStr">
        <is>
          <t>Grilled Mussels</t>
        </is>
      </c>
      <c r="B167" s="28" t="inlineStr">
        <is>
          <t>Grilled Mussels</t>
        </is>
      </c>
      <c r="C167" s="28" t="inlineStr">
        <is>
          <t>Product</t>
        </is>
      </c>
      <c r="D167" s="28" t="n">
        <v>32</v>
      </c>
      <c r="E167" s="28" t="n">
        <v>370</v>
      </c>
      <c r="F167" s="28" t="n">
        <v>80</v>
      </c>
      <c r="G167" s="28" t="n">
        <v>68</v>
      </c>
      <c r="H167" s="28" t="n">
        <v>44</v>
      </c>
      <c r="I167" s="28" t="inlineStr">
        <is>
          <t>BBQ Grill</t>
        </is>
      </c>
      <c r="J167" s="28" t="n">
        <v>103</v>
      </c>
      <c r="K167" s="28" t="n">
        <v>4</v>
      </c>
      <c r="L167" s="28" t="inlineStr">
        <is>
          <t>Grilled Mussels.png</t>
        </is>
      </c>
      <c r="M167" s="28" t="n">
        <v>346</v>
      </c>
      <c r="N167" s="28" t="n">
        <v>3</v>
      </c>
      <c r="O167" s="28" t="inlineStr">
        <is>
          <t>1 h 20 mins</t>
        </is>
      </c>
      <c r="P167" s="28" t="inlineStr">
        <is>
          <t>1 h 8 mins</t>
        </is>
      </c>
      <c r="Q167" s="28" t="inlineStr">
        <is>
          <t>1 to 370</t>
        </is>
      </c>
      <c r="R167" s="28" t="inlineStr">
        <is>
          <t>https://hayday.fandom.com/wiki/Grilled_Mussels</t>
        </is>
      </c>
    </row>
    <row r="168">
      <c r="A168" s="28" t="inlineStr">
        <is>
          <t>Grilled Onion</t>
        </is>
      </c>
      <c r="B168" s="28" t="inlineStr">
        <is>
          <t>Grilled Onion</t>
        </is>
      </c>
      <c r="C168" s="28" t="inlineStr">
        <is>
          <t>Product</t>
        </is>
      </c>
      <c r="D168" s="28" t="n">
        <v>68</v>
      </c>
      <c r="E168" s="28" t="n">
        <v>190</v>
      </c>
      <c r="F168" s="28" t="n">
        <v>60</v>
      </c>
      <c r="G168" s="28" t="n">
        <v>51</v>
      </c>
      <c r="H168" s="28" t="n">
        <v>23</v>
      </c>
      <c r="I168" s="28" t="inlineStr">
        <is>
          <t>BBQ Grill</t>
        </is>
      </c>
      <c r="J168" s="28" t="n">
        <v>53</v>
      </c>
      <c r="K168" s="28" t="n">
        <v>4</v>
      </c>
      <c r="L168" s="28" t="inlineStr">
        <is>
          <t>Grilled Onion.png</t>
        </is>
      </c>
      <c r="M168" s="28" t="n">
        <v>160</v>
      </c>
      <c r="N168" s="28" t="n">
        <v>1908</v>
      </c>
      <c r="O168" s="28" t="inlineStr">
        <is>
          <t>1 h</t>
        </is>
      </c>
      <c r="P168" s="28" t="inlineStr">
        <is>
          <t>51 min</t>
        </is>
      </c>
      <c r="Q168" s="28" t="inlineStr">
        <is>
          <t>1 to 190</t>
        </is>
      </c>
      <c r="R168" s="28" t="inlineStr">
        <is>
          <t>https://hayday.fandom.com/wiki/Grilled_Onion</t>
        </is>
      </c>
    </row>
    <row r="169">
      <c r="A169" s="28" t="inlineStr">
        <is>
          <t>Guava</t>
        </is>
      </c>
      <c r="B169" s="28" t="inlineStr">
        <is>
          <t>Guava</t>
        </is>
      </c>
      <c r="C169" s="28" t="inlineStr">
        <is>
          <t>Crop</t>
        </is>
      </c>
      <c r="D169" s="28" t="n">
        <v>104</v>
      </c>
      <c r="E169" s="28" t="n">
        <v>111</v>
      </c>
      <c r="F169" s="28" t="n">
        <v>2040</v>
      </c>
      <c r="H169" s="28" t="n">
        <v>22</v>
      </c>
      <c r="I169" s="28" t="inlineStr">
        <is>
          <t>Guava Tree</t>
        </is>
      </c>
      <c r="J169" s="28" t="n">
        <v>31</v>
      </c>
      <c r="K169" s="28" t="n">
        <v>19</v>
      </c>
      <c r="L169" s="28" t="inlineStr">
        <is>
          <t>Guava.png</t>
        </is>
      </c>
      <c r="N169" s="28" t="n">
        <v>1116</v>
      </c>
      <c r="O169" s="28" t="inlineStr">
        <is>
          <t>1 d 10 h</t>
        </is>
      </c>
      <c r="Q169" s="28" t="inlineStr">
        <is>
          <t>1 to 111</t>
        </is>
      </c>
      <c r="R169" s="28" t="inlineStr">
        <is>
          <t>https://hayday.fandom.com/wiki/Guava</t>
        </is>
      </c>
    </row>
    <row r="170">
      <c r="A170" s="28" t="inlineStr">
        <is>
          <t>Guava Compote</t>
        </is>
      </c>
      <c r="B170" s="28" t="inlineStr">
        <is>
          <t>Guava Compote</t>
        </is>
      </c>
      <c r="C170" s="28" t="inlineStr">
        <is>
          <t>Product</t>
        </is>
      </c>
      <c r="D170" s="28" t="n">
        <v>104</v>
      </c>
      <c r="E170" s="28" t="n">
        <v>421</v>
      </c>
      <c r="F170" s="28" t="n">
        <v>260</v>
      </c>
      <c r="G170" s="28" t="n">
        <v>221</v>
      </c>
      <c r="H170" s="28" t="n">
        <v>50</v>
      </c>
      <c r="I170" s="28" t="inlineStr">
        <is>
          <t>Preservation Station</t>
        </is>
      </c>
      <c r="J170" s="28" t="n">
        <v>117</v>
      </c>
      <c r="K170" s="28" t="n">
        <v>7</v>
      </c>
      <c r="L170" s="28" t="inlineStr">
        <is>
          <t>Guava Compote.png</t>
        </is>
      </c>
      <c r="M170" s="28" t="n">
        <v>365</v>
      </c>
      <c r="N170" s="28" t="n">
        <v>4212</v>
      </c>
      <c r="O170" s="28" t="inlineStr">
        <is>
          <t>4 h 20 m</t>
        </is>
      </c>
      <c r="P170" s="28" t="inlineStr">
        <is>
          <t>3 h 41 min</t>
        </is>
      </c>
      <c r="Q170" s="28" t="inlineStr">
        <is>
          <t>1 to 421</t>
        </is>
      </c>
      <c r="R170" s="28" t="inlineStr">
        <is>
          <t>https://hayday.fandom.com/wiki/Guava_Compote</t>
        </is>
      </c>
    </row>
    <row r="171">
      <c r="A171" s="28" t="inlineStr">
        <is>
          <t>Guava Cupcake</t>
        </is>
      </c>
      <c r="B171" s="28" t="inlineStr">
        <is>
          <t>Guava Cupcake</t>
        </is>
      </c>
      <c r="C171" s="28" t="inlineStr">
        <is>
          <t>Product</t>
        </is>
      </c>
      <c r="D171" s="28" t="n">
        <v>109</v>
      </c>
      <c r="E171" s="28" t="n">
        <v>583</v>
      </c>
      <c r="F171" s="28" t="n">
        <v>70</v>
      </c>
      <c r="G171" s="28" t="n">
        <v>59</v>
      </c>
      <c r="H171" s="28" t="n">
        <v>70</v>
      </c>
      <c r="I171" s="28" t="inlineStr">
        <is>
          <t>Cupcake Maker</t>
        </is>
      </c>
      <c r="J171" s="28" t="n">
        <v>162</v>
      </c>
      <c r="K171" s="28" t="n">
        <v>3</v>
      </c>
      <c r="L171" s="28" t="inlineStr">
        <is>
          <t>Guava Cupcake.png</t>
        </is>
      </c>
      <c r="M171" s="28" t="n">
        <v>552</v>
      </c>
      <c r="N171" s="28" t="n">
        <v>5832</v>
      </c>
      <c r="O171" s="28" t="inlineStr">
        <is>
          <t>1 h 10 min</t>
        </is>
      </c>
      <c r="P171" s="28" t="inlineStr">
        <is>
          <t>59 min</t>
        </is>
      </c>
      <c r="Q171" s="28" t="inlineStr">
        <is>
          <t>1 to 583</t>
        </is>
      </c>
      <c r="R171" s="28" t="inlineStr">
        <is>
          <t>https://hayday.fandom.com/wiki/Guava_Cupcake</t>
        </is>
      </c>
    </row>
    <row r="172">
      <c r="A172" s="28" t="inlineStr">
        <is>
          <t>Guava Juice</t>
        </is>
      </c>
      <c r="B172" s="28" t="inlineStr">
        <is>
          <t>Guava Juice</t>
        </is>
      </c>
      <c r="C172" s="28" t="inlineStr">
        <is>
          <t>Product</t>
        </is>
      </c>
      <c r="D172" s="28" t="n">
        <v>104</v>
      </c>
      <c r="E172" s="28" t="n">
        <v>252</v>
      </c>
      <c r="F172" s="28" t="n">
        <v>55</v>
      </c>
      <c r="G172" s="28" t="n">
        <v>46</v>
      </c>
      <c r="H172" s="28" t="n">
        <v>30</v>
      </c>
      <c r="I172" s="28" t="inlineStr">
        <is>
          <t>Juice Press</t>
        </is>
      </c>
      <c r="J172" s="28" t="n">
        <v>70</v>
      </c>
      <c r="K172" s="28" t="n">
        <v>3</v>
      </c>
      <c r="L172" s="28" t="inlineStr">
        <is>
          <t>Guava Juice.png</t>
        </is>
      </c>
      <c r="M172" s="28" t="n">
        <v>222</v>
      </c>
      <c r="N172" s="28" t="n">
        <v>2520</v>
      </c>
      <c r="O172" s="28" t="inlineStr">
        <is>
          <t>55 min</t>
        </is>
      </c>
      <c r="P172" s="28" t="inlineStr">
        <is>
          <t>46 min</t>
        </is>
      </c>
      <c r="Q172" s="28" t="inlineStr">
        <is>
          <t>1 to 252</t>
        </is>
      </c>
      <c r="R172" s="28" t="inlineStr">
        <is>
          <t>https://hayday.fandom.com/wiki/Guava_Juice</t>
        </is>
      </c>
    </row>
    <row r="173">
      <c r="A173" s="28" t="inlineStr">
        <is>
          <t>Hamburger</t>
        </is>
      </c>
      <c r="B173" s="28" t="inlineStr">
        <is>
          <t>Hamburger</t>
        </is>
      </c>
      <c r="C173" s="28" t="inlineStr">
        <is>
          <t>Product</t>
        </is>
      </c>
      <c r="D173" s="28" t="n">
        <v>18</v>
      </c>
      <c r="E173" s="28" t="n">
        <v>180</v>
      </c>
      <c r="F173" s="28" t="n">
        <v>120</v>
      </c>
      <c r="G173" s="28" t="n">
        <v>102</v>
      </c>
      <c r="H173" s="28" t="n">
        <v>22</v>
      </c>
      <c r="I173" s="28" t="inlineStr">
        <is>
          <t>BBQ Grill</t>
        </is>
      </c>
      <c r="J173" s="28" t="n">
        <v>50</v>
      </c>
      <c r="K173" s="28" t="n">
        <v>5</v>
      </c>
      <c r="L173" s="28" t="inlineStr">
        <is>
          <t>Hamburger.png</t>
        </is>
      </c>
      <c r="M173" s="28" t="n">
        <v>143</v>
      </c>
      <c r="N173" s="28" t="n">
        <v>1800</v>
      </c>
      <c r="O173" s="28" t="inlineStr">
        <is>
          <t>2 h</t>
        </is>
      </c>
      <c r="P173" s="28" t="inlineStr">
        <is>
          <t>1 h 42 m</t>
        </is>
      </c>
      <c r="Q173" s="28" t="inlineStr">
        <is>
          <t>1 to 180</t>
        </is>
      </c>
      <c r="R173" s="28" t="inlineStr">
        <is>
          <t>https://hayday.fandom.com/wiki/Hamburger</t>
        </is>
      </c>
    </row>
    <row r="174">
      <c r="A174" s="28" t="inlineStr">
        <is>
          <t>Hand Pies</t>
        </is>
      </c>
      <c r="B174" s="28" t="inlineStr">
        <is>
          <t>Hand Pies</t>
        </is>
      </c>
      <c r="C174" s="28" t="inlineStr">
        <is>
          <t>Product</t>
        </is>
      </c>
      <c r="D174" s="28" t="n">
        <v>91</v>
      </c>
      <c r="E174" s="28" t="n">
        <v>295</v>
      </c>
      <c r="F174" s="28" t="n">
        <v>20</v>
      </c>
      <c r="G174" s="28" t="n">
        <v>17</v>
      </c>
      <c r="H174" s="28" t="n">
        <v>35</v>
      </c>
      <c r="I174" s="28" t="inlineStr">
        <is>
          <t>Deep Fryer</t>
        </is>
      </c>
      <c r="J174" s="28" t="n">
        <v>82</v>
      </c>
      <c r="K174" s="28" t="n">
        <v>2</v>
      </c>
      <c r="L174" s="28" t="inlineStr">
        <is>
          <t>Hand Pies.png</t>
        </is>
      </c>
      <c r="M174" s="28" t="n">
        <v>270</v>
      </c>
      <c r="N174" s="28" t="n">
        <v>2952</v>
      </c>
      <c r="O174" s="28" t="inlineStr">
        <is>
          <t>20 min</t>
        </is>
      </c>
      <c r="P174" s="28" t="inlineStr">
        <is>
          <t>17 min</t>
        </is>
      </c>
      <c r="Q174" s="28" t="inlineStr">
        <is>
          <t>1 to 295</t>
        </is>
      </c>
      <c r="R174" s="28" t="inlineStr">
        <is>
          <t>https://hayday.fandom.com/wiki/Hand_Pies</t>
        </is>
      </c>
    </row>
    <row r="175">
      <c r="A175" s="28" t="inlineStr">
        <is>
          <t>Honey</t>
        </is>
      </c>
      <c r="B175" s="28" t="inlineStr">
        <is>
          <t>Honey</t>
        </is>
      </c>
      <c r="C175" s="28" t="inlineStr">
        <is>
          <t>Product</t>
        </is>
      </c>
      <c r="D175" s="28" t="n">
        <v>39</v>
      </c>
      <c r="E175" s="28" t="n">
        <v>154</v>
      </c>
      <c r="F175" s="28" t="n">
        <v>20</v>
      </c>
      <c r="G175" s="28" t="n">
        <v>17</v>
      </c>
      <c r="H175" s="28" t="n">
        <v>19</v>
      </c>
      <c r="I175" s="28" t="inlineStr">
        <is>
          <t>Honey Extractor</t>
        </is>
      </c>
      <c r="J175" s="28" t="n">
        <v>43</v>
      </c>
      <c r="K175" s="28" t="n">
        <v>2</v>
      </c>
      <c r="L175" s="28" t="inlineStr">
        <is>
          <t>Honey.png</t>
        </is>
      </c>
      <c r="M175" s="28" t="n">
        <v>136</v>
      </c>
      <c r="N175" s="28" t="n">
        <v>1548</v>
      </c>
      <c r="O175" s="28" t="inlineStr">
        <is>
          <t>20 min</t>
        </is>
      </c>
      <c r="P175" s="28" t="inlineStr">
        <is>
          <t>17 min</t>
        </is>
      </c>
      <c r="Q175" s="28" t="inlineStr">
        <is>
          <t>1 to 154</t>
        </is>
      </c>
      <c r="R175" s="28" t="inlineStr">
        <is>
          <t>https://hayday.fandom.com/wiki/Honey</t>
        </is>
      </c>
    </row>
    <row r="176">
      <c r="A176" s="28" t="inlineStr">
        <is>
          <t>Honey Apple Cake</t>
        </is>
      </c>
      <c r="B176" s="28" t="inlineStr">
        <is>
          <t>Honey Apple Cake</t>
        </is>
      </c>
      <c r="C176" s="28" t="inlineStr">
        <is>
          <t>Product</t>
        </is>
      </c>
      <c r="D176" s="28" t="n">
        <v>42</v>
      </c>
      <c r="E176" s="28" t="n">
        <v>482</v>
      </c>
      <c r="F176" s="28" t="n">
        <v>200</v>
      </c>
      <c r="G176" s="28" t="n">
        <v>170</v>
      </c>
      <c r="H176" s="28" t="n">
        <v>57</v>
      </c>
      <c r="I176" s="28" t="inlineStr">
        <is>
          <t>Cake Oven</t>
        </is>
      </c>
      <c r="J176" s="28" t="n">
        <v>134</v>
      </c>
      <c r="K176" s="28" t="n">
        <v>6</v>
      </c>
      <c r="L176" s="28" t="inlineStr">
        <is>
          <t>Honey Apple Cake.png</t>
        </is>
      </c>
      <c r="M176" s="28" t="n">
        <v>428</v>
      </c>
      <c r="N176" s="28" t="n">
        <v>4824</v>
      </c>
      <c r="O176" s="28" t="inlineStr">
        <is>
          <t>3 h 20 min</t>
        </is>
      </c>
      <c r="P176" s="28" t="inlineStr">
        <is>
          <t>2 h 50 min</t>
        </is>
      </c>
      <c r="Q176" s="28" t="inlineStr">
        <is>
          <t>1 to 482</t>
        </is>
      </c>
      <c r="R176" s="28" t="inlineStr">
        <is>
          <t>https://hayday.fandom.com/wiki/Honey_Apple_Cake</t>
        </is>
      </c>
    </row>
    <row r="177">
      <c r="A177" s="28" t="inlineStr">
        <is>
          <t>Honey Face Mask</t>
        </is>
      </c>
      <c r="B177" s="28" t="inlineStr">
        <is>
          <t>Honey Face Mask</t>
        </is>
      </c>
      <c r="C177" s="28" t="inlineStr">
        <is>
          <t>Product</t>
        </is>
      </c>
      <c r="D177" s="28" t="n">
        <v>99</v>
      </c>
      <c r="E177" s="28" t="n">
        <v>320</v>
      </c>
      <c r="F177" s="28" t="n">
        <v>90</v>
      </c>
      <c r="G177" s="28" t="n">
        <v>77</v>
      </c>
      <c r="H177" s="28" t="n">
        <v>38</v>
      </c>
      <c r="I177" s="28" t="inlineStr">
        <is>
          <t>Bath Kiosk</t>
        </is>
      </c>
      <c r="J177" s="28" t="n">
        <v>89</v>
      </c>
      <c r="K177" s="28" t="n">
        <v>5</v>
      </c>
      <c r="L177" s="28" t="inlineStr">
        <is>
          <t>Honey Face Mask.png</t>
        </is>
      </c>
      <c r="M177" s="28" t="n">
        <v>283</v>
      </c>
      <c r="N177" s="28" t="n">
        <v>3204</v>
      </c>
      <c r="O177" s="28" t="inlineStr">
        <is>
          <t>1 hr 30 min</t>
        </is>
      </c>
      <c r="P177" s="28" t="inlineStr">
        <is>
          <t>1 hr 17 min</t>
        </is>
      </c>
      <c r="Q177" s="28" t="inlineStr">
        <is>
          <t>1 to 320</t>
        </is>
      </c>
      <c r="R177" s="28" t="inlineStr">
        <is>
          <t>https://hayday.fandom.com/wiki/Honey_Face_Mask</t>
        </is>
      </c>
    </row>
    <row r="178">
      <c r="A178" s="28" t="inlineStr">
        <is>
          <t>Honey Peanuts</t>
        </is>
      </c>
      <c r="B178" s="28" t="inlineStr">
        <is>
          <t>Honey Peanuts</t>
        </is>
      </c>
      <c r="C178" s="28" t="inlineStr">
        <is>
          <t>Product</t>
        </is>
      </c>
      <c r="D178" s="28" t="n">
        <v>63</v>
      </c>
      <c r="E178" s="28" t="n">
        <v>468</v>
      </c>
      <c r="F178" s="28" t="n">
        <v>40</v>
      </c>
      <c r="G178" s="28" t="n">
        <v>34</v>
      </c>
      <c r="H178" s="28" t="n">
        <v>64</v>
      </c>
      <c r="I178" s="28" t="inlineStr">
        <is>
          <t>Candy Machine</t>
        </is>
      </c>
      <c r="J178" s="28" t="n">
        <v>130</v>
      </c>
      <c r="K178" s="28" t="n">
        <v>3</v>
      </c>
      <c r="L178" s="28" t="inlineStr">
        <is>
          <t>Honey Peanuts.png</t>
        </is>
      </c>
      <c r="M178" s="28" t="n">
        <v>388</v>
      </c>
      <c r="N178" s="28" t="n">
        <v>4680</v>
      </c>
      <c r="O178" s="28" t="inlineStr">
        <is>
          <t>40 min</t>
        </is>
      </c>
      <c r="P178" s="28" t="inlineStr">
        <is>
          <t>34 min</t>
        </is>
      </c>
      <c r="Q178" s="28" t="inlineStr">
        <is>
          <t>1 to 468</t>
        </is>
      </c>
      <c r="R178" s="28" t="inlineStr">
        <is>
          <t>https://hayday.fandom.com/wiki/Honey_Peanuts</t>
        </is>
      </c>
    </row>
    <row r="179">
      <c r="A179" s="28" t="inlineStr">
        <is>
          <t>Honey Popcorn</t>
        </is>
      </c>
      <c r="B179" s="28" t="inlineStr">
        <is>
          <t>Honey Popcorn</t>
        </is>
      </c>
      <c r="C179" s="28" t="inlineStr">
        <is>
          <t>Product</t>
        </is>
      </c>
      <c r="D179" s="28" t="n">
        <v>40</v>
      </c>
      <c r="E179" s="28" t="n">
        <v>360</v>
      </c>
      <c r="F179" s="28" t="n">
        <v>90</v>
      </c>
      <c r="G179" s="28" t="n">
        <v>76</v>
      </c>
      <c r="H179" s="28" t="n">
        <v>43</v>
      </c>
      <c r="I179" s="28" t="inlineStr">
        <is>
          <t>Popcorn Pot</t>
        </is>
      </c>
      <c r="J179" s="28" t="n">
        <v>100</v>
      </c>
      <c r="K179" s="28" t="n">
        <v>5</v>
      </c>
      <c r="L179" s="28" t="inlineStr">
        <is>
          <t>Honey Popcorn.png</t>
        </is>
      </c>
      <c r="M179" s="28" t="n">
        <v>322</v>
      </c>
      <c r="N179" s="28" t="n">
        <v>3600</v>
      </c>
      <c r="O179" s="28" t="inlineStr">
        <is>
          <t>1 h 30 min</t>
        </is>
      </c>
      <c r="P179" s="28" t="inlineStr">
        <is>
          <t>1 h 16 min</t>
        </is>
      </c>
      <c r="Q179" s="28" t="inlineStr">
        <is>
          <t>1 to 360</t>
        </is>
      </c>
      <c r="R179" s="28" t="inlineStr">
        <is>
          <t>https://hayday.fandom.com/wiki/Honey_Popcorn</t>
        </is>
      </c>
    </row>
    <row r="180">
      <c r="A180" s="28" t="inlineStr">
        <is>
          <t>Honey Soap</t>
        </is>
      </c>
      <c r="B180" s="28" t="inlineStr">
        <is>
          <t>Honey Soap</t>
        </is>
      </c>
      <c r="C180" s="28" t="inlineStr">
        <is>
          <t>Product</t>
        </is>
      </c>
      <c r="D180" s="28" t="n">
        <v>84</v>
      </c>
      <c r="E180" s="28" t="n">
        <v>327</v>
      </c>
      <c r="F180" s="28" t="n">
        <v>60</v>
      </c>
      <c r="G180" s="28" t="n">
        <v>51</v>
      </c>
      <c r="H180" s="28" t="n">
        <v>39</v>
      </c>
      <c r="I180" s="28" t="inlineStr">
        <is>
          <t>Bath Kiosk</t>
        </is>
      </c>
      <c r="J180" s="28" t="n">
        <v>91</v>
      </c>
      <c r="K180" s="28" t="n">
        <v>4</v>
      </c>
      <c r="L180" s="28" t="inlineStr">
        <is>
          <t>Honey Soap.png</t>
        </is>
      </c>
      <c r="M180" s="28" t="n">
        <v>304</v>
      </c>
      <c r="N180" s="28" t="n">
        <v>3276</v>
      </c>
      <c r="O180" s="28" t="inlineStr">
        <is>
          <t>1 hr</t>
        </is>
      </c>
      <c r="P180" s="28" t="inlineStr">
        <is>
          <t>51 min</t>
        </is>
      </c>
      <c r="Q180" s="28" t="inlineStr">
        <is>
          <t>1 to 327</t>
        </is>
      </c>
      <c r="R180" s="28" t="inlineStr">
        <is>
          <t>https://hayday.fandom.com/wiki/Honey_Soap</t>
        </is>
      </c>
    </row>
    <row r="181">
      <c r="A181" s="28" t="inlineStr">
        <is>
          <t>Honey Tea</t>
        </is>
      </c>
      <c r="B181" s="28" t="inlineStr">
        <is>
          <t>Honey Tea</t>
        </is>
      </c>
      <c r="C181" s="28" t="inlineStr">
        <is>
          <t>Product</t>
        </is>
      </c>
      <c r="D181" s="28" t="n">
        <v>83</v>
      </c>
      <c r="E181" s="28" t="n">
        <v>313</v>
      </c>
      <c r="F181" s="28" t="n">
        <v>40</v>
      </c>
      <c r="G181" s="28" t="n">
        <v>34</v>
      </c>
      <c r="H181" s="28" t="n">
        <v>37</v>
      </c>
      <c r="I181" s="28" t="inlineStr">
        <is>
          <t>Tea Stand</t>
        </is>
      </c>
      <c r="J181" s="28" t="n">
        <v>87</v>
      </c>
      <c r="K181" s="28" t="n">
        <v>3</v>
      </c>
      <c r="L181" s="28" t="inlineStr">
        <is>
          <t>Honey Tea.png</t>
        </is>
      </c>
      <c r="M181" s="28" t="n">
        <v>283</v>
      </c>
      <c r="N181" s="28" t="n">
        <v>3132</v>
      </c>
      <c r="O181" s="28" t="inlineStr">
        <is>
          <t>40 min</t>
        </is>
      </c>
      <c r="P181" s="28" t="inlineStr">
        <is>
          <t>34 min</t>
        </is>
      </c>
      <c r="Q181" s="28" t="inlineStr">
        <is>
          <t>1 to 313</t>
        </is>
      </c>
      <c r="R181" s="28" t="inlineStr">
        <is>
          <t>https://hayday.fandom.com/wiki/Honey_Tea</t>
        </is>
      </c>
    </row>
    <row r="182">
      <c r="A182" s="28" t="inlineStr">
        <is>
          <t>Honey Toast</t>
        </is>
      </c>
      <c r="B182" s="28" t="inlineStr">
        <is>
          <t>Honey Toast</t>
        </is>
      </c>
      <c r="C182" s="28" t="inlineStr">
        <is>
          <t>Product</t>
        </is>
      </c>
      <c r="D182" s="28" t="n">
        <v>69</v>
      </c>
      <c r="E182" s="28" t="n">
        <v>255</v>
      </c>
      <c r="F182" s="28" t="n">
        <v>60</v>
      </c>
      <c r="G182" s="28" t="n">
        <v>51</v>
      </c>
      <c r="H182" s="28" t="n">
        <v>31</v>
      </c>
      <c r="I182" s="28" t="inlineStr">
        <is>
          <t>Sandwich Bar</t>
        </is>
      </c>
      <c r="J182" s="28" t="n">
        <v>71</v>
      </c>
      <c r="K182" s="28" t="n">
        <v>4</v>
      </c>
      <c r="L182" s="28" t="inlineStr">
        <is>
          <t>Honey Toast.png</t>
        </is>
      </c>
      <c r="M182" s="28" t="n">
        <v>225</v>
      </c>
      <c r="N182" s="28" t="n">
        <v>2556</v>
      </c>
      <c r="O182" s="28" t="inlineStr">
        <is>
          <t>1 h</t>
        </is>
      </c>
      <c r="P182" s="28" t="inlineStr">
        <is>
          <t>51 min</t>
        </is>
      </c>
      <c r="Q182" s="28" t="inlineStr">
        <is>
          <t>1 to 255</t>
        </is>
      </c>
      <c r="R182" s="28" t="inlineStr">
        <is>
          <t>https://hayday.fandom.com/wiki/Honey_Toast</t>
        </is>
      </c>
    </row>
    <row r="183">
      <c r="A183" s="28" t="inlineStr">
        <is>
          <t>Honeycomb</t>
        </is>
      </c>
      <c r="B183" s="28" t="inlineStr">
        <is>
          <t>Honeycomb</t>
        </is>
      </c>
      <c r="C183" s="28" t="inlineStr">
        <is>
          <t>Animal good</t>
        </is>
      </c>
      <c r="D183" s="28" t="n">
        <v>39</v>
      </c>
      <c r="E183" s="28" t="n">
        <v>68</v>
      </c>
      <c r="F183" s="28" t="n">
        <v>35</v>
      </c>
      <c r="H183" s="28" t="n">
        <v>8</v>
      </c>
      <c r="I183" s="28" t="inlineStr">
        <is>
          <t>Honey Bee</t>
        </is>
      </c>
      <c r="J183" s="28" t="n">
        <v>19</v>
      </c>
      <c r="K183" s="28" t="n">
        <v>3</v>
      </c>
      <c r="L183" s="28" t="inlineStr">
        <is>
          <t>Honeycomb.png</t>
        </is>
      </c>
      <c r="N183" s="28" t="n">
        <v>684</v>
      </c>
      <c r="O183" s="28" t="inlineStr">
        <is>
          <t>35 min</t>
        </is>
      </c>
      <c r="Q183" s="28" t="inlineStr">
        <is>
          <t>1 to 68</t>
        </is>
      </c>
      <c r="R183" s="28" t="inlineStr">
        <is>
          <t>https://hayday.fandom.com/wiki/Honeycomb</t>
        </is>
      </c>
    </row>
    <row r="184">
      <c r="A184" s="28" t="inlineStr">
        <is>
          <t>Hot Chocolate</t>
        </is>
      </c>
      <c r="B184" s="28" t="inlineStr">
        <is>
          <t>Hot Chocolate</t>
        </is>
      </c>
      <c r="C184" s="28" t="inlineStr">
        <is>
          <t>Product</t>
        </is>
      </c>
      <c r="D184" s="28" t="n">
        <v>47</v>
      </c>
      <c r="E184" s="28" t="n">
        <v>316</v>
      </c>
      <c r="F184" s="28" t="n">
        <v>25</v>
      </c>
      <c r="G184" s="28" t="n">
        <v>21</v>
      </c>
      <c r="H184" s="28" t="n">
        <v>38</v>
      </c>
      <c r="I184" s="28" t="inlineStr">
        <is>
          <t>Coffee Kiosk</t>
        </is>
      </c>
      <c r="J184" s="28" t="n">
        <v>88</v>
      </c>
      <c r="K184" s="28" t="n">
        <v>3</v>
      </c>
      <c r="L184" s="28" t="inlineStr">
        <is>
          <t>Hot Chocolate.png</t>
        </is>
      </c>
      <c r="M184" s="28" t="n">
        <v>304</v>
      </c>
      <c r="N184" s="28" t="n">
        <v>3168</v>
      </c>
      <c r="O184" s="28" t="inlineStr">
        <is>
          <t>25 min</t>
        </is>
      </c>
      <c r="P184" s="28" t="inlineStr">
        <is>
          <t>21 min</t>
        </is>
      </c>
      <c r="Q184" s="28" t="inlineStr">
        <is>
          <t>1 to 316</t>
        </is>
      </c>
      <c r="R184" s="28" t="inlineStr">
        <is>
          <t>https://hayday.fandom.com/wiki/Hot_Chocolate</t>
        </is>
      </c>
    </row>
    <row r="185">
      <c r="A185" s="28" t="inlineStr">
        <is>
          <t>Hot Dog</t>
        </is>
      </c>
      <c r="B185" s="28" t="inlineStr">
        <is>
          <t>Hot Dog</t>
        </is>
      </c>
      <c r="C185" s="28" t="inlineStr">
        <is>
          <t>Product</t>
        </is>
      </c>
      <c r="D185" s="28" t="n">
        <v>75</v>
      </c>
      <c r="E185" s="28" t="n">
        <v>370</v>
      </c>
      <c r="F185" s="28" t="n">
        <v>30</v>
      </c>
      <c r="G185" s="28" t="n">
        <v>25</v>
      </c>
      <c r="H185" s="28" t="n">
        <v>44</v>
      </c>
      <c r="I185" s="28" t="inlineStr">
        <is>
          <t>Hot Dog Stand</t>
        </is>
      </c>
      <c r="J185" s="28" t="n">
        <v>103</v>
      </c>
      <c r="K185" s="28" t="n">
        <v>3</v>
      </c>
      <c r="L185" s="28" t="inlineStr">
        <is>
          <t>Hot Dog.png</t>
        </is>
      </c>
      <c r="M185" s="28" t="n">
        <v>336</v>
      </c>
      <c r="N185" s="28" t="n">
        <v>3708</v>
      </c>
      <c r="O185" s="28" t="inlineStr">
        <is>
          <t>30 min</t>
        </is>
      </c>
      <c r="P185" s="28" t="inlineStr">
        <is>
          <t>25 min</t>
        </is>
      </c>
      <c r="Q185" s="28" t="inlineStr">
        <is>
          <t>1 to 370</t>
        </is>
      </c>
      <c r="R185" s="28" t="inlineStr">
        <is>
          <t>https://hayday.fandom.com/wiki/Hot_Dog</t>
        </is>
      </c>
    </row>
    <row r="186">
      <c r="A186" s="28" t="inlineStr">
        <is>
          <t>Hummus</t>
        </is>
      </c>
      <c r="B186" s="28" t="inlineStr">
        <is>
          <t>Hummus</t>
        </is>
      </c>
      <c r="C186" s="28" t="inlineStr">
        <is>
          <t>Product</t>
        </is>
      </c>
      <c r="D186" s="28" t="n">
        <v>95</v>
      </c>
      <c r="E186" s="28" t="n">
        <v>277</v>
      </c>
      <c r="F186" s="28" t="n">
        <v>30</v>
      </c>
      <c r="G186" s="28" t="n">
        <v>25</v>
      </c>
      <c r="H186" s="28" t="n">
        <v>33</v>
      </c>
      <c r="I186" s="28" t="inlineStr">
        <is>
          <t>Sauce Maker</t>
        </is>
      </c>
      <c r="J186" s="28" t="n">
        <v>77</v>
      </c>
      <c r="K186" s="28" t="n">
        <v>3</v>
      </c>
      <c r="L186" s="28" t="inlineStr">
        <is>
          <t>Hummus.png</t>
        </is>
      </c>
      <c r="M186" s="28" t="n">
        <v>254</v>
      </c>
      <c r="N186" s="28" t="n">
        <v>2772</v>
      </c>
      <c r="O186" s="28" t="inlineStr">
        <is>
          <t>30 min</t>
        </is>
      </c>
      <c r="P186" s="28" t="inlineStr">
        <is>
          <t>25 min</t>
        </is>
      </c>
      <c r="Q186" s="28" t="inlineStr">
        <is>
          <t>1 to 277</t>
        </is>
      </c>
      <c r="R186" s="28" t="inlineStr">
        <is>
          <t>https://hayday.fandom.com/wiki/Hummus</t>
        </is>
      </c>
    </row>
    <row r="187">
      <c r="A187" s="28" t="inlineStr">
        <is>
          <t>Hummus Wrap</t>
        </is>
      </c>
      <c r="B187" s="28" t="inlineStr">
        <is>
          <t>Hummus Wrap</t>
        </is>
      </c>
      <c r="C187" s="28" t="inlineStr">
        <is>
          <t>Product</t>
        </is>
      </c>
      <c r="D187" s="28" t="n">
        <v>109</v>
      </c>
      <c r="E187" s="28" t="n">
        <v>374</v>
      </c>
      <c r="F187" s="28" t="n">
        <v>30</v>
      </c>
      <c r="G187" s="28" t="n">
        <v>25</v>
      </c>
      <c r="H187" s="28" t="n">
        <v>45</v>
      </c>
      <c r="I187" s="28" t="inlineStr">
        <is>
          <t>Sandwich Bar</t>
        </is>
      </c>
      <c r="J187" s="28" t="n">
        <v>104</v>
      </c>
      <c r="K187" s="28" t="n">
        <v>3</v>
      </c>
      <c r="L187" s="28" t="inlineStr">
        <is>
          <t>Hummus Wrap.png</t>
        </is>
      </c>
      <c r="M187" s="28" t="n">
        <v>351</v>
      </c>
      <c r="N187" s="28" t="n">
        <v>3744</v>
      </c>
      <c r="O187" s="28" t="inlineStr">
        <is>
          <t>30 min</t>
        </is>
      </c>
      <c r="P187" s="28" t="inlineStr">
        <is>
          <t>25 min</t>
        </is>
      </c>
      <c r="Q187" s="28" t="inlineStr">
        <is>
          <t>1 to 374</t>
        </is>
      </c>
      <c r="R187" s="28" t="inlineStr">
        <is>
          <t>https://hayday.fandom.com/wiki/Hummus_Wrap</t>
        </is>
      </c>
    </row>
    <row r="188">
      <c r="A188" s="28" t="inlineStr">
        <is>
          <t>Iced Banana Latte</t>
        </is>
      </c>
      <c r="B188" s="28" t="inlineStr">
        <is>
          <t>Iced Banana Latte</t>
        </is>
      </c>
      <c r="C188" s="28" t="inlineStr">
        <is>
          <t>Product</t>
        </is>
      </c>
      <c r="D188" s="28" t="n">
        <v>88</v>
      </c>
      <c r="E188" s="28" t="n">
        <v>277</v>
      </c>
      <c r="F188" s="28" t="n">
        <v>20</v>
      </c>
      <c r="G188" s="28" t="n">
        <v>17</v>
      </c>
      <c r="H188" s="28" t="n">
        <v>33</v>
      </c>
      <c r="I188" s="28" t="inlineStr">
        <is>
          <t>Coffee Kiosk</t>
        </is>
      </c>
      <c r="J188" s="28" t="n">
        <v>77</v>
      </c>
      <c r="K188" s="28" t="n">
        <v>2</v>
      </c>
      <c r="L188" s="28" t="inlineStr">
        <is>
          <t>Iced Banana Latte.png</t>
        </is>
      </c>
      <c r="M188" s="28" t="n">
        <v>264</v>
      </c>
      <c r="N188" s="28" t="n">
        <v>2772</v>
      </c>
      <c r="O188" s="28" t="inlineStr">
        <is>
          <t>20m</t>
        </is>
      </c>
      <c r="P188" s="28" t="inlineStr">
        <is>
          <t>17 min</t>
        </is>
      </c>
      <c r="Q188" s="28" t="inlineStr">
        <is>
          <t>1 to 277</t>
        </is>
      </c>
      <c r="R188" s="28" t="inlineStr">
        <is>
          <t>https://hayday.fandom.com/wiki/Iced_Banana_Latte</t>
        </is>
      </c>
    </row>
    <row r="189">
      <c r="A189" s="28" t="inlineStr">
        <is>
          <t>Iced Tea</t>
        </is>
      </c>
      <c r="B189" s="28" t="inlineStr">
        <is>
          <t>Iced Tea</t>
        </is>
      </c>
      <c r="C189" s="28" t="inlineStr">
        <is>
          <t>Product</t>
        </is>
      </c>
      <c r="D189" s="28" t="n">
        <v>92</v>
      </c>
      <c r="E189" s="28" t="n">
        <v>252</v>
      </c>
      <c r="F189" s="28" t="n">
        <v>30</v>
      </c>
      <c r="G189" s="28" t="n">
        <v>25</v>
      </c>
      <c r="H189" s="28" t="n">
        <v>30</v>
      </c>
      <c r="I189" s="28" t="inlineStr">
        <is>
          <t>Tea Stand</t>
        </is>
      </c>
      <c r="J189" s="28" t="n">
        <v>70</v>
      </c>
      <c r="K189" s="28" t="n">
        <v>3</v>
      </c>
      <c r="L189" s="28" t="inlineStr">
        <is>
          <t>Iced Tea.png</t>
        </is>
      </c>
      <c r="M189" s="28" t="n">
        <v>229</v>
      </c>
      <c r="N189" s="28" t="n">
        <v>2520</v>
      </c>
      <c r="O189" s="28" t="inlineStr">
        <is>
          <t>30 min</t>
        </is>
      </c>
      <c r="P189" s="28" t="inlineStr">
        <is>
          <t>25 min</t>
        </is>
      </c>
      <c r="Q189" s="28" t="inlineStr">
        <is>
          <t>1 to 252</t>
        </is>
      </c>
      <c r="R189" s="28" t="inlineStr">
        <is>
          <t>https://hayday.fandom.com/wiki/Iced_Tea</t>
        </is>
      </c>
    </row>
    <row r="190">
      <c r="A190" s="28" t="inlineStr">
        <is>
          <t>Indigo</t>
        </is>
      </c>
      <c r="B190" s="28" t="inlineStr">
        <is>
          <t>Indigo</t>
        </is>
      </c>
      <c r="C190" s="28" t="inlineStr">
        <is>
          <t>Crop</t>
        </is>
      </c>
      <c r="D190" s="28" t="n">
        <v>13</v>
      </c>
      <c r="E190" s="28" t="n">
        <v>25</v>
      </c>
      <c r="F190" s="28" t="n">
        <v>120</v>
      </c>
      <c r="H190" s="28" t="n">
        <v>5</v>
      </c>
      <c r="I190" s="28" t="inlineStr">
        <is>
          <t>Farm</t>
        </is>
      </c>
      <c r="J190" s="28" t="n">
        <v>7</v>
      </c>
      <c r="K190" s="28" t="n">
        <v>5</v>
      </c>
      <c r="L190" s="28" t="inlineStr">
        <is>
          <t>Indigo.png</t>
        </is>
      </c>
      <c r="N190" s="28" t="n">
        <v>252</v>
      </c>
      <c r="O190" s="28" t="inlineStr">
        <is>
          <t>2 h</t>
        </is>
      </c>
      <c r="Q190" s="28" t="inlineStr">
        <is>
          <t>1 to 25</t>
        </is>
      </c>
      <c r="R190" s="28" t="inlineStr">
        <is>
          <t>https://hayday.fandom.com/wiki/Indigo</t>
        </is>
      </c>
    </row>
    <row r="191">
      <c r="A191" s="28" t="inlineStr">
        <is>
          <t>Iron Bar</t>
        </is>
      </c>
      <c r="B191" s="28" t="inlineStr">
        <is>
          <t>Iron Bar</t>
        </is>
      </c>
      <c r="C191" s="28" t="inlineStr">
        <is>
          <t>Product</t>
        </is>
      </c>
      <c r="D191" s="28" t="n">
        <v>34</v>
      </c>
      <c r="E191" s="28" t="n">
        <v>129</v>
      </c>
      <c r="F191" s="28" t="n">
        <v>420</v>
      </c>
      <c r="G191" s="28" t="n">
        <v>357</v>
      </c>
      <c r="H191" s="28" t="n">
        <v>15</v>
      </c>
      <c r="I191" s="28" t="inlineStr">
        <is>
          <t>Smelter</t>
        </is>
      </c>
      <c r="J191" s="28" t="n">
        <v>36</v>
      </c>
      <c r="K191" s="28" t="n">
        <v>8</v>
      </c>
      <c r="L191" s="28" t="inlineStr">
        <is>
          <t>Iron Bar.png</t>
        </is>
      </c>
      <c r="M191" s="28" t="n">
        <v>42</v>
      </c>
      <c r="N191" s="28" t="n">
        <v>1296</v>
      </c>
      <c r="O191" s="28" t="inlineStr">
        <is>
          <t>7 h</t>
        </is>
      </c>
      <c r="P191" s="28" t="inlineStr">
        <is>
          <t>5 h 57 min</t>
        </is>
      </c>
      <c r="Q191" s="28" t="inlineStr">
        <is>
          <t>1 to 129</t>
        </is>
      </c>
      <c r="R191" s="28" t="inlineStr">
        <is>
          <t>https://hayday.fandom.com/wiki/Iron_Bar</t>
        </is>
      </c>
    </row>
    <row r="192">
      <c r="A192" s="28" t="inlineStr">
        <is>
          <t>Iron Bracelet</t>
        </is>
      </c>
      <c r="B192" s="28" t="inlineStr">
        <is>
          <t>Iron Bracelet</t>
        </is>
      </c>
      <c r="C192" s="28" t="inlineStr">
        <is>
          <t>Product</t>
        </is>
      </c>
      <c r="D192" s="28" t="n">
        <v>41</v>
      </c>
      <c r="E192" s="28" t="n">
        <v>658</v>
      </c>
      <c r="F192" s="28" t="n">
        <v>90</v>
      </c>
      <c r="G192" s="28" t="n">
        <v>76</v>
      </c>
      <c r="H192" s="28" t="n">
        <v>79</v>
      </c>
      <c r="I192" s="28" t="inlineStr">
        <is>
          <t>Jeweler</t>
        </is>
      </c>
      <c r="J192" s="28" t="n">
        <v>183</v>
      </c>
      <c r="K192" s="28" t="n">
        <v>5</v>
      </c>
      <c r="L192" s="28" t="inlineStr">
        <is>
          <t>Iron Bracelet.png</t>
        </is>
      </c>
      <c r="M192" s="28" t="n">
        <v>621</v>
      </c>
      <c r="N192" s="28" t="n">
        <v>6588</v>
      </c>
      <c r="O192" s="28" t="inlineStr">
        <is>
          <t>1 h 30 min</t>
        </is>
      </c>
      <c r="P192" s="28" t="inlineStr">
        <is>
          <t>1 h 16 min</t>
        </is>
      </c>
      <c r="Q192" s="28" t="inlineStr">
        <is>
          <t>1 to 658</t>
        </is>
      </c>
      <c r="R192" s="28" t="inlineStr">
        <is>
          <t>https://hayday.fandom.com/wiki/Iron_Bracelet</t>
        </is>
      </c>
    </row>
    <row r="193">
      <c r="A193" s="28" t="inlineStr">
        <is>
          <t>Jelly Beans</t>
        </is>
      </c>
      <c r="B193" s="28" t="inlineStr">
        <is>
          <t>Jelly Beans</t>
        </is>
      </c>
      <c r="C193" s="28" t="inlineStr">
        <is>
          <t>Product</t>
        </is>
      </c>
      <c r="D193" s="28" t="n">
        <v>60</v>
      </c>
      <c r="E193" s="28" t="n">
        <v>684</v>
      </c>
      <c r="F193" s="28" t="n">
        <v>1440</v>
      </c>
      <c r="G193" s="28" t="n">
        <v>1224</v>
      </c>
      <c r="H193" s="28" t="n">
        <v>81</v>
      </c>
      <c r="I193" s="28" t="inlineStr">
        <is>
          <t>Candy Machine</t>
        </is>
      </c>
      <c r="J193" s="28" t="n">
        <v>190</v>
      </c>
      <c r="K193" s="28" t="n">
        <v>14</v>
      </c>
      <c r="L193" s="28" t="inlineStr">
        <is>
          <t>Jelly Beans.png</t>
        </is>
      </c>
      <c r="M193" s="28" t="n">
        <v>690</v>
      </c>
      <c r="N193" s="28" t="n">
        <v>6840</v>
      </c>
      <c r="O193" s="28" t="inlineStr">
        <is>
          <t>1 d</t>
        </is>
      </c>
      <c r="P193" s="28" t="inlineStr">
        <is>
          <t>20 h 24 min</t>
        </is>
      </c>
      <c r="Q193" s="28" t="inlineStr">
        <is>
          <t>1 to 684</t>
        </is>
      </c>
      <c r="R193" s="28" t="inlineStr">
        <is>
          <t>https://hayday.fandom.com/wiki/Jelly_Beans</t>
        </is>
      </c>
    </row>
    <row r="194">
      <c r="A194" s="28" t="inlineStr">
        <is>
          <t>Kimchi</t>
        </is>
      </c>
      <c r="B194" s="28" t="inlineStr">
        <is>
          <t>Kimchi</t>
        </is>
      </c>
      <c r="C194" s="28" t="inlineStr">
        <is>
          <t>Product</t>
        </is>
      </c>
      <c r="D194" s="28" t="n">
        <v>98</v>
      </c>
      <c r="E194" s="28" t="n">
        <v>219</v>
      </c>
      <c r="F194" s="28" t="n">
        <v>300</v>
      </c>
      <c r="G194" s="28" t="n">
        <v>255</v>
      </c>
      <c r="H194" s="28" t="n">
        <v>26</v>
      </c>
      <c r="I194" s="28" t="inlineStr">
        <is>
          <t>Preservation Station</t>
        </is>
      </c>
      <c r="J194" s="28" t="n">
        <v>61</v>
      </c>
      <c r="K194" s="28" t="n">
        <v>8</v>
      </c>
      <c r="L194" s="28" t="inlineStr">
        <is>
          <t>Kimchi.png</t>
        </is>
      </c>
      <c r="M194" s="28" t="n">
        <v>168</v>
      </c>
      <c r="N194" s="28" t="n">
        <v>2196</v>
      </c>
      <c r="O194" s="28" t="inlineStr">
        <is>
          <t>5 h</t>
        </is>
      </c>
      <c r="P194" s="28" t="inlineStr">
        <is>
          <t>4 h 15 min</t>
        </is>
      </c>
      <c r="Q194" s="28" t="inlineStr">
        <is>
          <t>1 to 219</t>
        </is>
      </c>
      <c r="R194" s="28" t="inlineStr">
        <is>
          <t>https://hayday.fandom.com/wiki/Kimchi</t>
        </is>
      </c>
    </row>
    <row r="195">
      <c r="A195" s="28" t="inlineStr">
        <is>
          <t>Lamb Feed</t>
        </is>
      </c>
      <c r="B195" s="28" t="inlineStr">
        <is>
          <t>Lamb Feed</t>
        </is>
      </c>
      <c r="C195" s="28" t="inlineStr">
        <is>
          <t>Product</t>
        </is>
      </c>
      <c r="D195" s="28" t="n">
        <v>25</v>
      </c>
      <c r="E195" s="28" t="n">
        <v>18</v>
      </c>
      <c r="F195" s="28" t="n">
        <v>10</v>
      </c>
      <c r="G195" s="28" t="n">
        <v>8</v>
      </c>
      <c r="H195" s="28" t="n">
        <v>4</v>
      </c>
      <c r="I195" s="28" t="inlineStr">
        <is>
          <t>Feed Mill</t>
        </is>
      </c>
      <c r="J195" s="28" t="n">
        <v>5</v>
      </c>
      <c r="K195" s="28" t="n">
        <v>2</v>
      </c>
      <c r="L195" s="28" t="inlineStr">
        <is>
          <t>Lamb Feed.png</t>
        </is>
      </c>
      <c r="M195" s="28" t="n">
        <v>48</v>
      </c>
      <c r="N195" s="28" t="n">
        <v>180</v>
      </c>
      <c r="O195" s="28" t="inlineStr">
        <is>
          <t>10 min</t>
        </is>
      </c>
      <c r="P195" s="28" t="inlineStr">
        <is>
          <t>8 min</t>
        </is>
      </c>
      <c r="Q195" s="28" t="inlineStr">
        <is>
          <t>1 to 18</t>
        </is>
      </c>
      <c r="R195" s="28" t="inlineStr">
        <is>
          <t>https://hayday.fandom.com/wiki/Lamb_Feed</t>
        </is>
      </c>
    </row>
    <row r="196">
      <c r="A196" s="28" t="inlineStr">
        <is>
          <t>Lamb Soup</t>
        </is>
      </c>
      <c r="B196" s="28" t="inlineStr">
        <is>
          <t>Lamb Soup</t>
        </is>
      </c>
      <c r="C196" s="28" t="inlineStr">
        <is>
          <t>Product</t>
        </is>
      </c>
      <c r="D196" s="28" t="n">
        <v>46</v>
      </c>
      <c r="E196" s="28" t="n">
        <v>180</v>
      </c>
      <c r="F196" s="28" t="n">
        <v>120</v>
      </c>
      <c r="G196" s="28" t="n">
        <v>102</v>
      </c>
      <c r="H196" s="28" t="n">
        <v>21</v>
      </c>
      <c r="I196" s="28" t="inlineStr">
        <is>
          <t>Soup Kitchen</t>
        </is>
      </c>
      <c r="J196" s="28" t="n">
        <v>50</v>
      </c>
      <c r="K196" s="28" t="n">
        <v>5</v>
      </c>
      <c r="L196" s="28" t="inlineStr">
        <is>
          <t>Lamb Soup.png</t>
        </is>
      </c>
      <c r="M196" s="28" t="n">
        <v>140</v>
      </c>
      <c r="N196" s="28" t="n">
        <v>1800</v>
      </c>
      <c r="O196" s="28" t="inlineStr">
        <is>
          <t>2 h</t>
        </is>
      </c>
      <c r="P196" s="28" t="inlineStr">
        <is>
          <t>1 h 42 min</t>
        </is>
      </c>
      <c r="Q196" s="28" t="inlineStr">
        <is>
          <t>1 to 180</t>
        </is>
      </c>
      <c r="R196" s="28" t="inlineStr">
        <is>
          <t>https://hayday.fandom.com/wiki/Lamb_Soup</t>
        </is>
      </c>
    </row>
    <row r="197">
      <c r="A197" s="28" t="inlineStr">
        <is>
          <t>Lamb Stir Fry</t>
        </is>
      </c>
      <c r="B197" s="28" t="inlineStr">
        <is>
          <t>Lamb Stir Fry</t>
        </is>
      </c>
      <c r="C197" s="28" t="inlineStr">
        <is>
          <t>Product</t>
        </is>
      </c>
      <c r="D197" s="28" t="n">
        <v>69</v>
      </c>
      <c r="E197" s="28" t="n">
        <v>270</v>
      </c>
      <c r="F197" s="28" t="n">
        <v>120</v>
      </c>
      <c r="G197" s="28" t="n">
        <v>102</v>
      </c>
      <c r="H197" s="28" t="n">
        <v>32</v>
      </c>
      <c r="I197" s="28" t="inlineStr">
        <is>
          <t>Wok Kitchen</t>
        </is>
      </c>
      <c r="J197" s="28" t="n">
        <v>75</v>
      </c>
      <c r="K197" s="28" t="n">
        <v>5</v>
      </c>
      <c r="L197" s="28" t="inlineStr">
        <is>
          <t>Lamb Stir Fry.png</t>
        </is>
      </c>
      <c r="M197" s="28" t="n">
        <v>234</v>
      </c>
      <c r="N197" s="28" t="n">
        <v>2700</v>
      </c>
      <c r="O197" s="28" t="inlineStr">
        <is>
          <t>2 h</t>
        </is>
      </c>
      <c r="P197" s="28" t="inlineStr">
        <is>
          <t>1 h 42 min</t>
        </is>
      </c>
      <c r="Q197" s="28" t="inlineStr">
        <is>
          <t>1 to 270</t>
        </is>
      </c>
      <c r="R197" s="28" t="inlineStr">
        <is>
          <t>https://hayday.fandom.com/wiki/Lamb_Stir_Fry</t>
        </is>
      </c>
    </row>
    <row r="198">
      <c r="A198" s="28" t="inlineStr">
        <is>
          <t>Lemon</t>
        </is>
      </c>
      <c r="B198" s="28" t="inlineStr">
        <is>
          <t>Lemon</t>
        </is>
      </c>
      <c r="C198" s="28" t="inlineStr">
        <is>
          <t>Crop</t>
        </is>
      </c>
      <c r="D198" s="28" t="n">
        <v>66</v>
      </c>
      <c r="E198" s="28" t="n">
        <v>93</v>
      </c>
      <c r="F198" s="28" t="n">
        <v>1800</v>
      </c>
      <c r="H198" s="28" t="n">
        <v>18</v>
      </c>
      <c r="I198" s="28" t="inlineStr">
        <is>
          <t>Lemon Tree</t>
        </is>
      </c>
      <c r="J198" s="28" t="n">
        <v>26</v>
      </c>
      <c r="K198" s="28" t="n">
        <v>18</v>
      </c>
      <c r="L198" s="28" t="inlineStr">
        <is>
          <t>Lemon.png</t>
        </is>
      </c>
      <c r="N198" s="28" t="n">
        <v>936</v>
      </c>
      <c r="O198" s="28" t="inlineStr">
        <is>
          <t>1 d 6 h</t>
        </is>
      </c>
      <c r="Q198" s="28" t="inlineStr">
        <is>
          <t>1 to 93</t>
        </is>
      </c>
      <c r="R198" s="28" t="inlineStr">
        <is>
          <t>https://hayday.fandom.com/wiki/Lemon</t>
        </is>
      </c>
    </row>
    <row r="199">
      <c r="A199" s="28" t="inlineStr">
        <is>
          <t>Lemon Cake</t>
        </is>
      </c>
      <c r="B199" s="28" t="inlineStr">
        <is>
          <t>Lemon Cake</t>
        </is>
      </c>
      <c r="C199" s="28" t="inlineStr">
        <is>
          <t>Product</t>
        </is>
      </c>
      <c r="D199" s="28" t="n">
        <v>68</v>
      </c>
      <c r="E199" s="28" t="n">
        <v>896</v>
      </c>
      <c r="F199" s="28" t="n">
        <v>150</v>
      </c>
      <c r="G199" s="28" t="n">
        <v>127</v>
      </c>
      <c r="H199" s="28" t="n">
        <v>107</v>
      </c>
      <c r="I199" s="28" t="inlineStr">
        <is>
          <t>Cake Oven</t>
        </is>
      </c>
      <c r="J199" s="28" t="n">
        <v>249</v>
      </c>
      <c r="K199" s="28" t="n">
        <v>6</v>
      </c>
      <c r="L199" s="28" t="inlineStr">
        <is>
          <t>Lemon Cake.png</t>
        </is>
      </c>
      <c r="M199" s="28" t="n">
        <v>851</v>
      </c>
      <c r="N199" s="28" t="n">
        <v>8964</v>
      </c>
      <c r="O199" s="28" t="inlineStr">
        <is>
          <t>2 h 30 min</t>
        </is>
      </c>
      <c r="P199" s="28" t="inlineStr">
        <is>
          <t>2 h 7 min</t>
        </is>
      </c>
      <c r="Q199" s="28" t="inlineStr">
        <is>
          <t>1 to 896</t>
        </is>
      </c>
      <c r="R199" s="28" t="inlineStr">
        <is>
          <t>https://hayday.fandom.com/wiki/Lemon_Cake</t>
        </is>
      </c>
    </row>
    <row r="200">
      <c r="A200" s="28" t="inlineStr">
        <is>
          <t>Lemon Candle</t>
        </is>
      </c>
      <c r="B200" s="28" t="inlineStr">
        <is>
          <t>Lemon Candle</t>
        </is>
      </c>
      <c r="C200" s="28" t="inlineStr">
        <is>
          <t>Product</t>
        </is>
      </c>
      <c r="D200" s="28" t="n">
        <v>72</v>
      </c>
      <c r="E200" s="28" t="n">
        <v>457</v>
      </c>
      <c r="F200" s="28" t="n">
        <v>135</v>
      </c>
      <c r="G200" s="28" t="n">
        <v>114</v>
      </c>
      <c r="H200" s="28" t="n">
        <v>55</v>
      </c>
      <c r="I200" s="28" t="inlineStr">
        <is>
          <t>Candle Maker</t>
        </is>
      </c>
      <c r="J200" s="28" t="n">
        <v>127</v>
      </c>
      <c r="K200" s="28" t="n">
        <v>5</v>
      </c>
      <c r="L200" s="28" t="inlineStr">
        <is>
          <t>Lemon Candle.png</t>
        </is>
      </c>
      <c r="M200" s="28" t="n">
        <v>420</v>
      </c>
      <c r="N200" s="28" t="n">
        <v>4572</v>
      </c>
      <c r="O200" s="28" t="inlineStr">
        <is>
          <t>2 h 15 min</t>
        </is>
      </c>
      <c r="P200" s="28" t="inlineStr">
        <is>
          <t>1 h 54 min</t>
        </is>
      </c>
      <c r="Q200" s="28" t="inlineStr">
        <is>
          <t>1 to 457</t>
        </is>
      </c>
      <c r="R200" s="28" t="inlineStr">
        <is>
          <t>https://hayday.fandom.com/wiki/Lemon_Candle</t>
        </is>
      </c>
    </row>
    <row r="201">
      <c r="A201" s="28" t="inlineStr">
        <is>
          <t>Lemon Curd</t>
        </is>
      </c>
      <c r="B201" s="28" t="inlineStr">
        <is>
          <t>Lemon Curd</t>
        </is>
      </c>
      <c r="C201" s="28" t="inlineStr">
        <is>
          <t>Product</t>
        </is>
      </c>
      <c r="D201" s="28" t="n">
        <v>66</v>
      </c>
      <c r="E201" s="28" t="n">
        <v>378</v>
      </c>
      <c r="F201" s="28" t="n">
        <v>25</v>
      </c>
      <c r="G201" s="28" t="n">
        <v>21</v>
      </c>
      <c r="H201" s="28" t="n">
        <v>45</v>
      </c>
      <c r="I201" s="28" t="inlineStr">
        <is>
          <t>Sauce Maker</t>
        </is>
      </c>
      <c r="J201" s="28" t="n">
        <v>105</v>
      </c>
      <c r="K201" s="28" t="n">
        <v>3</v>
      </c>
      <c r="L201" s="28" t="inlineStr">
        <is>
          <t>Lemon Curd.png</t>
        </is>
      </c>
      <c r="M201" s="28" t="n">
        <v>354</v>
      </c>
      <c r="N201" s="28" t="n">
        <v>3780</v>
      </c>
      <c r="O201" s="28" t="inlineStr">
        <is>
          <t>25 min</t>
        </is>
      </c>
      <c r="P201" s="28" t="inlineStr">
        <is>
          <t>21 min</t>
        </is>
      </c>
      <c r="Q201" s="28" t="inlineStr">
        <is>
          <t>1 to 378</t>
        </is>
      </c>
      <c r="R201" s="28" t="inlineStr">
        <is>
          <t>https://hayday.fandom.com/wiki/Lemon_Curd</t>
        </is>
      </c>
    </row>
    <row r="202">
      <c r="A202" s="28" t="inlineStr">
        <is>
          <t>Lemon Fudge</t>
        </is>
      </c>
      <c r="B202" s="28" t="inlineStr">
        <is>
          <t>Lemon Fudge</t>
        </is>
      </c>
      <c r="C202" s="28" t="inlineStr">
        <is>
          <t>Product</t>
        </is>
      </c>
      <c r="D202" s="28" t="n">
        <v>108</v>
      </c>
      <c r="E202" s="28" t="n">
        <v>590</v>
      </c>
      <c r="F202" s="28" t="n">
        <v>110</v>
      </c>
      <c r="G202" s="28" t="n">
        <v>93</v>
      </c>
      <c r="H202" s="28" t="n">
        <v>70</v>
      </c>
      <c r="I202" s="28" t="inlineStr">
        <is>
          <t>Fudge Shop</t>
        </is>
      </c>
      <c r="J202" s="28" t="n">
        <v>164</v>
      </c>
      <c r="K202" s="28" t="n">
        <v>5</v>
      </c>
      <c r="L202" s="28" t="inlineStr">
        <is>
          <t>Lemon Fudge.png</t>
        </is>
      </c>
      <c r="M202" s="28" t="n">
        <v>546</v>
      </c>
      <c r="N202" s="28" t="n">
        <v>5904</v>
      </c>
      <c r="O202" s="28" t="inlineStr">
        <is>
          <t>1 h 50 m</t>
        </is>
      </c>
      <c r="P202" s="28" t="inlineStr">
        <is>
          <t>1 h 33 min</t>
        </is>
      </c>
      <c r="Q202" s="28" t="inlineStr">
        <is>
          <t>1 to 590</t>
        </is>
      </c>
      <c r="R202" s="28" t="inlineStr">
        <is>
          <t>https://hayday.fandom.com/wiki/Lemon_Fudge</t>
        </is>
      </c>
    </row>
    <row r="203">
      <c r="A203" s="28" t="inlineStr">
        <is>
          <t>Lemon Lotion</t>
        </is>
      </c>
      <c r="B203" s="28" t="inlineStr">
        <is>
          <t>Lemon Lotion</t>
        </is>
      </c>
      <c r="C203" s="28" t="inlineStr">
        <is>
          <t>Product</t>
        </is>
      </c>
      <c r="D203" s="28" t="n">
        <v>84</v>
      </c>
      <c r="E203" s="28" t="n">
        <v>403</v>
      </c>
      <c r="F203" s="28" t="n">
        <v>75</v>
      </c>
      <c r="G203" s="28" t="n">
        <v>63</v>
      </c>
      <c r="H203" s="28" t="n">
        <v>48</v>
      </c>
      <c r="I203" s="28" t="inlineStr">
        <is>
          <t>Bath Kiosk</t>
        </is>
      </c>
      <c r="J203" s="28" t="n">
        <v>112</v>
      </c>
      <c r="K203" s="28" t="n">
        <v>4</v>
      </c>
      <c r="L203" s="28" t="inlineStr">
        <is>
          <t>Lemon Lotion.png</t>
        </is>
      </c>
      <c r="M203" s="28" t="n">
        <v>370</v>
      </c>
      <c r="N203" s="28" t="n">
        <v>4032</v>
      </c>
      <c r="O203" s="28" t="inlineStr">
        <is>
          <t>1 hr 15 min</t>
        </is>
      </c>
      <c r="P203" s="28" t="inlineStr">
        <is>
          <t>1 hr 3 min</t>
        </is>
      </c>
      <c r="Q203" s="28" t="inlineStr">
        <is>
          <t>1 to 403</t>
        </is>
      </c>
      <c r="R203" s="28" t="inlineStr">
        <is>
          <t>https://hayday.fandom.com/wiki/Lemon_Lotion</t>
        </is>
      </c>
    </row>
    <row r="204">
      <c r="A204" s="28" t="inlineStr">
        <is>
          <t>Lemon Pie</t>
        </is>
      </c>
      <c r="B204" s="28" t="inlineStr">
        <is>
          <t>Lemon Pie</t>
        </is>
      </c>
      <c r="C204" s="28" t="inlineStr">
        <is>
          <t>Product</t>
        </is>
      </c>
      <c r="D204" s="28" t="n">
        <v>67</v>
      </c>
      <c r="E204" s="28" t="n">
        <v>446</v>
      </c>
      <c r="F204" s="28" t="n">
        <v>135</v>
      </c>
      <c r="G204" s="28" t="n">
        <v>114</v>
      </c>
      <c r="H204" s="28" t="n">
        <v>53</v>
      </c>
      <c r="I204" s="28" t="inlineStr">
        <is>
          <t>Pie Oven</t>
        </is>
      </c>
      <c r="J204" s="28" t="n">
        <v>124</v>
      </c>
      <c r="K204" s="28" t="n">
        <v>6</v>
      </c>
      <c r="L204" s="28" t="inlineStr">
        <is>
          <t>Lemon Pie.png</t>
        </is>
      </c>
      <c r="M204" s="28" t="n">
        <v>399</v>
      </c>
      <c r="N204" s="28" t="n">
        <v>4464</v>
      </c>
      <c r="O204" s="28" t="inlineStr">
        <is>
          <t>2 h 15 m</t>
        </is>
      </c>
      <c r="P204" s="28" t="inlineStr">
        <is>
          <t>1 h 54 min</t>
        </is>
      </c>
      <c r="Q204" s="28" t="inlineStr">
        <is>
          <t>1 to 446</t>
        </is>
      </c>
      <c r="R204" s="28" t="inlineStr">
        <is>
          <t>https://hayday.fandom.com/wiki/Lemon_Pie</t>
        </is>
      </c>
    </row>
    <row r="205">
      <c r="A205" s="28" t="inlineStr">
        <is>
          <t>Lemon Tea</t>
        </is>
      </c>
      <c r="B205" s="28" t="inlineStr">
        <is>
          <t>Lemon Tea</t>
        </is>
      </c>
      <c r="C205" s="28" t="inlineStr">
        <is>
          <t>Product</t>
        </is>
      </c>
      <c r="D205" s="28" t="n">
        <v>86</v>
      </c>
      <c r="E205" s="28" t="n">
        <v>241</v>
      </c>
      <c r="F205" s="28" t="n">
        <v>20</v>
      </c>
      <c r="G205" s="28" t="n">
        <v>17</v>
      </c>
      <c r="H205" s="28" t="n">
        <v>29</v>
      </c>
      <c r="I205" s="28" t="inlineStr">
        <is>
          <t>Tea Stand</t>
        </is>
      </c>
      <c r="J205" s="28" t="n">
        <v>67</v>
      </c>
      <c r="K205" s="28" t="n">
        <v>2</v>
      </c>
      <c r="L205" s="28" t="inlineStr">
        <is>
          <t>Lemon Tea.png</t>
        </is>
      </c>
      <c r="M205" s="28" t="n">
        <v>222</v>
      </c>
      <c r="N205" s="28" t="n">
        <v>2412</v>
      </c>
      <c r="O205" s="28" t="inlineStr">
        <is>
          <t>20 min</t>
        </is>
      </c>
      <c r="P205" s="28" t="inlineStr">
        <is>
          <t>17 min</t>
        </is>
      </c>
      <c r="Q205" s="28" t="inlineStr">
        <is>
          <t>1 to 241</t>
        </is>
      </c>
      <c r="R205" s="28" t="inlineStr">
        <is>
          <t>https://hayday.fandom.com/wiki/Lemon_Tea</t>
        </is>
      </c>
    </row>
    <row r="206">
      <c r="A206" s="28" t="inlineStr">
        <is>
          <t>Lettuce</t>
        </is>
      </c>
      <c r="B206" s="28" t="inlineStr">
        <is>
          <t>Lettuce</t>
        </is>
      </c>
      <c r="C206" s="28" t="inlineStr">
        <is>
          <t>Crop</t>
        </is>
      </c>
      <c r="D206" s="28" t="n">
        <v>58</v>
      </c>
      <c r="E206" s="28" t="n">
        <v>32</v>
      </c>
      <c r="F206" s="28" t="n">
        <v>210</v>
      </c>
      <c r="H206" s="28" t="n">
        <v>7</v>
      </c>
      <c r="I206" s="28" t="inlineStr">
        <is>
          <t>Farm</t>
        </is>
      </c>
      <c r="J206" s="28" t="n">
        <v>9</v>
      </c>
      <c r="K206" s="28" t="n">
        <v>7</v>
      </c>
      <c r="L206" s="28" t="inlineStr">
        <is>
          <t>Lettuce.png</t>
        </is>
      </c>
      <c r="N206" s="28" t="n">
        <v>324</v>
      </c>
      <c r="O206" s="28" t="inlineStr">
        <is>
          <t>3 h 30 min</t>
        </is>
      </c>
      <c r="Q206" s="28" t="inlineStr">
        <is>
          <t>1 to 32</t>
        </is>
      </c>
      <c r="R206" s="28" t="inlineStr">
        <is>
          <t>https://hayday.fandom.com/wiki/Lettuce</t>
        </is>
      </c>
    </row>
    <row r="207">
      <c r="A207" s="28" t="inlineStr">
        <is>
          <t>Lily</t>
        </is>
      </c>
      <c r="B207" s="28" t="inlineStr">
        <is>
          <t>Lily</t>
        </is>
      </c>
      <c r="C207" s="28" t="inlineStr">
        <is>
          <t>Crop</t>
        </is>
      </c>
      <c r="D207" s="28" t="n">
        <v>53</v>
      </c>
      <c r="E207" s="28" t="n">
        <v>21</v>
      </c>
      <c r="F207" s="28" t="n">
        <v>90</v>
      </c>
      <c r="H207" s="28" t="n">
        <v>5</v>
      </c>
      <c r="I207" s="28" t="inlineStr">
        <is>
          <t>Farm</t>
        </is>
      </c>
      <c r="J207" s="28" t="n">
        <v>6</v>
      </c>
      <c r="K207" s="28" t="n">
        <v>5</v>
      </c>
      <c r="L207" s="28" t="inlineStr">
        <is>
          <t>Lily.png</t>
        </is>
      </c>
      <c r="N207" s="28" t="n">
        <v>216</v>
      </c>
      <c r="O207" s="28" t="inlineStr">
        <is>
          <t>1 h 30 min</t>
        </is>
      </c>
      <c r="Q207" s="28" t="inlineStr">
        <is>
          <t>1 to 21</t>
        </is>
      </c>
      <c r="R207" s="28" t="inlineStr">
        <is>
          <t>https://hayday.fandom.com/wiki/Lily</t>
        </is>
      </c>
    </row>
    <row r="208">
      <c r="A208" s="28" t="inlineStr">
        <is>
          <t>Lobster Pasta</t>
        </is>
      </c>
      <c r="B208" s="28" t="inlineStr">
        <is>
          <t>Lobster Pasta</t>
        </is>
      </c>
      <c r="C208" s="28" t="inlineStr">
        <is>
          <t>Product</t>
        </is>
      </c>
      <c r="D208" s="28" t="n">
        <v>79</v>
      </c>
      <c r="E208" s="28" t="n">
        <v>637</v>
      </c>
      <c r="F208" s="28" t="n">
        <v>120</v>
      </c>
      <c r="G208" s="28" t="n">
        <v>102</v>
      </c>
      <c r="H208" s="28" t="n">
        <v>76</v>
      </c>
      <c r="I208" s="28" t="inlineStr">
        <is>
          <t>Pasta Kitchen</t>
        </is>
      </c>
      <c r="J208" s="28" t="n">
        <v>177</v>
      </c>
      <c r="K208" s="28" t="n">
        <v>5</v>
      </c>
      <c r="L208" s="28" t="inlineStr">
        <is>
          <t>Lobster Pasta.png</t>
        </is>
      </c>
      <c r="M208" s="28" t="n">
        <v>602</v>
      </c>
      <c r="N208" s="28" t="n">
        <v>6372</v>
      </c>
      <c r="O208" s="28" t="inlineStr">
        <is>
          <t>2 h</t>
        </is>
      </c>
      <c r="P208" s="28" t="inlineStr">
        <is>
          <t>1 h 42 min</t>
        </is>
      </c>
      <c r="Q208" s="28" t="inlineStr">
        <is>
          <t>1 to 637</t>
        </is>
      </c>
      <c r="R208" s="28" t="inlineStr">
        <is>
          <t>https://hayday.fandom.com/wiki/Lobster_Pasta</t>
        </is>
      </c>
    </row>
    <row r="209">
      <c r="A209" s="28" t="inlineStr">
        <is>
          <t>Lobster Skewer</t>
        </is>
      </c>
      <c r="B209" s="28" t="inlineStr">
        <is>
          <t>Lobster Skewer</t>
        </is>
      </c>
      <c r="C209" s="28" t="inlineStr">
        <is>
          <t>Product</t>
        </is>
      </c>
      <c r="D209" s="28" t="n">
        <v>48</v>
      </c>
      <c r="E209" s="28" t="n">
        <v>417</v>
      </c>
      <c r="F209" s="28" t="n">
        <v>40</v>
      </c>
      <c r="G209" s="28" t="n">
        <v>34</v>
      </c>
      <c r="H209" s="28" t="n">
        <v>50</v>
      </c>
      <c r="I209" s="28" t="inlineStr">
        <is>
          <t>BBQ Grill</t>
        </is>
      </c>
      <c r="J209" s="28" t="n">
        <v>116</v>
      </c>
      <c r="K209" s="28" t="n">
        <v>3</v>
      </c>
      <c r="L209" s="28" t="inlineStr">
        <is>
          <t>Lobster Skewer.png</t>
        </is>
      </c>
      <c r="M209" s="28" t="n">
        <v>391</v>
      </c>
      <c r="N209" s="28" t="n">
        <v>4176</v>
      </c>
      <c r="O209" s="28" t="inlineStr">
        <is>
          <t>40 minutes</t>
        </is>
      </c>
      <c r="P209" s="28" t="inlineStr">
        <is>
          <t>34 minutes</t>
        </is>
      </c>
      <c r="Q209" s="28" t="inlineStr">
        <is>
          <t>1 to 417</t>
        </is>
      </c>
      <c r="R209" s="28" t="inlineStr">
        <is>
          <t>https://hayday.fandom.com/wiki/Lobster_Skewer</t>
        </is>
      </c>
    </row>
    <row r="210">
      <c r="A210" s="28" t="inlineStr">
        <is>
          <t>Lobster Soup</t>
        </is>
      </c>
      <c r="B210" s="28" t="inlineStr">
        <is>
          <t>Lobster Soup</t>
        </is>
      </c>
      <c r="C210" s="28" t="inlineStr">
        <is>
          <t>Product</t>
        </is>
      </c>
      <c r="D210" s="28" t="n">
        <v>46</v>
      </c>
      <c r="E210" s="28" t="n">
        <v>612</v>
      </c>
      <c r="F210" s="28" t="n">
        <v>150</v>
      </c>
      <c r="G210" s="28" t="n">
        <v>127</v>
      </c>
      <c r="H210" s="28" t="n">
        <v>73</v>
      </c>
      <c r="I210" s="28" t="inlineStr">
        <is>
          <t>Soup Kitchen</t>
        </is>
      </c>
      <c r="J210" s="28" t="n">
        <v>170</v>
      </c>
      <c r="K210" s="28" t="n">
        <v>6</v>
      </c>
      <c r="L210" s="28" t="inlineStr">
        <is>
          <t>Lobster Soup.png</t>
        </is>
      </c>
      <c r="M210" s="28" t="n">
        <v>567</v>
      </c>
      <c r="N210" s="28" t="n">
        <v>6120</v>
      </c>
      <c r="O210" s="28" t="inlineStr">
        <is>
          <t>2 h 30 min</t>
        </is>
      </c>
      <c r="P210" s="28" t="inlineStr">
        <is>
          <t>2 h 7 min</t>
        </is>
      </c>
      <c r="Q210" s="28" t="inlineStr">
        <is>
          <t>1 to 612</t>
        </is>
      </c>
      <c r="R210" s="28" t="inlineStr">
        <is>
          <t>https://hayday.fandom.com/wiki/Lobster_Soup</t>
        </is>
      </c>
    </row>
    <row r="211">
      <c r="A211" s="28" t="inlineStr">
        <is>
          <t>Lobster Sushi</t>
        </is>
      </c>
      <c r="B211" s="28" t="inlineStr">
        <is>
          <t>Lobster Sushi</t>
        </is>
      </c>
      <c r="C211" s="28" t="inlineStr">
        <is>
          <t>Product</t>
        </is>
      </c>
      <c r="D211" s="28" t="n">
        <v>59</v>
      </c>
      <c r="E211" s="28" t="n">
        <v>637</v>
      </c>
      <c r="F211" s="28" t="n">
        <v>60</v>
      </c>
      <c r="G211" s="28" t="n">
        <v>51</v>
      </c>
      <c r="H211" s="28" t="n">
        <v>76</v>
      </c>
      <c r="I211" s="28" t="inlineStr">
        <is>
          <t>Sushi Bar</t>
        </is>
      </c>
      <c r="J211" s="28" t="n">
        <v>177</v>
      </c>
      <c r="K211" s="28" t="n">
        <v>4</v>
      </c>
      <c r="L211" s="28" t="inlineStr">
        <is>
          <t>Lobster Sushi.png</t>
        </is>
      </c>
      <c r="M211" s="28" t="n">
        <v>625</v>
      </c>
      <c r="O211" s="28" t="inlineStr">
        <is>
          <t>1 h</t>
        </is>
      </c>
      <c r="P211" s="28" t="inlineStr">
        <is>
          <t>51 min</t>
        </is>
      </c>
      <c r="Q211" s="28" t="inlineStr">
        <is>
          <t>1 to 637</t>
        </is>
      </c>
      <c r="R211" s="28" t="inlineStr">
        <is>
          <t>https://hayday.fandom.com/wiki/Lobster_Sushi</t>
        </is>
      </c>
    </row>
    <row r="212">
      <c r="A212" s="28" t="inlineStr">
        <is>
          <t>Lobster Tail</t>
        </is>
      </c>
      <c r="B212" s="28" t="inlineStr">
        <is>
          <t>Lobster Tail</t>
        </is>
      </c>
      <c r="C212" s="28" t="inlineStr">
        <is>
          <t>Animal good</t>
        </is>
      </c>
      <c r="D212" s="28" t="n">
        <v>44</v>
      </c>
      <c r="E212" s="28" t="n">
        <v>201</v>
      </c>
      <c r="F212" s="28" t="n">
        <v>360</v>
      </c>
      <c r="H212" s="28" t="n">
        <v>24</v>
      </c>
      <c r="I212" s="28" t="inlineStr">
        <is>
          <t>Lobster</t>
        </is>
      </c>
      <c r="J212" s="28" t="n">
        <v>56</v>
      </c>
      <c r="K212" s="28" t="n">
        <v>8</v>
      </c>
      <c r="L212" s="28" t="inlineStr">
        <is>
          <t>Lobster Tail.png</t>
        </is>
      </c>
      <c r="N212" s="28" t="n">
        <v>2016</v>
      </c>
      <c r="O212" s="28" t="inlineStr">
        <is>
          <t>6 h</t>
        </is>
      </c>
      <c r="Q212" s="28" t="inlineStr">
        <is>
          <t>1 to 201</t>
        </is>
      </c>
      <c r="R212" s="28" t="inlineStr">
        <is>
          <t>https://hayday.fandom.com/wiki/Lobster_Tail</t>
        </is>
      </c>
    </row>
    <row r="213">
      <c r="A213" s="28" t="inlineStr">
        <is>
          <t>Lollipop</t>
        </is>
      </c>
      <c r="B213" s="28" t="inlineStr">
        <is>
          <t>Lollipop</t>
        </is>
      </c>
      <c r="C213" s="28" t="inlineStr">
        <is>
          <t>Product</t>
        </is>
      </c>
      <c r="D213" s="28" t="n">
        <v>57</v>
      </c>
      <c r="E213" s="28" t="n">
        <v>342</v>
      </c>
      <c r="F213" s="28" t="n">
        <v>720</v>
      </c>
      <c r="G213" s="28" t="n">
        <v>612</v>
      </c>
      <c r="H213" s="28" t="n">
        <v>41</v>
      </c>
      <c r="I213" s="28" t="inlineStr">
        <is>
          <t>Candy Machine</t>
        </is>
      </c>
      <c r="J213" s="28" t="n">
        <v>95</v>
      </c>
      <c r="K213" s="28" t="n">
        <v>11</v>
      </c>
      <c r="L213" s="28" t="inlineStr">
        <is>
          <t>Lollipop.png</t>
        </is>
      </c>
      <c r="M213" s="28" t="n">
        <v>258</v>
      </c>
      <c r="N213" s="28" t="n">
        <v>3420</v>
      </c>
      <c r="O213" s="28" t="inlineStr">
        <is>
          <t>12 h</t>
        </is>
      </c>
      <c r="P213" s="28" t="inlineStr">
        <is>
          <t>10 h 12 min</t>
        </is>
      </c>
      <c r="Q213" s="28" t="inlineStr">
        <is>
          <t>1 to 342</t>
        </is>
      </c>
      <c r="R213" s="28" t="inlineStr">
        <is>
          <t>https://hayday.fandom.com/wiki/Lollipop</t>
        </is>
      </c>
    </row>
    <row r="214">
      <c r="A214" s="28" t="inlineStr">
        <is>
          <t>Macaroon</t>
        </is>
      </c>
      <c r="B214" s="28" t="inlineStr">
        <is>
          <t>Macaroon</t>
        </is>
      </c>
      <c r="C214" s="28" t="inlineStr">
        <is>
          <t>Product</t>
        </is>
      </c>
      <c r="D214" s="28" t="n">
        <v>101</v>
      </c>
      <c r="E214" s="28" t="n">
        <v>421</v>
      </c>
      <c r="F214" s="28" t="n">
        <v>30</v>
      </c>
      <c r="G214" s="28" t="n">
        <v>25</v>
      </c>
      <c r="H214" s="28" t="n">
        <v>50</v>
      </c>
      <c r="I214" s="28" t="inlineStr">
        <is>
          <t>Bakery</t>
        </is>
      </c>
      <c r="J214" s="28" t="n">
        <v>117</v>
      </c>
      <c r="K214" s="28" t="n">
        <v>3</v>
      </c>
      <c r="L214" s="28" t="inlineStr">
        <is>
          <t>Macaroon.png</t>
        </is>
      </c>
      <c r="M214" s="28" t="n">
        <v>402</v>
      </c>
      <c r="N214" s="28" t="n">
        <v>4212</v>
      </c>
      <c r="O214" s="28" t="inlineStr">
        <is>
          <t>30 min</t>
        </is>
      </c>
      <c r="P214" s="28" t="inlineStr">
        <is>
          <t>25 min</t>
        </is>
      </c>
      <c r="Q214" s="28" t="inlineStr">
        <is>
          <t>1 to 421</t>
        </is>
      </c>
      <c r="R214" s="28" t="inlineStr">
        <is>
          <t>https://hayday.fandom.com/wiki/Macaroon</t>
        </is>
      </c>
    </row>
    <row r="215">
      <c r="A215" s="28" t="inlineStr">
        <is>
          <t>Mango</t>
        </is>
      </c>
      <c r="B215" s="28" t="inlineStr">
        <is>
          <t>Mango</t>
        </is>
      </c>
      <c r="C215" s="28" t="inlineStr">
        <is>
          <t>Crop</t>
        </is>
      </c>
      <c r="D215" s="28" t="n">
        <v>97</v>
      </c>
      <c r="E215" s="28" t="n">
        <v>100</v>
      </c>
      <c r="F215" s="28" t="n">
        <v>1920</v>
      </c>
      <c r="H215" s="28" t="n">
        <v>20</v>
      </c>
      <c r="I215" s="28" t="inlineStr">
        <is>
          <t>Mango Tree</t>
        </is>
      </c>
      <c r="J215" s="28" t="n">
        <v>28</v>
      </c>
      <c r="K215" s="28" t="n">
        <v>18</v>
      </c>
      <c r="L215" s="28" t="inlineStr">
        <is>
          <t>Mango.png</t>
        </is>
      </c>
      <c r="N215" s="28" t="n">
        <v>1008</v>
      </c>
      <c r="O215" s="28" t="inlineStr">
        <is>
          <t>1 d 8 h</t>
        </is>
      </c>
      <c r="Q215" s="28" t="inlineStr">
        <is>
          <t>1 to 100</t>
        </is>
      </c>
      <c r="R215" s="28" t="inlineStr">
        <is>
          <t>https://hayday.fandom.com/wiki/Mango</t>
        </is>
      </c>
    </row>
    <row r="216">
      <c r="A216" s="28" t="inlineStr">
        <is>
          <t>Mango Juice</t>
        </is>
      </c>
      <c r="B216" s="28" t="inlineStr">
        <is>
          <t>Mango Juice</t>
        </is>
      </c>
      <c r="C216" s="28" t="inlineStr">
        <is>
          <t>Product</t>
        </is>
      </c>
      <c r="D216" s="28" t="n">
        <v>97</v>
      </c>
      <c r="E216" s="28" t="n">
        <v>230</v>
      </c>
      <c r="F216" s="28" t="n">
        <v>50</v>
      </c>
      <c r="G216" s="28" t="n">
        <v>42</v>
      </c>
      <c r="H216" s="28" t="n">
        <v>27</v>
      </c>
      <c r="I216" s="28" t="inlineStr">
        <is>
          <t>Juice Press</t>
        </is>
      </c>
      <c r="J216" s="28" t="n">
        <v>64</v>
      </c>
      <c r="K216" s="28" t="n">
        <v>3</v>
      </c>
      <c r="L216" s="28" t="inlineStr">
        <is>
          <t>Mango Juice.png</t>
        </is>
      </c>
      <c r="M216" s="28" t="n">
        <v>200</v>
      </c>
      <c r="N216" s="28" t="n">
        <v>2304</v>
      </c>
      <c r="O216" s="28" t="inlineStr">
        <is>
          <t>50 min</t>
        </is>
      </c>
      <c r="P216" s="28" t="inlineStr">
        <is>
          <t>42 min</t>
        </is>
      </c>
      <c r="Q216" s="28" t="inlineStr">
        <is>
          <t>1 to 230</t>
        </is>
      </c>
      <c r="R216" s="28" t="inlineStr">
        <is>
          <t>https://hayday.fandom.com/wiki/Mango_Juice</t>
        </is>
      </c>
    </row>
    <row r="217">
      <c r="A217" s="28" t="inlineStr">
        <is>
          <t>Marmalade</t>
        </is>
      </c>
      <c r="B217" s="28" t="inlineStr">
        <is>
          <t>Marmalade</t>
        </is>
      </c>
      <c r="C217" s="28" t="inlineStr">
        <is>
          <t>Product</t>
        </is>
      </c>
      <c r="D217" s="28" t="n">
        <v>74</v>
      </c>
      <c r="E217" s="28" t="n">
        <v>457</v>
      </c>
      <c r="F217" s="28" t="n">
        <v>510</v>
      </c>
      <c r="G217" s="28" t="n">
        <v>433</v>
      </c>
      <c r="H217" s="28" t="n">
        <v>54</v>
      </c>
      <c r="I217" s="28" t="inlineStr">
        <is>
          <t>Jam Maker</t>
        </is>
      </c>
      <c r="J217" s="28" t="n">
        <v>124</v>
      </c>
      <c r="K217" s="28" t="n">
        <v>9</v>
      </c>
      <c r="L217" s="28" t="inlineStr">
        <is>
          <t>Marmalade.png</t>
        </is>
      </c>
      <c r="M217" s="28" t="n">
        <v>291</v>
      </c>
      <c r="N217" s="28" t="n">
        <v>4572</v>
      </c>
      <c r="O217" s="28" t="inlineStr">
        <is>
          <t>8 h 30 min</t>
        </is>
      </c>
      <c r="P217" s="28" t="inlineStr">
        <is>
          <t>7 h 13 min</t>
        </is>
      </c>
      <c r="Q217" s="28" t="inlineStr">
        <is>
          <t>1 to 457</t>
        </is>
      </c>
      <c r="R217" s="28" t="inlineStr">
        <is>
          <t>https://hayday.fandom.com/wiki/Marmalade</t>
        </is>
      </c>
    </row>
    <row r="218">
      <c r="A218" s="28" t="inlineStr">
        <is>
          <t>Mayonnaise</t>
        </is>
      </c>
      <c r="B218" s="28" t="inlineStr">
        <is>
          <t>Mayonnaise</t>
        </is>
      </c>
      <c r="C218" s="28" t="inlineStr">
        <is>
          <t>Product</t>
        </is>
      </c>
      <c r="D218" s="28" t="n">
        <v>62</v>
      </c>
      <c r="E218" s="28" t="n">
        <v>367</v>
      </c>
      <c r="F218" s="28" t="n">
        <v>15</v>
      </c>
      <c r="G218" s="28" t="n">
        <v>12</v>
      </c>
      <c r="H218" s="28" t="n">
        <v>44</v>
      </c>
      <c r="I218" s="28" t="inlineStr">
        <is>
          <t>Sauce Maker</t>
        </is>
      </c>
      <c r="J218" s="28" t="n">
        <v>102</v>
      </c>
      <c r="K218" s="28" t="n">
        <v>2</v>
      </c>
      <c r="L218" s="28" t="inlineStr">
        <is>
          <t>Mayonnaise.png</t>
        </is>
      </c>
      <c r="M218" s="28" t="n">
        <v>349</v>
      </c>
      <c r="N218" s="28" t="n">
        <v>3672</v>
      </c>
      <c r="O218" s="28" t="inlineStr">
        <is>
          <t>15 min</t>
        </is>
      </c>
      <c r="P218" s="28" t="inlineStr">
        <is>
          <t>12 min</t>
        </is>
      </c>
      <c r="Q218" s="28" t="inlineStr">
        <is>
          <t>1 to 367</t>
        </is>
      </c>
      <c r="R218" s="28" t="inlineStr">
        <is>
          <t>https://hayday.fandom.com/wiki/Mayonnaise</t>
        </is>
      </c>
    </row>
    <row r="219">
      <c r="A219" s="28" t="inlineStr">
        <is>
          <t>Meat Bucket</t>
        </is>
      </c>
      <c r="B219" s="28" t="inlineStr">
        <is>
          <t>Meat Bucket</t>
        </is>
      </c>
      <c r="C219" s="28" t="inlineStr">
        <is>
          <t>Product</t>
        </is>
      </c>
      <c r="E219" s="28" t="n">
        <v>72</v>
      </c>
      <c r="F219" s="28" t="n">
        <v>45</v>
      </c>
      <c r="G219" s="28" t="n">
        <v>38</v>
      </c>
      <c r="H219" s="28" t="n">
        <v>15</v>
      </c>
      <c r="I219" s="28" t="inlineStr">
        <is>
          <t>Feed Mill</t>
        </is>
      </c>
      <c r="J219" s="28" t="n">
        <v>20</v>
      </c>
      <c r="L219" s="28" t="inlineStr">
        <is>
          <t>Meat Bucket.png</t>
        </is>
      </c>
      <c r="M219" s="28" t="n">
        <v>197</v>
      </c>
      <c r="N219" s="28" t="n">
        <v>720</v>
      </c>
      <c r="O219" s="28" t="inlineStr">
        <is>
          <t>45 min</t>
        </is>
      </c>
      <c r="P219" s="28" t="inlineStr">
        <is>
          <t>38 min</t>
        </is>
      </c>
      <c r="Q219" s="28" t="inlineStr">
        <is>
          <t>1 to 72</t>
        </is>
      </c>
      <c r="R219" s="28" t="inlineStr">
        <is>
          <t>https://hayday.fandom.com/wiki/Meat_Bucket</t>
        </is>
      </c>
    </row>
    <row r="220">
      <c r="A220" s="28" t="inlineStr">
        <is>
          <t>Milk</t>
        </is>
      </c>
      <c r="B220" s="28" t="inlineStr">
        <is>
          <t>Milk</t>
        </is>
      </c>
      <c r="C220" s="28" t="inlineStr">
        <is>
          <t>Animal good</t>
        </is>
      </c>
      <c r="D220" s="28" t="n">
        <v>6</v>
      </c>
      <c r="E220" s="28" t="n">
        <v>32</v>
      </c>
      <c r="F220" s="28" t="n">
        <v>60</v>
      </c>
      <c r="H220" s="28" t="n">
        <v>3</v>
      </c>
      <c r="I220" s="28" t="inlineStr">
        <is>
          <t>Cow</t>
        </is>
      </c>
      <c r="J220" s="28" t="n">
        <v>9</v>
      </c>
      <c r="K220" s="28" t="n">
        <v>4</v>
      </c>
      <c r="L220" s="28" t="inlineStr">
        <is>
          <t>Milk.png</t>
        </is>
      </c>
      <c r="N220" s="28" t="n">
        <v>324</v>
      </c>
      <c r="O220" s="28" t="inlineStr">
        <is>
          <t>1 h</t>
        </is>
      </c>
      <c r="Q220" s="28" t="inlineStr">
        <is>
          <t>1 to 32</t>
        </is>
      </c>
      <c r="R220" s="28" t="inlineStr">
        <is>
          <t>https://hayday.fandom.com/wiki/Milk</t>
        </is>
      </c>
    </row>
    <row r="221">
      <c r="A221" s="28" t="inlineStr">
        <is>
          <t>Milk Tea</t>
        </is>
      </c>
      <c r="B221" s="28" t="inlineStr">
        <is>
          <t>Milk Tea</t>
        </is>
      </c>
      <c r="C221" s="28" t="inlineStr">
        <is>
          <t>Product</t>
        </is>
      </c>
      <c r="D221" s="28" t="n">
        <v>81</v>
      </c>
      <c r="E221" s="28" t="n">
        <v>190</v>
      </c>
      <c r="F221" s="28" t="n">
        <v>45</v>
      </c>
      <c r="G221" s="28" t="n">
        <v>38</v>
      </c>
      <c r="H221" s="28" t="n">
        <v>23</v>
      </c>
      <c r="I221" s="28" t="inlineStr">
        <is>
          <t>Tea Stand</t>
        </is>
      </c>
      <c r="J221" s="28" t="n">
        <v>53</v>
      </c>
      <c r="K221" s="28" t="n">
        <v>3</v>
      </c>
      <c r="L221" s="28" t="inlineStr">
        <is>
          <t>Milk Tea.png</t>
        </is>
      </c>
      <c r="M221" s="28" t="n">
        <v>161</v>
      </c>
      <c r="N221" s="28" t="n">
        <v>1908</v>
      </c>
      <c r="O221" s="28" t="inlineStr">
        <is>
          <t>45 min</t>
        </is>
      </c>
      <c r="P221" s="28" t="inlineStr">
        <is>
          <t>38 min</t>
        </is>
      </c>
      <c r="Q221" s="28" t="inlineStr">
        <is>
          <t>1 to 190</t>
        </is>
      </c>
      <c r="R221" s="28" t="inlineStr">
        <is>
          <t>https://hayday.fandom.com/wiki/Milk_Tea</t>
        </is>
      </c>
    </row>
    <row r="222">
      <c r="A222" s="28" t="inlineStr">
        <is>
          <t>Mint</t>
        </is>
      </c>
      <c r="B222" s="28" t="inlineStr">
        <is>
          <t>Mint</t>
        </is>
      </c>
      <c r="C222" s="28" t="inlineStr">
        <is>
          <t>Crop</t>
        </is>
      </c>
      <c r="D222" s="28" t="n">
        <v>85</v>
      </c>
      <c r="E222" s="28" t="n">
        <v>32</v>
      </c>
      <c r="F222" s="28" t="n">
        <v>180</v>
      </c>
      <c r="H222" s="28" t="n">
        <v>6</v>
      </c>
      <c r="I222" s="28" t="inlineStr">
        <is>
          <t>Farm</t>
        </is>
      </c>
      <c r="J222" s="28" t="n">
        <v>9</v>
      </c>
      <c r="K222" s="28" t="n">
        <v>6</v>
      </c>
      <c r="L222" s="28" t="inlineStr">
        <is>
          <t>Mint.png</t>
        </is>
      </c>
      <c r="N222" s="28" t="n">
        <v>324</v>
      </c>
      <c r="O222" s="28" t="inlineStr">
        <is>
          <t>3 h</t>
        </is>
      </c>
      <c r="Q222" s="28" t="inlineStr">
        <is>
          <t>1 to 32</t>
        </is>
      </c>
      <c r="R222" s="28" t="inlineStr">
        <is>
          <t>https://hayday.fandom.com/wiki/Mint</t>
        </is>
      </c>
    </row>
    <row r="223">
      <c r="A223" s="28" t="inlineStr">
        <is>
          <t>Mint Fudge</t>
        </is>
      </c>
      <c r="B223" s="28" t="inlineStr">
        <is>
          <t>Mint Fudge</t>
        </is>
      </c>
      <c r="C223" s="28" t="inlineStr">
        <is>
          <t>Product</t>
        </is>
      </c>
      <c r="D223" s="28" t="n">
        <v>102</v>
      </c>
      <c r="E223" s="28" t="n">
        <v>522</v>
      </c>
      <c r="F223" s="28" t="n">
        <v>150</v>
      </c>
      <c r="G223" s="28" t="n">
        <v>127</v>
      </c>
      <c r="H223" s="28" t="n">
        <v>62</v>
      </c>
      <c r="I223" s="28" t="inlineStr">
        <is>
          <t>Fudge Shop</t>
        </is>
      </c>
      <c r="J223" s="28" t="n">
        <v>145</v>
      </c>
      <c r="K223" s="28" t="n">
        <v>6</v>
      </c>
      <c r="L223" s="28" t="inlineStr">
        <is>
          <t>Mint Fudge.png</t>
        </is>
      </c>
      <c r="M223" s="28" t="n">
        <v>482</v>
      </c>
      <c r="N223" s="28" t="n">
        <v>5220</v>
      </c>
      <c r="O223" s="28" t="inlineStr">
        <is>
          <t>2 h 30 m</t>
        </is>
      </c>
      <c r="P223" s="28" t="inlineStr">
        <is>
          <t>2 h 7 min</t>
        </is>
      </c>
      <c r="Q223" s="28" t="inlineStr">
        <is>
          <t>1 to 522</t>
        </is>
      </c>
      <c r="R223" s="28" t="inlineStr">
        <is>
          <t>https://hayday.fandom.com/wiki/Mint_Fudge</t>
        </is>
      </c>
    </row>
    <row r="224">
      <c r="A224" s="28" t="inlineStr">
        <is>
          <t>Mint Ice Cream</t>
        </is>
      </c>
      <c r="B224" s="28" t="inlineStr">
        <is>
          <t>Mint Ice Cream</t>
        </is>
      </c>
      <c r="C224" s="28" t="inlineStr">
        <is>
          <t>Product</t>
        </is>
      </c>
      <c r="D224" s="28" t="n">
        <v>85</v>
      </c>
      <c r="E224" s="28" t="n">
        <v>288</v>
      </c>
      <c r="F224" s="28" t="n">
        <v>135</v>
      </c>
      <c r="G224" s="28" t="n">
        <v>114</v>
      </c>
      <c r="H224" s="28" t="n">
        <v>34</v>
      </c>
      <c r="I224" s="28" t="inlineStr">
        <is>
          <t>Ice Cream Maker</t>
        </is>
      </c>
      <c r="J224" s="28" t="n">
        <v>80</v>
      </c>
      <c r="K224" s="28" t="n">
        <v>5</v>
      </c>
      <c r="L224" s="28" t="inlineStr">
        <is>
          <t>Mint Ice Cream.png</t>
        </is>
      </c>
      <c r="M224" s="28" t="n">
        <v>250</v>
      </c>
      <c r="N224" s="28" t="n">
        <v>2880</v>
      </c>
      <c r="O224" s="28" t="inlineStr">
        <is>
          <t>2 h 15 min</t>
        </is>
      </c>
      <c r="P224" s="28" t="inlineStr">
        <is>
          <t>1 h 54 min</t>
        </is>
      </c>
      <c r="Q224" s="28" t="inlineStr">
        <is>
          <t>1 to 288</t>
        </is>
      </c>
      <c r="R224" s="28" t="inlineStr">
        <is>
          <t>https://hayday.fandom.com/wiki/Mint_Ice_Cream</t>
        </is>
      </c>
    </row>
    <row r="225">
      <c r="A225" s="28" t="inlineStr">
        <is>
          <t>Mint Tea</t>
        </is>
      </c>
      <c r="B225" s="28" t="inlineStr">
        <is>
          <t>Mint Tea</t>
        </is>
      </c>
      <c r="C225" s="28" t="inlineStr">
        <is>
          <t>Product</t>
        </is>
      </c>
      <c r="D225" s="28" t="n">
        <v>97</v>
      </c>
      <c r="E225" s="28" t="n">
        <v>255</v>
      </c>
      <c r="F225" s="28" t="n">
        <v>35</v>
      </c>
      <c r="G225" s="28" t="n">
        <v>29</v>
      </c>
      <c r="H225" s="28" t="n">
        <v>31</v>
      </c>
      <c r="I225" s="28" t="inlineStr">
        <is>
          <t>Tea Stand</t>
        </is>
      </c>
      <c r="J225" s="28" t="n">
        <v>71</v>
      </c>
      <c r="K225" s="28" t="n">
        <v>3</v>
      </c>
      <c r="L225" s="28" t="inlineStr">
        <is>
          <t>Mint Tea.png</t>
        </is>
      </c>
      <c r="M225" s="28" t="n">
        <v>232</v>
      </c>
      <c r="N225" s="28" t="n">
        <v>2556</v>
      </c>
      <c r="O225" s="28" t="inlineStr">
        <is>
          <t>35 min</t>
        </is>
      </c>
      <c r="P225" s="28" t="inlineStr">
        <is>
          <t>29 min</t>
        </is>
      </c>
      <c r="Q225" s="28" t="inlineStr">
        <is>
          <t>1 to 255</t>
        </is>
      </c>
      <c r="R225" s="28" t="inlineStr">
        <is>
          <t>https://hayday.fandom.com/wiki/Mint_Tea</t>
        </is>
      </c>
    </row>
    <row r="226">
      <c r="A226" s="28" t="inlineStr">
        <is>
          <t>Mixed Smoothie</t>
        </is>
      </c>
      <c r="B226" s="28" t="inlineStr">
        <is>
          <t>Mixed Smoothie</t>
        </is>
      </c>
      <c r="C226" s="28" t="inlineStr">
        <is>
          <t>Product</t>
        </is>
      </c>
      <c r="D226" s="28" t="n">
        <v>88</v>
      </c>
      <c r="E226" s="28" t="n">
        <v>504</v>
      </c>
      <c r="F226" s="28" t="n">
        <v>30</v>
      </c>
      <c r="G226" s="28" t="n">
        <v>25</v>
      </c>
      <c r="H226" s="28" t="n">
        <v>60</v>
      </c>
      <c r="I226" s="28" t="inlineStr">
        <is>
          <t>Smoothie Mixer</t>
        </is>
      </c>
      <c r="J226" s="28" t="n">
        <v>140</v>
      </c>
      <c r="K226" s="28" t="n">
        <v>3</v>
      </c>
      <c r="L226" s="28" t="inlineStr">
        <is>
          <t>Mixed Smoothie.png</t>
        </is>
      </c>
      <c r="M226" s="28" t="n">
        <v>487</v>
      </c>
      <c r="N226" s="28" t="n">
        <v>5040</v>
      </c>
      <c r="O226" s="28" t="inlineStr">
        <is>
          <t>30 min</t>
        </is>
      </c>
      <c r="P226" s="28" t="inlineStr">
        <is>
          <t>25 min</t>
        </is>
      </c>
      <c r="Q226" s="28" t="inlineStr">
        <is>
          <t>1 to 504</t>
        </is>
      </c>
      <c r="R226" s="28" t="inlineStr">
        <is>
          <t>https://hayday.fandom.com/wiki/Mixed_Smoothie</t>
        </is>
      </c>
    </row>
    <row r="227">
      <c r="A227" s="28" t="inlineStr">
        <is>
          <t>Mushroom</t>
        </is>
      </c>
      <c r="B227" s="28" t="inlineStr">
        <is>
          <t>Mushroom</t>
        </is>
      </c>
      <c r="C227" s="28" t="inlineStr">
        <is>
          <t>Crop</t>
        </is>
      </c>
      <c r="D227" s="28" t="n">
        <v>89</v>
      </c>
      <c r="E227" s="28" t="n">
        <v>10</v>
      </c>
      <c r="F227" s="28" t="n">
        <v>20</v>
      </c>
      <c r="H227" s="28" t="n">
        <v>2</v>
      </c>
      <c r="I227" s="28" t="inlineStr">
        <is>
          <t>Farm</t>
        </is>
      </c>
      <c r="J227" s="28" t="n">
        <v>3</v>
      </c>
      <c r="K227" s="28" t="n">
        <v>2</v>
      </c>
      <c r="L227" s="28" t="inlineStr">
        <is>
          <t>Mushroom.png</t>
        </is>
      </c>
      <c r="N227" s="28" t="n">
        <v>108</v>
      </c>
      <c r="O227" s="28" t="inlineStr">
        <is>
          <t>20 min</t>
        </is>
      </c>
      <c r="Q227" s="28" t="inlineStr">
        <is>
          <t>1 to 10</t>
        </is>
      </c>
      <c r="R227" s="28" t="inlineStr">
        <is>
          <t>https://hayday.fandom.com/wiki/Mushroom</t>
        </is>
      </c>
    </row>
    <row r="228">
      <c r="A228" s="28" t="inlineStr">
        <is>
          <t>Mushroom Pasta</t>
        </is>
      </c>
      <c r="B228" s="28" t="inlineStr">
        <is>
          <t>Mushroom Pasta</t>
        </is>
      </c>
      <c r="C228" s="28" t="inlineStr">
        <is>
          <t>Product</t>
        </is>
      </c>
      <c r="D228" s="28" t="n">
        <v>101</v>
      </c>
      <c r="E228" s="28" t="n">
        <v>280</v>
      </c>
      <c r="F228" s="28" t="n">
        <v>75</v>
      </c>
      <c r="G228" s="28" t="n">
        <v>63</v>
      </c>
      <c r="H228" s="28" t="n">
        <v>33</v>
      </c>
      <c r="I228" s="28" t="inlineStr">
        <is>
          <t>Pasta Kitchen</t>
        </is>
      </c>
      <c r="J228" s="28" t="n">
        <v>78</v>
      </c>
      <c r="K228" s="28" t="n">
        <v>4</v>
      </c>
      <c r="L228" s="28" t="inlineStr">
        <is>
          <t>Mushroom Pasta.png</t>
        </is>
      </c>
      <c r="O228" s="28" t="inlineStr">
        <is>
          <t>1 h 15 min</t>
        </is>
      </c>
      <c r="P228" s="28" t="inlineStr">
        <is>
          <t>1 h 3 min</t>
        </is>
      </c>
      <c r="Q228" s="28" t="inlineStr">
        <is>
          <t>1 to 280</t>
        </is>
      </c>
      <c r="R228" s="28" t="inlineStr">
        <is>
          <t>https://hayday.fandom.com/wiki/Mushroom_Pasta</t>
        </is>
      </c>
    </row>
    <row r="229">
      <c r="A229" s="28" t="inlineStr">
        <is>
          <t>Mushroom Pot Pie</t>
        </is>
      </c>
      <c r="B229" s="28" t="inlineStr">
        <is>
          <t>Mushroom Pot Pie</t>
        </is>
      </c>
      <c r="C229" s="28" t="inlineStr">
        <is>
          <t>Product</t>
        </is>
      </c>
      <c r="D229" s="28" t="n">
        <v>97</v>
      </c>
      <c r="E229" s="28" t="n">
        <v>162</v>
      </c>
      <c r="F229" s="28" t="n">
        <v>60</v>
      </c>
      <c r="G229" s="28" t="n">
        <v>51</v>
      </c>
      <c r="H229" s="28" t="n">
        <v>19</v>
      </c>
      <c r="I229" s="28" t="inlineStr">
        <is>
          <t>Pie Oven</t>
        </is>
      </c>
      <c r="J229" s="28" t="n">
        <v>45</v>
      </c>
      <c r="K229" s="28" t="n">
        <v>4</v>
      </c>
      <c r="L229" s="28" t="inlineStr">
        <is>
          <t>Mushroom Pot Pie.png</t>
        </is>
      </c>
      <c r="M229" s="28" t="n">
        <v>129</v>
      </c>
      <c r="N229" s="28" t="n">
        <v>1620</v>
      </c>
      <c r="O229" s="28" t="inlineStr">
        <is>
          <t>1 h</t>
        </is>
      </c>
      <c r="P229" s="28" t="inlineStr">
        <is>
          <t>51 min</t>
        </is>
      </c>
      <c r="Q229" s="28" t="inlineStr">
        <is>
          <t>1 to 162</t>
        </is>
      </c>
      <c r="R229" s="28" t="inlineStr">
        <is>
          <t>https://hayday.fandom.com/wiki/Mushroom_Pot_Pie</t>
        </is>
      </c>
    </row>
    <row r="230">
      <c r="A230" s="28" t="inlineStr">
        <is>
          <t>Mushroom Salad</t>
        </is>
      </c>
      <c r="B230" s="28" t="inlineStr">
        <is>
          <t>Mushroom Salad</t>
        </is>
      </c>
      <c r="C230" s="28" t="inlineStr">
        <is>
          <t>Product</t>
        </is>
      </c>
      <c r="D230" s="28" t="n">
        <v>89</v>
      </c>
      <c r="E230" s="28" t="n">
        <v>216</v>
      </c>
      <c r="F230" s="28" t="n">
        <v>60</v>
      </c>
      <c r="G230" s="28" t="n">
        <v>51</v>
      </c>
      <c r="H230" s="28" t="n">
        <v>26</v>
      </c>
      <c r="I230" s="28" t="inlineStr">
        <is>
          <t>Salad Bar</t>
        </is>
      </c>
      <c r="J230" s="28" t="n">
        <v>60</v>
      </c>
      <c r="K230" s="28" t="n">
        <v>4</v>
      </c>
      <c r="L230" s="28" t="inlineStr">
        <is>
          <t>Mushroom Salad.png</t>
        </is>
      </c>
      <c r="O230" s="28" t="inlineStr">
        <is>
          <t>1 h</t>
        </is>
      </c>
      <c r="P230" s="28" t="inlineStr">
        <is>
          <t>51 min</t>
        </is>
      </c>
      <c r="Q230" s="28" t="inlineStr">
        <is>
          <t>1 to 216</t>
        </is>
      </c>
      <c r="R230" s="28" t="inlineStr">
        <is>
          <t>https://hayday.fandom.com/wiki/Mushroom_Salad</t>
        </is>
      </c>
    </row>
    <row r="231">
      <c r="A231" s="28" t="inlineStr">
        <is>
          <t>Mushroom Soup</t>
        </is>
      </c>
      <c r="B231" s="28" t="inlineStr">
        <is>
          <t>Mushroom Soup</t>
        </is>
      </c>
      <c r="C231" s="28" t="inlineStr">
        <is>
          <t>Product</t>
        </is>
      </c>
      <c r="D231" s="28" t="n">
        <v>104</v>
      </c>
      <c r="E231" s="28" t="n">
        <v>176</v>
      </c>
      <c r="F231" s="28" t="n">
        <v>80</v>
      </c>
      <c r="G231" s="28" t="n">
        <v>68</v>
      </c>
      <c r="H231" s="28" t="n">
        <v>21</v>
      </c>
      <c r="I231" s="28" t="inlineStr">
        <is>
          <t>Soup Kitchen</t>
        </is>
      </c>
      <c r="J231" s="28" t="n">
        <v>49</v>
      </c>
      <c r="K231" s="28" t="n">
        <v>4</v>
      </c>
      <c r="L231" s="28" t="inlineStr">
        <is>
          <t>Mushroom Soup.png</t>
        </is>
      </c>
      <c r="O231" s="28" t="inlineStr">
        <is>
          <t>1 h 20 min</t>
        </is>
      </c>
      <c r="P231" s="28" t="inlineStr">
        <is>
          <t>1 h 8 min</t>
        </is>
      </c>
      <c r="Q231" s="28" t="inlineStr">
        <is>
          <t>1 to 176</t>
        </is>
      </c>
      <c r="R231" s="28" t="inlineStr">
        <is>
          <t>https://hayday.fandom.com/wiki/Mushroom_Soup</t>
        </is>
      </c>
    </row>
    <row r="232">
      <c r="A232" s="28" t="inlineStr">
        <is>
          <t>Mussel Chowder</t>
        </is>
      </c>
      <c r="B232" s="28" t="inlineStr">
        <is>
          <t>Mussel Chowder</t>
        </is>
      </c>
      <c r="C232" s="28" t="inlineStr">
        <is>
          <t>Product</t>
        </is>
      </c>
      <c r="D232" s="28" t="n">
        <v>47</v>
      </c>
      <c r="E232" s="28" t="n">
        <v>626</v>
      </c>
      <c r="F232" s="28" t="n">
        <v>180</v>
      </c>
      <c r="G232" s="28" t="n">
        <v>153</v>
      </c>
      <c r="H232" s="28" t="n">
        <v>75</v>
      </c>
      <c r="I232" s="28" t="inlineStr">
        <is>
          <t>Soup Kitchen</t>
        </is>
      </c>
      <c r="J232" s="28" t="n">
        <v>174</v>
      </c>
      <c r="K232" s="28" t="n">
        <v>6</v>
      </c>
      <c r="L232" s="28" t="inlineStr">
        <is>
          <t>Mussel Chowder.png</t>
        </is>
      </c>
      <c r="M232" s="28" t="n">
        <v>592</v>
      </c>
      <c r="N232" s="28" t="n">
        <v>6264</v>
      </c>
      <c r="O232" s="28" t="inlineStr">
        <is>
          <t>3 h</t>
        </is>
      </c>
      <c r="P232" s="28" t="inlineStr">
        <is>
          <t>2 h 33 min</t>
        </is>
      </c>
      <c r="Q232" s="28" t="inlineStr">
        <is>
          <t>1 to 626</t>
        </is>
      </c>
      <c r="R232" s="28" t="inlineStr">
        <is>
          <t>https://hayday.fandom.com/wiki/Mussel_Chowder</t>
        </is>
      </c>
    </row>
    <row r="233">
      <c r="A233" s="28" t="inlineStr">
        <is>
          <t>Mussel Linguine</t>
        </is>
      </c>
      <c r="B233" s="28" t="inlineStr">
        <is>
          <t>Mussel Linguine</t>
        </is>
      </c>
      <c r="C233" s="28" t="inlineStr">
        <is>
          <t>Product</t>
        </is>
      </c>
      <c r="D233" s="28" t="n">
        <v>73</v>
      </c>
      <c r="E233" s="28" t="n">
        <v>583</v>
      </c>
      <c r="F233" s="28" t="n">
        <v>90</v>
      </c>
      <c r="G233" s="28" t="n">
        <v>76</v>
      </c>
      <c r="H233" s="28" t="n">
        <v>69</v>
      </c>
      <c r="I233" s="28" t="inlineStr">
        <is>
          <t>Pasta Kitchen</t>
        </is>
      </c>
      <c r="J233" s="28" t="n">
        <v>162</v>
      </c>
      <c r="K233" s="28" t="n">
        <v>5</v>
      </c>
      <c r="L233" s="28" t="inlineStr">
        <is>
          <t>Mussel Linguine.png</t>
        </is>
      </c>
      <c r="M233" s="28" t="n">
        <v>560</v>
      </c>
      <c r="N233" s="28" t="n">
        <v>5832</v>
      </c>
      <c r="O233" s="28" t="inlineStr">
        <is>
          <t>1 h 30 min</t>
        </is>
      </c>
      <c r="P233" s="28" t="inlineStr">
        <is>
          <t>1 h 16 min</t>
        </is>
      </c>
      <c r="Q233" s="28" t="inlineStr">
        <is>
          <t>1 to 583</t>
        </is>
      </c>
      <c r="R233" s="28" t="inlineStr">
        <is>
          <t>https://hayday.fandom.com/wiki/Mussel_Linguine</t>
        </is>
      </c>
    </row>
    <row r="234">
      <c r="A234" s="28" t="inlineStr">
        <is>
          <t>Mussel Nigiri</t>
        </is>
      </c>
      <c r="B234" s="28" t="inlineStr">
        <is>
          <t>Mussel Nigiri</t>
        </is>
      </c>
      <c r="C234" s="28" t="inlineStr">
        <is>
          <t>Product</t>
        </is>
      </c>
      <c r="D234" s="28" t="n">
        <v>56</v>
      </c>
      <c r="E234" s="28" t="n">
        <v>543</v>
      </c>
      <c r="F234" s="28" t="n">
        <v>90</v>
      </c>
      <c r="G234" s="28" t="n">
        <v>76</v>
      </c>
      <c r="H234" s="28" t="n">
        <v>65</v>
      </c>
      <c r="I234" s="28" t="inlineStr">
        <is>
          <t>Sushi Bar</t>
        </is>
      </c>
      <c r="J234" s="28" t="n">
        <v>151</v>
      </c>
      <c r="K234" s="28" t="n">
        <v>5</v>
      </c>
      <c r="L234" s="28" t="inlineStr">
        <is>
          <t>Mussel Nigiri.png</t>
        </is>
      </c>
      <c r="M234" s="28" t="n">
        <v>536</v>
      </c>
      <c r="O234" s="28" t="inlineStr">
        <is>
          <t>1 h 30 min</t>
        </is>
      </c>
      <c r="P234" s="28" t="inlineStr">
        <is>
          <t>1 h 16 min</t>
        </is>
      </c>
      <c r="Q234" s="28" t="inlineStr">
        <is>
          <t>1 to 543</t>
        </is>
      </c>
      <c r="R234" s="28" t="inlineStr">
        <is>
          <t>https://hayday.fandom.com/wiki/Mussel_Nigiri</t>
        </is>
      </c>
    </row>
    <row r="235">
      <c r="A235" s="28" t="inlineStr">
        <is>
          <t>Nachos</t>
        </is>
      </c>
      <c r="B235" s="28" t="inlineStr">
        <is>
          <t>Nachos</t>
        </is>
      </c>
      <c r="C235" s="28" t="inlineStr">
        <is>
          <t>Product</t>
        </is>
      </c>
      <c r="D235" s="28" t="n">
        <v>87</v>
      </c>
      <c r="E235" s="28" t="n">
        <v>432</v>
      </c>
      <c r="F235" s="28" t="n">
        <v>75</v>
      </c>
      <c r="G235" s="28" t="n">
        <v>63</v>
      </c>
      <c r="H235" s="28" t="n">
        <v>52</v>
      </c>
      <c r="I235" s="28" t="inlineStr">
        <is>
          <t>Taco Kitchen</t>
        </is>
      </c>
      <c r="J235" s="28" t="n">
        <v>120</v>
      </c>
      <c r="K235" s="28" t="n">
        <v>4</v>
      </c>
      <c r="L235" s="28" t="inlineStr">
        <is>
          <t>Nachos.png</t>
        </is>
      </c>
      <c r="M235" s="28" t="n">
        <v>402</v>
      </c>
      <c r="N235" s="28" t="n">
        <v>4320</v>
      </c>
      <c r="O235" s="28" t="inlineStr">
        <is>
          <t>1 h 15 min</t>
        </is>
      </c>
      <c r="P235" s="28" t="inlineStr">
        <is>
          <t>1 h 3 min</t>
        </is>
      </c>
      <c r="Q235" s="28" t="inlineStr">
        <is>
          <t>1 to 432</t>
        </is>
      </c>
      <c r="R235" s="28" t="inlineStr">
        <is>
          <t>https://hayday.fandom.com/wiki/Nachos</t>
        </is>
      </c>
    </row>
    <row r="236">
      <c r="A236" s="28" t="inlineStr">
        <is>
          <t>Necklace</t>
        </is>
      </c>
      <c r="B236" s="28" t="inlineStr">
        <is>
          <t>Necklace</t>
        </is>
      </c>
      <c r="C236" s="28" t="inlineStr">
        <is>
          <t>Product</t>
        </is>
      </c>
      <c r="D236" s="28" t="n">
        <v>39</v>
      </c>
      <c r="E236" s="28" t="n">
        <v>727</v>
      </c>
      <c r="F236" s="28" t="n">
        <v>180</v>
      </c>
      <c r="G236" s="28" t="n">
        <v>153</v>
      </c>
      <c r="H236" s="28" t="n">
        <v>87</v>
      </c>
      <c r="I236" s="28" t="inlineStr">
        <is>
          <t>Jeweler</t>
        </is>
      </c>
      <c r="J236" s="28" t="n">
        <v>202</v>
      </c>
      <c r="K236" s="28" t="n">
        <v>6</v>
      </c>
      <c r="L236" s="28" t="inlineStr">
        <is>
          <t>Necklace.png</t>
        </is>
      </c>
      <c r="M236" s="28" t="n">
        <v>679</v>
      </c>
      <c r="N236" s="28" t="n">
        <v>7272</v>
      </c>
      <c r="O236" s="28" t="inlineStr">
        <is>
          <t>3 h</t>
        </is>
      </c>
      <c r="P236" s="28" t="inlineStr">
        <is>
          <t>2 h 33 min</t>
        </is>
      </c>
      <c r="Q236" s="28" t="inlineStr">
        <is>
          <t>1 to 727</t>
        </is>
      </c>
      <c r="R236" s="28" t="inlineStr">
        <is>
          <t>https://hayday.fandom.com/wiki/Necklace</t>
        </is>
      </c>
    </row>
    <row r="237">
      <c r="A237" s="28" t="inlineStr">
        <is>
          <t>Noodle Soup</t>
        </is>
      </c>
      <c r="B237" s="28" t="inlineStr">
        <is>
          <t>Noodle Soup</t>
        </is>
      </c>
      <c r="C237" s="28" t="inlineStr">
        <is>
          <t>Product</t>
        </is>
      </c>
      <c r="D237" s="28" t="n">
        <v>73</v>
      </c>
      <c r="E237" s="28" t="n">
        <v>432</v>
      </c>
      <c r="F237" s="28" t="n">
        <v>120</v>
      </c>
      <c r="G237" s="28" t="n">
        <v>102</v>
      </c>
      <c r="H237" s="28" t="n">
        <v>52</v>
      </c>
      <c r="I237" s="28" t="inlineStr">
        <is>
          <t>Soup Kitchen</t>
        </is>
      </c>
      <c r="J237" s="28" t="n">
        <v>120</v>
      </c>
      <c r="K237" s="28" t="n">
        <v>5</v>
      </c>
      <c r="L237" s="28" t="inlineStr">
        <is>
          <t>Noodle Soup.png</t>
        </is>
      </c>
      <c r="M237" s="28" t="n">
        <v>422</v>
      </c>
      <c r="N237" s="28" t="n">
        <v>4320</v>
      </c>
      <c r="O237" s="28" t="inlineStr">
        <is>
          <t>2 h</t>
        </is>
      </c>
      <c r="P237" s="28" t="inlineStr">
        <is>
          <t>1 h 42 min</t>
        </is>
      </c>
      <c r="Q237" s="28" t="inlineStr">
        <is>
          <t>1 to 432</t>
        </is>
      </c>
      <c r="R237" s="28" t="inlineStr">
        <is>
          <t>https://hayday.fandom.com/wiki/Noodle_Soup</t>
        </is>
      </c>
    </row>
    <row r="238">
      <c r="A238" s="28" t="inlineStr">
        <is>
          <t>Olive</t>
        </is>
      </c>
      <c r="B238" s="28" t="inlineStr">
        <is>
          <t>Olive</t>
        </is>
      </c>
      <c r="C238" s="28" t="inlineStr">
        <is>
          <t>Crop</t>
        </is>
      </c>
      <c r="D238" s="28" t="n">
        <v>57</v>
      </c>
      <c r="E238" s="28" t="n">
        <v>82</v>
      </c>
      <c r="F238" s="28" t="n">
        <v>1440</v>
      </c>
      <c r="H238" s="28" t="n">
        <v>17</v>
      </c>
      <c r="I238" s="28" t="inlineStr">
        <is>
          <t>Olive Tree</t>
        </is>
      </c>
      <c r="J238" s="28" t="n">
        <v>23</v>
      </c>
      <c r="K238" s="28" t="n">
        <v>17</v>
      </c>
      <c r="L238" s="28" t="inlineStr">
        <is>
          <t>Olive.png</t>
        </is>
      </c>
      <c r="N238" s="28" t="n">
        <v>828</v>
      </c>
      <c r="O238" s="28" t="inlineStr">
        <is>
          <t>1 d</t>
        </is>
      </c>
      <c r="Q238" s="28" t="inlineStr">
        <is>
          <t>1 to 82</t>
        </is>
      </c>
      <c r="R238" s="28" t="inlineStr">
        <is>
          <t>https://hayday.fandom.com/wiki/Olive</t>
        </is>
      </c>
    </row>
    <row r="239">
      <c r="A239" s="28" t="inlineStr">
        <is>
          <t>Olive Dip</t>
        </is>
      </c>
      <c r="B239" s="28" t="inlineStr">
        <is>
          <t>Olive Dip</t>
        </is>
      </c>
      <c r="C239" s="28" t="inlineStr">
        <is>
          <t>Product</t>
        </is>
      </c>
      <c r="D239" s="28" t="n">
        <v>66</v>
      </c>
      <c r="E239" s="28" t="n">
        <v>468</v>
      </c>
      <c r="F239" s="28" t="n">
        <v>45</v>
      </c>
      <c r="G239" s="28" t="n">
        <v>38</v>
      </c>
      <c r="H239" s="28" t="n">
        <v>56</v>
      </c>
      <c r="I239" s="28" t="inlineStr">
        <is>
          <t>Sauce Maker</t>
        </is>
      </c>
      <c r="J239" s="28" t="n">
        <v>130</v>
      </c>
      <c r="K239" s="28" t="n">
        <v>3</v>
      </c>
      <c r="L239" s="28" t="inlineStr">
        <is>
          <t>Olive Dip.png</t>
        </is>
      </c>
      <c r="M239" s="28" t="n">
        <v>414</v>
      </c>
      <c r="N239" s="28" t="n">
        <v>4680</v>
      </c>
      <c r="O239" s="28" t="inlineStr">
        <is>
          <t>45 min</t>
        </is>
      </c>
      <c r="P239" s="28" t="inlineStr">
        <is>
          <t>38 min</t>
        </is>
      </c>
      <c r="Q239" s="28" t="inlineStr">
        <is>
          <t>1 to 468</t>
        </is>
      </c>
      <c r="R239" s="28" t="inlineStr">
        <is>
          <t>https://hayday.fandom.com/wiki/Olive_Dip</t>
        </is>
      </c>
    </row>
    <row r="240">
      <c r="A240" s="28" t="inlineStr">
        <is>
          <t>Olive Oil</t>
        </is>
      </c>
      <c r="B240" s="28" t="inlineStr">
        <is>
          <t>Olive Oil</t>
        </is>
      </c>
      <c r="C240" s="28" t="inlineStr">
        <is>
          <t>Product</t>
        </is>
      </c>
      <c r="D240" s="28" t="n">
        <v>60</v>
      </c>
      <c r="E240" s="28" t="n">
        <v>277</v>
      </c>
      <c r="F240" s="28" t="n">
        <v>45</v>
      </c>
      <c r="G240" s="28" t="n">
        <v>38</v>
      </c>
      <c r="H240" s="28" t="n">
        <v>33</v>
      </c>
      <c r="I240" s="28" t="inlineStr">
        <is>
          <t>Sauce Maker</t>
        </is>
      </c>
      <c r="J240" s="28" t="n">
        <v>77</v>
      </c>
      <c r="K240" s="28" t="n">
        <v>3</v>
      </c>
      <c r="L240" s="28" t="inlineStr">
        <is>
          <t>Olive Oil.png</t>
        </is>
      </c>
      <c r="M240" s="28" t="n">
        <v>246</v>
      </c>
      <c r="N240" s="28" t="n">
        <v>2772</v>
      </c>
      <c r="O240" s="28" t="inlineStr">
        <is>
          <t>45 min</t>
        </is>
      </c>
      <c r="P240" s="28" t="inlineStr">
        <is>
          <t>38 min</t>
        </is>
      </c>
      <c r="Q240" s="28" t="inlineStr">
        <is>
          <t>1 to 277</t>
        </is>
      </c>
      <c r="R240" s="28" t="inlineStr">
        <is>
          <t>https://hayday.fandom.com/wiki/Olive_Oil</t>
        </is>
      </c>
    </row>
    <row r="241">
      <c r="A241" s="28" t="inlineStr">
        <is>
          <t>Onion</t>
        </is>
      </c>
      <c r="B241" s="28" t="inlineStr">
        <is>
          <t>Onion</t>
        </is>
      </c>
      <c r="C241" s="28" t="inlineStr">
        <is>
          <t>Crop</t>
        </is>
      </c>
      <c r="D241" s="28" t="n">
        <v>68</v>
      </c>
      <c r="E241" s="28" t="n">
        <v>39</v>
      </c>
      <c r="F241" s="28" t="n">
        <v>300</v>
      </c>
      <c r="H241" s="28" t="n">
        <v>8</v>
      </c>
      <c r="I241" s="28" t="inlineStr">
        <is>
          <t>Farm</t>
        </is>
      </c>
      <c r="J241" s="28" t="n">
        <v>11</v>
      </c>
      <c r="K241" s="28" t="n">
        <v>8</v>
      </c>
      <c r="L241" s="28" t="inlineStr">
        <is>
          <t>Onion.png</t>
        </is>
      </c>
      <c r="N241" s="28" t="n">
        <v>396</v>
      </c>
      <c r="O241" s="28" t="inlineStr">
        <is>
          <t>5 h</t>
        </is>
      </c>
      <c r="Q241" s="28" t="inlineStr">
        <is>
          <t>1 to 39</t>
        </is>
      </c>
      <c r="R241" s="28" t="inlineStr">
        <is>
          <t>https://hayday.fandom.com/wiki/Onion</t>
        </is>
      </c>
    </row>
    <row r="242">
      <c r="A242" s="28" t="inlineStr">
        <is>
          <t>Onion Dog</t>
        </is>
      </c>
      <c r="B242" s="28" t="inlineStr">
        <is>
          <t>Onion Dog</t>
        </is>
      </c>
      <c r="C242" s="28" t="inlineStr">
        <is>
          <t>Product</t>
        </is>
      </c>
      <c r="D242" s="28" t="n">
        <v>80</v>
      </c>
      <c r="E242" s="28" t="n">
        <v>306</v>
      </c>
      <c r="F242" s="28" t="n">
        <v>75</v>
      </c>
      <c r="G242" s="28" t="n">
        <v>63</v>
      </c>
      <c r="H242" s="28" t="n">
        <v>36</v>
      </c>
      <c r="I242" s="28" t="inlineStr">
        <is>
          <t>Hot Dog Stand</t>
        </is>
      </c>
      <c r="J242" s="28" t="n">
        <v>85</v>
      </c>
      <c r="K242" s="28" t="n">
        <v>4</v>
      </c>
      <c r="L242" s="28" t="inlineStr">
        <is>
          <t>Onion Dog.png</t>
        </is>
      </c>
      <c r="M242" s="28" t="n">
        <v>259</v>
      </c>
      <c r="N242" s="28" t="n">
        <v>3060</v>
      </c>
      <c r="O242" s="28" t="inlineStr">
        <is>
          <t>1 h 15 min</t>
        </is>
      </c>
      <c r="P242" s="28" t="inlineStr">
        <is>
          <t>1 h 3 min</t>
        </is>
      </c>
      <c r="Q242" s="28" t="inlineStr">
        <is>
          <t>1 to 306</t>
        </is>
      </c>
      <c r="R242" s="28" t="inlineStr">
        <is>
          <t>https://hayday.fandom.com/wiki/Onion_Dog</t>
        </is>
      </c>
    </row>
    <row r="243">
      <c r="A243" s="28" t="inlineStr">
        <is>
          <t>Onion Melt</t>
        </is>
      </c>
      <c r="B243" s="28" t="inlineStr">
        <is>
          <t>Onion Melt</t>
        </is>
      </c>
      <c r="C243" s="28" t="inlineStr">
        <is>
          <t>Product</t>
        </is>
      </c>
      <c r="D243" s="28" t="n">
        <v>84</v>
      </c>
      <c r="E243" s="28" t="n">
        <v>417</v>
      </c>
      <c r="F243" s="28" t="n">
        <v>90</v>
      </c>
      <c r="G243" s="28" t="n">
        <v>76</v>
      </c>
      <c r="H243" s="28" t="n">
        <v>50</v>
      </c>
      <c r="I243" s="28" t="inlineStr">
        <is>
          <t>Sandwich Bar</t>
        </is>
      </c>
      <c r="J243" s="28" t="n">
        <v>116</v>
      </c>
      <c r="K243" s="28" t="n">
        <v>5</v>
      </c>
      <c r="L243" s="28" t="inlineStr">
        <is>
          <t>Onion Melt.png</t>
        </is>
      </c>
      <c r="M243" s="28" t="n">
        <v>383</v>
      </c>
      <c r="N243" s="28" t="n">
        <v>4176</v>
      </c>
      <c r="O243" s="28" t="inlineStr">
        <is>
          <t>1 h 30 min</t>
        </is>
      </c>
      <c r="P243" s="28" t="inlineStr">
        <is>
          <t>1 h 16 min</t>
        </is>
      </c>
      <c r="Q243" s="28" t="inlineStr">
        <is>
          <t>1 to 417</t>
        </is>
      </c>
      <c r="R243" s="28" t="inlineStr">
        <is>
          <t>https://hayday.fandom.com/wiki/Onion_Melt</t>
        </is>
      </c>
    </row>
    <row r="244">
      <c r="A244" s="28" t="inlineStr">
        <is>
          <t>Onion Soup</t>
        </is>
      </c>
      <c r="B244" s="28" t="inlineStr">
        <is>
          <t>Onion Soup</t>
        </is>
      </c>
      <c r="C244" s="28" t="inlineStr">
        <is>
          <t>Product</t>
        </is>
      </c>
      <c r="D244" s="28" t="n">
        <v>72</v>
      </c>
      <c r="E244" s="28" t="n">
        <v>327</v>
      </c>
      <c r="F244" s="28" t="n">
        <v>150</v>
      </c>
      <c r="G244" s="28" t="n">
        <v>127</v>
      </c>
      <c r="H244" s="28" t="n">
        <v>39</v>
      </c>
      <c r="I244" s="28" t="inlineStr">
        <is>
          <t>Soup Kitchen</t>
        </is>
      </c>
      <c r="J244" s="28" t="n">
        <v>91</v>
      </c>
      <c r="K244" s="28" t="n">
        <v>6</v>
      </c>
      <c r="L244" s="28" t="inlineStr">
        <is>
          <t>Onion Soup.png</t>
        </is>
      </c>
      <c r="M244" s="28" t="n">
        <v>282</v>
      </c>
      <c r="N244" s="28" t="n">
        <v>3276</v>
      </c>
      <c r="O244" s="28" t="inlineStr">
        <is>
          <t>2 h 30 min</t>
        </is>
      </c>
      <c r="P244" s="28" t="inlineStr">
        <is>
          <t>2 h 7 min</t>
        </is>
      </c>
      <c r="Q244" s="28" t="inlineStr">
        <is>
          <t>1 to 327</t>
        </is>
      </c>
      <c r="R244" s="28" t="inlineStr">
        <is>
          <t>https://hayday.fandom.com/wiki/Onion_Soup</t>
        </is>
      </c>
    </row>
    <row r="245">
      <c r="A245" s="28" t="inlineStr">
        <is>
          <t>Orange</t>
        </is>
      </c>
      <c r="B245" s="28" t="inlineStr">
        <is>
          <t>Orange</t>
        </is>
      </c>
      <c r="C245" s="28" t="inlineStr">
        <is>
          <t>Crop</t>
        </is>
      </c>
      <c r="D245" s="28" t="n">
        <v>71</v>
      </c>
      <c r="E245" s="28" t="n">
        <v>97</v>
      </c>
      <c r="F245" s="28" t="n">
        <v>1860</v>
      </c>
      <c r="H245" s="28" t="n">
        <v>19</v>
      </c>
      <c r="I245" s="28" t="inlineStr">
        <is>
          <t>Orange Tree</t>
        </is>
      </c>
      <c r="J245" s="28" t="n">
        <v>27</v>
      </c>
      <c r="K245" s="28" t="n">
        <v>18</v>
      </c>
      <c r="L245" s="28" t="inlineStr">
        <is>
          <t>Orange.png</t>
        </is>
      </c>
      <c r="N245" s="28" t="n">
        <v>972</v>
      </c>
      <c r="O245" s="28" t="inlineStr">
        <is>
          <t>1 d 7 h</t>
        </is>
      </c>
      <c r="Q245" s="28" t="inlineStr">
        <is>
          <t>1 to 97</t>
        </is>
      </c>
      <c r="R245" s="28" t="inlineStr">
        <is>
          <t>https://hayday.fandom.com/wiki/Orange</t>
        </is>
      </c>
    </row>
    <row r="246">
      <c r="A246" s="28" t="inlineStr">
        <is>
          <t>Orange Juice</t>
        </is>
      </c>
      <c r="B246" s="28" t="inlineStr">
        <is>
          <t>Orange Juice</t>
        </is>
      </c>
      <c r="C246" s="28" t="inlineStr">
        <is>
          <t>Product</t>
        </is>
      </c>
      <c r="D246" s="28" t="n">
        <v>71</v>
      </c>
      <c r="E246" s="28" t="n">
        <v>234</v>
      </c>
      <c r="F246" s="28" t="n">
        <v>120</v>
      </c>
      <c r="G246" s="28" t="n">
        <v>102</v>
      </c>
      <c r="H246" s="28" t="n">
        <v>28</v>
      </c>
      <c r="I246" s="28" t="inlineStr">
        <is>
          <t>Juice Press</t>
        </is>
      </c>
      <c r="J246" s="28" t="n">
        <v>65</v>
      </c>
      <c r="K246" s="28" t="n">
        <v>5</v>
      </c>
      <c r="L246" s="28" t="inlineStr">
        <is>
          <t>Orange Juice.png</t>
        </is>
      </c>
      <c r="M246" s="28" t="n">
        <v>194</v>
      </c>
      <c r="N246" s="28" t="n">
        <v>2340</v>
      </c>
      <c r="O246" s="28" t="inlineStr">
        <is>
          <t>2 h</t>
        </is>
      </c>
      <c r="P246" s="28" t="inlineStr">
        <is>
          <t>1 h 42 min</t>
        </is>
      </c>
      <c r="Q246" s="28" t="inlineStr">
        <is>
          <t>1 to 234</t>
        </is>
      </c>
      <c r="R246" s="28" t="inlineStr">
        <is>
          <t>https://hayday.fandom.com/wiki/Orange_Juice</t>
        </is>
      </c>
    </row>
    <row r="247">
      <c r="A247" s="28" t="inlineStr">
        <is>
          <t>Orange Salad</t>
        </is>
      </c>
      <c r="B247" s="28" t="inlineStr">
        <is>
          <t>Orange Salad</t>
        </is>
      </c>
      <c r="C247" s="28" t="inlineStr">
        <is>
          <t>Product</t>
        </is>
      </c>
      <c r="D247" s="28" t="n">
        <v>117</v>
      </c>
      <c r="E247" s="28" t="n">
        <v>558</v>
      </c>
      <c r="F247" s="28" t="n">
        <v>45</v>
      </c>
      <c r="G247" s="28" t="n">
        <v>38</v>
      </c>
      <c r="H247" s="28" t="n">
        <v>66</v>
      </c>
      <c r="I247" s="28" t="inlineStr">
        <is>
          <t>Salad Bar</t>
        </is>
      </c>
      <c r="J247" s="28" t="n">
        <v>155</v>
      </c>
      <c r="K247" s="28" t="n">
        <v>3</v>
      </c>
      <c r="L247" s="28" t="inlineStr">
        <is>
          <t>Orange Salad.png</t>
        </is>
      </c>
      <c r="M247" s="28" t="n">
        <v>523</v>
      </c>
      <c r="N247" s="28" t="n">
        <v>5580</v>
      </c>
      <c r="O247" s="28" t="inlineStr">
        <is>
          <t>45 min</t>
        </is>
      </c>
      <c r="P247" s="28" t="inlineStr">
        <is>
          <t>38 min</t>
        </is>
      </c>
      <c r="Q247" s="28" t="inlineStr">
        <is>
          <t>1 to 558</t>
        </is>
      </c>
      <c r="R247" s="28" t="inlineStr">
        <is>
          <t>https://hayday.fandom.com/wiki/Orange_Salad</t>
        </is>
      </c>
    </row>
    <row r="248">
      <c r="A248" s="28" t="inlineStr">
        <is>
          <t>Orange Sorbet</t>
        </is>
      </c>
      <c r="B248" s="28" t="inlineStr">
        <is>
          <t>Orange Sorbet</t>
        </is>
      </c>
      <c r="C248" s="28" t="inlineStr">
        <is>
          <t>Product</t>
        </is>
      </c>
      <c r="D248" s="28" t="n">
        <v>78</v>
      </c>
      <c r="E248" s="28" t="n">
        <v>399</v>
      </c>
      <c r="F248" s="28" t="n">
        <v>210</v>
      </c>
      <c r="G248" s="28" t="n">
        <v>178</v>
      </c>
      <c r="H248" s="28" t="n">
        <v>48</v>
      </c>
      <c r="I248" s="28" t="inlineStr">
        <is>
          <t>Ice Cream Maker</t>
        </is>
      </c>
      <c r="J248" s="28" t="n">
        <v>111</v>
      </c>
      <c r="K248" s="28" t="n">
        <v>6</v>
      </c>
      <c r="L248" s="28" t="inlineStr">
        <is>
          <t>Orange Sorbet.png</t>
        </is>
      </c>
      <c r="M248" s="28" t="n">
        <v>348</v>
      </c>
      <c r="N248" s="28" t="n">
        <v>3996</v>
      </c>
      <c r="O248" s="28" t="inlineStr">
        <is>
          <t>3 h 30 min</t>
        </is>
      </c>
      <c r="P248" s="28" t="inlineStr">
        <is>
          <t>2 h 58 min</t>
        </is>
      </c>
      <c r="Q248" s="28" t="inlineStr">
        <is>
          <t>1 to 399</t>
        </is>
      </c>
      <c r="R248" s="28" t="inlineStr">
        <is>
          <t>https://hayday.fandom.com/wiki/Orange_Sorbet</t>
        </is>
      </c>
    </row>
    <row r="249">
      <c r="A249" s="28" t="inlineStr">
        <is>
          <t>Orange Tea</t>
        </is>
      </c>
      <c r="B249" s="28" t="inlineStr">
        <is>
          <t>Orange Tea</t>
        </is>
      </c>
      <c r="C249" s="28" t="inlineStr">
        <is>
          <t>Product</t>
        </is>
      </c>
      <c r="D249" s="28" t="n">
        <v>89</v>
      </c>
      <c r="E249" s="28" t="n">
        <v>255</v>
      </c>
      <c r="F249" s="28" t="n">
        <v>40</v>
      </c>
      <c r="G249" s="28" t="n">
        <v>34</v>
      </c>
      <c r="H249" s="28" t="n">
        <v>30</v>
      </c>
      <c r="I249" s="28" t="inlineStr">
        <is>
          <t>Tea Stand</t>
        </is>
      </c>
      <c r="J249" s="28" t="n">
        <v>71</v>
      </c>
      <c r="K249" s="28" t="n">
        <v>3</v>
      </c>
      <c r="L249" s="28" t="inlineStr">
        <is>
          <t>Orange Tea.png</t>
        </is>
      </c>
      <c r="M249" s="28" t="n">
        <v>226</v>
      </c>
      <c r="N249" s="28" t="n">
        <v>2556</v>
      </c>
      <c r="O249" s="28" t="inlineStr">
        <is>
          <t>40 min</t>
        </is>
      </c>
      <c r="P249" s="28" t="inlineStr">
        <is>
          <t>34 min</t>
        </is>
      </c>
      <c r="Q249" s="28" t="inlineStr">
        <is>
          <t>1 to 255</t>
        </is>
      </c>
      <c r="R249" s="28" t="inlineStr">
        <is>
          <t>https://hayday.fandom.com/wiki/Orange_Tea</t>
        </is>
      </c>
    </row>
    <row r="250">
      <c r="A250" s="28" t="inlineStr">
        <is>
          <t>Pancake</t>
        </is>
      </c>
      <c r="B250" s="28" t="inlineStr">
        <is>
          <t>Pancake</t>
        </is>
      </c>
      <c r="C250" s="28" t="inlineStr">
        <is>
          <t>Product</t>
        </is>
      </c>
      <c r="D250" s="28" t="n">
        <v>9</v>
      </c>
      <c r="E250" s="28" t="n">
        <v>108</v>
      </c>
      <c r="F250" s="28" t="n">
        <v>30</v>
      </c>
      <c r="G250" s="28" t="n">
        <v>25</v>
      </c>
      <c r="H250" s="28" t="n">
        <v>13</v>
      </c>
      <c r="I250" s="28" t="inlineStr">
        <is>
          <t>BBQ Grill</t>
        </is>
      </c>
      <c r="J250" s="28" t="n">
        <v>30</v>
      </c>
      <c r="K250" s="28" t="n">
        <v>3</v>
      </c>
      <c r="L250" s="28" t="inlineStr">
        <is>
          <t>Pancake.png</t>
        </is>
      </c>
      <c r="M250" s="28" t="n">
        <v>86</v>
      </c>
      <c r="N250" s="28" t="n">
        <v>1080</v>
      </c>
      <c r="O250" s="28" t="inlineStr">
        <is>
          <t>30 m</t>
        </is>
      </c>
      <c r="P250" s="28" t="inlineStr">
        <is>
          <t>25 m</t>
        </is>
      </c>
      <c r="Q250" s="28" t="inlineStr">
        <is>
          <t>1 to 108</t>
        </is>
      </c>
      <c r="R250" s="28" t="inlineStr">
        <is>
          <t>https://hayday.fandom.com/wiki/Pancake</t>
        </is>
      </c>
    </row>
    <row r="251">
      <c r="A251" s="28" t="inlineStr">
        <is>
          <t>Passion Fruit</t>
        </is>
      </c>
      <c r="B251" s="28" t="inlineStr">
        <is>
          <t>Passion Fruit</t>
        </is>
      </c>
      <c r="C251" s="28" t="inlineStr">
        <is>
          <t>Crop</t>
        </is>
      </c>
      <c r="D251" s="28" t="n">
        <v>88</v>
      </c>
      <c r="E251" s="28" t="n">
        <v>18</v>
      </c>
      <c r="F251" s="28" t="n">
        <v>60</v>
      </c>
      <c r="H251" s="28" t="n">
        <v>4</v>
      </c>
      <c r="I251" s="28" t="inlineStr">
        <is>
          <t>Farm</t>
        </is>
      </c>
      <c r="J251" s="28" t="n">
        <v>5</v>
      </c>
      <c r="K251" s="28" t="n">
        <v>4</v>
      </c>
      <c r="L251" s="28" t="inlineStr">
        <is>
          <t>Passion Fruit.png</t>
        </is>
      </c>
      <c r="N251" s="28" t="n">
        <v>180</v>
      </c>
      <c r="O251" s="28" t="inlineStr">
        <is>
          <t>1 h</t>
        </is>
      </c>
      <c r="Q251" s="28" t="inlineStr">
        <is>
          <t>1 to 18</t>
        </is>
      </c>
      <c r="R251" s="28" t="inlineStr">
        <is>
          <t>https://hayday.fandom.com/wiki/Passion_Fruit</t>
        </is>
      </c>
    </row>
    <row r="252">
      <c r="A252" s="28" t="inlineStr">
        <is>
          <t>Passion Fruit Jam</t>
        </is>
      </c>
      <c r="B252" s="28" t="inlineStr">
        <is>
          <t>Passion Fruit Jam</t>
        </is>
      </c>
      <c r="C252" s="28" t="inlineStr">
        <is>
          <t>Product</t>
        </is>
      </c>
      <c r="D252" s="28" t="n">
        <v>96</v>
      </c>
      <c r="E252" s="28" t="n">
        <v>118</v>
      </c>
      <c r="F252" s="28" t="n">
        <v>320</v>
      </c>
      <c r="G252" s="28" t="n">
        <v>272</v>
      </c>
      <c r="H252" s="28" t="n">
        <v>14</v>
      </c>
      <c r="I252" s="28" t="inlineStr">
        <is>
          <t>Jam Maker</t>
        </is>
      </c>
      <c r="J252" s="28" t="n">
        <v>33</v>
      </c>
      <c r="K252" s="28" t="n">
        <v>7</v>
      </c>
      <c r="L252" s="28" t="inlineStr">
        <is>
          <t>Passion Fruit Jam.png</t>
        </is>
      </c>
      <c r="M252" s="28" t="n">
        <v>54</v>
      </c>
      <c r="N252" s="28" t="n">
        <v>1188</v>
      </c>
      <c r="O252" s="28" t="inlineStr">
        <is>
          <t>5 h 20 m</t>
        </is>
      </c>
      <c r="P252" s="28" t="inlineStr">
        <is>
          <t>4h 32min</t>
        </is>
      </c>
      <c r="Q252" s="28" t="inlineStr">
        <is>
          <t>1 to 118</t>
        </is>
      </c>
      <c r="R252" s="28" t="inlineStr">
        <is>
          <t>https://hayday.fandom.com/wiki/Passion_Fruit_Jam</t>
        </is>
      </c>
    </row>
    <row r="253">
      <c r="A253" s="28" t="inlineStr">
        <is>
          <t>Passion Fruit Juice</t>
        </is>
      </c>
      <c r="B253" s="28" t="inlineStr">
        <is>
          <t>Passion Fruit Juice</t>
        </is>
      </c>
      <c r="C253" s="28" t="inlineStr">
        <is>
          <t>Product</t>
        </is>
      </c>
      <c r="D253" s="28" t="n">
        <v>88</v>
      </c>
      <c r="E253" s="28" t="n">
        <v>64</v>
      </c>
      <c r="F253" s="28" t="n">
        <v>45</v>
      </c>
      <c r="G253" s="28" t="n">
        <v>38</v>
      </c>
      <c r="H253" s="28" t="n">
        <v>8</v>
      </c>
      <c r="I253" s="28" t="inlineStr">
        <is>
          <t>Juice Press</t>
        </is>
      </c>
      <c r="J253" s="28" t="n">
        <v>18</v>
      </c>
      <c r="K253" s="28" t="n">
        <v>3</v>
      </c>
      <c r="L253" s="28" t="inlineStr">
        <is>
          <t>Passion Fruit Juice.png</t>
        </is>
      </c>
      <c r="M253" s="28" t="n">
        <v>36</v>
      </c>
      <c r="N253" s="28" t="n">
        <v>648</v>
      </c>
      <c r="O253" s="28" t="inlineStr">
        <is>
          <t>45 m</t>
        </is>
      </c>
      <c r="P253" s="28" t="inlineStr">
        <is>
          <t>38 min</t>
        </is>
      </c>
      <c r="Q253" s="28" t="inlineStr">
        <is>
          <t>1 to 64</t>
        </is>
      </c>
      <c r="R253" s="28" t="inlineStr">
        <is>
          <t>https://hayday.fandom.com/wiki/Passion_Fruit_Juice</t>
        </is>
      </c>
    </row>
    <row r="254">
      <c r="A254" s="28" t="inlineStr">
        <is>
          <t>Passion Fruit Pie</t>
        </is>
      </c>
      <c r="B254" s="28" t="inlineStr">
        <is>
          <t>Passion Fruit Pie</t>
        </is>
      </c>
      <c r="C254" s="28" t="inlineStr">
        <is>
          <t>Product</t>
        </is>
      </c>
      <c r="D254" s="28" t="n">
        <v>92</v>
      </c>
      <c r="E254" s="28" t="n">
        <v>111</v>
      </c>
      <c r="F254" s="28" t="n">
        <v>50</v>
      </c>
      <c r="G254" s="28" t="n">
        <v>42</v>
      </c>
      <c r="H254" s="28" t="n">
        <v>13</v>
      </c>
      <c r="I254" s="28" t="inlineStr">
        <is>
          <t>Pie Oven</t>
        </is>
      </c>
      <c r="J254" s="28" t="n">
        <v>31</v>
      </c>
      <c r="K254" s="28" t="n">
        <v>3</v>
      </c>
      <c r="L254" s="28" t="inlineStr">
        <is>
          <t>Passion Fruit Pie.png</t>
        </is>
      </c>
      <c r="M254" s="28" t="n">
        <v>78</v>
      </c>
      <c r="N254" s="28" t="n">
        <v>1116</v>
      </c>
      <c r="O254" s="28" t="inlineStr">
        <is>
          <t>50 m</t>
        </is>
      </c>
      <c r="P254" s="28" t="inlineStr">
        <is>
          <t>42 min</t>
        </is>
      </c>
      <c r="Q254" s="28" t="inlineStr">
        <is>
          <t>1 to 111</t>
        </is>
      </c>
      <c r="R254" s="28" t="inlineStr">
        <is>
          <t>https://hayday.fandom.com/wiki/Passion_Fruit_Pie</t>
        </is>
      </c>
    </row>
    <row r="255">
      <c r="A255" s="28" t="inlineStr">
        <is>
          <t>Pasta Carbonara</t>
        </is>
      </c>
      <c r="B255" s="28" t="inlineStr">
        <is>
          <t>Pasta Carbonara</t>
        </is>
      </c>
      <c r="C255" s="28" t="inlineStr">
        <is>
          <t>Product</t>
        </is>
      </c>
      <c r="D255" s="28" t="n">
        <v>83</v>
      </c>
      <c r="E255" s="28" t="n">
        <v>410</v>
      </c>
      <c r="F255" s="28" t="n">
        <v>150</v>
      </c>
      <c r="G255" s="28" t="n">
        <v>127</v>
      </c>
      <c r="H255" s="28" t="n">
        <v>49</v>
      </c>
      <c r="I255" s="28" t="inlineStr">
        <is>
          <t>Pasta Kitchen</t>
        </is>
      </c>
      <c r="J255" s="28" t="n">
        <v>114</v>
      </c>
      <c r="K255" s="28" t="n">
        <v>6</v>
      </c>
      <c r="L255" s="28" t="inlineStr">
        <is>
          <t>Pasta Carbonara.png</t>
        </is>
      </c>
      <c r="M255" s="28" t="n">
        <v>369</v>
      </c>
      <c r="N255" s="28" t="n">
        <v>4104</v>
      </c>
      <c r="O255" s="28" t="inlineStr">
        <is>
          <t>2 h 30 min</t>
        </is>
      </c>
      <c r="P255" s="28" t="inlineStr">
        <is>
          <t>2 h 7 min</t>
        </is>
      </c>
      <c r="Q255" s="28" t="inlineStr">
        <is>
          <t>1 to 410</t>
        </is>
      </c>
      <c r="R255" s="28" t="inlineStr">
        <is>
          <t>https://hayday.fandom.com/wiki/Pasta_Carbonara</t>
        </is>
      </c>
    </row>
    <row r="256">
      <c r="A256" s="28" t="inlineStr">
        <is>
          <t>Pasta Salad</t>
        </is>
      </c>
      <c r="B256" s="28" t="inlineStr">
        <is>
          <t>Pasta Salad</t>
        </is>
      </c>
      <c r="C256" s="28" t="inlineStr">
        <is>
          <t>Product</t>
        </is>
      </c>
      <c r="D256" s="28" t="n">
        <v>67</v>
      </c>
      <c r="E256" s="28" t="n">
        <v>759</v>
      </c>
      <c r="F256" s="28" t="n">
        <v>150</v>
      </c>
      <c r="G256" s="28" t="n">
        <v>127</v>
      </c>
      <c r="H256" s="28" t="n">
        <v>90</v>
      </c>
      <c r="I256" s="28" t="inlineStr">
        <is>
          <t>Salad Bar</t>
        </is>
      </c>
      <c r="J256" s="28" t="n">
        <v>211</v>
      </c>
      <c r="K256" s="28" t="n">
        <v>6</v>
      </c>
      <c r="L256" s="28" t="inlineStr">
        <is>
          <t>Pasta Salad.png</t>
        </is>
      </c>
      <c r="M256" s="28" t="n">
        <v>721</v>
      </c>
      <c r="N256" s="28" t="n">
        <v>7596</v>
      </c>
      <c r="O256" s="28" t="inlineStr">
        <is>
          <t>2 h 30 min</t>
        </is>
      </c>
      <c r="P256" s="28" t="inlineStr">
        <is>
          <t>2 h 7 min</t>
        </is>
      </c>
      <c r="Q256" s="28" t="inlineStr">
        <is>
          <t>1 to 759</t>
        </is>
      </c>
      <c r="R256" s="28" t="inlineStr">
        <is>
          <t>https://hayday.fandom.com/wiki/Pasta_Salad</t>
        </is>
      </c>
    </row>
    <row r="257">
      <c r="A257" s="28" t="inlineStr">
        <is>
          <t>Peach</t>
        </is>
      </c>
      <c r="B257" s="28" t="inlineStr">
        <is>
          <t>Peach</t>
        </is>
      </c>
      <c r="C257" s="28" t="inlineStr">
        <is>
          <t>Crop</t>
        </is>
      </c>
      <c r="D257" s="28" t="n">
        <v>76</v>
      </c>
      <c r="E257" s="28" t="n">
        <v>100</v>
      </c>
      <c r="F257" s="28" t="n">
        <v>1800</v>
      </c>
      <c r="H257" s="28" t="n">
        <v>20</v>
      </c>
      <c r="I257" s="28" t="inlineStr">
        <is>
          <t>Peach Tree</t>
        </is>
      </c>
      <c r="J257" s="28" t="n">
        <v>28</v>
      </c>
      <c r="K257" s="28" t="n">
        <v>17</v>
      </c>
      <c r="L257" s="28" t="inlineStr">
        <is>
          <t>Peach.png</t>
        </is>
      </c>
      <c r="N257" s="28" t="n">
        <v>1008</v>
      </c>
      <c r="O257" s="28" t="inlineStr">
        <is>
          <t>1 d 6 h</t>
        </is>
      </c>
      <c r="Q257" s="28" t="inlineStr">
        <is>
          <t>1 to 100</t>
        </is>
      </c>
      <c r="R257" s="28" t="inlineStr">
        <is>
          <t>https://hayday.fandom.com/wiki/Peach</t>
        </is>
      </c>
    </row>
    <row r="258">
      <c r="A258" s="28" t="inlineStr">
        <is>
          <t>Peach Ice Cream</t>
        </is>
      </c>
      <c r="B258" s="28" t="inlineStr">
        <is>
          <t>Peach Ice Cream</t>
        </is>
      </c>
      <c r="C258" s="28" t="inlineStr">
        <is>
          <t>Product</t>
        </is>
      </c>
      <c r="D258" s="28" t="n">
        <v>83</v>
      </c>
      <c r="E258" s="28" t="n">
        <v>450</v>
      </c>
      <c r="F258" s="28" t="n">
        <v>180</v>
      </c>
      <c r="G258" s="28" t="n">
        <v>153</v>
      </c>
      <c r="H258" s="28" t="n">
        <v>54</v>
      </c>
      <c r="I258" s="28" t="inlineStr">
        <is>
          <t>Ice Cream Maker</t>
        </is>
      </c>
      <c r="J258" s="28" t="n">
        <v>125</v>
      </c>
      <c r="K258" s="28" t="n">
        <v>6</v>
      </c>
      <c r="L258" s="28" t="inlineStr">
        <is>
          <t>Peach Ice Cream.png</t>
        </is>
      </c>
      <c r="M258" s="28" t="n">
        <v>404</v>
      </c>
      <c r="N258" s="28" t="n">
        <v>4500</v>
      </c>
      <c r="O258" s="28" t="inlineStr">
        <is>
          <t>3 h</t>
        </is>
      </c>
      <c r="P258" s="28" t="inlineStr">
        <is>
          <t>2 h 33 min</t>
        </is>
      </c>
      <c r="Q258" s="28" t="inlineStr">
        <is>
          <t>1 to 450</t>
        </is>
      </c>
      <c r="R258" s="28" t="inlineStr">
        <is>
          <t>https://hayday.fandom.com/wiki/Peach_Ice_Cream</t>
        </is>
      </c>
    </row>
    <row r="259">
      <c r="A259" s="28" t="inlineStr">
        <is>
          <t>Peach Jam</t>
        </is>
      </c>
      <c r="B259" s="28" t="inlineStr">
        <is>
          <t>Peach Jam</t>
        </is>
      </c>
      <c r="C259" s="28" t="inlineStr">
        <is>
          <t>Product</t>
        </is>
      </c>
      <c r="D259" s="28" t="n">
        <v>79</v>
      </c>
      <c r="E259" s="28" t="n">
        <v>464</v>
      </c>
      <c r="F259" s="28" t="n">
        <v>480</v>
      </c>
      <c r="G259" s="28" t="n">
        <v>408</v>
      </c>
      <c r="H259" s="28" t="n">
        <v>55</v>
      </c>
      <c r="I259" s="28" t="inlineStr">
        <is>
          <t>Jam Maker</t>
        </is>
      </c>
      <c r="J259" s="28" t="n">
        <v>129</v>
      </c>
      <c r="K259" s="28" t="n">
        <v>9</v>
      </c>
      <c r="L259" s="28" t="inlineStr">
        <is>
          <t>Peach Jam.png</t>
        </is>
      </c>
      <c r="M259" s="28" t="n">
        <v>302</v>
      </c>
      <c r="N259" s="28" t="n">
        <v>4644</v>
      </c>
      <c r="O259" s="28" t="inlineStr">
        <is>
          <t>8 h</t>
        </is>
      </c>
      <c r="P259" s="28" t="inlineStr">
        <is>
          <t>6 h 48 min</t>
        </is>
      </c>
      <c r="Q259" s="28" t="inlineStr">
        <is>
          <t>1 to 464</t>
        </is>
      </c>
      <c r="R259" s="28" t="inlineStr">
        <is>
          <t>https://hayday.fandom.com/wiki/Peach_Jam</t>
        </is>
      </c>
    </row>
    <row r="260">
      <c r="A260" s="28" t="inlineStr">
        <is>
          <t>Peach Tart</t>
        </is>
      </c>
      <c r="B260" s="28" t="inlineStr">
        <is>
          <t>Peach Tart</t>
        </is>
      </c>
      <c r="C260" s="28" t="inlineStr">
        <is>
          <t>Product</t>
        </is>
      </c>
      <c r="D260" s="28" t="n">
        <v>76</v>
      </c>
      <c r="E260" s="28" t="n">
        <v>435</v>
      </c>
      <c r="F260" s="28" t="n">
        <v>150</v>
      </c>
      <c r="G260" s="28" t="n">
        <v>127</v>
      </c>
      <c r="H260" s="28" t="n">
        <v>52</v>
      </c>
      <c r="I260" s="28" t="inlineStr">
        <is>
          <t>Pie Oven</t>
        </is>
      </c>
      <c r="J260" s="28" t="n">
        <v>121</v>
      </c>
      <c r="K260" s="28" t="n">
        <v>6</v>
      </c>
      <c r="L260" s="28" t="inlineStr">
        <is>
          <t>Peach Tart.png</t>
        </is>
      </c>
      <c r="M260" s="28" t="n">
        <v>393</v>
      </c>
      <c r="N260" s="28" t="n">
        <v>4356</v>
      </c>
      <c r="O260" s="28" t="inlineStr">
        <is>
          <t>2 h 30 min</t>
        </is>
      </c>
      <c r="P260" s="28" t="inlineStr">
        <is>
          <t>2 h 7 min</t>
        </is>
      </c>
      <c r="Q260" s="28" t="inlineStr">
        <is>
          <t>1 to 435</t>
        </is>
      </c>
      <c r="R260" s="28" t="inlineStr">
        <is>
          <t>https://hayday.fandom.com/wiki/Peach_Tart</t>
        </is>
      </c>
    </row>
    <row r="261">
      <c r="A261" s="28" t="inlineStr">
        <is>
          <t>Peanut Butter Milkshake</t>
        </is>
      </c>
      <c r="B261" s="28" t="inlineStr">
        <is>
          <t>Peanut Butter Milkshake</t>
        </is>
      </c>
      <c r="C261" s="28" t="inlineStr">
        <is>
          <t>Product</t>
        </is>
      </c>
      <c r="D261" s="28" t="n">
        <v>68</v>
      </c>
      <c r="E261" s="28" t="n">
        <v>619</v>
      </c>
      <c r="F261" s="28" t="n">
        <v>100</v>
      </c>
      <c r="G261" s="28" t="n">
        <v>85</v>
      </c>
      <c r="H261" s="28" t="n">
        <v>86</v>
      </c>
      <c r="I261" s="28" t="inlineStr">
        <is>
          <t>Ice Cream Maker</t>
        </is>
      </c>
      <c r="J261" s="28" t="n">
        <v>172</v>
      </c>
      <c r="K261" s="28" t="n">
        <v>5</v>
      </c>
      <c r="L261" s="28" t="inlineStr">
        <is>
          <t>Peanut Butter Milkshake.png</t>
        </is>
      </c>
      <c r="M261" s="28" t="n">
        <v>574</v>
      </c>
      <c r="N261" s="28" t="n">
        <v>6192</v>
      </c>
      <c r="O261" s="28" t="inlineStr">
        <is>
          <t>1 h 40 min</t>
        </is>
      </c>
      <c r="P261" s="28" t="inlineStr">
        <is>
          <t>1 h 25 min</t>
        </is>
      </c>
      <c r="Q261" s="28" t="inlineStr">
        <is>
          <t>1 to 619</t>
        </is>
      </c>
      <c r="R261" s="28" t="inlineStr">
        <is>
          <t>https://hayday.fandom.com/wiki/Peanut_Butter_Milkshake</t>
        </is>
      </c>
    </row>
    <row r="262">
      <c r="A262" s="28" t="inlineStr">
        <is>
          <t>Peanut Butter and Jelly Sandwich</t>
        </is>
      </c>
      <c r="B262" s="28" t="inlineStr">
        <is>
          <t>Peanut Butter and Jelly Sandwich</t>
        </is>
      </c>
      <c r="C262" s="28" t="inlineStr">
        <is>
          <t>Product</t>
        </is>
      </c>
      <c r="D262" s="28" t="n">
        <v>71</v>
      </c>
      <c r="E262" s="28" t="n">
        <v>601</v>
      </c>
      <c r="F262" s="28" t="n">
        <v>25</v>
      </c>
      <c r="G262" s="28" t="n">
        <v>21</v>
      </c>
      <c r="H262" s="28" t="n">
        <v>80</v>
      </c>
      <c r="I262" s="28" t="inlineStr">
        <is>
          <t>Sandwich Bar</t>
        </is>
      </c>
      <c r="J262" s="28" t="n">
        <v>167</v>
      </c>
      <c r="K262" s="28" t="n">
        <v>3</v>
      </c>
      <c r="L262" s="28" t="inlineStr">
        <is>
          <t>Peanut Butter and Jelly Sandwich.png</t>
        </is>
      </c>
      <c r="M262" s="28" t="n">
        <v>528</v>
      </c>
      <c r="N262" s="28" t="n">
        <v>6012</v>
      </c>
      <c r="O262" s="28" t="inlineStr">
        <is>
          <t>25 min</t>
        </is>
      </c>
      <c r="P262" s="28" t="inlineStr">
        <is>
          <t>21 min</t>
        </is>
      </c>
      <c r="Q262" s="28" t="inlineStr">
        <is>
          <t>1 to 601</t>
        </is>
      </c>
      <c r="R262" s="28" t="inlineStr">
        <is>
          <t>https://hayday.fandom.com/wiki/Peanut_Butter_and_Jelly_Sandwich</t>
        </is>
      </c>
    </row>
    <row r="263">
      <c r="A263" s="28" t="inlineStr">
        <is>
          <t>Peanut Fudge</t>
        </is>
      </c>
      <c r="B263" s="28" t="inlineStr">
        <is>
          <t>Peanut Fudge</t>
        </is>
      </c>
      <c r="C263" s="28" t="inlineStr">
        <is>
          <t>Product</t>
        </is>
      </c>
      <c r="D263" s="28" t="n">
        <v>111</v>
      </c>
      <c r="E263" s="28" t="n">
        <v>1141</v>
      </c>
      <c r="F263" s="28" t="n">
        <v>90</v>
      </c>
      <c r="G263" s="28" t="n">
        <v>76</v>
      </c>
      <c r="H263" s="28" t="n">
        <v>136</v>
      </c>
      <c r="I263" s="28" t="inlineStr">
        <is>
          <t>Fudge Shop</t>
        </is>
      </c>
      <c r="J263" s="28" t="n">
        <v>317</v>
      </c>
      <c r="K263" s="28" t="n">
        <v>5</v>
      </c>
      <c r="L263" s="28" t="inlineStr">
        <is>
          <t>Peanut Fudge.png</t>
        </is>
      </c>
      <c r="M263" s="28" t="n">
        <v>854</v>
      </c>
      <c r="N263" s="28" t="n">
        <v>11412</v>
      </c>
      <c r="O263" s="28" t="inlineStr">
        <is>
          <t>1 h 30 m</t>
        </is>
      </c>
      <c r="P263" s="28" t="inlineStr">
        <is>
          <t>1 h 16 min</t>
        </is>
      </c>
      <c r="Q263" s="28" t="inlineStr">
        <is>
          <t>1 to 1,141</t>
        </is>
      </c>
      <c r="R263" s="28" t="inlineStr">
        <is>
          <t>https://hayday.fandom.com/wiki/Peanut_Fudge</t>
        </is>
      </c>
    </row>
    <row r="264">
      <c r="A264" s="28" t="inlineStr">
        <is>
          <t>Peanut Noodles</t>
        </is>
      </c>
      <c r="B264" s="28" t="inlineStr">
        <is>
          <t>Peanut Noodles</t>
        </is>
      </c>
      <c r="C264" s="28" t="inlineStr">
        <is>
          <t>Product</t>
        </is>
      </c>
      <c r="D264" s="28" t="n">
        <v>86</v>
      </c>
      <c r="E264" s="28" t="n">
        <v>597</v>
      </c>
      <c r="F264" s="28" t="n">
        <v>45</v>
      </c>
      <c r="G264" s="28" t="n">
        <v>38</v>
      </c>
      <c r="H264" s="28" t="n">
        <v>80</v>
      </c>
      <c r="I264" s="28" t="inlineStr">
        <is>
          <t>Wok Kitchen</t>
        </is>
      </c>
      <c r="J264" s="28" t="n">
        <v>166</v>
      </c>
      <c r="K264" s="28" t="n">
        <v>3</v>
      </c>
      <c r="L264" s="28" t="inlineStr">
        <is>
          <t>Peanut Noodles.png</t>
        </is>
      </c>
      <c r="M264" s="28" t="n">
        <v>516</v>
      </c>
      <c r="N264" s="28" t="n">
        <v>5976</v>
      </c>
      <c r="O264" s="28" t="inlineStr">
        <is>
          <t>45 min</t>
        </is>
      </c>
      <c r="P264" s="28" t="inlineStr">
        <is>
          <t>38 min</t>
        </is>
      </c>
      <c r="Q264" s="28" t="inlineStr">
        <is>
          <t>1 to 597</t>
        </is>
      </c>
      <c r="R264" s="28" t="inlineStr">
        <is>
          <t>https://hayday.fandom.com/wiki/Peanut_Noodles</t>
        </is>
      </c>
    </row>
    <row r="265">
      <c r="A265" s="28" t="inlineStr">
        <is>
          <t>Peony</t>
        </is>
      </c>
      <c r="B265" s="28" t="inlineStr">
        <is>
          <t>Peony</t>
        </is>
      </c>
      <c r="C265" s="28" t="inlineStr">
        <is>
          <t>Crop</t>
        </is>
      </c>
      <c r="D265" s="28" t="n">
        <v>82</v>
      </c>
      <c r="E265" s="28" t="n">
        <v>36</v>
      </c>
      <c r="F265" s="28" t="n">
        <v>240</v>
      </c>
      <c r="H265" s="28" t="n">
        <v>7</v>
      </c>
      <c r="I265" s="28" t="inlineStr">
        <is>
          <t>Farm</t>
        </is>
      </c>
      <c r="J265" s="28" t="n">
        <v>10</v>
      </c>
      <c r="K265" s="28" t="n">
        <v>7</v>
      </c>
      <c r="L265" s="28" t="inlineStr">
        <is>
          <t>Peony.png</t>
        </is>
      </c>
      <c r="N265" s="28" t="n">
        <v>360</v>
      </c>
      <c r="O265" s="28" t="inlineStr">
        <is>
          <t>4 h</t>
        </is>
      </c>
      <c r="Q265" s="28" t="inlineStr">
        <is>
          <t>1 to 36</t>
        </is>
      </c>
      <c r="R265" s="28" t="inlineStr">
        <is>
          <t>https://hayday.fandom.com/wiki/Peony</t>
        </is>
      </c>
    </row>
    <row r="266">
      <c r="A266" s="28" t="inlineStr">
        <is>
          <t>Pickles</t>
        </is>
      </c>
      <c r="B266" s="28" t="inlineStr">
        <is>
          <t>Pickles</t>
        </is>
      </c>
      <c r="C266" s="28" t="inlineStr">
        <is>
          <t>Product</t>
        </is>
      </c>
      <c r="D266" s="28" t="n">
        <v>91</v>
      </c>
      <c r="E266" s="28" t="n">
        <v>270</v>
      </c>
      <c r="F266" s="28" t="n">
        <v>240</v>
      </c>
      <c r="G266" s="28" t="n">
        <v>204</v>
      </c>
      <c r="H266" s="28" t="n">
        <v>32</v>
      </c>
      <c r="I266" s="28" t="inlineStr">
        <is>
          <t>Preservation Station</t>
        </is>
      </c>
      <c r="J266" s="28" t="n">
        <v>75</v>
      </c>
      <c r="K266" s="28" t="n">
        <v>7</v>
      </c>
      <c r="L266" s="28" t="inlineStr">
        <is>
          <t>Pickles.png</t>
        </is>
      </c>
      <c r="M266" s="28" t="n">
        <v>213</v>
      </c>
      <c r="N266" s="28" t="n">
        <v>2700</v>
      </c>
      <c r="O266" s="28" t="inlineStr">
        <is>
          <t>4 h</t>
        </is>
      </c>
      <c r="P266" s="28" t="inlineStr">
        <is>
          <t>3 h 24 min</t>
        </is>
      </c>
      <c r="Q266" s="28" t="inlineStr">
        <is>
          <t>1 to 270</t>
        </is>
      </c>
      <c r="R266" s="28" t="inlineStr">
        <is>
          <t>https://hayday.fandom.com/wiki/Pickles</t>
        </is>
      </c>
    </row>
    <row r="267">
      <c r="A267" s="28" t="inlineStr">
        <is>
          <t>Pig Feed</t>
        </is>
      </c>
      <c r="B267" s="28" t="inlineStr">
        <is>
          <t>Pig Feed</t>
        </is>
      </c>
      <c r="C267" s="28" t="inlineStr">
        <is>
          <t>Product</t>
        </is>
      </c>
      <c r="D267" s="28" t="n">
        <v>10</v>
      </c>
      <c r="E267" s="28" t="n">
        <v>14</v>
      </c>
      <c r="F267" s="28" t="n">
        <v>20</v>
      </c>
      <c r="G267" s="28" t="n">
        <v>17</v>
      </c>
      <c r="H267" s="28" t="n">
        <v>2</v>
      </c>
      <c r="I267" s="28" t="inlineStr">
        <is>
          <t>Feed Mill</t>
        </is>
      </c>
      <c r="J267" s="28" t="n">
        <v>4</v>
      </c>
      <c r="K267" s="28" t="n">
        <v>2</v>
      </c>
      <c r="L267" s="28" t="inlineStr">
        <is>
          <t>Pig_Feed.png</t>
        </is>
      </c>
      <c r="M267" s="28" t="n">
        <v>24</v>
      </c>
      <c r="N267" s="28" t="n">
        <v>144</v>
      </c>
      <c r="O267" s="28" t="inlineStr">
        <is>
          <t>20 min</t>
        </is>
      </c>
      <c r="P267" s="28" t="inlineStr">
        <is>
          <t>17 min</t>
        </is>
      </c>
      <c r="Q267" s="28" t="inlineStr">
        <is>
          <t>1 to 14</t>
        </is>
      </c>
      <c r="R267" s="28" t="inlineStr">
        <is>
          <t>https://hayday.fandom.com/wiki/Pig_Feed</t>
        </is>
      </c>
    </row>
    <row r="268">
      <c r="A268" s="28" t="inlineStr">
        <is>
          <t>Pillow</t>
        </is>
      </c>
      <c r="B268" s="28" t="inlineStr">
        <is>
          <t>Pillow</t>
        </is>
      </c>
      <c r="C268" s="28" t="inlineStr">
        <is>
          <t>Product</t>
        </is>
      </c>
      <c r="D268" s="28" t="n">
        <v>51</v>
      </c>
      <c r="E268" s="28" t="n">
        <v>676</v>
      </c>
      <c r="F268" s="28" t="n">
        <v>180</v>
      </c>
      <c r="G268" s="28" t="n">
        <v>153</v>
      </c>
      <c r="H268" s="28" t="n">
        <v>81</v>
      </c>
      <c r="I268" s="28" t="inlineStr">
        <is>
          <t>Sewing Machine</t>
        </is>
      </c>
      <c r="J268" s="28" t="n">
        <v>188</v>
      </c>
      <c r="K268" s="28" t="n">
        <v>6</v>
      </c>
      <c r="L268" s="28" t="inlineStr">
        <is>
          <t>Pillow.png</t>
        </is>
      </c>
      <c r="M268" s="28" t="n">
        <v>636</v>
      </c>
      <c r="N268" s="28" t="n">
        <v>6768</v>
      </c>
      <c r="O268" s="28" t="inlineStr">
        <is>
          <t>3 h</t>
        </is>
      </c>
      <c r="P268" s="28" t="inlineStr">
        <is>
          <t>2 h 33 min</t>
        </is>
      </c>
      <c r="Q268" s="28" t="inlineStr">
        <is>
          <t>1 to 676</t>
        </is>
      </c>
      <c r="R268" s="28" t="inlineStr">
        <is>
          <t>https://hayday.fandom.com/wiki/Pillow</t>
        </is>
      </c>
    </row>
    <row r="269">
      <c r="A269" s="28" t="inlineStr">
        <is>
          <t>Pineapple</t>
        </is>
      </c>
      <c r="B269" s="28" t="inlineStr">
        <is>
          <t>Pineapple</t>
        </is>
      </c>
      <c r="C269" s="28" t="inlineStr">
        <is>
          <t>Crop</t>
        </is>
      </c>
      <c r="D269" s="28" t="n">
        <v>52</v>
      </c>
      <c r="E269" s="28" t="n">
        <v>14</v>
      </c>
      <c r="F269" s="28" t="n">
        <v>30</v>
      </c>
      <c r="H269" s="28" t="n">
        <v>3</v>
      </c>
      <c r="I269" s="28" t="inlineStr">
        <is>
          <t>Farm</t>
        </is>
      </c>
      <c r="J269" s="28" t="n">
        <v>4</v>
      </c>
      <c r="K269" s="28" t="n">
        <v>3</v>
      </c>
      <c r="L269" s="28" t="inlineStr">
        <is>
          <t>Pineapple.png</t>
        </is>
      </c>
      <c r="N269" s="28" t="n">
        <v>144</v>
      </c>
      <c r="O269" s="28" t="inlineStr">
        <is>
          <t>30 min</t>
        </is>
      </c>
      <c r="Q269" s="28" t="inlineStr">
        <is>
          <t>1 to 14</t>
        </is>
      </c>
      <c r="R269" s="28" t="inlineStr">
        <is>
          <t>https://hayday.fandom.com/wiki/Pineapple</t>
        </is>
      </c>
    </row>
    <row r="270">
      <c r="A270" s="28" t="inlineStr">
        <is>
          <t>Pineapple Cake</t>
        </is>
      </c>
      <c r="B270" s="28" t="inlineStr">
        <is>
          <t>Pineapple Cake</t>
        </is>
      </c>
      <c r="C270" s="28" t="inlineStr">
        <is>
          <t>Product</t>
        </is>
      </c>
      <c r="D270" s="28" t="n">
        <v>65</v>
      </c>
      <c r="E270" s="28" t="n">
        <v>259</v>
      </c>
      <c r="F270" s="28" t="n">
        <v>75</v>
      </c>
      <c r="G270" s="28" t="n">
        <v>63</v>
      </c>
      <c r="H270" s="28" t="n">
        <v>31</v>
      </c>
      <c r="I270" s="28" t="inlineStr">
        <is>
          <t>Cake Oven</t>
        </is>
      </c>
      <c r="J270" s="28" t="n">
        <v>72</v>
      </c>
      <c r="K270" s="28" t="n">
        <v>4</v>
      </c>
      <c r="L270" s="28" t="inlineStr">
        <is>
          <t>Pineapple Cake.png</t>
        </is>
      </c>
      <c r="M270" s="28" t="n">
        <v>226</v>
      </c>
      <c r="N270" s="28" t="n">
        <v>2592</v>
      </c>
      <c r="O270" s="28" t="inlineStr">
        <is>
          <t>1 h 15 min</t>
        </is>
      </c>
      <c r="P270" s="28" t="inlineStr">
        <is>
          <t>1 h 3 min</t>
        </is>
      </c>
      <c r="Q270" s="28" t="inlineStr">
        <is>
          <t>1 to 259</t>
        </is>
      </c>
      <c r="R270" s="28" t="inlineStr">
        <is>
          <t>https://hayday.fandom.com/wiki/Pineapple_Cake</t>
        </is>
      </c>
    </row>
    <row r="271">
      <c r="A271" s="28" t="inlineStr">
        <is>
          <t>Pineapple Coconut Bars</t>
        </is>
      </c>
      <c r="B271" s="28" t="inlineStr">
        <is>
          <t>Pineapple Coconut Bars</t>
        </is>
      </c>
      <c r="C271" s="28" t="inlineStr">
        <is>
          <t>Product</t>
        </is>
      </c>
      <c r="D271" s="28" t="n">
        <v>120</v>
      </c>
      <c r="E271" s="28" t="n">
        <v>284</v>
      </c>
      <c r="F271" s="28" t="n">
        <v>40</v>
      </c>
      <c r="G271" s="28" t="n">
        <v>34</v>
      </c>
      <c r="H271" s="28" t="n">
        <v>34</v>
      </c>
      <c r="I271" s="28" t="inlineStr">
        <is>
          <t>Bakery</t>
        </is>
      </c>
      <c r="J271" s="28" t="n">
        <v>79</v>
      </c>
      <c r="K271" s="28" t="n">
        <v>3</v>
      </c>
      <c r="L271" s="28" t="inlineStr">
        <is>
          <t>Pineapple Coconut Bars.png</t>
        </is>
      </c>
      <c r="M271" s="28" t="n">
        <v>257</v>
      </c>
      <c r="N271" s="28" t="n">
        <v>2844</v>
      </c>
      <c r="O271" s="28" t="inlineStr">
        <is>
          <t>40 min</t>
        </is>
      </c>
      <c r="P271" s="28" t="inlineStr">
        <is>
          <t>34 min</t>
        </is>
      </c>
      <c r="Q271" s="28" t="inlineStr">
        <is>
          <t>1 to 284</t>
        </is>
      </c>
      <c r="R271" s="28" t="inlineStr">
        <is>
          <t>https://hayday.fandom.com/wiki/Pineapple_Coconut_Bars</t>
        </is>
      </c>
    </row>
    <row r="272">
      <c r="A272" s="28" t="inlineStr">
        <is>
          <t>Pineapple Juice</t>
        </is>
      </c>
      <c r="B272" s="28" t="inlineStr">
        <is>
          <t>Pineapple Juice</t>
        </is>
      </c>
      <c r="C272" s="28" t="inlineStr">
        <is>
          <t>Product</t>
        </is>
      </c>
      <c r="D272" s="28" t="n">
        <v>52</v>
      </c>
      <c r="E272" s="28" t="n">
        <v>68</v>
      </c>
      <c r="F272" s="28" t="n">
        <v>45</v>
      </c>
      <c r="G272" s="28" t="n">
        <v>38</v>
      </c>
      <c r="H272" s="28" t="n">
        <v>8</v>
      </c>
      <c r="I272" s="28" t="inlineStr">
        <is>
          <t>Juice Press</t>
        </is>
      </c>
      <c r="J272" s="28" t="n">
        <v>19</v>
      </c>
      <c r="K272" s="28" t="n">
        <v>3</v>
      </c>
      <c r="L272" s="28" t="inlineStr">
        <is>
          <t>Pineapple Juice Blue.png</t>
        </is>
      </c>
      <c r="M272" s="28" t="n">
        <v>42</v>
      </c>
      <c r="N272" s="28" t="n">
        <v>684</v>
      </c>
      <c r="O272" s="28" t="inlineStr">
        <is>
          <t>45 min</t>
        </is>
      </c>
      <c r="P272" s="28" t="inlineStr">
        <is>
          <t>38 min</t>
        </is>
      </c>
      <c r="Q272" s="28" t="inlineStr">
        <is>
          <t>1 to 68</t>
        </is>
      </c>
      <c r="R272" s="28" t="inlineStr">
        <is>
          <t>https://hayday.fandom.com/wiki/Pineapple_Juice</t>
        </is>
      </c>
    </row>
    <row r="273">
      <c r="A273" s="28" t="inlineStr">
        <is>
          <t>Pizza</t>
        </is>
      </c>
      <c r="B273" s="28" t="inlineStr">
        <is>
          <t>Pizza</t>
        </is>
      </c>
      <c r="C273" s="28" t="inlineStr">
        <is>
          <t>Product</t>
        </is>
      </c>
      <c r="D273" s="28" t="n">
        <v>33</v>
      </c>
      <c r="E273" s="28" t="n">
        <v>190</v>
      </c>
      <c r="F273" s="28" t="n">
        <v>15</v>
      </c>
      <c r="G273" s="28" t="n">
        <v>12</v>
      </c>
      <c r="H273" s="28" t="n">
        <v>23</v>
      </c>
      <c r="I273" s="28" t="inlineStr">
        <is>
          <t>Bakery</t>
        </is>
      </c>
      <c r="J273" s="28" t="n">
        <v>53</v>
      </c>
      <c r="K273" s="28" t="n">
        <v>2</v>
      </c>
      <c r="L273" s="28" t="inlineStr">
        <is>
          <t>Pizza.png</t>
        </is>
      </c>
      <c r="M273" s="28" t="n">
        <v>171</v>
      </c>
      <c r="N273" s="28" t="n">
        <v>1908</v>
      </c>
      <c r="O273" s="28" t="inlineStr">
        <is>
          <t>15 min</t>
        </is>
      </c>
      <c r="P273" s="28" t="inlineStr">
        <is>
          <t>12 min</t>
        </is>
      </c>
      <c r="Q273" s="28" t="inlineStr">
        <is>
          <t>1 to 190</t>
        </is>
      </c>
      <c r="R273" s="28" t="inlineStr">
        <is>
          <t>https://hayday.fandom.com/wiki/Pizza</t>
        </is>
      </c>
    </row>
    <row r="274">
      <c r="A274" s="28" t="inlineStr">
        <is>
          <t>Plain Cupcake</t>
        </is>
      </c>
      <c r="B274" s="28" t="inlineStr">
        <is>
          <t>Plain Cupcake</t>
        </is>
      </c>
      <c r="C274" s="28" t="inlineStr">
        <is>
          <t>Product</t>
        </is>
      </c>
      <c r="D274" s="28" t="n">
        <v>109</v>
      </c>
      <c r="E274" s="28" t="n">
        <v>280</v>
      </c>
      <c r="F274" s="28" t="n">
        <v>40</v>
      </c>
      <c r="G274" s="28" t="n">
        <v>34</v>
      </c>
      <c r="H274" s="28" t="n">
        <v>34</v>
      </c>
      <c r="I274" s="28" t="inlineStr">
        <is>
          <t>Cupcake Maker</t>
        </is>
      </c>
      <c r="J274" s="28" t="n">
        <v>78</v>
      </c>
      <c r="K274" s="28" t="n">
        <v>3</v>
      </c>
      <c r="L274" s="28" t="inlineStr">
        <is>
          <t>Plain Cupcake.png</t>
        </is>
      </c>
      <c r="M274" s="28" t="n">
        <v>251</v>
      </c>
      <c r="N274" s="28" t="n">
        <v>2808</v>
      </c>
      <c r="O274" s="28" t="inlineStr">
        <is>
          <t>40 min</t>
        </is>
      </c>
      <c r="P274" s="28" t="inlineStr">
        <is>
          <t>34 min</t>
        </is>
      </c>
      <c r="Q274" s="28" t="inlineStr">
        <is>
          <t>1 to 280</t>
        </is>
      </c>
      <c r="R274" s="28" t="inlineStr">
        <is>
          <t>https://hayday.fandom.com/wiki/Plain_Cupcake</t>
        </is>
      </c>
    </row>
    <row r="275">
      <c r="A275" s="28" t="inlineStr">
        <is>
          <t>Plain Donut</t>
        </is>
      </c>
      <c r="B275" s="28" t="inlineStr">
        <is>
          <t>Plain Donut</t>
        </is>
      </c>
      <c r="C275" s="28" t="inlineStr">
        <is>
          <t>Product</t>
        </is>
      </c>
      <c r="D275" s="28" t="n">
        <v>76</v>
      </c>
      <c r="E275" s="28" t="n">
        <v>129</v>
      </c>
      <c r="F275" s="28" t="n">
        <v>15</v>
      </c>
      <c r="G275" s="28" t="n">
        <v>12</v>
      </c>
      <c r="H275" s="28" t="n">
        <v>15</v>
      </c>
      <c r="I275" s="28" t="inlineStr">
        <is>
          <t>Donut Maker</t>
        </is>
      </c>
      <c r="J275" s="28" t="n">
        <v>36</v>
      </c>
      <c r="K275" s="28" t="n">
        <v>2</v>
      </c>
      <c r="L275" s="28" t="inlineStr">
        <is>
          <t>Plain Donut.png</t>
        </is>
      </c>
      <c r="M275" s="28" t="n">
        <v>109</v>
      </c>
      <c r="N275" s="28" t="n">
        <v>1296</v>
      </c>
      <c r="O275" s="28" t="inlineStr">
        <is>
          <t>15 min</t>
        </is>
      </c>
      <c r="P275" s="28" t="inlineStr">
        <is>
          <t>12 min</t>
        </is>
      </c>
      <c r="Q275" s="28" t="inlineStr">
        <is>
          <t>1 to 129</t>
        </is>
      </c>
      <c r="R275" s="28" t="inlineStr">
        <is>
          <t>https://hayday.fandom.com/wiki/Plain_Donut</t>
        </is>
      </c>
    </row>
    <row r="276">
      <c r="A276" s="28" t="inlineStr">
        <is>
          <t>Plain Yogurt</t>
        </is>
      </c>
      <c r="B276" s="28" t="inlineStr">
        <is>
          <t>Plain Yogurt</t>
        </is>
      </c>
      <c r="C276" s="28" t="inlineStr">
        <is>
          <t>Product</t>
        </is>
      </c>
      <c r="D276" s="28" t="n">
        <v>103</v>
      </c>
      <c r="E276" s="28" t="n">
        <v>234</v>
      </c>
      <c r="F276" s="28" t="n">
        <v>120</v>
      </c>
      <c r="G276" s="28" t="n">
        <v>102</v>
      </c>
      <c r="H276" s="28" t="n">
        <v>28</v>
      </c>
      <c r="I276" s="28" t="inlineStr">
        <is>
          <t>Yogurt Maker</t>
        </is>
      </c>
      <c r="J276" s="28" t="n">
        <v>65</v>
      </c>
      <c r="K276" s="28" t="n">
        <v>5</v>
      </c>
      <c r="L276" s="28" t="inlineStr">
        <is>
          <t>Plain Yogurt.png</t>
        </is>
      </c>
      <c r="M276" s="28" t="n">
        <v>197</v>
      </c>
      <c r="N276" s="28" t="n">
        <v>2340</v>
      </c>
      <c r="O276" s="28" t="inlineStr">
        <is>
          <t>2 h</t>
        </is>
      </c>
      <c r="P276" s="28" t="inlineStr">
        <is>
          <t>1 h 42 min</t>
        </is>
      </c>
      <c r="Q276" s="28" t="inlineStr">
        <is>
          <t>1 to 234</t>
        </is>
      </c>
      <c r="R276" s="28" t="inlineStr">
        <is>
          <t>https://hayday.fandom.com/wiki/Plain_Yogurt</t>
        </is>
      </c>
    </row>
    <row r="277">
      <c r="A277" s="28" t="inlineStr">
        <is>
          <t>Platinum Bar</t>
        </is>
      </c>
      <c r="B277" s="28" t="inlineStr">
        <is>
          <t>Platinum Bar</t>
        </is>
      </c>
      <c r="C277" s="28" t="inlineStr">
        <is>
          <t>Product</t>
        </is>
      </c>
      <c r="D277" s="28" t="n">
        <v>25</v>
      </c>
      <c r="E277" s="28" t="n">
        <v>205</v>
      </c>
      <c r="F277" s="28" t="n">
        <v>960</v>
      </c>
      <c r="G277" s="28" t="n">
        <v>816</v>
      </c>
      <c r="H277" s="28" t="n">
        <v>24</v>
      </c>
      <c r="I277" s="28" t="inlineStr">
        <is>
          <t>Smelter</t>
        </is>
      </c>
      <c r="J277" s="28" t="n">
        <v>57</v>
      </c>
      <c r="K277" s="28" t="n">
        <v>12</v>
      </c>
      <c r="L277" s="28" t="inlineStr">
        <is>
          <t>Platinum Bar.png</t>
        </is>
      </c>
      <c r="M277" s="28" t="n">
        <v>96</v>
      </c>
      <c r="N277" s="28" t="n">
        <v>2052</v>
      </c>
      <c r="O277" s="28" t="inlineStr">
        <is>
          <t>16 h</t>
        </is>
      </c>
      <c r="P277" s="28" t="inlineStr">
        <is>
          <t>13 h 36 min</t>
        </is>
      </c>
      <c r="Q277" s="28" t="inlineStr">
        <is>
          <t>1 to 205</t>
        </is>
      </c>
      <c r="R277" s="28" t="inlineStr">
        <is>
          <t>https://hayday.fandom.com/wiki/Platinum_Bar</t>
        </is>
      </c>
    </row>
    <row r="278">
      <c r="A278" s="28" t="inlineStr">
        <is>
          <t>Plum</t>
        </is>
      </c>
      <c r="B278" s="28" t="inlineStr">
        <is>
          <t>Plum</t>
        </is>
      </c>
      <c r="C278" s="28" t="inlineStr">
        <is>
          <t>Crop</t>
        </is>
      </c>
      <c r="D278" s="28" t="n">
        <v>94</v>
      </c>
      <c r="E278" s="28" t="n">
        <v>82</v>
      </c>
      <c r="F278" s="28" t="n">
        <v>1500</v>
      </c>
      <c r="H278" s="28" t="n">
        <v>16</v>
      </c>
      <c r="I278" s="28" t="inlineStr">
        <is>
          <t>Plum Tree</t>
        </is>
      </c>
      <c r="J278" s="28" t="n">
        <v>23</v>
      </c>
      <c r="K278" s="28" t="n">
        <v>16</v>
      </c>
      <c r="L278" s="28" t="inlineStr">
        <is>
          <t>Plum.png</t>
        </is>
      </c>
      <c r="N278" s="28" t="n">
        <v>828</v>
      </c>
      <c r="O278" s="28" t="inlineStr">
        <is>
          <t>1 d 1 h</t>
        </is>
      </c>
      <c r="Q278" s="28" t="inlineStr">
        <is>
          <t>1 to 82</t>
        </is>
      </c>
      <c r="R278" s="28" t="inlineStr">
        <is>
          <t>https://hayday.fandom.com/wiki/Plum</t>
        </is>
      </c>
    </row>
    <row r="279">
      <c r="A279" s="28" t="inlineStr">
        <is>
          <t>Plum Jam</t>
        </is>
      </c>
      <c r="B279" s="28" t="inlineStr">
        <is>
          <t>Plum Jam</t>
        </is>
      </c>
      <c r="C279" s="28" t="inlineStr">
        <is>
          <t>Product</t>
        </is>
      </c>
      <c r="D279" s="28" t="n">
        <v>94</v>
      </c>
      <c r="E279" s="28" t="n">
        <v>385</v>
      </c>
      <c r="F279" s="28" t="n">
        <v>300</v>
      </c>
      <c r="G279" s="28" t="n">
        <v>255</v>
      </c>
      <c r="H279" s="28" t="n">
        <v>46</v>
      </c>
      <c r="I279" s="28" t="inlineStr">
        <is>
          <t>Jam Maker</t>
        </is>
      </c>
      <c r="J279" s="28" t="n">
        <v>107</v>
      </c>
      <c r="K279" s="28" t="n">
        <v>7</v>
      </c>
      <c r="L279" s="28" t="inlineStr">
        <is>
          <t>Plum Jam.png</t>
        </is>
      </c>
      <c r="M279" s="28" t="n">
        <v>246</v>
      </c>
      <c r="N279" s="28" t="n">
        <v>3852</v>
      </c>
      <c r="O279" s="28" t="inlineStr">
        <is>
          <t>5 h</t>
        </is>
      </c>
      <c r="P279" s="28" t="inlineStr">
        <is>
          <t>4 h 15 m</t>
        </is>
      </c>
      <c r="Q279" s="28" t="inlineStr">
        <is>
          <t>1 to 385</t>
        </is>
      </c>
      <c r="R279" s="28" t="inlineStr">
        <is>
          <t>https://hayday.fandom.com/wiki/Plum_Jam</t>
        </is>
      </c>
    </row>
    <row r="280">
      <c r="A280" s="28" t="inlineStr">
        <is>
          <t>Plum Smoothie</t>
        </is>
      </c>
      <c r="B280" s="28" t="inlineStr">
        <is>
          <t>Plum Smoothie</t>
        </is>
      </c>
      <c r="C280" s="28" t="inlineStr">
        <is>
          <t>Product</t>
        </is>
      </c>
      <c r="D280" s="28" t="n">
        <v>102</v>
      </c>
      <c r="E280" s="28" t="n">
        <v>522</v>
      </c>
      <c r="F280" s="28" t="n">
        <v>35</v>
      </c>
      <c r="G280" s="28" t="n">
        <v>29</v>
      </c>
      <c r="H280" s="28" t="n">
        <v>62</v>
      </c>
      <c r="I280" s="28" t="inlineStr">
        <is>
          <t>Smoothie Mixer</t>
        </is>
      </c>
      <c r="J280" s="28" t="n">
        <v>145</v>
      </c>
      <c r="K280" s="28" t="n">
        <v>3</v>
      </c>
      <c r="L280" s="28" t="inlineStr">
        <is>
          <t>Plum Smoothie.png</t>
        </is>
      </c>
      <c r="M280" s="28" t="n">
        <v>496</v>
      </c>
      <c r="N280" s="28" t="n">
        <v>5220</v>
      </c>
      <c r="O280" s="28" t="inlineStr">
        <is>
          <t>35 min</t>
        </is>
      </c>
      <c r="P280" s="28" t="inlineStr">
        <is>
          <t>29 min</t>
        </is>
      </c>
      <c r="Q280" s="28" t="inlineStr">
        <is>
          <t>1 to 522</t>
        </is>
      </c>
      <c r="R280" s="28" t="inlineStr">
        <is>
          <t>https://hayday.fandom.com/wiki/Plum_Smoothie</t>
        </is>
      </c>
    </row>
    <row r="281">
      <c r="A281" s="28" t="inlineStr">
        <is>
          <t>Pomegranate</t>
        </is>
      </c>
      <c r="B281" s="28" t="inlineStr">
        <is>
          <t>Pomegranate</t>
        </is>
      </c>
      <c r="C281" s="28" t="inlineStr">
        <is>
          <t>Crop</t>
        </is>
      </c>
      <c r="D281" s="28" t="n">
        <v>107</v>
      </c>
      <c r="E281" s="28" t="n">
        <v>111</v>
      </c>
      <c r="F281" s="28" t="n">
        <v>1620</v>
      </c>
      <c r="H281" s="28" t="n">
        <v>22</v>
      </c>
      <c r="I281" s="28" t="inlineStr">
        <is>
          <t>Pomegranate Tree</t>
        </is>
      </c>
      <c r="J281" s="28" t="n">
        <v>31</v>
      </c>
      <c r="K281" s="28" t="n">
        <v>17</v>
      </c>
      <c r="L281" s="28" t="inlineStr">
        <is>
          <t>Pomegranate.png</t>
        </is>
      </c>
      <c r="N281" s="28" t="n">
        <v>1116</v>
      </c>
      <c r="O281" s="28" t="inlineStr">
        <is>
          <t>1 d 3 h</t>
        </is>
      </c>
      <c r="Q281" s="28" t="inlineStr">
        <is>
          <t>1 to 111</t>
        </is>
      </c>
      <c r="R281" s="28" t="inlineStr">
        <is>
          <t>https://hayday.fandom.com/wiki/Pomegranate</t>
        </is>
      </c>
    </row>
    <row r="282">
      <c r="A282" s="28" t="inlineStr">
        <is>
          <t>Pomegranate Cake</t>
        </is>
      </c>
      <c r="B282" s="28" t="inlineStr">
        <is>
          <t>Pomegranate Cake</t>
        </is>
      </c>
      <c r="C282" s="28" t="inlineStr">
        <is>
          <t>Product</t>
        </is>
      </c>
      <c r="D282" s="28" t="n">
        <v>108</v>
      </c>
      <c r="E282" s="28" t="n">
        <v>316</v>
      </c>
      <c r="F282" s="28" t="n">
        <v>160</v>
      </c>
      <c r="G282" s="28" t="n">
        <v>136</v>
      </c>
      <c r="H282" s="28" t="n">
        <v>38</v>
      </c>
      <c r="I282" s="28" t="inlineStr">
        <is>
          <t>Cake Oven</t>
        </is>
      </c>
      <c r="J282" s="28" t="n">
        <v>88</v>
      </c>
      <c r="K282" s="28" t="n">
        <v>6</v>
      </c>
      <c r="L282" s="28" t="inlineStr">
        <is>
          <t>Pomegranate Cake.png</t>
        </is>
      </c>
      <c r="M282" s="28" t="n">
        <v>265</v>
      </c>
      <c r="N282" s="28" t="n">
        <v>3168</v>
      </c>
      <c r="O282" s="28" t="inlineStr">
        <is>
          <t>2 h 40 min</t>
        </is>
      </c>
      <c r="P282" s="28" t="inlineStr">
        <is>
          <t>2 h 16 min</t>
        </is>
      </c>
      <c r="Q282" s="28" t="inlineStr">
        <is>
          <t>1 to 316</t>
        </is>
      </c>
      <c r="R282" s="28" t="inlineStr">
        <is>
          <t>https://hayday.fandom.com/wiki/Pomegranate_Cake</t>
        </is>
      </c>
    </row>
    <row r="283">
      <c r="A283" s="28" t="inlineStr">
        <is>
          <t>Pomegranate Tea</t>
        </is>
      </c>
      <c r="B283" s="28" t="inlineStr">
        <is>
          <t>Pomegranate Tea</t>
        </is>
      </c>
      <c r="C283" s="28" t="inlineStr">
        <is>
          <t>Product</t>
        </is>
      </c>
      <c r="D283" s="28" t="n">
        <v>107</v>
      </c>
      <c r="E283" s="28" t="n">
        <v>313</v>
      </c>
      <c r="F283" s="28" t="n">
        <v>34</v>
      </c>
      <c r="G283" s="28" t="n">
        <v>29</v>
      </c>
      <c r="H283" s="28" t="n">
        <v>37</v>
      </c>
      <c r="I283" s="28" t="inlineStr">
        <is>
          <t>Tea Stand</t>
        </is>
      </c>
      <c r="J283" s="28" t="n">
        <v>87</v>
      </c>
      <c r="K283" s="28" t="n">
        <v>3</v>
      </c>
      <c r="L283" s="28" t="inlineStr">
        <is>
          <t>Pomegranate Tea.png</t>
        </is>
      </c>
      <c r="M283" s="28" t="n">
        <v>283</v>
      </c>
      <c r="N283" s="28" t="n">
        <v>3132</v>
      </c>
      <c r="O283" s="28" t="inlineStr">
        <is>
          <t>34 min</t>
        </is>
      </c>
      <c r="P283" s="28" t="inlineStr">
        <is>
          <t>29 min</t>
        </is>
      </c>
      <c r="Q283" s="28" t="inlineStr">
        <is>
          <t>1 to 313</t>
        </is>
      </c>
      <c r="R283" s="28" t="inlineStr">
        <is>
          <t>https://hayday.fandom.com/wiki/Pomegranate_Tea</t>
        </is>
      </c>
    </row>
    <row r="284">
      <c r="A284" s="28" t="inlineStr">
        <is>
          <t>Popcorn</t>
        </is>
      </c>
      <c r="B284" s="28" t="inlineStr">
        <is>
          <t>Popcorn</t>
        </is>
      </c>
      <c r="C284" s="28" t="inlineStr">
        <is>
          <t>Product</t>
        </is>
      </c>
      <c r="D284" s="28" t="n">
        <v>8</v>
      </c>
      <c r="E284" s="28" t="n">
        <v>32</v>
      </c>
      <c r="F284" s="28" t="n">
        <v>30</v>
      </c>
      <c r="G284" s="28" t="n">
        <v>25</v>
      </c>
      <c r="H284" s="28" t="n">
        <v>4</v>
      </c>
      <c r="I284" s="28" t="inlineStr">
        <is>
          <t>Popcorn Pot</t>
        </is>
      </c>
      <c r="J284" s="28" t="n">
        <v>9</v>
      </c>
      <c r="K284" s="28" t="n">
        <v>3</v>
      </c>
      <c r="L284" s="28" t="inlineStr">
        <is>
          <t>Popcorn.png</t>
        </is>
      </c>
      <c r="M284" s="28" t="n">
        <v>14</v>
      </c>
      <c r="N284" s="28" t="n">
        <v>324</v>
      </c>
      <c r="O284" s="28" t="inlineStr">
        <is>
          <t>30 min</t>
        </is>
      </c>
      <c r="P284" s="28" t="inlineStr">
        <is>
          <t>25 min</t>
        </is>
      </c>
      <c r="Q284" s="28" t="inlineStr">
        <is>
          <t>1 to 32</t>
        </is>
      </c>
      <c r="R284" s="28" t="inlineStr">
        <is>
          <t>https://hayday.fandom.com/wiki/Popcorn</t>
        </is>
      </c>
    </row>
    <row r="285">
      <c r="A285" s="28" t="inlineStr">
        <is>
          <t>Potato</t>
        </is>
      </c>
      <c r="B285" s="28" t="inlineStr">
        <is>
          <t>Potato</t>
        </is>
      </c>
      <c r="C285" s="28" t="inlineStr">
        <is>
          <t>Crop</t>
        </is>
      </c>
      <c r="D285" s="28" t="n">
        <v>35</v>
      </c>
      <c r="E285" s="28" t="n">
        <v>36</v>
      </c>
      <c r="F285" s="28" t="n">
        <v>220</v>
      </c>
      <c r="H285" s="28" t="n">
        <v>7</v>
      </c>
      <c r="I285" s="28" t="inlineStr">
        <is>
          <t>Farm</t>
        </is>
      </c>
      <c r="J285" s="28" t="n">
        <v>10</v>
      </c>
      <c r="K285" s="28" t="n">
        <v>7</v>
      </c>
      <c r="L285" s="28" t="inlineStr">
        <is>
          <t>Potato.png</t>
        </is>
      </c>
      <c r="N285" s="28" t="n">
        <v>360</v>
      </c>
      <c r="O285" s="28" t="inlineStr">
        <is>
          <t>3 h 40 min</t>
        </is>
      </c>
      <c r="Q285" s="28" t="inlineStr">
        <is>
          <t>1 to 36</t>
        </is>
      </c>
      <c r="R285" s="28" t="inlineStr">
        <is>
          <t>https://hayday.fandom.com/wiki/Potato</t>
        </is>
      </c>
    </row>
    <row r="286">
      <c r="A286" s="28" t="inlineStr">
        <is>
          <t>Potato Bread</t>
        </is>
      </c>
      <c r="B286" s="28" t="inlineStr">
        <is>
          <t>Potato Bread</t>
        </is>
      </c>
      <c r="C286" s="28" t="inlineStr">
        <is>
          <t>Product</t>
        </is>
      </c>
      <c r="D286" s="28" t="n">
        <v>39</v>
      </c>
      <c r="E286" s="28" t="n">
        <v>284</v>
      </c>
      <c r="F286" s="28" t="n">
        <v>45</v>
      </c>
      <c r="G286" s="28" t="n">
        <v>38</v>
      </c>
      <c r="H286" s="28" t="n">
        <v>34</v>
      </c>
      <c r="I286" s="28" t="inlineStr">
        <is>
          <t>Bakery</t>
        </is>
      </c>
      <c r="J286" s="28" t="n">
        <v>79</v>
      </c>
      <c r="K286" s="28" t="n">
        <v>3</v>
      </c>
      <c r="L286" s="28" t="inlineStr">
        <is>
          <t>Potato Bread.png</t>
        </is>
      </c>
      <c r="M286" s="28" t="n">
        <v>258</v>
      </c>
      <c r="N286" s="28" t="n">
        <v>2844</v>
      </c>
      <c r="O286" s="28" t="inlineStr">
        <is>
          <t>45 min</t>
        </is>
      </c>
      <c r="P286" s="28" t="inlineStr">
        <is>
          <t>38 min</t>
        </is>
      </c>
      <c r="Q286" s="28" t="inlineStr">
        <is>
          <t>1 to 284</t>
        </is>
      </c>
      <c r="R286" s="28" t="inlineStr">
        <is>
          <t>https://hayday.fandom.com/wiki/Potato_Bread</t>
        </is>
      </c>
    </row>
    <row r="287">
      <c r="A287" s="28" t="inlineStr">
        <is>
          <t>Potato Feta Cake</t>
        </is>
      </c>
      <c r="B287" s="28" t="inlineStr">
        <is>
          <t>Potato Feta Cake</t>
        </is>
      </c>
      <c r="C287" s="28" t="inlineStr">
        <is>
          <t>Product</t>
        </is>
      </c>
      <c r="D287" s="28" t="n">
        <v>38</v>
      </c>
      <c r="E287" s="28" t="n">
        <v>309</v>
      </c>
      <c r="F287" s="28" t="n">
        <v>120</v>
      </c>
      <c r="G287" s="28" t="n">
        <v>102</v>
      </c>
      <c r="H287" s="28" t="n">
        <v>37</v>
      </c>
      <c r="I287" s="28" t="inlineStr">
        <is>
          <t>Cake Oven</t>
        </is>
      </c>
      <c r="J287" s="28" t="n">
        <v>86</v>
      </c>
      <c r="K287" s="28" t="n">
        <v>5</v>
      </c>
      <c r="L287" s="28" t="inlineStr">
        <is>
          <t>Potato_Feta_Cake.png</t>
        </is>
      </c>
      <c r="M287" s="28" t="n">
        <v>270</v>
      </c>
      <c r="N287" s="28" t="n">
        <v>3096</v>
      </c>
      <c r="O287" s="28" t="inlineStr">
        <is>
          <t>2 h</t>
        </is>
      </c>
      <c r="P287" s="28" t="inlineStr">
        <is>
          <t>1 h 42 min</t>
        </is>
      </c>
      <c r="Q287" s="28" t="inlineStr">
        <is>
          <t>1 to 309</t>
        </is>
      </c>
      <c r="R287" s="28" t="inlineStr">
        <is>
          <t>https://hayday.fandom.com/wiki/Potato_Feta_Cake</t>
        </is>
      </c>
    </row>
    <row r="288">
      <c r="A288" s="28" t="inlineStr">
        <is>
          <t>Potato Soup</t>
        </is>
      </c>
      <c r="B288" s="28" t="inlineStr">
        <is>
          <t>Potato Soup</t>
        </is>
      </c>
      <c r="C288" s="28" t="inlineStr">
        <is>
          <t>Product</t>
        </is>
      </c>
      <c r="D288" s="28" t="n">
        <v>78</v>
      </c>
      <c r="E288" s="28" t="n">
        <v>255</v>
      </c>
      <c r="F288" s="28" t="n">
        <v>150</v>
      </c>
      <c r="G288" s="28" t="n">
        <v>127</v>
      </c>
      <c r="H288" s="28" t="n">
        <v>31</v>
      </c>
      <c r="I288" s="28" t="inlineStr">
        <is>
          <t>Soup Kitchen</t>
        </is>
      </c>
      <c r="J288" s="28" t="n">
        <v>71</v>
      </c>
      <c r="K288" s="28" t="n">
        <v>6</v>
      </c>
      <c r="L288" s="28" t="inlineStr">
        <is>
          <t>Potato Soup.png</t>
        </is>
      </c>
      <c r="M288" s="28" t="n">
        <v>218</v>
      </c>
      <c r="N288" s="28" t="n">
        <v>2556</v>
      </c>
      <c r="O288" s="28" t="inlineStr">
        <is>
          <t>2 h 30 m</t>
        </is>
      </c>
      <c r="P288" s="28" t="inlineStr">
        <is>
          <t>2 h 7 min</t>
        </is>
      </c>
      <c r="Q288" s="28" t="inlineStr">
        <is>
          <t>1 to 255</t>
        </is>
      </c>
      <c r="R288" s="28" t="inlineStr">
        <is>
          <t>https://hayday.fandom.com/wiki/Potato_Soup</t>
        </is>
      </c>
    </row>
    <row r="289">
      <c r="A289" s="28" t="inlineStr">
        <is>
          <t>Potted Plant</t>
        </is>
      </c>
      <c r="B289" s="28" t="inlineStr">
        <is>
          <t>Potted Plant</t>
        </is>
      </c>
      <c r="C289" s="28" t="inlineStr">
        <is>
          <t>Product</t>
        </is>
      </c>
      <c r="D289" s="28" t="n">
        <v>96</v>
      </c>
      <c r="E289" s="28" t="n">
        <v>151</v>
      </c>
      <c r="F289" s="28" t="n">
        <v>220</v>
      </c>
      <c r="G289" s="28" t="n">
        <v>187</v>
      </c>
      <c r="H289" s="28" t="n">
        <v>26</v>
      </c>
      <c r="I289" s="28" t="inlineStr">
        <is>
          <t>Pottery Studio</t>
        </is>
      </c>
      <c r="J289" s="28" t="n">
        <v>42</v>
      </c>
      <c r="K289" s="28" t="n">
        <v>1</v>
      </c>
      <c r="L289" s="28" t="inlineStr">
        <is>
          <t>Potted Plant.png</t>
        </is>
      </c>
      <c r="M289" s="28" t="n">
        <v>75</v>
      </c>
      <c r="N289" s="28" t="n">
        <v>1512</v>
      </c>
      <c r="O289" s="28" t="inlineStr">
        <is>
          <t>3h 40m</t>
        </is>
      </c>
      <c r="P289" s="28" t="inlineStr">
        <is>
          <t>3h 7m</t>
        </is>
      </c>
      <c r="Q289" s="28" t="inlineStr">
        <is>
          <t>1 to 151</t>
        </is>
      </c>
      <c r="R289" s="28" t="inlineStr">
        <is>
          <t>https://hayday.fandom.com/wiki/Potted_Plant</t>
        </is>
      </c>
    </row>
    <row r="290">
      <c r="A290" s="28" t="inlineStr">
        <is>
          <t>Pumpkin</t>
        </is>
      </c>
      <c r="B290" s="28" t="inlineStr">
        <is>
          <t>Pumpkin</t>
        </is>
      </c>
      <c r="C290" s="28" t="inlineStr">
        <is>
          <t>Crop</t>
        </is>
      </c>
      <c r="D290" s="28" t="n">
        <v>15</v>
      </c>
      <c r="E290" s="28" t="n">
        <v>32</v>
      </c>
      <c r="F290" s="28" t="n">
        <v>180</v>
      </c>
      <c r="H290" s="28" t="n">
        <v>6</v>
      </c>
      <c r="I290" s="28" t="inlineStr">
        <is>
          <t>Farm</t>
        </is>
      </c>
      <c r="J290" s="28" t="n">
        <v>9</v>
      </c>
      <c r="K290" s="28" t="n">
        <v>6</v>
      </c>
      <c r="L290" s="28" t="inlineStr">
        <is>
          <t>Pumpkin.png</t>
        </is>
      </c>
      <c r="N290" s="28" t="n">
        <v>324</v>
      </c>
      <c r="O290" s="28" t="inlineStr">
        <is>
          <t>3 h</t>
        </is>
      </c>
      <c r="Q290" s="28" t="inlineStr">
        <is>
          <t>1 to 32</t>
        </is>
      </c>
      <c r="R290" s="28" t="inlineStr">
        <is>
          <t>https://hayday.fandom.com/wiki/Pumpkin</t>
        </is>
      </c>
    </row>
    <row r="291">
      <c r="A291" s="28" t="inlineStr">
        <is>
          <t>Pumpkin Pie</t>
        </is>
      </c>
      <c r="B291" s="28" t="inlineStr">
        <is>
          <t>Pumpkin Pie</t>
        </is>
      </c>
      <c r="C291" s="28" t="inlineStr">
        <is>
          <t>Product</t>
        </is>
      </c>
      <c r="D291" s="28" t="n">
        <v>15</v>
      </c>
      <c r="E291" s="28" t="n">
        <v>158</v>
      </c>
      <c r="F291" s="28" t="n">
        <v>120</v>
      </c>
      <c r="G291" s="28" t="n">
        <v>102</v>
      </c>
      <c r="H291" s="28" t="n">
        <v>19</v>
      </c>
      <c r="I291" s="28" t="inlineStr">
        <is>
          <t>Pie Oven</t>
        </is>
      </c>
      <c r="J291" s="28" t="n">
        <v>44</v>
      </c>
      <c r="K291" s="28" t="n">
        <v>5</v>
      </c>
      <c r="L291" s="28" t="inlineStr">
        <is>
          <t>Pumpkin Pie.png</t>
        </is>
      </c>
      <c r="M291" s="28" t="n">
        <v>120</v>
      </c>
      <c r="N291" s="28" t="n">
        <v>1584</v>
      </c>
      <c r="O291" s="28" t="inlineStr">
        <is>
          <t>2h</t>
        </is>
      </c>
      <c r="P291" s="28" t="inlineStr">
        <is>
          <t>1 h 42 min</t>
        </is>
      </c>
      <c r="Q291" s="28" t="inlineStr">
        <is>
          <t>1 to 158</t>
        </is>
      </c>
      <c r="R291" s="28" t="inlineStr">
        <is>
          <t>https://hayday.fandom.com/wiki/Pumpkin_Pie</t>
        </is>
      </c>
    </row>
    <row r="292">
      <c r="A292" s="28" t="inlineStr">
        <is>
          <t>Pumpkin Soup</t>
        </is>
      </c>
      <c r="B292" s="28" t="inlineStr">
        <is>
          <t>Pumpkin Soup</t>
        </is>
      </c>
      <c r="C292" s="28" t="inlineStr">
        <is>
          <t>Product</t>
        </is>
      </c>
      <c r="D292" s="28" t="n">
        <v>49</v>
      </c>
      <c r="E292" s="28" t="n">
        <v>392</v>
      </c>
      <c r="F292" s="28" t="n">
        <v>120</v>
      </c>
      <c r="G292" s="28" t="n">
        <v>102</v>
      </c>
      <c r="H292" s="28" t="n">
        <v>47</v>
      </c>
      <c r="I292" s="28" t="inlineStr">
        <is>
          <t>Soup Kitchen</t>
        </is>
      </c>
      <c r="J292" s="28" t="n">
        <v>109</v>
      </c>
      <c r="K292" s="28" t="n">
        <v>5</v>
      </c>
      <c r="L292" s="28" t="inlineStr">
        <is>
          <t>Pumpkin Soup.png</t>
        </is>
      </c>
      <c r="M292" s="28" t="n">
        <v>346</v>
      </c>
      <c r="N292" s="28" t="n">
        <v>3924</v>
      </c>
      <c r="O292" s="28" t="inlineStr">
        <is>
          <t>2 h</t>
        </is>
      </c>
      <c r="P292" s="28" t="inlineStr">
        <is>
          <t>1 h 42 min</t>
        </is>
      </c>
      <c r="Q292" s="28" t="inlineStr">
        <is>
          <t>1 to 392</t>
        </is>
      </c>
      <c r="R292" s="28" t="inlineStr">
        <is>
          <t>https://hayday.fandom.com/wiki/Pumpkin_Soup</t>
        </is>
      </c>
    </row>
    <row r="293">
      <c r="A293" s="28" t="inlineStr">
        <is>
          <t>Quesadilla</t>
        </is>
      </c>
      <c r="B293" s="28" t="inlineStr">
        <is>
          <t>Quesadilla</t>
        </is>
      </c>
      <c r="C293" s="28" t="inlineStr">
        <is>
          <t>Product</t>
        </is>
      </c>
      <c r="D293" s="28" t="n">
        <v>82</v>
      </c>
      <c r="E293" s="28" t="n">
        <v>241</v>
      </c>
      <c r="F293" s="28" t="n">
        <v>60</v>
      </c>
      <c r="G293" s="28" t="n">
        <v>51</v>
      </c>
      <c r="H293" s="28" t="n">
        <v>29</v>
      </c>
      <c r="I293" s="28" t="inlineStr">
        <is>
          <t>Taco Kitchen</t>
        </is>
      </c>
      <c r="J293" s="28" t="n">
        <v>67</v>
      </c>
      <c r="K293" s="28" t="n">
        <v>4</v>
      </c>
      <c r="L293" s="28" t="inlineStr">
        <is>
          <t>Quesadilla.png</t>
        </is>
      </c>
      <c r="M293" s="28" t="n">
        <v>206</v>
      </c>
      <c r="N293" s="28" t="n">
        <v>2412</v>
      </c>
      <c r="O293" s="28" t="inlineStr">
        <is>
          <t>1 h</t>
        </is>
      </c>
      <c r="P293" s="28" t="inlineStr">
        <is>
          <t>51 min</t>
        </is>
      </c>
      <c r="Q293" s="28" t="inlineStr">
        <is>
          <t>1 to 241</t>
        </is>
      </c>
      <c r="R293" s="28" t="inlineStr">
        <is>
          <t>https://hayday.fandom.com/wiki/Quesadilla</t>
        </is>
      </c>
    </row>
    <row r="294">
      <c r="A294" s="28" t="inlineStr">
        <is>
          <t>Raspberry</t>
        </is>
      </c>
      <c r="B294" s="28" t="inlineStr">
        <is>
          <t>Raspberry</t>
        </is>
      </c>
      <c r="C294" s="28" t="inlineStr">
        <is>
          <t>Crop</t>
        </is>
      </c>
      <c r="D294" s="28" t="n">
        <v>19</v>
      </c>
      <c r="E294" s="28" t="n">
        <v>46</v>
      </c>
      <c r="F294" s="28" t="n">
        <v>1080</v>
      </c>
      <c r="H294" s="28" t="n">
        <v>9</v>
      </c>
      <c r="I294" s="28" t="inlineStr">
        <is>
          <t>Raspberry Bush</t>
        </is>
      </c>
      <c r="J294" s="28" t="n">
        <v>13</v>
      </c>
      <c r="K294" s="28" t="n">
        <v>9</v>
      </c>
      <c r="L294" s="28" t="inlineStr">
        <is>
          <t>Raspberry.png</t>
        </is>
      </c>
      <c r="O294" s="28" t="inlineStr">
        <is>
          <t>18 h</t>
        </is>
      </c>
      <c r="Q294" s="28" t="inlineStr">
        <is>
          <t>1 to 46</t>
        </is>
      </c>
      <c r="R294" s="28" t="inlineStr">
        <is>
          <t>https://hayday.fandom.com/wiki/Raspberry</t>
        </is>
      </c>
    </row>
    <row r="295">
      <c r="A295" s="28" t="inlineStr">
        <is>
          <t>Raspberry Candle</t>
        </is>
      </c>
      <c r="B295" s="28" t="inlineStr">
        <is>
          <t>Raspberry Candle</t>
        </is>
      </c>
      <c r="C295" s="28" t="inlineStr">
        <is>
          <t>Product</t>
        </is>
      </c>
      <c r="D295" s="28" t="n">
        <v>52</v>
      </c>
      <c r="E295" s="28" t="n">
        <v>360</v>
      </c>
      <c r="F295" s="28" t="n">
        <v>105</v>
      </c>
      <c r="G295" s="28" t="n">
        <v>89</v>
      </c>
      <c r="H295" s="28" t="n">
        <v>43</v>
      </c>
      <c r="I295" s="28" t="inlineStr">
        <is>
          <t>Candle Maker</t>
        </is>
      </c>
      <c r="J295" s="28" t="n">
        <v>100</v>
      </c>
      <c r="K295" s="28" t="n">
        <v>5</v>
      </c>
      <c r="L295" s="28" t="inlineStr">
        <is>
          <t>Raspberry Candle.png</t>
        </is>
      </c>
      <c r="M295" s="28" t="n">
        <v>326</v>
      </c>
      <c r="N295" s="28" t="n">
        <v>3600</v>
      </c>
      <c r="O295" s="28" t="inlineStr">
        <is>
          <t>1 h 45 min</t>
        </is>
      </c>
      <c r="P295" s="28" t="inlineStr">
        <is>
          <t>1 h 29 min</t>
        </is>
      </c>
      <c r="Q295" s="28" t="inlineStr">
        <is>
          <t>1 to 360</t>
        </is>
      </c>
      <c r="R295" s="28" t="inlineStr">
        <is>
          <t>https://hayday.fandom.com/wiki/Raspberry_Candle</t>
        </is>
      </c>
    </row>
    <row r="296">
      <c r="A296" s="28" t="inlineStr">
        <is>
          <t>Raspberry Jam</t>
        </is>
      </c>
      <c r="B296" s="28" t="inlineStr">
        <is>
          <t>Raspberry Jam</t>
        </is>
      </c>
      <c r="C296" s="28" t="inlineStr">
        <is>
          <t>Product</t>
        </is>
      </c>
      <c r="D296" s="28" t="n">
        <v>36</v>
      </c>
      <c r="E296" s="28" t="n">
        <v>252</v>
      </c>
      <c r="F296" s="28" t="n">
        <v>420</v>
      </c>
      <c r="G296" s="28" t="n">
        <v>357</v>
      </c>
      <c r="H296" s="28" t="n">
        <v>30</v>
      </c>
      <c r="I296" s="28" t="inlineStr">
        <is>
          <t>Jam Maker</t>
        </is>
      </c>
      <c r="J296" s="28" t="n">
        <v>70</v>
      </c>
      <c r="K296" s="28" t="n">
        <v>8</v>
      </c>
      <c r="L296" s="28" t="inlineStr">
        <is>
          <t>Raspberry Jam.png</t>
        </is>
      </c>
      <c r="M296" s="28" t="n">
        <v>138</v>
      </c>
      <c r="N296" s="28" t="n">
        <v>2520</v>
      </c>
      <c r="O296" s="28" t="inlineStr">
        <is>
          <t>7 h</t>
        </is>
      </c>
      <c r="P296" s="28" t="inlineStr">
        <is>
          <t>5 h 57 min</t>
        </is>
      </c>
      <c r="Q296" s="28" t="inlineStr">
        <is>
          <t>1 to 252</t>
        </is>
      </c>
      <c r="R296" s="28" t="inlineStr">
        <is>
          <t>https://hayday.fandom.com/wiki/Raspberry_Jam</t>
        </is>
      </c>
    </row>
    <row r="297">
      <c r="A297" s="28" t="inlineStr">
        <is>
          <t>Raspberry Mocha</t>
        </is>
      </c>
      <c r="B297" s="28" t="inlineStr">
        <is>
          <t>Raspberry Mocha</t>
        </is>
      </c>
      <c r="C297" s="28" t="inlineStr">
        <is>
          <t>Product</t>
        </is>
      </c>
      <c r="D297" s="28" t="n">
        <v>46</v>
      </c>
      <c r="E297" s="28" t="n">
        <v>259</v>
      </c>
      <c r="F297" s="28" t="n">
        <v>30</v>
      </c>
      <c r="G297" s="28" t="n">
        <v>25</v>
      </c>
      <c r="H297" s="28" t="n">
        <v>31</v>
      </c>
      <c r="I297" s="28" t="inlineStr">
        <is>
          <t>Coffee Kiosk</t>
        </is>
      </c>
      <c r="J297" s="28" t="n">
        <v>72</v>
      </c>
      <c r="K297" s="28" t="n">
        <v>3</v>
      </c>
      <c r="L297" s="28" t="inlineStr">
        <is>
          <t>Raspberry Mocha.png</t>
        </is>
      </c>
      <c r="M297" s="28" t="n">
        <v>246</v>
      </c>
      <c r="N297" s="28" t="n">
        <v>2592</v>
      </c>
      <c r="O297" s="28" t="inlineStr">
        <is>
          <t>30 min</t>
        </is>
      </c>
      <c r="P297" s="28" t="inlineStr">
        <is>
          <t>25 min</t>
        </is>
      </c>
      <c r="Q297" s="28" t="inlineStr">
        <is>
          <t>1 to 259</t>
        </is>
      </c>
      <c r="R297" s="28" t="inlineStr">
        <is>
          <t>https://hayday.fandom.com/wiki/Raspberry_Mocha</t>
        </is>
      </c>
    </row>
    <row r="298">
      <c r="A298" s="28" t="inlineStr">
        <is>
          <t>Raspberry Muffin</t>
        </is>
      </c>
      <c r="B298" s="28" t="inlineStr">
        <is>
          <t>Raspberry Muffin</t>
        </is>
      </c>
      <c r="C298" s="28" t="inlineStr">
        <is>
          <t>Product</t>
        </is>
      </c>
      <c r="D298" s="28" t="n">
        <v>19</v>
      </c>
      <c r="E298" s="28" t="n">
        <v>140</v>
      </c>
      <c r="F298" s="28" t="n">
        <v>45</v>
      </c>
      <c r="G298" s="28" t="n">
        <v>38</v>
      </c>
      <c r="H298" s="28" t="n">
        <v>17</v>
      </c>
      <c r="I298" s="28" t="inlineStr">
        <is>
          <t>Bakery</t>
        </is>
      </c>
      <c r="J298" s="28" t="n">
        <v>39</v>
      </c>
      <c r="K298" s="28" t="n">
        <v>3</v>
      </c>
      <c r="L298" s="28" t="inlineStr">
        <is>
          <t>Raspberry_Muffin.png</t>
        </is>
      </c>
      <c r="M298" s="28" t="n">
        <v>114</v>
      </c>
      <c r="N298" s="28" t="n">
        <v>1404</v>
      </c>
      <c r="O298" s="28" t="inlineStr">
        <is>
          <t>45 min</t>
        </is>
      </c>
      <c r="P298" s="28" t="inlineStr">
        <is>
          <t>38 min</t>
        </is>
      </c>
      <c r="Q298" s="28" t="inlineStr">
        <is>
          <t>1 to 140</t>
        </is>
      </c>
      <c r="R298" s="28" t="inlineStr">
        <is>
          <t>https://hayday.fandom.com/wiki/Raspberry_Muffin</t>
        </is>
      </c>
    </row>
    <row r="299">
      <c r="A299" s="28" t="inlineStr">
        <is>
          <t>Red Berry Cake</t>
        </is>
      </c>
      <c r="B299" s="28" t="inlineStr">
        <is>
          <t>Red Berry Cake</t>
        </is>
      </c>
      <c r="C299" s="28" t="inlineStr">
        <is>
          <t>Product</t>
        </is>
      </c>
      <c r="D299" s="28" t="n">
        <v>23</v>
      </c>
      <c r="E299" s="28" t="n">
        <v>255</v>
      </c>
      <c r="F299" s="28" t="n">
        <v>60</v>
      </c>
      <c r="G299" s="28" t="n">
        <v>51</v>
      </c>
      <c r="H299" s="28" t="n">
        <v>31</v>
      </c>
      <c r="I299" s="28" t="inlineStr">
        <is>
          <t>Cake Oven</t>
        </is>
      </c>
      <c r="J299" s="28" t="n">
        <v>71</v>
      </c>
      <c r="K299" s="28" t="n">
        <v>4</v>
      </c>
      <c r="L299" s="28" t="inlineStr">
        <is>
          <t>Red Berry Cake.png</t>
        </is>
      </c>
      <c r="M299" s="28" t="n">
        <v>232</v>
      </c>
      <c r="N299" s="28" t="n">
        <v>2556</v>
      </c>
      <c r="O299" s="28" t="inlineStr">
        <is>
          <t>1 h</t>
        </is>
      </c>
      <c r="P299" s="28" t="inlineStr">
        <is>
          <t>51 min</t>
        </is>
      </c>
      <c r="Q299" s="28" t="inlineStr">
        <is>
          <t>1 to 255</t>
        </is>
      </c>
      <c r="R299" s="28" t="inlineStr">
        <is>
          <t>https://hayday.fandom.com/wiki/Red_Berry_Cake</t>
        </is>
      </c>
    </row>
    <row r="300">
      <c r="A300" s="28" t="inlineStr">
        <is>
          <t>Red Scarf</t>
        </is>
      </c>
      <c r="B300" s="28" t="inlineStr">
        <is>
          <t>Red Scarf</t>
        </is>
      </c>
      <c r="C300" s="28" t="inlineStr">
        <is>
          <t>Product</t>
        </is>
      </c>
      <c r="D300" s="28" t="n">
        <v>48</v>
      </c>
      <c r="E300" s="28" t="n">
        <v>288</v>
      </c>
      <c r="F300" s="28" t="n">
        <v>150</v>
      </c>
      <c r="G300" s="28" t="n">
        <v>127</v>
      </c>
      <c r="H300" s="28" t="n">
        <v>34</v>
      </c>
      <c r="I300" s="28" t="inlineStr">
        <is>
          <t>Loom</t>
        </is>
      </c>
      <c r="J300" s="28" t="n">
        <v>80</v>
      </c>
      <c r="K300" s="28" t="n">
        <v>6</v>
      </c>
      <c r="L300" s="28" t="inlineStr">
        <is>
          <t>Red Scarf.png</t>
        </is>
      </c>
      <c r="M300" s="28" t="n">
        <v>208</v>
      </c>
      <c r="N300" s="28" t="n">
        <v>2880</v>
      </c>
      <c r="O300" s="28" t="inlineStr">
        <is>
          <t>2 h 30 min</t>
        </is>
      </c>
      <c r="P300" s="28" t="inlineStr">
        <is>
          <t>2 h 7 min</t>
        </is>
      </c>
      <c r="Q300" s="28" t="inlineStr">
        <is>
          <t>1 to 288</t>
        </is>
      </c>
      <c r="R300" s="28" t="inlineStr">
        <is>
          <t>https://hayday.fandom.com/wiki/Red_Scarf</t>
        </is>
      </c>
    </row>
    <row r="301">
      <c r="A301" s="28" t="inlineStr">
        <is>
          <t>Refined Coal</t>
        </is>
      </c>
      <c r="B301" s="28" t="inlineStr">
        <is>
          <t>Refined Coal</t>
        </is>
      </c>
      <c r="C301" s="28" t="inlineStr">
        <is>
          <t>Product</t>
        </is>
      </c>
      <c r="D301" s="28" t="n">
        <v>33</v>
      </c>
      <c r="E301" s="28" t="n">
        <v>108</v>
      </c>
      <c r="F301" s="28" t="n">
        <v>360</v>
      </c>
      <c r="G301" s="28" t="n">
        <v>306</v>
      </c>
      <c r="H301" s="28" t="n">
        <v>13</v>
      </c>
      <c r="I301" s="28" t="inlineStr">
        <is>
          <t>Smelter</t>
        </is>
      </c>
      <c r="J301" s="28" t="n">
        <v>30</v>
      </c>
      <c r="K301" s="28" t="n">
        <v>7</v>
      </c>
      <c r="L301" s="28" t="inlineStr">
        <is>
          <t>Refined Coal.png</t>
        </is>
      </c>
      <c r="M301" s="28" t="n">
        <v>30</v>
      </c>
      <c r="N301" s="28" t="n">
        <v>1080</v>
      </c>
      <c r="O301" s="28" t="inlineStr">
        <is>
          <t>6 h</t>
        </is>
      </c>
      <c r="P301" s="28" t="inlineStr">
        <is>
          <t>5 h 6 min</t>
        </is>
      </c>
      <c r="Q301" s="28" t="inlineStr">
        <is>
          <t>1 to 108</t>
        </is>
      </c>
      <c r="R301" s="28" t="inlineStr">
        <is>
          <t>https://hayday.fandom.com/wiki/Refined_Coal</t>
        </is>
      </c>
    </row>
    <row r="302">
      <c r="A302" s="28" t="inlineStr">
        <is>
          <t>Rice</t>
        </is>
      </c>
      <c r="B302" s="28" t="inlineStr">
        <is>
          <t>Rice</t>
        </is>
      </c>
      <c r="C302" s="28" t="inlineStr">
        <is>
          <t>Crop</t>
        </is>
      </c>
      <c r="D302" s="28" t="n">
        <v>56</v>
      </c>
      <c r="E302" s="28" t="n">
        <v>18</v>
      </c>
      <c r="F302" s="28" t="n">
        <v>45</v>
      </c>
      <c r="H302" s="28" t="n">
        <v>3</v>
      </c>
      <c r="I302" s="28" t="inlineStr">
        <is>
          <t>Farm</t>
        </is>
      </c>
      <c r="J302" s="28" t="n">
        <v>5</v>
      </c>
      <c r="K302" s="28" t="n">
        <v>3</v>
      </c>
      <c r="L302" s="28" t="inlineStr">
        <is>
          <t>Rice.png</t>
        </is>
      </c>
      <c r="N302" s="28" t="n">
        <v>180</v>
      </c>
      <c r="O302" s="28" t="inlineStr">
        <is>
          <t>45 min</t>
        </is>
      </c>
      <c r="Q302" s="28" t="inlineStr">
        <is>
          <t>1 to 18</t>
        </is>
      </c>
      <c r="R302" s="28" t="inlineStr">
        <is>
          <t>https://hayday.fandom.com/wiki/Rice</t>
        </is>
      </c>
    </row>
    <row r="303">
      <c r="A303" s="28" t="inlineStr">
        <is>
          <t>Rice Ball</t>
        </is>
      </c>
      <c r="B303" s="28" t="inlineStr">
        <is>
          <t>Rice Ball</t>
        </is>
      </c>
      <c r="C303" s="28" t="inlineStr">
        <is>
          <t>Product</t>
        </is>
      </c>
      <c r="D303" s="28" t="n">
        <v>110</v>
      </c>
      <c r="E303" s="28" t="n">
        <v>464</v>
      </c>
      <c r="F303" s="28" t="n">
        <v>45</v>
      </c>
      <c r="G303" s="28" t="n">
        <v>38</v>
      </c>
      <c r="H303" s="28" t="n">
        <v>55</v>
      </c>
      <c r="I303" s="28" t="inlineStr">
        <is>
          <t>Sushi Bar</t>
        </is>
      </c>
      <c r="J303" s="28" t="n">
        <v>129</v>
      </c>
      <c r="K303" s="28" t="n">
        <v>3</v>
      </c>
      <c r="L303" s="28" t="inlineStr">
        <is>
          <t>Rice Ball.png</t>
        </is>
      </c>
      <c r="M303" s="28" t="n">
        <v>460</v>
      </c>
      <c r="N303" s="28" t="n">
        <v>4644</v>
      </c>
      <c r="O303" s="28" t="inlineStr">
        <is>
          <t>45 min</t>
        </is>
      </c>
      <c r="P303" s="28" t="inlineStr">
        <is>
          <t>38 min</t>
        </is>
      </c>
      <c r="Q303" s="28" t="inlineStr">
        <is>
          <t>1 to 464</t>
        </is>
      </c>
      <c r="R303" s="28" t="inlineStr">
        <is>
          <t>https://hayday.fandom.com/wiki/Rice_Ball</t>
        </is>
      </c>
    </row>
    <row r="304">
      <c r="A304" s="28" t="inlineStr">
        <is>
          <t>Rice Noodles</t>
        </is>
      </c>
      <c r="B304" s="28" t="inlineStr">
        <is>
          <t>Rice Noodles</t>
        </is>
      </c>
      <c r="C304" s="28" t="inlineStr">
        <is>
          <t>Product</t>
        </is>
      </c>
      <c r="D304" s="28" t="n">
        <v>73</v>
      </c>
      <c r="E304" s="28" t="n">
        <v>100</v>
      </c>
      <c r="F304" s="28" t="n">
        <v>20</v>
      </c>
      <c r="G304" s="28" t="n">
        <v>17</v>
      </c>
      <c r="H304" s="28" t="n">
        <v>12</v>
      </c>
      <c r="I304" s="28" t="inlineStr">
        <is>
          <t>Pasta Maker</t>
        </is>
      </c>
      <c r="J304" s="28" t="n">
        <v>28</v>
      </c>
      <c r="K304" s="28" t="n">
        <v>2</v>
      </c>
      <c r="L304" s="28" t="inlineStr">
        <is>
          <t>Rice Noodles.png</t>
        </is>
      </c>
      <c r="M304" s="28" t="n">
        <v>90</v>
      </c>
      <c r="N304" s="28" t="n">
        <v>1008</v>
      </c>
      <c r="O304" s="28" t="inlineStr">
        <is>
          <t>20 min</t>
        </is>
      </c>
      <c r="P304" s="28" t="inlineStr">
        <is>
          <t>17 min</t>
        </is>
      </c>
      <c r="Q304" s="28" t="inlineStr">
        <is>
          <t>1 to 100</t>
        </is>
      </c>
      <c r="R304" s="28" t="inlineStr">
        <is>
          <t>https://hayday.fandom.com/wiki/Rice_Noodles</t>
        </is>
      </c>
    </row>
    <row r="305">
      <c r="A305" s="28" t="inlineStr">
        <is>
          <t>Rich Fudge</t>
        </is>
      </c>
      <c r="B305" s="28" t="inlineStr">
        <is>
          <t>Rich Fudge</t>
        </is>
      </c>
      <c r="C305" s="28" t="inlineStr">
        <is>
          <t>Product</t>
        </is>
      </c>
      <c r="D305" s="28" t="n">
        <v>99</v>
      </c>
      <c r="E305" s="28" t="n">
        <v>644</v>
      </c>
      <c r="F305" s="28" t="n">
        <v>120</v>
      </c>
      <c r="G305" s="28" t="n">
        <v>102</v>
      </c>
      <c r="H305" s="28" t="n">
        <v>77</v>
      </c>
      <c r="I305" s="28" t="inlineStr">
        <is>
          <t>Fudge Shop</t>
        </is>
      </c>
      <c r="J305" s="28" t="n">
        <v>179</v>
      </c>
      <c r="K305" s="28" t="n">
        <v>5</v>
      </c>
      <c r="L305" s="28" t="inlineStr">
        <is>
          <t>Rich Fudge.png</t>
        </is>
      </c>
      <c r="M305" s="28" t="n">
        <v>604</v>
      </c>
      <c r="N305" s="28" t="n">
        <v>6444</v>
      </c>
      <c r="O305" s="28" t="inlineStr">
        <is>
          <t>2 h</t>
        </is>
      </c>
      <c r="P305" s="28" t="inlineStr">
        <is>
          <t>1 h 42 min</t>
        </is>
      </c>
      <c r="Q305" s="28" t="inlineStr">
        <is>
          <t>1 to 644</t>
        </is>
      </c>
      <c r="R305" s="28" t="inlineStr">
        <is>
          <t>https://hayday.fandom.com/wiki/Rich_Fudge</t>
        </is>
      </c>
    </row>
    <row r="306">
      <c r="A306" s="28" t="inlineStr">
        <is>
          <t>Rich Soap</t>
        </is>
      </c>
      <c r="B306" s="28" t="inlineStr">
        <is>
          <t>Rich Soap</t>
        </is>
      </c>
      <c r="C306" s="28" t="inlineStr">
        <is>
          <t>Product</t>
        </is>
      </c>
      <c r="D306" s="28" t="n">
        <v>121</v>
      </c>
      <c r="E306" s="28" t="n">
        <v>266</v>
      </c>
      <c r="F306" s="28" t="n">
        <v>70</v>
      </c>
      <c r="G306" s="28" t="n">
        <v>59</v>
      </c>
      <c r="H306" s="28" t="n">
        <v>32</v>
      </c>
      <c r="I306" s="28" t="inlineStr">
        <is>
          <t>Bath Kiosk</t>
        </is>
      </c>
      <c r="J306" s="28" t="n">
        <v>101</v>
      </c>
      <c r="K306" s="28" t="n">
        <v>4</v>
      </c>
      <c r="L306" s="28" t="inlineStr">
        <is>
          <t>Rich Soap.png</t>
        </is>
      </c>
      <c r="M306" s="28" t="n">
        <v>233</v>
      </c>
      <c r="N306" s="28" t="n">
        <v>2664</v>
      </c>
      <c r="O306" s="28" t="inlineStr">
        <is>
          <t>1 hr 10 min</t>
        </is>
      </c>
      <c r="P306" s="28" t="inlineStr">
        <is>
          <t>59 min</t>
        </is>
      </c>
      <c r="Q306" s="28" t="inlineStr">
        <is>
          <t>1 to 266</t>
        </is>
      </c>
      <c r="R306" s="28" t="inlineStr">
        <is>
          <t>https://hayday.fandom.com/wiki/Rich_Soap</t>
        </is>
      </c>
    </row>
    <row r="307">
      <c r="A307" s="28" t="inlineStr">
        <is>
          <t>Roasted Tomatoes</t>
        </is>
      </c>
      <c r="B307" s="28" t="inlineStr">
        <is>
          <t>Roasted Tomatoes</t>
        </is>
      </c>
      <c r="C307" s="28" t="inlineStr">
        <is>
          <t>Product</t>
        </is>
      </c>
      <c r="D307" s="28" t="n">
        <v>30</v>
      </c>
      <c r="E307" s="28" t="n">
        <v>118</v>
      </c>
      <c r="F307" s="28" t="n">
        <v>90</v>
      </c>
      <c r="G307" s="28" t="n">
        <v>76</v>
      </c>
      <c r="H307" s="28" t="n">
        <v>14</v>
      </c>
      <c r="I307" s="28" t="inlineStr">
        <is>
          <t>BBQ Grill</t>
        </is>
      </c>
      <c r="J307" s="28" t="n">
        <v>33</v>
      </c>
      <c r="K307" s="28" t="n">
        <v>5</v>
      </c>
      <c r="L307" s="28" t="inlineStr">
        <is>
          <t>Roasted Tomatoes.png</t>
        </is>
      </c>
      <c r="M307" s="28" t="n">
        <v>86</v>
      </c>
      <c r="O307" s="28" t="inlineStr">
        <is>
          <t>1 h 30 min</t>
        </is>
      </c>
      <c r="P307" s="28" t="inlineStr">
        <is>
          <t>1 h 16 min</t>
        </is>
      </c>
      <c r="Q307" s="28" t="inlineStr">
        <is>
          <t>1 to 118</t>
        </is>
      </c>
      <c r="R307" s="28" t="inlineStr">
        <is>
          <t>https://hayday.fandom.com/wiki/Roasted_Tomatoes</t>
        </is>
      </c>
    </row>
    <row r="308">
      <c r="A308" s="28" t="inlineStr">
        <is>
          <t>Rustic Bouquet</t>
        </is>
      </c>
      <c r="B308" s="28" t="inlineStr">
        <is>
          <t>Rustic Bouquet</t>
        </is>
      </c>
      <c r="C308" s="28" t="inlineStr">
        <is>
          <t>Product</t>
        </is>
      </c>
      <c r="D308" s="28" t="n">
        <v>49</v>
      </c>
      <c r="E308" s="28" t="n">
        <v>208</v>
      </c>
      <c r="F308" s="28" t="n">
        <v>45</v>
      </c>
      <c r="G308" s="28" t="n">
        <v>38</v>
      </c>
      <c r="H308" s="28" t="n">
        <v>25</v>
      </c>
      <c r="I308" s="28" t="inlineStr">
        <is>
          <t>Flower Shop</t>
        </is>
      </c>
      <c r="J308" s="28" t="n">
        <v>58</v>
      </c>
      <c r="K308" s="28" t="n">
        <v>3</v>
      </c>
      <c r="L308" s="28" t="inlineStr">
        <is>
          <t>Rustic Bouquet.png</t>
        </is>
      </c>
      <c r="M308" s="28" t="n">
        <v>168</v>
      </c>
      <c r="N308" s="28" t="n">
        <v>2088</v>
      </c>
      <c r="O308" s="28" t="inlineStr">
        <is>
          <t>45 min</t>
        </is>
      </c>
      <c r="P308" s="28" t="inlineStr">
        <is>
          <t>38 min</t>
        </is>
      </c>
      <c r="Q308" s="28" t="inlineStr">
        <is>
          <t>1 to 208</t>
        </is>
      </c>
      <c r="R308" s="28" t="inlineStr">
        <is>
          <t>https://hayday.fandom.com/wiki/Rustic_Bouquet</t>
        </is>
      </c>
    </row>
    <row r="309">
      <c r="A309" s="28" t="inlineStr">
        <is>
          <t>Salsa</t>
        </is>
      </c>
      <c r="B309" s="28" t="inlineStr">
        <is>
          <t>Salsa</t>
        </is>
      </c>
      <c r="C309" s="28" t="inlineStr">
        <is>
          <t>Product</t>
        </is>
      </c>
      <c r="D309" s="28" t="n">
        <v>77</v>
      </c>
      <c r="E309" s="28" t="n">
        <v>252</v>
      </c>
      <c r="F309" s="28" t="n">
        <v>20</v>
      </c>
      <c r="G309" s="28" t="n">
        <v>17</v>
      </c>
      <c r="H309" s="28" t="n">
        <v>30</v>
      </c>
      <c r="I309" s="28" t="inlineStr">
        <is>
          <t>Sauce Maker</t>
        </is>
      </c>
      <c r="J309" s="28" t="n">
        <v>70</v>
      </c>
      <c r="K309" s="28" t="n">
        <v>2</v>
      </c>
      <c r="L309" s="28" t="inlineStr">
        <is>
          <t>Salsa.png</t>
        </is>
      </c>
      <c r="M309" s="28" t="n">
        <v>236</v>
      </c>
      <c r="N309" s="28" t="n">
        <v>2520</v>
      </c>
      <c r="O309" s="28" t="inlineStr">
        <is>
          <t>20 min</t>
        </is>
      </c>
      <c r="P309" s="28" t="inlineStr">
        <is>
          <t>17 min</t>
        </is>
      </c>
      <c r="Q309" s="28" t="inlineStr">
        <is>
          <t>1 to 252</t>
        </is>
      </c>
      <c r="R309" s="28" t="inlineStr">
        <is>
          <t>https://hayday.fandom.com/wiki/Salsa</t>
        </is>
      </c>
    </row>
    <row r="310">
      <c r="A310" s="28" t="inlineStr">
        <is>
          <t>Samosa</t>
        </is>
      </c>
      <c r="B310" s="28" t="inlineStr">
        <is>
          <t>Samosa</t>
        </is>
      </c>
      <c r="C310" s="28" t="inlineStr">
        <is>
          <t>Product</t>
        </is>
      </c>
      <c r="D310" s="28" t="n">
        <v>103</v>
      </c>
      <c r="E310" s="28" t="n">
        <v>223</v>
      </c>
      <c r="F310" s="28" t="n">
        <v>75</v>
      </c>
      <c r="G310" s="28" t="n">
        <v>63</v>
      </c>
      <c r="H310" s="28" t="n">
        <v>27</v>
      </c>
      <c r="I310" s="28" t="inlineStr">
        <is>
          <t>Deep Fryer</t>
        </is>
      </c>
      <c r="J310" s="28" t="n">
        <v>62</v>
      </c>
      <c r="K310" s="28" t="n">
        <v>4</v>
      </c>
      <c r="L310" s="28" t="inlineStr">
        <is>
          <t>Samosa.png</t>
        </is>
      </c>
      <c r="M310" s="28" t="n">
        <v>192</v>
      </c>
      <c r="N310" s="28" t="n">
        <v>2232</v>
      </c>
      <c r="O310" s="28" t="inlineStr">
        <is>
          <t>1 h 15 min</t>
        </is>
      </c>
      <c r="P310" s="28" t="inlineStr">
        <is>
          <t>1 h 3 min</t>
        </is>
      </c>
      <c r="Q310" s="28" t="inlineStr">
        <is>
          <t>1 to 223</t>
        </is>
      </c>
      <c r="R310" s="28" t="inlineStr">
        <is>
          <t>https://hayday.fandom.com/wiki/Samosa</t>
        </is>
      </c>
    </row>
    <row r="311">
      <c r="A311" s="28" t="inlineStr">
        <is>
          <t>Seafood Salad</t>
        </is>
      </c>
      <c r="B311" s="28" t="inlineStr">
        <is>
          <t>Seafood Salad</t>
        </is>
      </c>
      <c r="C311" s="28" t="inlineStr">
        <is>
          <t>Product</t>
        </is>
      </c>
      <c r="D311" s="28" t="n">
        <v>64</v>
      </c>
      <c r="E311" s="28" t="n">
        <v>763</v>
      </c>
      <c r="F311" s="28" t="n">
        <v>120</v>
      </c>
      <c r="G311" s="28" t="n">
        <v>102</v>
      </c>
      <c r="H311" s="28" t="n">
        <v>91</v>
      </c>
      <c r="I311" s="28" t="inlineStr">
        <is>
          <t>Salad Bar</t>
        </is>
      </c>
      <c r="J311" s="28" t="n">
        <v>212</v>
      </c>
      <c r="K311" s="28" t="n">
        <v>5</v>
      </c>
      <c r="L311" s="28" t="inlineStr">
        <is>
          <t>Seafood_Salad.png</t>
        </is>
      </c>
      <c r="M311" s="28" t="n">
        <v>718</v>
      </c>
      <c r="N311" s="28" t="n">
        <v>7632</v>
      </c>
      <c r="O311" s="28" t="inlineStr">
        <is>
          <t>2 h</t>
        </is>
      </c>
      <c r="P311" s="28" t="inlineStr">
        <is>
          <t>1 h 42 min</t>
        </is>
      </c>
      <c r="Q311" s="28" t="inlineStr">
        <is>
          <t>1 to 763</t>
        </is>
      </c>
      <c r="R311" s="28" t="inlineStr">
        <is>
          <t>https://hayday.fandom.com/wiki/Seafood_Salad</t>
        </is>
      </c>
    </row>
    <row r="312">
      <c r="A312" s="28" t="inlineStr">
        <is>
          <t>Sesame</t>
        </is>
      </c>
      <c r="B312" s="28" t="inlineStr">
        <is>
          <t>Sesame</t>
        </is>
      </c>
      <c r="C312" s="28" t="inlineStr">
        <is>
          <t>Crop</t>
        </is>
      </c>
      <c r="D312" s="28" t="n">
        <v>50</v>
      </c>
      <c r="E312" s="28" t="n">
        <v>18</v>
      </c>
      <c r="F312" s="28" t="n">
        <v>60</v>
      </c>
      <c r="H312" s="28" t="n">
        <v>4</v>
      </c>
      <c r="I312" s="28" t="inlineStr">
        <is>
          <t>Farm</t>
        </is>
      </c>
      <c r="J312" s="28" t="n">
        <v>5</v>
      </c>
      <c r="K312" s="28" t="n">
        <v>4</v>
      </c>
      <c r="L312" s="28" t="inlineStr">
        <is>
          <t>Sesame.png</t>
        </is>
      </c>
      <c r="N312" s="28" t="n">
        <v>180</v>
      </c>
      <c r="O312" s="28" t="inlineStr">
        <is>
          <t>1 h</t>
        </is>
      </c>
      <c r="Q312" s="28" t="inlineStr">
        <is>
          <t>1 to 18</t>
        </is>
      </c>
      <c r="R312" s="28" t="inlineStr">
        <is>
          <t>https://hayday.fandom.com/wiki/Sesame</t>
        </is>
      </c>
    </row>
    <row r="313">
      <c r="A313" s="28" t="inlineStr">
        <is>
          <t>Sesame Brittle</t>
        </is>
      </c>
      <c r="B313" s="28" t="inlineStr">
        <is>
          <t>Sesame Brittle</t>
        </is>
      </c>
      <c r="C313" s="28" t="inlineStr">
        <is>
          <t>Product</t>
        </is>
      </c>
      <c r="D313" s="28" t="n">
        <v>78</v>
      </c>
      <c r="E313" s="28" t="n">
        <v>270</v>
      </c>
      <c r="F313" s="28" t="n">
        <v>60</v>
      </c>
      <c r="G313" s="28" t="n">
        <v>51</v>
      </c>
      <c r="H313" s="28" t="n">
        <v>32</v>
      </c>
      <c r="I313" s="28" t="inlineStr">
        <is>
          <t>Candy Machine</t>
        </is>
      </c>
      <c r="J313" s="28" t="n">
        <v>75</v>
      </c>
      <c r="K313" s="28" t="n">
        <v>4</v>
      </c>
      <c r="L313" s="28" t="inlineStr">
        <is>
          <t>Sesame_Brittle.png</t>
        </is>
      </c>
      <c r="O313" s="28" t="inlineStr">
        <is>
          <t>1 h</t>
        </is>
      </c>
      <c r="P313" s="28" t="inlineStr">
        <is>
          <t>51 min</t>
        </is>
      </c>
      <c r="Q313" s="28" t="inlineStr">
        <is>
          <t>1 to 270</t>
        </is>
      </c>
      <c r="R313" s="28" t="inlineStr">
        <is>
          <t>https://hayday.fandom.com/wiki/Sesame_Brittle</t>
        </is>
      </c>
    </row>
    <row r="314">
      <c r="A314" s="28" t="inlineStr">
        <is>
          <t>Sesame Ice Cream</t>
        </is>
      </c>
      <c r="B314" s="28" t="inlineStr">
        <is>
          <t>Sesame Ice Cream</t>
        </is>
      </c>
      <c r="C314" s="28" t="inlineStr">
        <is>
          <t>Product</t>
        </is>
      </c>
      <c r="D314" s="28" t="n">
        <v>50</v>
      </c>
      <c r="E314" s="28" t="n">
        <v>176</v>
      </c>
      <c r="F314" s="28" t="n">
        <v>120</v>
      </c>
      <c r="G314" s="28" t="n">
        <v>102</v>
      </c>
      <c r="H314" s="28" t="n">
        <v>21</v>
      </c>
      <c r="I314" s="28" t="inlineStr">
        <is>
          <t>Ice Cream Maker</t>
        </is>
      </c>
      <c r="J314" s="28" t="n">
        <v>49</v>
      </c>
      <c r="K314" s="28" t="n">
        <v>5</v>
      </c>
      <c r="L314" s="28" t="inlineStr">
        <is>
          <t>Sesame Ice Cream.png</t>
        </is>
      </c>
      <c r="O314" s="28" t="inlineStr">
        <is>
          <t>2 h</t>
        </is>
      </c>
      <c r="P314" s="28" t="inlineStr">
        <is>
          <t>1 h 42 min</t>
        </is>
      </c>
      <c r="Q314" s="28" t="inlineStr">
        <is>
          <t>1 to 176</t>
        </is>
      </c>
      <c r="R314" s="28" t="inlineStr">
        <is>
          <t>https://hayday.fandom.com/wiki/Sesame_Ice_Cream</t>
        </is>
      </c>
    </row>
    <row r="315">
      <c r="A315" s="28" t="inlineStr">
        <is>
          <t>Sheep Feed</t>
        </is>
      </c>
      <c r="B315" s="28" t="inlineStr">
        <is>
          <t>Sheep Feed</t>
        </is>
      </c>
      <c r="C315" s="28" t="inlineStr">
        <is>
          <t>Product</t>
        </is>
      </c>
      <c r="D315" s="28" t="n">
        <v>16</v>
      </c>
      <c r="E315" s="28" t="n">
        <v>14</v>
      </c>
      <c r="F315" s="28" t="n">
        <v>30</v>
      </c>
      <c r="G315" s="28" t="n">
        <v>25</v>
      </c>
      <c r="H315" s="28" t="n">
        <v>3</v>
      </c>
      <c r="I315" s="28" t="inlineStr">
        <is>
          <t>Feed Mill</t>
        </is>
      </c>
      <c r="J315" s="28" t="n">
        <v>4</v>
      </c>
      <c r="K315" s="28" t="n">
        <v>3</v>
      </c>
      <c r="L315" s="28" t="inlineStr">
        <is>
          <t>Sheep Feed.png</t>
        </is>
      </c>
      <c r="M315" s="28" t="n">
        <v>19</v>
      </c>
      <c r="N315" s="28" t="n">
        <v>144</v>
      </c>
      <c r="O315" s="28" t="inlineStr">
        <is>
          <t>30 min</t>
        </is>
      </c>
      <c r="P315" s="28" t="inlineStr">
        <is>
          <t>25 min</t>
        </is>
      </c>
      <c r="Q315" s="28" t="inlineStr">
        <is>
          <t>1 to 14</t>
        </is>
      </c>
      <c r="R315" s="28" t="inlineStr">
        <is>
          <t>https://hayday.fandom.com/wiki/Sheep_Feed</t>
        </is>
      </c>
    </row>
    <row r="316">
      <c r="A316" s="28" t="inlineStr">
        <is>
          <t>Shepherd's Pie</t>
        </is>
      </c>
      <c r="B316" s="28" t="inlineStr">
        <is>
          <t>Shepherd's Pie</t>
        </is>
      </c>
      <c r="C316" s="28" t="inlineStr">
        <is>
          <t>Product</t>
        </is>
      </c>
      <c r="D316" s="28" t="n">
        <v>39</v>
      </c>
      <c r="E316" s="28" t="n">
        <v>280</v>
      </c>
      <c r="F316" s="28" t="n">
        <v>100</v>
      </c>
      <c r="G316" s="28" t="n">
        <v>85</v>
      </c>
      <c r="H316" s="28" t="n">
        <v>34</v>
      </c>
      <c r="I316" s="28" t="inlineStr">
        <is>
          <t>Pie Oven</t>
        </is>
      </c>
      <c r="J316" s="28" t="n">
        <v>78</v>
      </c>
      <c r="K316" s="28" t="n">
        <v>6</v>
      </c>
      <c r="L316" s="28" t="inlineStr">
        <is>
          <t>Shepherd's Pie.png</t>
        </is>
      </c>
      <c r="M316" s="28" t="n">
        <v>250</v>
      </c>
      <c r="N316" s="28" t="n">
        <v>2808</v>
      </c>
      <c r="O316" s="28" t="inlineStr">
        <is>
          <t>1 h 40 m</t>
        </is>
      </c>
      <c r="P316" s="28" t="inlineStr">
        <is>
          <t>1 h 25 min</t>
        </is>
      </c>
      <c r="Q316" s="28" t="inlineStr">
        <is>
          <t>1 to 280</t>
        </is>
      </c>
      <c r="R316" s="28" t="inlineStr">
        <is>
          <t>https://hayday.fandom.com/wiki/Shepherd's_Pie</t>
        </is>
      </c>
    </row>
    <row r="317">
      <c r="A317" s="28" t="inlineStr">
        <is>
          <t>Silver Bar</t>
        </is>
      </c>
      <c r="B317" s="28" t="inlineStr">
        <is>
          <t>Silver Bar</t>
        </is>
      </c>
      <c r="C317" s="28" t="inlineStr">
        <is>
          <t>Product</t>
        </is>
      </c>
      <c r="D317" s="28" t="n">
        <v>24</v>
      </c>
      <c r="E317" s="28" t="n">
        <v>147</v>
      </c>
      <c r="F317" s="28" t="n">
        <v>480</v>
      </c>
      <c r="G317" s="28" t="n">
        <v>408</v>
      </c>
      <c r="H317" s="28" t="n">
        <v>18</v>
      </c>
      <c r="I317" s="28" t="inlineStr">
        <is>
          <t>Smelter</t>
        </is>
      </c>
      <c r="J317" s="28" t="n">
        <v>41</v>
      </c>
      <c r="K317" s="28" t="n">
        <v>9</v>
      </c>
      <c r="L317" s="28" t="inlineStr">
        <is>
          <t>Silver Bar.png</t>
        </is>
      </c>
      <c r="M317" s="28" t="n">
        <v>54</v>
      </c>
      <c r="N317" s="28" t="n">
        <v>1476</v>
      </c>
      <c r="O317" s="28" t="inlineStr">
        <is>
          <t>8 h</t>
        </is>
      </c>
      <c r="P317" s="28" t="inlineStr">
        <is>
          <t>6 h 48 min</t>
        </is>
      </c>
      <c r="Q317" s="28" t="inlineStr">
        <is>
          <t>1 to 147</t>
        </is>
      </c>
      <c r="R317" s="28" t="inlineStr">
        <is>
          <t>https://hayday.fandom.com/wiki/Silver_Bar</t>
        </is>
      </c>
    </row>
    <row r="318">
      <c r="A318" s="28" t="inlineStr">
        <is>
          <t>Snack Mix</t>
        </is>
      </c>
      <c r="B318" s="28" t="inlineStr">
        <is>
          <t>Snack Mix</t>
        </is>
      </c>
      <c r="C318" s="28" t="inlineStr">
        <is>
          <t>Product</t>
        </is>
      </c>
      <c r="D318" s="28" t="n">
        <v>64</v>
      </c>
      <c r="E318" s="28" t="n">
        <v>309</v>
      </c>
      <c r="F318" s="28" t="n">
        <v>45</v>
      </c>
      <c r="G318" s="28" t="n">
        <v>38</v>
      </c>
      <c r="H318" s="28" t="n">
        <v>50</v>
      </c>
      <c r="I318" s="28" t="inlineStr">
        <is>
          <t>Popcorn Pot</t>
        </is>
      </c>
      <c r="J318" s="28" t="n">
        <v>86</v>
      </c>
      <c r="K318" s="28" t="n">
        <v>3</v>
      </c>
      <c r="L318" s="28" t="inlineStr">
        <is>
          <t>Snack Mix.png</t>
        </is>
      </c>
      <c r="M318" s="28" t="n">
        <v>259</v>
      </c>
      <c r="N318" s="28" t="n">
        <v>3096</v>
      </c>
      <c r="O318" s="28" t="inlineStr">
        <is>
          <t>45 min</t>
        </is>
      </c>
      <c r="P318" s="28" t="inlineStr">
        <is>
          <t>38 min</t>
        </is>
      </c>
      <c r="Q318" s="28" t="inlineStr">
        <is>
          <t>1 to 309</t>
        </is>
      </c>
      <c r="R318" s="28" t="inlineStr">
        <is>
          <t>https://hayday.fandom.com/wiki/Snack_Mix</t>
        </is>
      </c>
    </row>
    <row r="319">
      <c r="A319" s="28" t="inlineStr">
        <is>
          <t>Soft Bouquet</t>
        </is>
      </c>
      <c r="B319" s="28" t="inlineStr">
        <is>
          <t>Soft Bouquet</t>
        </is>
      </c>
      <c r="C319" s="28" t="inlineStr">
        <is>
          <t>Product</t>
        </is>
      </c>
      <c r="D319" s="28" t="n">
        <v>93</v>
      </c>
      <c r="E319" s="28" t="n">
        <v>298</v>
      </c>
      <c r="F319" s="28" t="n">
        <v>30</v>
      </c>
      <c r="G319" s="28" t="n">
        <v>25</v>
      </c>
      <c r="H319" s="28" t="n">
        <v>36</v>
      </c>
      <c r="I319" s="28" t="inlineStr">
        <is>
          <t>Flower Shop</t>
        </is>
      </c>
      <c r="J319" s="28" t="n">
        <v>83</v>
      </c>
      <c r="K319" s="28" t="n">
        <v>3</v>
      </c>
      <c r="L319" s="28" t="inlineStr">
        <is>
          <t>Soft Bouquet.png</t>
        </is>
      </c>
      <c r="M319" s="28" t="n">
        <v>280</v>
      </c>
      <c r="N319" s="28" t="n">
        <v>2988</v>
      </c>
      <c r="O319" s="28" t="inlineStr">
        <is>
          <t>30 min</t>
        </is>
      </c>
      <c r="P319" s="28" t="inlineStr">
        <is>
          <t>25 min</t>
        </is>
      </c>
      <c r="Q319" s="28" t="inlineStr">
        <is>
          <t>1 to 298</t>
        </is>
      </c>
      <c r="R319" s="28" t="inlineStr">
        <is>
          <t>https://hayday.fandom.com/wiki/Soft_Bouquet</t>
        </is>
      </c>
    </row>
    <row r="320">
      <c r="A320" s="28" t="inlineStr">
        <is>
          <t>Soothing Pad</t>
        </is>
      </c>
      <c r="B320" s="28" t="inlineStr">
        <is>
          <t>Soothing Pad</t>
        </is>
      </c>
      <c r="C320" s="28" t="inlineStr">
        <is>
          <t>Product</t>
        </is>
      </c>
      <c r="D320" s="28" t="n">
        <v>45</v>
      </c>
      <c r="E320" s="28" t="n">
        <v>324</v>
      </c>
      <c r="F320" s="28" t="n">
        <v>60</v>
      </c>
      <c r="G320" s="28" t="n">
        <v>51</v>
      </c>
      <c r="H320" s="28" t="n">
        <v>39</v>
      </c>
      <c r="I320" s="28" t="inlineStr">
        <is>
          <t>Sewing Machine</t>
        </is>
      </c>
      <c r="J320" s="28" t="n">
        <v>90</v>
      </c>
      <c r="K320" s="28" t="n">
        <v>4</v>
      </c>
      <c r="L320" s="28" t="inlineStr">
        <is>
          <t>Soothing Pad.png</t>
        </is>
      </c>
      <c r="M320" s="28" t="n">
        <v>281</v>
      </c>
      <c r="N320" s="28" t="n">
        <v>3240</v>
      </c>
      <c r="O320" s="28" t="inlineStr">
        <is>
          <t>1 h</t>
        </is>
      </c>
      <c r="P320" s="28" t="inlineStr">
        <is>
          <t>51 min</t>
        </is>
      </c>
      <c r="Q320" s="28" t="inlineStr">
        <is>
          <t>1 to 324</t>
        </is>
      </c>
      <c r="R320" s="28" t="inlineStr">
        <is>
          <t>https://hayday.fandom.com/wiki/Soothing_Pad</t>
        </is>
      </c>
    </row>
    <row r="321">
      <c r="A321" s="28" t="inlineStr">
        <is>
          <t>Soy Sauce</t>
        </is>
      </c>
      <c r="B321" s="28" t="inlineStr">
        <is>
          <t>Soy Sauce</t>
        </is>
      </c>
      <c r="C321" s="28" t="inlineStr">
        <is>
          <t>Product</t>
        </is>
      </c>
      <c r="D321" s="28" t="n">
        <v>54</v>
      </c>
      <c r="E321" s="28" t="n">
        <v>154</v>
      </c>
      <c r="F321" s="28" t="n">
        <v>180</v>
      </c>
      <c r="G321" s="28" t="n">
        <v>153</v>
      </c>
      <c r="H321" s="28" t="n">
        <v>19</v>
      </c>
      <c r="I321" s="28" t="inlineStr">
        <is>
          <t>Sauce Maker</t>
        </is>
      </c>
      <c r="J321" s="28" t="n">
        <v>43</v>
      </c>
      <c r="K321" s="28" t="n">
        <v>6</v>
      </c>
      <c r="L321" s="28" t="inlineStr">
        <is>
          <t>Soy Sauce.png</t>
        </is>
      </c>
      <c r="M321" s="28" t="n">
        <v>100</v>
      </c>
      <c r="N321" s="28" t="n">
        <v>1548</v>
      </c>
      <c r="O321" s="28" t="inlineStr">
        <is>
          <t>3 h</t>
        </is>
      </c>
      <c r="P321" s="28" t="inlineStr">
        <is>
          <t>2 h 33 min</t>
        </is>
      </c>
      <c r="Q321" s="28" t="inlineStr">
        <is>
          <t>1 to 154</t>
        </is>
      </c>
      <c r="R321" s="28" t="inlineStr">
        <is>
          <t>https://hayday.fandom.com/wiki/Soy_Sauce</t>
        </is>
      </c>
    </row>
    <row r="322">
      <c r="A322" s="28" t="inlineStr">
        <is>
          <t>Soybean</t>
        </is>
      </c>
      <c r="B322" s="28" t="inlineStr">
        <is>
          <t>Soybean</t>
        </is>
      </c>
      <c r="C322" s="28" t="inlineStr">
        <is>
          <t>Crop</t>
        </is>
      </c>
      <c r="D322" s="28" t="n">
        <v>5</v>
      </c>
      <c r="E322" s="28" t="n">
        <v>10</v>
      </c>
      <c r="F322" s="28" t="n">
        <v>20</v>
      </c>
      <c r="H322" s="28" t="n">
        <v>2</v>
      </c>
      <c r="I322" s="28" t="inlineStr">
        <is>
          <t>Farm</t>
        </is>
      </c>
      <c r="J322" s="28" t="n">
        <v>3</v>
      </c>
      <c r="K322" s="28" t="n">
        <v>2</v>
      </c>
      <c r="L322" s="28" t="inlineStr">
        <is>
          <t>Soybean.png</t>
        </is>
      </c>
      <c r="N322" s="28" t="n">
        <v>108</v>
      </c>
      <c r="O322" s="28" t="inlineStr">
        <is>
          <t>20 min</t>
        </is>
      </c>
      <c r="Q322" s="28" t="inlineStr">
        <is>
          <t>1 to 10</t>
        </is>
      </c>
      <c r="R322" s="28" t="inlineStr">
        <is>
          <t>https://hayday.fandom.com/wiki/Soybean</t>
        </is>
      </c>
    </row>
    <row r="323">
      <c r="A323" s="28" t="inlineStr">
        <is>
          <t>Spicy Bean Taco</t>
        </is>
      </c>
      <c r="B323" s="28" t="inlineStr">
        <is>
          <t>Spicy Bean Taco</t>
        </is>
      </c>
      <c r="C323" s="28" t="inlineStr">
        <is>
          <t>Product</t>
        </is>
      </c>
      <c r="D323" s="28" t="n">
        <v>77</v>
      </c>
      <c r="E323" s="28" t="n">
        <v>453</v>
      </c>
      <c r="F323" s="28" t="n">
        <v>120</v>
      </c>
      <c r="G323" s="28" t="n">
        <v>102</v>
      </c>
      <c r="H323" s="28" t="n">
        <v>54</v>
      </c>
      <c r="I323" s="28" t="inlineStr">
        <is>
          <t>Taco Kitchen</t>
        </is>
      </c>
      <c r="J323" s="28" t="n">
        <v>126</v>
      </c>
      <c r="K323" s="28" t="n">
        <v>5</v>
      </c>
      <c r="L323" s="28" t="inlineStr">
        <is>
          <t>Spicy Bean Taco.png</t>
        </is>
      </c>
      <c r="M323" s="28" t="n">
        <v>345</v>
      </c>
      <c r="N323" s="28" t="n">
        <v>4536</v>
      </c>
      <c r="O323" s="28" t="inlineStr">
        <is>
          <t>2 h</t>
        </is>
      </c>
      <c r="P323" s="28" t="inlineStr">
        <is>
          <t>1 h 42 min</t>
        </is>
      </c>
      <c r="Q323" s="28" t="inlineStr">
        <is>
          <t>1 to 453</t>
        </is>
      </c>
      <c r="R323" s="28" t="inlineStr">
        <is>
          <t>https://hayday.fandom.com/wiki/Spicy_Bean_Taco</t>
        </is>
      </c>
    </row>
    <row r="324">
      <c r="A324" s="28" t="inlineStr">
        <is>
          <t>Spicy Fish</t>
        </is>
      </c>
      <c r="B324" s="28" t="inlineStr">
        <is>
          <t>Spicy Fish</t>
        </is>
      </c>
      <c r="C324" s="28" t="inlineStr">
        <is>
          <t>Product</t>
        </is>
      </c>
      <c r="D324" s="28" t="n">
        <v>79</v>
      </c>
      <c r="E324" s="28" t="n">
        <v>543</v>
      </c>
      <c r="F324" s="28" t="n">
        <v>90</v>
      </c>
      <c r="G324" s="28" t="n">
        <v>76</v>
      </c>
      <c r="H324" s="28" t="n">
        <v>65</v>
      </c>
      <c r="I324" s="28" t="inlineStr">
        <is>
          <t>Wok Kitchen</t>
        </is>
      </c>
      <c r="J324" s="28" t="n">
        <v>151</v>
      </c>
      <c r="K324" s="28" t="n">
        <v>5</v>
      </c>
      <c r="L324" s="28" t="inlineStr">
        <is>
          <t>Spicy Fish.png</t>
        </is>
      </c>
      <c r="M324" s="28" t="n">
        <v>469</v>
      </c>
      <c r="N324" s="28" t="n">
        <v>5436</v>
      </c>
      <c r="O324" s="28" t="inlineStr">
        <is>
          <t>1 h 30 min</t>
        </is>
      </c>
      <c r="P324" s="28" t="inlineStr">
        <is>
          <t>1 h 16 min</t>
        </is>
      </c>
      <c r="Q324" s="28" t="inlineStr">
        <is>
          <t>1 to 543</t>
        </is>
      </c>
      <c r="R324" s="28" t="inlineStr">
        <is>
          <t>https://hayday.fandom.com/wiki/Spicy_Fish</t>
        </is>
      </c>
    </row>
    <row r="325">
      <c r="A325" s="28" t="inlineStr">
        <is>
          <t>Spicy Pasta</t>
        </is>
      </c>
      <c r="B325" s="28" t="inlineStr">
        <is>
          <t>Spicy Pasta</t>
        </is>
      </c>
      <c r="C325" s="28" t="inlineStr">
        <is>
          <t>Product</t>
        </is>
      </c>
      <c r="D325" s="28" t="n">
        <v>87</v>
      </c>
      <c r="E325" s="28" t="n">
        <v>576</v>
      </c>
      <c r="F325" s="28" t="n">
        <v>90</v>
      </c>
      <c r="G325" s="28" t="n">
        <v>76</v>
      </c>
      <c r="H325" s="28" t="n">
        <v>69</v>
      </c>
      <c r="I325" s="28" t="inlineStr">
        <is>
          <t>Pasta Kitchen</t>
        </is>
      </c>
      <c r="J325" s="28" t="n">
        <v>160</v>
      </c>
      <c r="K325" s="28" t="n">
        <v>5</v>
      </c>
      <c r="L325" s="28" t="inlineStr">
        <is>
          <t>Spicy Pasta.png</t>
        </is>
      </c>
      <c r="M325" s="28" t="n">
        <v>545</v>
      </c>
      <c r="N325" s="28" t="n">
        <v>5760</v>
      </c>
      <c r="O325" s="28" t="inlineStr">
        <is>
          <t>1 h 30 min</t>
        </is>
      </c>
      <c r="P325" s="28" t="inlineStr">
        <is>
          <t>1 h 16 min</t>
        </is>
      </c>
      <c r="Q325" s="28" t="inlineStr">
        <is>
          <t>1 to 576</t>
        </is>
      </c>
      <c r="R325" s="28" t="inlineStr">
        <is>
          <t>https://hayday.fandom.com/wiki/Spicy_Pasta</t>
        </is>
      </c>
    </row>
    <row r="326">
      <c r="A326" s="28" t="inlineStr">
        <is>
          <t>Spicy Pizza</t>
        </is>
      </c>
      <c r="B326" s="28" t="inlineStr">
        <is>
          <t>Spicy Pizza</t>
        </is>
      </c>
      <c r="C326" s="28" t="inlineStr">
        <is>
          <t>Product</t>
        </is>
      </c>
      <c r="D326" s="28" t="n">
        <v>37</v>
      </c>
      <c r="E326" s="28" t="n">
        <v>226</v>
      </c>
      <c r="F326" s="28" t="n">
        <v>15</v>
      </c>
      <c r="G326" s="28" t="n">
        <v>12</v>
      </c>
      <c r="H326" s="28" t="n">
        <v>27</v>
      </c>
      <c r="I326" s="28" t="inlineStr">
        <is>
          <t>Bakery</t>
        </is>
      </c>
      <c r="J326" s="28" t="n">
        <v>63</v>
      </c>
      <c r="K326" s="28" t="n">
        <v>2</v>
      </c>
      <c r="L326" s="28" t="inlineStr">
        <is>
          <t>Spicy Pizza.png</t>
        </is>
      </c>
      <c r="M326" s="28" t="n">
        <v>207</v>
      </c>
      <c r="N326" s="28" t="n">
        <v>2268</v>
      </c>
      <c r="O326" s="28" t="inlineStr">
        <is>
          <t>15 min</t>
        </is>
      </c>
      <c r="P326" s="28" t="inlineStr">
        <is>
          <t>12 min</t>
        </is>
      </c>
      <c r="Q326" s="28" t="inlineStr">
        <is>
          <t>1 to 226</t>
        </is>
      </c>
      <c r="R326" s="28" t="inlineStr">
        <is>
          <t>https://hayday.fandom.com/wiki/Spicy_Pizza</t>
        </is>
      </c>
    </row>
    <row r="327">
      <c r="A327" s="28" t="inlineStr">
        <is>
          <t>Sprinkled Donut</t>
        </is>
      </c>
      <c r="B327" s="28" t="inlineStr">
        <is>
          <t>Sprinkled Donut</t>
        </is>
      </c>
      <c r="C327" s="28" t="inlineStr">
        <is>
          <t>Product</t>
        </is>
      </c>
      <c r="D327" s="28" t="n">
        <v>79</v>
      </c>
      <c r="E327" s="28" t="n">
        <v>313</v>
      </c>
      <c r="F327" s="28" t="n">
        <v>20</v>
      </c>
      <c r="G327" s="28" t="n">
        <v>17</v>
      </c>
      <c r="H327" s="28" t="n">
        <v>37</v>
      </c>
      <c r="I327" s="28" t="inlineStr">
        <is>
          <t>Donut Maker</t>
        </is>
      </c>
      <c r="J327" s="28" t="n">
        <v>87</v>
      </c>
      <c r="K327" s="28" t="n">
        <v>2</v>
      </c>
      <c r="L327" s="28" t="inlineStr">
        <is>
          <t>Sprinkled Donut.png</t>
        </is>
      </c>
      <c r="M327" s="28" t="n">
        <v>301</v>
      </c>
      <c r="N327" s="28" t="n">
        <v>3132</v>
      </c>
      <c r="O327" s="28" t="inlineStr">
        <is>
          <t>20 min</t>
        </is>
      </c>
      <c r="P327" s="28" t="inlineStr">
        <is>
          <t>17 min</t>
        </is>
      </c>
      <c r="Q327" s="28" t="inlineStr">
        <is>
          <t>1 to 313</t>
        </is>
      </c>
      <c r="R327" s="28" t="inlineStr">
        <is>
          <t>https://hayday.fandom.com/wiki/Sprinkled_Donut</t>
        </is>
      </c>
    </row>
    <row r="328">
      <c r="A328" s="28" t="inlineStr">
        <is>
          <t>Steamed Mussels</t>
        </is>
      </c>
      <c r="B328" s="28" t="inlineStr">
        <is>
          <t>Steamed Mussels</t>
        </is>
      </c>
      <c r="C328" s="28" t="inlineStr">
        <is>
          <t>Product</t>
        </is>
      </c>
      <c r="D328" s="28" t="n">
        <v>27</v>
      </c>
      <c r="E328" s="28" t="n">
        <v>284</v>
      </c>
      <c r="F328" s="28" t="n">
        <v>15</v>
      </c>
      <c r="G328" s="28" t="n">
        <v>12</v>
      </c>
      <c r="H328" s="28" t="n">
        <v>34</v>
      </c>
      <c r="I328" s="28" t="inlineStr">
        <is>
          <t>BBQ Grill</t>
        </is>
      </c>
      <c r="J328" s="28" t="n">
        <v>79</v>
      </c>
      <c r="K328" s="28" t="n">
        <v>2</v>
      </c>
      <c r="L328" s="28" t="inlineStr">
        <is>
          <t>Steamed Mussels.png</t>
        </is>
      </c>
      <c r="M328" s="28" t="n">
        <v>276</v>
      </c>
      <c r="N328" s="28" t="n">
        <v>2844</v>
      </c>
      <c r="O328" s="28" t="inlineStr">
        <is>
          <t>15 mins</t>
        </is>
      </c>
      <c r="P328" s="28" t="inlineStr">
        <is>
          <t>12 mins</t>
        </is>
      </c>
      <c r="Q328" s="28" t="inlineStr">
        <is>
          <t>1 to 284</t>
        </is>
      </c>
      <c r="R328" s="28" t="inlineStr">
        <is>
          <t>https://hayday.fandom.com/wiki/Steamed_Mussels</t>
        </is>
      </c>
    </row>
    <row r="329">
      <c r="A329" s="28" t="inlineStr">
        <is>
          <t>Strawberry</t>
        </is>
      </c>
      <c r="B329" s="28" t="inlineStr">
        <is>
          <t>Strawberry</t>
        </is>
      </c>
      <c r="C329" s="28" t="inlineStr">
        <is>
          <t>Crop</t>
        </is>
      </c>
      <c r="D329" s="28" t="n">
        <v>34</v>
      </c>
      <c r="E329" s="28" t="n">
        <v>50</v>
      </c>
      <c r="F329" s="28" t="n">
        <v>480</v>
      </c>
      <c r="H329" s="28" t="n">
        <v>10</v>
      </c>
      <c r="I329" s="28" t="inlineStr">
        <is>
          <t>Farm</t>
        </is>
      </c>
      <c r="J329" s="28" t="n">
        <v>14</v>
      </c>
      <c r="K329" s="28" t="n">
        <v>10</v>
      </c>
      <c r="L329" s="28" t="inlineStr">
        <is>
          <t>Strawberry.png</t>
        </is>
      </c>
      <c r="N329" s="28" t="n">
        <v>504</v>
      </c>
      <c r="O329" s="28" t="inlineStr">
        <is>
          <t>8 h</t>
        </is>
      </c>
      <c r="Q329" s="28" t="inlineStr">
        <is>
          <t>1 to 50</t>
        </is>
      </c>
      <c r="R329" s="28" t="inlineStr">
        <is>
          <t>https://hayday.fandom.com/wiki/Strawberry</t>
        </is>
      </c>
    </row>
    <row r="330">
      <c r="A330" s="28" t="inlineStr">
        <is>
          <t>Strawberry Cake</t>
        </is>
      </c>
      <c r="B330" s="28" t="inlineStr">
        <is>
          <t>Strawberry Cake</t>
        </is>
      </c>
      <c r="C330" s="28" t="inlineStr">
        <is>
          <t>Product</t>
        </is>
      </c>
      <c r="D330" s="28" t="n">
        <v>35</v>
      </c>
      <c r="E330" s="28" t="n">
        <v>316</v>
      </c>
      <c r="F330" s="28" t="n">
        <v>180</v>
      </c>
      <c r="G330" s="28" t="n">
        <v>153</v>
      </c>
      <c r="H330" s="28" t="n">
        <v>38</v>
      </c>
      <c r="I330" s="28" t="inlineStr">
        <is>
          <t>Cake Oven</t>
        </is>
      </c>
      <c r="J330" s="28" t="n">
        <v>88</v>
      </c>
      <c r="K330" s="28" t="n">
        <v>6</v>
      </c>
      <c r="L330" s="28" t="inlineStr">
        <is>
          <t>Strawberry Cake.png</t>
        </is>
      </c>
      <c r="M330" s="28" t="n">
        <v>209</v>
      </c>
      <c r="N330" s="28" t="n">
        <v>3168</v>
      </c>
      <c r="O330" s="28" t="inlineStr">
        <is>
          <t>3 h</t>
        </is>
      </c>
      <c r="P330" s="28" t="inlineStr">
        <is>
          <t>2 h 33 min</t>
        </is>
      </c>
      <c r="Q330" s="28" t="inlineStr">
        <is>
          <t>1 to 316</t>
        </is>
      </c>
      <c r="R330" s="28" t="inlineStr">
        <is>
          <t>https://hayday.fandom.com/wiki/Strawberry_Cake</t>
        </is>
      </c>
    </row>
    <row r="331">
      <c r="A331" s="28" t="inlineStr">
        <is>
          <t>Strawberry Candle</t>
        </is>
      </c>
      <c r="B331" s="28" t="inlineStr">
        <is>
          <t>Strawberry Candle</t>
        </is>
      </c>
      <c r="C331" s="28" t="inlineStr">
        <is>
          <t>Product</t>
        </is>
      </c>
      <c r="D331" s="28" t="n">
        <v>48</v>
      </c>
      <c r="E331" s="28" t="n">
        <v>370</v>
      </c>
      <c r="F331" s="28" t="n">
        <v>120</v>
      </c>
      <c r="G331" s="28" t="n">
        <v>102</v>
      </c>
      <c r="H331" s="28" t="n">
        <v>44</v>
      </c>
      <c r="I331" s="28" t="inlineStr">
        <is>
          <t>Candle Maker</t>
        </is>
      </c>
      <c r="J331" s="28" t="n">
        <v>103</v>
      </c>
      <c r="K331" s="28" t="n">
        <v>5</v>
      </c>
      <c r="L331" s="28" t="inlineStr">
        <is>
          <t>Strawberry Candle.png</t>
        </is>
      </c>
      <c r="M331" s="28" t="n">
        <v>334</v>
      </c>
      <c r="N331" s="28" t="n">
        <v>3708</v>
      </c>
      <c r="O331" s="28" t="inlineStr">
        <is>
          <t>2 h</t>
        </is>
      </c>
      <c r="P331" s="28" t="inlineStr">
        <is>
          <t>1 h 42 min</t>
        </is>
      </c>
      <c r="Q331" s="28" t="inlineStr">
        <is>
          <t>1 to 370</t>
        </is>
      </c>
      <c r="R331" s="28" t="inlineStr">
        <is>
          <t>https://hayday.fandom.com/wiki/Strawberry_Candle</t>
        </is>
      </c>
    </row>
    <row r="332">
      <c r="A332" s="28" t="inlineStr">
        <is>
          <t>Strawberry Ice Cream</t>
        </is>
      </c>
      <c r="B332" s="28" t="inlineStr">
        <is>
          <t>Strawberry Ice Cream</t>
        </is>
      </c>
      <c r="C332" s="28" t="inlineStr">
        <is>
          <t>Product</t>
        </is>
      </c>
      <c r="D332" s="28" t="n">
        <v>34</v>
      </c>
      <c r="E332" s="28" t="n">
        <v>331</v>
      </c>
      <c r="F332" s="28" t="n">
        <v>240</v>
      </c>
      <c r="G332" s="28" t="n">
        <v>204</v>
      </c>
      <c r="H332" s="28" t="n">
        <v>40</v>
      </c>
      <c r="I332" s="28" t="inlineStr">
        <is>
          <t>Ice Cream Maker</t>
        </is>
      </c>
      <c r="J332" s="28" t="n">
        <v>92</v>
      </c>
      <c r="K332" s="28" t="n">
        <v>6</v>
      </c>
      <c r="L332" s="28" t="inlineStr">
        <is>
          <t>Strawberry Ice Cream.png</t>
        </is>
      </c>
      <c r="M332" s="28" t="n">
        <v>282</v>
      </c>
      <c r="N332" s="28" t="n">
        <v>3312</v>
      </c>
      <c r="O332" s="28" t="inlineStr">
        <is>
          <t>4 h</t>
        </is>
      </c>
      <c r="P332" s="28" t="inlineStr">
        <is>
          <t>3 h 24 min</t>
        </is>
      </c>
      <c r="Q332" s="28" t="inlineStr">
        <is>
          <t>1 to 331</t>
        </is>
      </c>
      <c r="R332" s="28" t="inlineStr">
        <is>
          <t>https://hayday.fandom.com/wiki/Strawberry_Ice_Cream</t>
        </is>
      </c>
    </row>
    <row r="333">
      <c r="A333" s="28" t="inlineStr">
        <is>
          <t>Strawberry Jam</t>
        </is>
      </c>
      <c r="B333" s="28" t="inlineStr">
        <is>
          <t>Strawberry Jam</t>
        </is>
      </c>
      <c r="C333" s="28" t="inlineStr">
        <is>
          <t>Product</t>
        </is>
      </c>
      <c r="D333" s="28" t="n">
        <v>50</v>
      </c>
      <c r="E333" s="28" t="n">
        <v>270</v>
      </c>
      <c r="F333" s="28" t="n">
        <v>450</v>
      </c>
      <c r="G333" s="28" t="n">
        <v>382</v>
      </c>
      <c r="H333" s="28" t="n">
        <v>32</v>
      </c>
      <c r="I333" s="28" t="inlineStr">
        <is>
          <t>Jam Maker</t>
        </is>
      </c>
      <c r="J333" s="28" t="n">
        <v>75</v>
      </c>
      <c r="K333" s="28" t="n">
        <v>8</v>
      </c>
      <c r="L333" s="28" t="inlineStr">
        <is>
          <t>Strawberry Jam.png</t>
        </is>
      </c>
      <c r="M333" s="28" t="n">
        <v>150</v>
      </c>
      <c r="N333" s="28" t="n">
        <v>2700</v>
      </c>
      <c r="O333" s="28" t="inlineStr">
        <is>
          <t>7 h 30 min</t>
        </is>
      </c>
      <c r="P333" s="28" t="inlineStr">
        <is>
          <t>6 h 22 min</t>
        </is>
      </c>
      <c r="Q333" s="28" t="inlineStr">
        <is>
          <t>1 to 270</t>
        </is>
      </c>
      <c r="R333" s="28" t="inlineStr">
        <is>
          <t>https://hayday.fandom.com/wiki/Strawberry_Jam</t>
        </is>
      </c>
    </row>
    <row r="334">
      <c r="A334" s="28" t="inlineStr">
        <is>
          <t>Strawberry Yogurt</t>
        </is>
      </c>
      <c r="B334" s="28" t="inlineStr">
        <is>
          <t>Strawberry Yogurt</t>
        </is>
      </c>
      <c r="C334" s="28" t="inlineStr">
        <is>
          <t>product</t>
        </is>
      </c>
      <c r="D334" s="28" t="n">
        <v>105</v>
      </c>
      <c r="E334" s="28" t="n">
        <v>529</v>
      </c>
      <c r="F334" s="28" t="n">
        <v>40</v>
      </c>
      <c r="G334" s="28" t="n">
        <v>34</v>
      </c>
      <c r="H334" s="28" t="n">
        <v>63</v>
      </c>
      <c r="I334" s="28" t="inlineStr">
        <is>
          <t>Yogurt Maker</t>
        </is>
      </c>
      <c r="J334" s="28" t="n">
        <v>147</v>
      </c>
      <c r="K334" s="28" t="n">
        <v>3</v>
      </c>
      <c r="L334" s="28" t="inlineStr">
        <is>
          <t>Strawberry Yogurt.png</t>
        </is>
      </c>
      <c r="M334" s="28" t="n">
        <v>504</v>
      </c>
      <c r="N334" s="28" t="n">
        <v>5292</v>
      </c>
      <c r="O334" s="28" t="inlineStr">
        <is>
          <t>40 min</t>
        </is>
      </c>
      <c r="P334" s="28" t="inlineStr">
        <is>
          <t>34 min</t>
        </is>
      </c>
      <c r="Q334" s="28" t="inlineStr">
        <is>
          <t>1 to 529</t>
        </is>
      </c>
      <c r="R334" s="28" t="inlineStr">
        <is>
          <t>https://hayday.fandom.com/wiki/Strawberry_Yogurt</t>
        </is>
      </c>
    </row>
    <row r="335">
      <c r="A335" s="28" t="inlineStr">
        <is>
          <t>Stuffed Peppers</t>
        </is>
      </c>
      <c r="B335" s="28" t="inlineStr">
        <is>
          <t>Stuffed Peppers</t>
        </is>
      </c>
      <c r="C335" s="28" t="inlineStr">
        <is>
          <t>product</t>
        </is>
      </c>
      <c r="D335" s="28" t="n">
        <v>80</v>
      </c>
      <c r="E335" s="28" t="n">
        <v>352</v>
      </c>
      <c r="F335" s="28" t="n">
        <v>20</v>
      </c>
      <c r="G335" s="28" t="n">
        <v>17</v>
      </c>
      <c r="H335" s="28" t="n">
        <v>42</v>
      </c>
      <c r="I335" s="28" t="inlineStr">
        <is>
          <t>BBQ Grill</t>
        </is>
      </c>
      <c r="J335" s="28" t="n">
        <v>98</v>
      </c>
      <c r="K335" s="28" t="n">
        <v>2</v>
      </c>
      <c r="L335" s="28" t="inlineStr">
        <is>
          <t>Stuffed Peppers.png</t>
        </is>
      </c>
      <c r="M335" s="28" t="n">
        <v>334</v>
      </c>
      <c r="N335" s="28" t="n">
        <v>3528</v>
      </c>
      <c r="O335" s="28" t="inlineStr">
        <is>
          <t>20 min</t>
        </is>
      </c>
      <c r="P335" s="28" t="inlineStr">
        <is>
          <t>17 min</t>
        </is>
      </c>
      <c r="Q335" s="28" t="inlineStr">
        <is>
          <t>1 to 352</t>
        </is>
      </c>
      <c r="R335" s="28" t="inlineStr">
        <is>
          <t>https://hayday.fandom.com/wiki/Stuffed_Peppers</t>
        </is>
      </c>
    </row>
    <row r="336">
      <c r="A336" s="28" t="inlineStr">
        <is>
          <t>Sugarcane</t>
        </is>
      </c>
      <c r="B336" s="28" t="inlineStr">
        <is>
          <t>Sugarcane</t>
        </is>
      </c>
      <c r="C336" s="28" t="inlineStr">
        <is>
          <t>Crop</t>
        </is>
      </c>
      <c r="D336" s="28" t="n">
        <v>7</v>
      </c>
      <c r="E336" s="28" t="n">
        <v>14</v>
      </c>
      <c r="F336" s="28" t="n">
        <v>30</v>
      </c>
      <c r="H336" s="28" t="n">
        <v>3</v>
      </c>
      <c r="I336" s="28" t="inlineStr">
        <is>
          <t>Farm</t>
        </is>
      </c>
      <c r="J336" s="28" t="n">
        <v>4</v>
      </c>
      <c r="K336" s="28" t="n">
        <v>3</v>
      </c>
      <c r="L336" s="28" t="inlineStr">
        <is>
          <t>Sugarcane.png</t>
        </is>
      </c>
      <c r="N336" s="28" t="n">
        <v>144</v>
      </c>
      <c r="O336" s="28" t="inlineStr">
        <is>
          <t>30 min</t>
        </is>
      </c>
      <c r="Q336" s="28" t="inlineStr">
        <is>
          <t>1 to 14</t>
        </is>
      </c>
      <c r="R336" s="28" t="inlineStr">
        <is>
          <t>https://hayday.fandom.com/wiki/Sugarcane</t>
        </is>
      </c>
    </row>
    <row r="337">
      <c r="A337" s="28" t="inlineStr">
        <is>
          <t>Summer Rolls</t>
        </is>
      </c>
      <c r="B337" s="28" t="inlineStr">
        <is>
          <t>Summer Rolls</t>
        </is>
      </c>
      <c r="C337" s="28" t="inlineStr">
        <is>
          <t>Product</t>
        </is>
      </c>
      <c r="D337" s="28" t="n">
        <v>78</v>
      </c>
      <c r="E337" s="28" t="n">
        <v>316</v>
      </c>
      <c r="F337" s="28" t="n">
        <v>60</v>
      </c>
      <c r="G337" s="28" t="n">
        <v>51</v>
      </c>
      <c r="H337" s="28" t="n">
        <v>38</v>
      </c>
      <c r="I337" s="28" t="inlineStr">
        <is>
          <t>Salad Bar</t>
        </is>
      </c>
      <c r="J337" s="28" t="n">
        <v>88</v>
      </c>
      <c r="K337" s="28" t="n">
        <v>4</v>
      </c>
      <c r="L337" s="28" t="inlineStr">
        <is>
          <t>Summer Rolls.png</t>
        </is>
      </c>
      <c r="M337" s="28" t="n">
        <v>282</v>
      </c>
      <c r="N337" s="28" t="n">
        <v>3168</v>
      </c>
      <c r="O337" s="28" t="inlineStr">
        <is>
          <t>1 h</t>
        </is>
      </c>
      <c r="P337" s="28" t="inlineStr">
        <is>
          <t>51 min</t>
        </is>
      </c>
      <c r="Q337" s="28" t="inlineStr">
        <is>
          <t>1 to 316</t>
        </is>
      </c>
      <c r="R337" s="28" t="inlineStr">
        <is>
          <t>https://hayday.fandom.com/wiki/Summer_Rolls</t>
        </is>
      </c>
    </row>
    <row r="338">
      <c r="A338" s="28" t="inlineStr">
        <is>
          <t>Summer Salad</t>
        </is>
      </c>
      <c r="B338" s="28" t="inlineStr">
        <is>
          <t>Summer Salad</t>
        </is>
      </c>
      <c r="C338" s="28" t="inlineStr">
        <is>
          <t>Product</t>
        </is>
      </c>
      <c r="D338" s="28" t="n">
        <v>84</v>
      </c>
      <c r="E338" s="28" t="n">
        <v>554</v>
      </c>
      <c r="F338" s="28" t="n">
        <v>180</v>
      </c>
      <c r="G338" s="28" t="n">
        <v>153</v>
      </c>
      <c r="H338" s="28" t="n">
        <v>66</v>
      </c>
      <c r="I338" s="28" t="inlineStr">
        <is>
          <t>Salad Bar</t>
        </is>
      </c>
      <c r="J338" s="28" t="n">
        <v>154</v>
      </c>
      <c r="K338" s="28" t="n">
        <v>6</v>
      </c>
      <c r="L338" s="28" t="inlineStr">
        <is>
          <t>Summer Salad.png</t>
        </is>
      </c>
      <c r="M338" s="28" t="n">
        <v>508</v>
      </c>
      <c r="N338" s="28" t="n">
        <v>5544</v>
      </c>
      <c r="O338" s="28" t="inlineStr">
        <is>
          <t>3 h</t>
        </is>
      </c>
      <c r="P338" s="28" t="inlineStr">
        <is>
          <t>2 h 33 min</t>
        </is>
      </c>
      <c r="Q338" s="28" t="inlineStr">
        <is>
          <t>1 to 554</t>
        </is>
      </c>
      <c r="R338" s="28" t="inlineStr">
        <is>
          <t>https://hayday.fandom.com/wiki/Summer_Salad</t>
        </is>
      </c>
    </row>
    <row r="339">
      <c r="A339" s="28" t="inlineStr">
        <is>
          <t>Sun Hat</t>
        </is>
      </c>
      <c r="B339" s="28" t="inlineStr">
        <is>
          <t>Sun Hat</t>
        </is>
      </c>
      <c r="C339" s="28" t="inlineStr">
        <is>
          <t>Product</t>
        </is>
      </c>
      <c r="D339" s="28" t="n">
        <v>74</v>
      </c>
      <c r="E339" s="28" t="n">
        <v>558</v>
      </c>
      <c r="F339" s="28" t="n">
        <v>150</v>
      </c>
      <c r="G339" s="28" t="n">
        <v>127</v>
      </c>
      <c r="H339" s="28" t="n">
        <v>66</v>
      </c>
      <c r="I339" s="28" t="inlineStr">
        <is>
          <t>Hat Maker</t>
        </is>
      </c>
      <c r="J339" s="28" t="n">
        <v>155</v>
      </c>
      <c r="K339" s="28" t="n">
        <v>6</v>
      </c>
      <c r="L339" s="28" t="inlineStr">
        <is>
          <t>Sun Hat.png</t>
        </is>
      </c>
      <c r="M339" s="28" t="n">
        <v>513</v>
      </c>
      <c r="N339" s="28" t="n">
        <v>5580</v>
      </c>
      <c r="O339" s="28" t="inlineStr">
        <is>
          <t>2 h 30 min</t>
        </is>
      </c>
      <c r="P339" s="28" t="inlineStr">
        <is>
          <t>2 h 7 min</t>
        </is>
      </c>
      <c r="Q339" s="28" t="inlineStr">
        <is>
          <t>1 to 558</t>
        </is>
      </c>
      <c r="R339" s="28" t="inlineStr">
        <is>
          <t>https://hayday.fandom.com/wiki/Sun_Hat</t>
        </is>
      </c>
    </row>
    <row r="340">
      <c r="A340" s="28" t="inlineStr">
        <is>
          <t>Sunflower</t>
        </is>
      </c>
      <c r="B340" s="28" t="inlineStr">
        <is>
          <t>Sunflower</t>
        </is>
      </c>
      <c r="C340" s="28" t="inlineStr">
        <is>
          <t>Crop</t>
        </is>
      </c>
      <c r="D340" s="28" t="n">
        <v>63</v>
      </c>
      <c r="E340" s="28" t="n">
        <v>21</v>
      </c>
      <c r="F340" s="28" t="n">
        <v>90</v>
      </c>
      <c r="H340" s="28" t="n">
        <v>5</v>
      </c>
      <c r="I340" s="28" t="inlineStr">
        <is>
          <t>Farm</t>
        </is>
      </c>
      <c r="J340" s="28" t="n">
        <v>6</v>
      </c>
      <c r="K340" s="28" t="n">
        <v>5</v>
      </c>
      <c r="L340" s="28" t="inlineStr">
        <is>
          <t>Sunflower.png</t>
        </is>
      </c>
      <c r="N340" s="28" t="n">
        <v>216</v>
      </c>
      <c r="O340" s="28" t="inlineStr">
        <is>
          <t>1 h 30 min</t>
        </is>
      </c>
      <c r="Q340" s="28" t="inlineStr">
        <is>
          <t>1 to 21</t>
        </is>
      </c>
      <c r="R340" s="28" t="inlineStr">
        <is>
          <t>https://hayday.fandom.com/wiki/Sunflower</t>
        </is>
      </c>
    </row>
    <row r="341">
      <c r="A341" s="28" t="inlineStr">
        <is>
          <t>Sushi Roll</t>
        </is>
      </c>
      <c r="B341" s="28" t="inlineStr">
        <is>
          <t>Sushi Roll</t>
        </is>
      </c>
      <c r="C341" s="28" t="inlineStr">
        <is>
          <t>Product</t>
        </is>
      </c>
      <c r="D341" s="28" t="n">
        <v>56</v>
      </c>
      <c r="E341" s="28" t="n">
        <v>489</v>
      </c>
      <c r="F341" s="28" t="n">
        <v>60</v>
      </c>
      <c r="G341" s="28" t="n">
        <v>51</v>
      </c>
      <c r="H341" s="28" t="n">
        <v>58</v>
      </c>
      <c r="I341" s="28" t="inlineStr">
        <is>
          <t>Sushi Bar</t>
        </is>
      </c>
      <c r="J341" s="28" t="n">
        <v>136</v>
      </c>
      <c r="K341" s="28" t="n">
        <v>4</v>
      </c>
      <c r="L341" s="28" t="inlineStr">
        <is>
          <t>Sushi Roll.png</t>
        </is>
      </c>
      <c r="M341" s="28" t="n">
        <v>478</v>
      </c>
      <c r="O341" s="28" t="inlineStr">
        <is>
          <t>1 h</t>
        </is>
      </c>
      <c r="P341" s="28" t="inlineStr">
        <is>
          <t>51 min</t>
        </is>
      </c>
      <c r="Q341" s="28" t="inlineStr">
        <is>
          <t>1 to 489</t>
        </is>
      </c>
      <c r="R341" s="28" t="inlineStr">
        <is>
          <t>https://hayday.fandom.com/wiki/Sushi_Roll</t>
        </is>
      </c>
    </row>
    <row r="342">
      <c r="A342" s="28" t="inlineStr">
        <is>
          <t>Sweater</t>
        </is>
      </c>
      <c r="B342" s="28" t="inlineStr">
        <is>
          <t>Sweater</t>
        </is>
      </c>
      <c r="C342" s="28" t="inlineStr">
        <is>
          <t>Product</t>
        </is>
      </c>
      <c r="D342" s="28" t="n">
        <v>17</v>
      </c>
      <c r="E342" s="28" t="n">
        <v>151</v>
      </c>
      <c r="F342" s="28" t="n">
        <v>120</v>
      </c>
      <c r="G342" s="28" t="n">
        <v>102</v>
      </c>
      <c r="H342" s="28" t="n">
        <v>18</v>
      </c>
      <c r="I342" s="28" t="inlineStr">
        <is>
          <t>Loom</t>
        </is>
      </c>
      <c r="J342" s="28" t="n">
        <v>42</v>
      </c>
      <c r="K342" s="28" t="n">
        <v>5</v>
      </c>
      <c r="L342" s="28" t="inlineStr">
        <is>
          <t>Sweater.png</t>
        </is>
      </c>
      <c r="M342" s="28" t="n">
        <v>108</v>
      </c>
      <c r="N342" s="28" t="n">
        <v>1512</v>
      </c>
      <c r="O342" s="28" t="inlineStr">
        <is>
          <t>2 h</t>
        </is>
      </c>
      <c r="P342" s="28" t="inlineStr">
        <is>
          <t>1 h 42 min</t>
        </is>
      </c>
      <c r="Q342" s="28" t="inlineStr">
        <is>
          <t>1 to 151</t>
        </is>
      </c>
      <c r="R342" s="28" t="inlineStr">
        <is>
          <t>https://hayday.fandom.com/wiki/Sweater</t>
        </is>
      </c>
    </row>
    <row r="343">
      <c r="A343" s="28" t="inlineStr">
        <is>
          <t>Syrup</t>
        </is>
      </c>
      <c r="B343" s="28" t="inlineStr">
        <is>
          <t>Syrup</t>
        </is>
      </c>
      <c r="C343" s="28" t="inlineStr">
        <is>
          <t>Product</t>
        </is>
      </c>
      <c r="D343" s="28" t="n">
        <v>18</v>
      </c>
      <c r="E343" s="28" t="n">
        <v>90</v>
      </c>
      <c r="F343" s="28" t="n">
        <v>90</v>
      </c>
      <c r="G343" s="28" t="n">
        <v>76</v>
      </c>
      <c r="H343" s="28" t="n">
        <v>11</v>
      </c>
      <c r="I343" s="28" t="inlineStr">
        <is>
          <t>Sugar Mill</t>
        </is>
      </c>
      <c r="J343" s="28" t="n">
        <v>25</v>
      </c>
      <c r="K343" s="28" t="n">
        <v>5</v>
      </c>
      <c r="L343" s="28" t="inlineStr">
        <is>
          <t>Syrup.png</t>
        </is>
      </c>
      <c r="M343" s="28" t="n">
        <v>56</v>
      </c>
      <c r="N343" s="28" t="n">
        <v>900</v>
      </c>
      <c r="O343" s="28" t="inlineStr">
        <is>
          <t>1 h 30 min</t>
        </is>
      </c>
      <c r="P343" s="28" t="inlineStr">
        <is>
          <t>1 h 16 min</t>
        </is>
      </c>
      <c r="Q343" s="28" t="inlineStr">
        <is>
          <t>1 to 90</t>
        </is>
      </c>
      <c r="R343" s="28" t="inlineStr">
        <is>
          <t>https://hayday.fandom.com/wiki/Syrup</t>
        </is>
      </c>
    </row>
    <row r="344">
      <c r="A344" s="28" t="inlineStr">
        <is>
          <t>Taco</t>
        </is>
      </c>
      <c r="B344" s="28" t="inlineStr">
        <is>
          <t>Taco</t>
        </is>
      </c>
      <c r="C344" s="28" t="inlineStr">
        <is>
          <t>Product</t>
        </is>
      </c>
      <c r="D344" s="28" t="n">
        <v>77</v>
      </c>
      <c r="E344" s="28" t="n">
        <v>396</v>
      </c>
      <c r="F344" s="28" t="n">
        <v>45</v>
      </c>
      <c r="G344" s="28" t="n">
        <v>38</v>
      </c>
      <c r="H344" s="28" t="n">
        <v>47</v>
      </c>
      <c r="I344" s="28" t="inlineStr">
        <is>
          <t>Taco Kitchen</t>
        </is>
      </c>
      <c r="J344" s="28" t="n">
        <v>92</v>
      </c>
      <c r="K344" s="28" t="n">
        <v>3</v>
      </c>
      <c r="L344" s="28" t="inlineStr">
        <is>
          <t>Taco.png</t>
        </is>
      </c>
      <c r="M344" s="28" t="n">
        <v>374</v>
      </c>
      <c r="N344" s="28" t="n">
        <v>3960</v>
      </c>
      <c r="O344" s="28" t="inlineStr">
        <is>
          <t>45 min</t>
        </is>
      </c>
      <c r="P344" s="28" t="inlineStr">
        <is>
          <t>38 min</t>
        </is>
      </c>
      <c r="Q344" s="28" t="inlineStr">
        <is>
          <t>1 to 396</t>
        </is>
      </c>
      <c r="R344" s="28" t="inlineStr">
        <is>
          <t>https://hayday.fandom.com/wiki/Taco</t>
        </is>
      </c>
    </row>
    <row r="345">
      <c r="A345" s="28" t="inlineStr">
        <is>
          <t>Tart Dressing</t>
        </is>
      </c>
      <c r="B345" s="28" t="inlineStr">
        <is>
          <t>Tart Dressing</t>
        </is>
      </c>
      <c r="C345" s="28" t="inlineStr">
        <is>
          <t>Product</t>
        </is>
      </c>
      <c r="D345" s="28" t="n">
        <v>100</v>
      </c>
      <c r="E345" s="28" t="n">
        <v>288</v>
      </c>
      <c r="F345" s="28" t="n">
        <v>30</v>
      </c>
      <c r="G345" s="28" t="n">
        <v>25</v>
      </c>
      <c r="H345" s="28" t="n">
        <v>34</v>
      </c>
      <c r="I345" s="28" t="inlineStr">
        <is>
          <t>Sauce Maker</t>
        </is>
      </c>
      <c r="J345" s="28" t="n">
        <v>80</v>
      </c>
      <c r="K345" s="28" t="n">
        <v>3</v>
      </c>
      <c r="L345" s="28" t="inlineStr">
        <is>
          <t>Tart Dressing.png</t>
        </is>
      </c>
      <c r="M345" s="28" t="n">
        <v>262</v>
      </c>
      <c r="N345" s="28" t="n">
        <v>2880</v>
      </c>
      <c r="O345" s="28" t="inlineStr">
        <is>
          <t>30 min</t>
        </is>
      </c>
      <c r="P345" s="28" t="inlineStr">
        <is>
          <t>25 min</t>
        </is>
      </c>
      <c r="Q345" s="28" t="inlineStr">
        <is>
          <t>1 to 288</t>
        </is>
      </c>
      <c r="R345" s="28" t="inlineStr">
        <is>
          <t>https://hayday.fandom.com/wiki/Tart_Dressing</t>
        </is>
      </c>
    </row>
    <row r="346">
      <c r="A346" s="28" t="inlineStr">
        <is>
          <t>Tea Leaf</t>
        </is>
      </c>
      <c r="B346" s="28" t="inlineStr">
        <is>
          <t>Tea Leaf</t>
        </is>
      </c>
      <c r="C346" s="28" t="inlineStr">
        <is>
          <t>Crop</t>
        </is>
      </c>
      <c r="D346" s="28" t="n">
        <v>80</v>
      </c>
      <c r="E346" s="28" t="n">
        <v>43</v>
      </c>
      <c r="F346" s="28" t="n">
        <v>390</v>
      </c>
      <c r="H346" s="28" t="n">
        <v>9</v>
      </c>
      <c r="I346" s="28" t="inlineStr">
        <is>
          <t>Farm</t>
        </is>
      </c>
      <c r="J346" s="28" t="n">
        <v>12</v>
      </c>
      <c r="K346" s="28" t="n">
        <v>9</v>
      </c>
      <c r="L346" s="28" t="inlineStr">
        <is>
          <t>Tea Leaf.png</t>
        </is>
      </c>
      <c r="N346" s="28" t="n">
        <v>432</v>
      </c>
      <c r="O346" s="28" t="inlineStr">
        <is>
          <t>6 h 30 min</t>
        </is>
      </c>
      <c r="Q346" s="28" t="inlineStr">
        <is>
          <t>1 to 43</t>
        </is>
      </c>
      <c r="R346" s="28" t="inlineStr">
        <is>
          <t>https://hayday.fandom.com/wiki/Tea_Leaf</t>
        </is>
      </c>
    </row>
    <row r="347">
      <c r="A347" s="28" t="inlineStr">
        <is>
          <t>Tea Pot</t>
        </is>
      </c>
      <c r="B347" s="28" t="inlineStr">
        <is>
          <t>Tea Pot</t>
        </is>
      </c>
      <c r="C347" s="28" t="inlineStr">
        <is>
          <t>Product</t>
        </is>
      </c>
      <c r="D347" s="28" t="n">
        <v>94</v>
      </c>
      <c r="E347" s="28" t="n">
        <v>219</v>
      </c>
      <c r="F347" s="28" t="n">
        <v>220</v>
      </c>
      <c r="G347" s="28" t="n">
        <v>187</v>
      </c>
      <c r="H347" s="28" t="n">
        <v>26</v>
      </c>
      <c r="I347" s="28" t="inlineStr">
        <is>
          <t>Pottery Studio</t>
        </is>
      </c>
      <c r="J347" s="28" t="n">
        <v>61</v>
      </c>
      <c r="K347" s="28" t="n">
        <v>1</v>
      </c>
      <c r="L347" s="28" t="inlineStr">
        <is>
          <t>Tea Pot.png</t>
        </is>
      </c>
      <c r="M347" s="28" t="n">
        <v>139</v>
      </c>
      <c r="N347" s="28" t="n">
        <v>2196</v>
      </c>
      <c r="O347" s="28" t="inlineStr">
        <is>
          <t>3 h 40 m</t>
        </is>
      </c>
      <c r="P347" s="28" t="inlineStr">
        <is>
          <t>3 h 7 m</t>
        </is>
      </c>
      <c r="Q347" s="28" t="inlineStr">
        <is>
          <t>1 to 219</t>
        </is>
      </c>
      <c r="R347" s="28" t="inlineStr">
        <is>
          <t>https://hayday.fandom.com/wiki/Tea_Pot</t>
        </is>
      </c>
    </row>
    <row r="348">
      <c r="A348" s="28" t="inlineStr">
        <is>
          <t>Toffee</t>
        </is>
      </c>
      <c r="B348" s="28" t="inlineStr">
        <is>
          <t>Toffee</t>
        </is>
      </c>
      <c r="C348" s="28" t="inlineStr">
        <is>
          <t>Product</t>
        </is>
      </c>
      <c r="D348" s="28" t="n">
        <v>52</v>
      </c>
      <c r="E348" s="28" t="n">
        <v>176</v>
      </c>
      <c r="F348" s="28" t="n">
        <v>90</v>
      </c>
      <c r="G348" s="28" t="n">
        <v>76</v>
      </c>
      <c r="H348" s="28" t="n">
        <v>21</v>
      </c>
      <c r="I348" s="28" t="inlineStr">
        <is>
          <t>Candy Machine</t>
        </is>
      </c>
      <c r="J348" s="28" t="n">
        <v>49</v>
      </c>
      <c r="K348" s="28" t="n">
        <v>5</v>
      </c>
      <c r="L348" s="28" t="inlineStr">
        <is>
          <t>Toffee.png</t>
        </is>
      </c>
      <c r="M348" s="28" t="n">
        <v>135</v>
      </c>
      <c r="N348" s="28" t="n">
        <v>1764</v>
      </c>
      <c r="O348" s="28" t="inlineStr">
        <is>
          <t>1 h 30 min</t>
        </is>
      </c>
      <c r="P348" s="28" t="inlineStr">
        <is>
          <t>1 h 16 min</t>
        </is>
      </c>
      <c r="Q348" s="28" t="inlineStr">
        <is>
          <t>1 to 176</t>
        </is>
      </c>
      <c r="R348" s="28" t="inlineStr">
        <is>
          <t>https://hayday.fandom.com/wiki/Toffee</t>
        </is>
      </c>
    </row>
    <row r="349">
      <c r="A349" s="28" t="inlineStr">
        <is>
          <t>Tofu Dog</t>
        </is>
      </c>
      <c r="B349" s="28" t="inlineStr">
        <is>
          <t>Tofu Dog</t>
        </is>
      </c>
      <c r="C349" s="28" t="inlineStr">
        <is>
          <t>Product</t>
        </is>
      </c>
      <c r="D349" s="28" t="n">
        <v>76</v>
      </c>
      <c r="E349" s="28" t="n">
        <v>367</v>
      </c>
      <c r="F349" s="28" t="n">
        <v>45</v>
      </c>
      <c r="G349" s="28" t="n">
        <v>38</v>
      </c>
      <c r="H349" s="28" t="n">
        <v>44</v>
      </c>
      <c r="I349" s="28" t="inlineStr">
        <is>
          <t>Hot Dog Stand</t>
        </is>
      </c>
      <c r="J349" s="28" t="n">
        <v>102</v>
      </c>
      <c r="K349" s="28" t="n">
        <v>3</v>
      </c>
      <c r="L349" s="28" t="inlineStr">
        <is>
          <t>Tofu Dog.png</t>
        </is>
      </c>
      <c r="M349" s="28" t="n">
        <v>328</v>
      </c>
      <c r="N349" s="28" t="n">
        <v>3672</v>
      </c>
      <c r="O349" s="28" t="inlineStr">
        <is>
          <t>45 min</t>
        </is>
      </c>
      <c r="P349" s="28" t="inlineStr">
        <is>
          <t>38 min</t>
        </is>
      </c>
      <c r="Q349" s="28" t="inlineStr">
        <is>
          <t>1 to 367</t>
        </is>
      </c>
      <c r="R349" s="28" t="inlineStr">
        <is>
          <t>https://hayday.fandom.com/wiki/Tofu_Dog</t>
        </is>
      </c>
    </row>
    <row r="350">
      <c r="A350" s="28" t="inlineStr">
        <is>
          <t>Tofu Stir Fry</t>
        </is>
      </c>
      <c r="B350" s="28" t="inlineStr">
        <is>
          <t>Tofu Stir Fry</t>
        </is>
      </c>
      <c r="C350" s="28" t="inlineStr">
        <is>
          <t>Product</t>
        </is>
      </c>
      <c r="D350" s="28" t="n">
        <v>89</v>
      </c>
      <c r="E350" s="28" t="n">
        <v>306</v>
      </c>
      <c r="F350" s="28" t="n">
        <v>75</v>
      </c>
      <c r="G350" s="28" t="n">
        <v>63</v>
      </c>
      <c r="H350" s="28" t="n">
        <v>37</v>
      </c>
      <c r="I350" s="28" t="inlineStr">
        <is>
          <t>Wok Kitchen</t>
        </is>
      </c>
      <c r="J350" s="28" t="n">
        <v>85</v>
      </c>
      <c r="K350" s="28" t="n">
        <v>4</v>
      </c>
      <c r="L350" s="28" t="inlineStr">
        <is>
          <t>Tofu Stir Fry.png</t>
        </is>
      </c>
      <c r="M350" s="28" t="n">
        <v>264</v>
      </c>
      <c r="N350" s="28" t="n">
        <v>3060</v>
      </c>
      <c r="O350" s="28" t="inlineStr">
        <is>
          <t>1 h 15 min</t>
        </is>
      </c>
      <c r="P350" s="28" t="inlineStr">
        <is>
          <t>1 h 3 min</t>
        </is>
      </c>
      <c r="Q350" s="28" t="inlineStr">
        <is>
          <t>1 to 306</t>
        </is>
      </c>
      <c r="R350" s="28" t="inlineStr">
        <is>
          <t>https://hayday.fandom.com/wiki/Tofu_Stir_Fry</t>
        </is>
      </c>
    </row>
    <row r="351">
      <c r="A351" s="28" t="inlineStr">
        <is>
          <t>Tomato</t>
        </is>
      </c>
      <c r="B351" s="28" t="inlineStr">
        <is>
          <t>Tomato</t>
        </is>
      </c>
      <c r="C351" s="28" t="inlineStr">
        <is>
          <t>Crop</t>
        </is>
      </c>
      <c r="D351" s="28" t="n">
        <v>30</v>
      </c>
      <c r="E351" s="28" t="n">
        <v>43</v>
      </c>
      <c r="F351" s="28" t="n">
        <v>360</v>
      </c>
      <c r="H351" s="28" t="n">
        <v>8</v>
      </c>
      <c r="I351" s="28" t="inlineStr">
        <is>
          <t>Farm</t>
        </is>
      </c>
      <c r="J351" s="28" t="n">
        <v>12</v>
      </c>
      <c r="K351" s="28" t="n">
        <v>8</v>
      </c>
      <c r="L351" s="28" t="inlineStr">
        <is>
          <t>Tomato.png</t>
        </is>
      </c>
      <c r="N351" s="28" t="n">
        <v>432</v>
      </c>
      <c r="O351" s="28" t="inlineStr">
        <is>
          <t>6 h</t>
        </is>
      </c>
      <c r="Q351" s="28" t="inlineStr">
        <is>
          <t>1 to 43</t>
        </is>
      </c>
      <c r="R351" s="28" t="inlineStr">
        <is>
          <t>https://hayday.fandom.com/wiki/Tomato</t>
        </is>
      </c>
    </row>
    <row r="352">
      <c r="A352" s="28" t="inlineStr">
        <is>
          <t>Tomato Juice</t>
        </is>
      </c>
      <c r="B352" s="28" t="inlineStr">
        <is>
          <t>Tomato Juice</t>
        </is>
      </c>
      <c r="C352" s="28" t="inlineStr">
        <is>
          <t>Product</t>
        </is>
      </c>
      <c r="D352" s="28" t="n">
        <v>31</v>
      </c>
      <c r="E352" s="28" t="n">
        <v>162</v>
      </c>
      <c r="F352" s="28" t="n">
        <v>90</v>
      </c>
      <c r="G352" s="28" t="n">
        <v>76</v>
      </c>
      <c r="H352" s="28" t="n">
        <v>19</v>
      </c>
      <c r="I352" s="28" t="inlineStr">
        <is>
          <t>Juice Press</t>
        </is>
      </c>
      <c r="J352" s="28" t="n">
        <v>45</v>
      </c>
      <c r="K352" s="28" t="n">
        <v>5</v>
      </c>
      <c r="L352" s="28" t="inlineStr">
        <is>
          <t>Tomato Juice.png</t>
        </is>
      </c>
      <c r="M352" s="28" t="n">
        <v>129</v>
      </c>
      <c r="O352" s="28" t="inlineStr">
        <is>
          <t>1 h 30 min</t>
        </is>
      </c>
      <c r="P352" s="28" t="inlineStr">
        <is>
          <t>1 h 16 min</t>
        </is>
      </c>
      <c r="Q352" s="28" t="inlineStr">
        <is>
          <t>1 to 162</t>
        </is>
      </c>
      <c r="R352" s="28" t="inlineStr">
        <is>
          <t>https://hayday.fandom.com/wiki/Tomato_Juice</t>
        </is>
      </c>
    </row>
    <row r="353">
      <c r="A353" s="28" t="inlineStr">
        <is>
          <t>Tomato Sauce</t>
        </is>
      </c>
      <c r="B353" s="28" t="inlineStr">
        <is>
          <t>Tomato Sauce</t>
        </is>
      </c>
      <c r="C353" s="28" t="inlineStr">
        <is>
          <t>Product</t>
        </is>
      </c>
      <c r="D353" s="28" t="n">
        <v>69</v>
      </c>
      <c r="E353" s="28" t="n">
        <v>230</v>
      </c>
      <c r="F353" s="28" t="n">
        <v>30</v>
      </c>
      <c r="G353" s="28" t="n">
        <v>25</v>
      </c>
      <c r="H353" s="28" t="n">
        <v>27</v>
      </c>
      <c r="I353" s="28" t="inlineStr">
        <is>
          <t>Sauce Maker</t>
        </is>
      </c>
      <c r="J353" s="28" t="n">
        <v>70</v>
      </c>
      <c r="K353" s="28" t="n">
        <v>3</v>
      </c>
      <c r="L353" s="28" t="inlineStr">
        <is>
          <t>Tomato Sauce.png</t>
        </is>
      </c>
      <c r="M353" s="28" t="n">
        <v>211</v>
      </c>
      <c r="N353" s="28" t="n">
        <v>2304</v>
      </c>
      <c r="O353" s="28" t="inlineStr">
        <is>
          <t>30 min</t>
        </is>
      </c>
      <c r="P353" s="28" t="inlineStr">
        <is>
          <t>25 min</t>
        </is>
      </c>
      <c r="Q353" s="28" t="inlineStr">
        <is>
          <t>1 to 230</t>
        </is>
      </c>
      <c r="R353" s="28" t="inlineStr">
        <is>
          <t>https://hayday.fandom.com/wiki/Tomato_Sauce</t>
        </is>
      </c>
    </row>
    <row r="354">
      <c r="A354" s="28" t="inlineStr">
        <is>
          <t>Tomato Soup</t>
        </is>
      </c>
      <c r="B354" s="28" t="inlineStr">
        <is>
          <t>Tomato Soup</t>
        </is>
      </c>
      <c r="C354" s="28" t="inlineStr">
        <is>
          <t>Product</t>
        </is>
      </c>
      <c r="D354" s="28" t="n">
        <v>47</v>
      </c>
      <c r="E354" s="28" t="n">
        <v>478</v>
      </c>
      <c r="F354" s="28" t="n">
        <v>90</v>
      </c>
      <c r="G354" s="28" t="n">
        <v>76</v>
      </c>
      <c r="H354" s="28" t="n">
        <v>57</v>
      </c>
      <c r="I354" s="28" t="inlineStr">
        <is>
          <t>Soup Kitchen</t>
        </is>
      </c>
      <c r="J354" s="28" t="n">
        <v>133</v>
      </c>
      <c r="K354" s="28" t="n">
        <v>5</v>
      </c>
      <c r="L354" s="28" t="inlineStr">
        <is>
          <t>Tomato Soup.png</t>
        </is>
      </c>
      <c r="M354" s="28" t="n">
        <v>446</v>
      </c>
      <c r="N354" s="28" t="n">
        <v>4788</v>
      </c>
      <c r="O354" s="28" t="inlineStr">
        <is>
          <t>1 h 30 min</t>
        </is>
      </c>
      <c r="P354" s="28" t="inlineStr">
        <is>
          <t>1 h 16 min</t>
        </is>
      </c>
      <c r="Q354" s="28" t="inlineStr">
        <is>
          <t>1 to 478</t>
        </is>
      </c>
      <c r="R354" s="28" t="inlineStr">
        <is>
          <t>https://hayday.fandom.com/wiki/Tomato_Soup</t>
        </is>
      </c>
    </row>
    <row r="355">
      <c r="A355" s="28" t="inlineStr">
        <is>
          <t>Top Hat</t>
        </is>
      </c>
      <c r="B355" s="28" t="inlineStr">
        <is>
          <t>Top Hat</t>
        </is>
      </c>
      <c r="C355" s="28" t="inlineStr">
        <is>
          <t>Product</t>
        </is>
      </c>
      <c r="D355" s="28" t="n">
        <v>72</v>
      </c>
      <c r="E355" s="28" t="n">
        <v>619</v>
      </c>
      <c r="F355" s="28" t="n">
        <v>210</v>
      </c>
      <c r="G355" s="28" t="n">
        <v>178</v>
      </c>
      <c r="H355" s="28" t="n">
        <v>74</v>
      </c>
      <c r="I355" s="28" t="inlineStr">
        <is>
          <t>Hat Maker</t>
        </is>
      </c>
      <c r="J355" s="28" t="n">
        <v>172</v>
      </c>
      <c r="K355" s="28" t="n">
        <v>6</v>
      </c>
      <c r="L355" s="28" t="inlineStr">
        <is>
          <t>Top Hat.png</t>
        </is>
      </c>
      <c r="M355" s="28" t="n">
        <v>572</v>
      </c>
      <c r="N355" s="28" t="n">
        <v>6192</v>
      </c>
      <c r="O355" s="28" t="inlineStr">
        <is>
          <t>3 h 30 min</t>
        </is>
      </c>
      <c r="P355" s="28" t="inlineStr">
        <is>
          <t>2 h 58 min</t>
        </is>
      </c>
      <c r="Q355" s="28" t="inlineStr">
        <is>
          <t>1 to 619</t>
        </is>
      </c>
      <c r="R355" s="28" t="inlineStr">
        <is>
          <t>https://hayday.fandom.com/wiki/Top_Hat</t>
        </is>
      </c>
    </row>
    <row r="356">
      <c r="A356" s="28" t="inlineStr">
        <is>
          <t>Tropical Cupcake</t>
        </is>
      </c>
      <c r="B356" s="28" t="inlineStr">
        <is>
          <t>Tropical Cupcake</t>
        </is>
      </c>
      <c r="C356" s="28" t="inlineStr">
        <is>
          <t>Product</t>
        </is>
      </c>
      <c r="D356" s="28" t="n">
        <v>112</v>
      </c>
      <c r="E356" s="28" t="n">
        <v>572</v>
      </c>
      <c r="F356" s="28" t="n">
        <v>90</v>
      </c>
      <c r="G356" s="28" t="n">
        <v>76</v>
      </c>
      <c r="H356" s="28" t="n">
        <v>68</v>
      </c>
      <c r="I356" s="28" t="inlineStr">
        <is>
          <t>Cupcake Maker</t>
        </is>
      </c>
      <c r="J356" s="28" t="n">
        <v>159</v>
      </c>
      <c r="K356" s="28" t="n">
        <v>5</v>
      </c>
      <c r="L356" s="28" t="inlineStr">
        <is>
          <t>Tropical Cupcake.png</t>
        </is>
      </c>
      <c r="M356" s="28" t="n">
        <v>538</v>
      </c>
      <c r="N356" s="28" t="n">
        <v>5724</v>
      </c>
      <c r="O356" s="28" t="inlineStr">
        <is>
          <t>1 h 30 min</t>
        </is>
      </c>
      <c r="P356" s="28" t="inlineStr">
        <is>
          <t>1 h 16 min</t>
        </is>
      </c>
      <c r="Q356" s="28" t="inlineStr">
        <is>
          <t>1 to 572</t>
        </is>
      </c>
      <c r="R356" s="28" t="inlineStr">
        <is>
          <t>https://hayday.fandom.com/wiki/Tropical_Cupcake</t>
        </is>
      </c>
    </row>
    <row r="357">
      <c r="A357" s="28" t="inlineStr">
        <is>
          <t>Tropical Fondue</t>
        </is>
      </c>
      <c r="B357" s="28" t="inlineStr">
        <is>
          <t>Tropical Fondue</t>
        </is>
      </c>
      <c r="C357" s="28" t="inlineStr">
        <is>
          <t>product</t>
        </is>
      </c>
      <c r="D357" s="28" t="n">
        <v>100</v>
      </c>
      <c r="E357" s="28" t="n">
        <v>417</v>
      </c>
      <c r="F357" s="28" t="n">
        <v>35</v>
      </c>
      <c r="G357" s="28" t="n">
        <v>29</v>
      </c>
      <c r="H357" s="28" t="n">
        <v>50</v>
      </c>
      <c r="I357" s="28" t="inlineStr">
        <is>
          <t>Fondue Pot</t>
        </is>
      </c>
      <c r="J357" s="28" t="n">
        <v>116</v>
      </c>
      <c r="K357" s="28" t="n">
        <v>3</v>
      </c>
      <c r="L357" s="28" t="inlineStr">
        <is>
          <t>Tropical Fondue.png</t>
        </is>
      </c>
      <c r="M357" s="28" t="n">
        <v>392</v>
      </c>
      <c r="N357" s="28" t="n">
        <v>4176</v>
      </c>
      <c r="O357" s="28" t="inlineStr">
        <is>
          <t>35 min</t>
        </is>
      </c>
      <c r="P357" s="28" t="inlineStr">
        <is>
          <t>29 min</t>
        </is>
      </c>
      <c r="Q357" s="28" t="inlineStr">
        <is>
          <t>1 to 417</t>
        </is>
      </c>
      <c r="R357" s="28" t="inlineStr">
        <is>
          <t>https://hayday.fandom.com/wiki/Tropical_Fondue</t>
        </is>
      </c>
    </row>
    <row r="358">
      <c r="A358" s="28" t="inlineStr">
        <is>
          <t>Tropical Smoothie</t>
        </is>
      </c>
      <c r="B358" s="28" t="inlineStr">
        <is>
          <t>Tropical Smoothie</t>
        </is>
      </c>
      <c r="C358" s="28" t="inlineStr">
        <is>
          <t>Product</t>
        </is>
      </c>
      <c r="D358" s="28" t="n">
        <v>104</v>
      </c>
      <c r="E358" s="28" t="n">
        <v>475</v>
      </c>
      <c r="F358" s="28" t="n">
        <v>40</v>
      </c>
      <c r="G358" s="28" t="n">
        <v>34</v>
      </c>
      <c r="H358" s="28" t="n">
        <v>57</v>
      </c>
      <c r="I358" s="28" t="inlineStr">
        <is>
          <t>Smoothie Mixer</t>
        </is>
      </c>
      <c r="J358" s="28" t="n">
        <v>132</v>
      </c>
      <c r="K358" s="28" t="n">
        <v>3</v>
      </c>
      <c r="L358" s="28" t="inlineStr">
        <is>
          <t>Tropical Smoothie.png</t>
        </is>
      </c>
      <c r="M358" s="28" t="n">
        <v>448</v>
      </c>
      <c r="N358" s="28" t="n">
        <v>4752</v>
      </c>
      <c r="O358" s="28" t="inlineStr">
        <is>
          <t>40 min</t>
        </is>
      </c>
      <c r="P358" s="28" t="inlineStr">
        <is>
          <t>34 min</t>
        </is>
      </c>
      <c r="Q358" s="28" t="inlineStr">
        <is>
          <t>1 to 475</t>
        </is>
      </c>
      <c r="R358" s="28" t="inlineStr">
        <is>
          <t>https://hayday.fandom.com/wiki/Tropical_Smoothie</t>
        </is>
      </c>
    </row>
    <row r="359">
      <c r="A359" s="28" t="inlineStr">
        <is>
          <t>Tropical Yogurt</t>
        </is>
      </c>
      <c r="B359" s="28" t="inlineStr">
        <is>
          <t>Tropical Yogurt</t>
        </is>
      </c>
      <c r="C359" s="28" t="inlineStr">
        <is>
          <t>product</t>
        </is>
      </c>
      <c r="D359" s="28" t="n">
        <v>109</v>
      </c>
      <c r="E359" s="28" t="n">
        <v>457</v>
      </c>
      <c r="F359" s="28" t="n">
        <v>60</v>
      </c>
      <c r="G359" s="28" t="n">
        <v>51</v>
      </c>
      <c r="H359" s="28" t="n">
        <v>54</v>
      </c>
      <c r="I359" s="28" t="inlineStr">
        <is>
          <t>Yogurt Maker</t>
        </is>
      </c>
      <c r="J359" s="28" t="n">
        <v>127</v>
      </c>
      <c r="K359" s="28" t="n">
        <v>4</v>
      </c>
      <c r="L359" s="28" t="inlineStr">
        <is>
          <t>Tropical Yogurt.png</t>
        </is>
      </c>
      <c r="M359" s="28" t="n">
        <v>636</v>
      </c>
      <c r="N359" s="28" t="n">
        <v>4572</v>
      </c>
      <c r="O359" s="28" t="inlineStr">
        <is>
          <t>1 h</t>
        </is>
      </c>
      <c r="P359" s="28" t="inlineStr">
        <is>
          <t>51 min</t>
        </is>
      </c>
      <c r="Q359" s="28" t="inlineStr">
        <is>
          <t>1 to 457</t>
        </is>
      </c>
      <c r="R359" s="28" t="inlineStr">
        <is>
          <t>https://hayday.fandom.com/wiki/Tropical_Yogurt</t>
        </is>
      </c>
    </row>
    <row r="360">
      <c r="A360" s="28" t="inlineStr">
        <is>
          <t>Vanilla Ice Cream</t>
        </is>
      </c>
      <c r="B360" s="28" t="inlineStr">
        <is>
          <t>Vanilla Ice Cream</t>
        </is>
      </c>
      <c r="C360" s="28" t="inlineStr">
        <is>
          <t>Product</t>
        </is>
      </c>
      <c r="D360" s="28" t="n">
        <v>29</v>
      </c>
      <c r="E360" s="28" t="n">
        <v>172</v>
      </c>
      <c r="F360" s="28" t="n">
        <v>120</v>
      </c>
      <c r="G360" s="28" t="n">
        <v>102</v>
      </c>
      <c r="H360" s="28" t="n">
        <v>20</v>
      </c>
      <c r="I360" s="28" t="inlineStr">
        <is>
          <t>Ice Cream Maker</t>
        </is>
      </c>
      <c r="J360" s="28" t="n">
        <v>48</v>
      </c>
      <c r="K360" s="28" t="n">
        <v>5</v>
      </c>
      <c r="L360" s="28" t="inlineStr">
        <is>
          <t>Vanilla Ice Cream.png</t>
        </is>
      </c>
      <c r="M360" s="28" t="n">
        <v>132</v>
      </c>
      <c r="N360" s="28" t="n">
        <v>1728</v>
      </c>
      <c r="O360" s="28" t="inlineStr">
        <is>
          <t>2 h</t>
        </is>
      </c>
      <c r="P360" s="28" t="inlineStr">
        <is>
          <t>1 h 42 min</t>
        </is>
      </c>
      <c r="Q360" s="28" t="inlineStr">
        <is>
          <t>1 to 172</t>
        </is>
      </c>
      <c r="R360" s="28" t="inlineStr">
        <is>
          <t>https://hayday.fandom.com/wiki/Vanilla_Ice_Cream</t>
        </is>
      </c>
    </row>
    <row r="361">
      <c r="A361" s="28" t="inlineStr">
        <is>
          <t>Veggie Bagel</t>
        </is>
      </c>
      <c r="B361" s="28" t="inlineStr">
        <is>
          <t>Veggie Bagel</t>
        </is>
      </c>
      <c r="C361" s="28" t="inlineStr">
        <is>
          <t>Product</t>
        </is>
      </c>
      <c r="D361" s="28" t="n">
        <v>61</v>
      </c>
      <c r="E361" s="28" t="n">
        <v>532</v>
      </c>
      <c r="F361" s="28" t="n">
        <v>40</v>
      </c>
      <c r="G361" s="28" t="n">
        <v>34</v>
      </c>
      <c r="H361" s="28" t="n">
        <v>63</v>
      </c>
      <c r="I361" s="28" t="inlineStr">
        <is>
          <t>Sandwich Bar</t>
        </is>
      </c>
      <c r="J361" s="28" t="n">
        <v>148</v>
      </c>
      <c r="K361" s="28" t="n">
        <v>3</v>
      </c>
      <c r="L361" s="28" t="inlineStr">
        <is>
          <t>Veggie Bagel.png</t>
        </is>
      </c>
      <c r="M361" s="28" t="n">
        <v>501</v>
      </c>
      <c r="N361" s="28" t="n">
        <v>5328</v>
      </c>
      <c r="O361" s="28" t="inlineStr">
        <is>
          <t>40 min</t>
        </is>
      </c>
      <c r="P361" s="28" t="inlineStr">
        <is>
          <t>34 min</t>
        </is>
      </c>
      <c r="Q361" s="28" t="inlineStr">
        <is>
          <t>1 to 532</t>
        </is>
      </c>
      <c r="R361" s="28" t="inlineStr">
        <is>
          <t>https://hayday.fandom.com/wiki/Veggie_Bagel</t>
        </is>
      </c>
    </row>
    <row r="362">
      <c r="A362" s="28" t="inlineStr">
        <is>
          <t>Veggie Bouquet</t>
        </is>
      </c>
      <c r="B362" s="28" t="inlineStr">
        <is>
          <t>Veggie Bouquet</t>
        </is>
      </c>
      <c r="C362" s="28" t="inlineStr">
        <is>
          <t>Product</t>
        </is>
      </c>
      <c r="D362" s="28" t="n">
        <v>106</v>
      </c>
      <c r="E362" s="28" t="n">
        <v>352</v>
      </c>
      <c r="F362" s="28" t="n">
        <v>15</v>
      </c>
      <c r="G362" s="28" t="n">
        <v>12</v>
      </c>
      <c r="H362" s="28" t="n">
        <v>42</v>
      </c>
      <c r="I362" s="28" t="inlineStr">
        <is>
          <t>Flower Shop</t>
        </is>
      </c>
      <c r="J362" s="28" t="n">
        <v>98</v>
      </c>
      <c r="K362" s="28" t="n">
        <v>2</v>
      </c>
      <c r="L362" s="28" t="inlineStr">
        <is>
          <t>Veggie Bouquet.png</t>
        </is>
      </c>
      <c r="M362" s="28" t="n">
        <v>330</v>
      </c>
      <c r="N362" s="28" t="n">
        <v>3528</v>
      </c>
      <c r="O362" s="28" t="inlineStr">
        <is>
          <t>15 min</t>
        </is>
      </c>
      <c r="P362" s="28" t="inlineStr">
        <is>
          <t>12 min</t>
        </is>
      </c>
      <c r="Q362" s="28" t="inlineStr">
        <is>
          <t>1 to 352</t>
        </is>
      </c>
      <c r="R362" s="28" t="inlineStr">
        <is>
          <t>https://hayday.fandom.com/wiki/Veggie_Bouquet</t>
        </is>
      </c>
    </row>
    <row r="363">
      <c r="A363" s="28" t="inlineStr">
        <is>
          <t>Veggie Lasagna</t>
        </is>
      </c>
      <c r="B363" s="28" t="inlineStr">
        <is>
          <t>Veggie Lasagna</t>
        </is>
      </c>
      <c r="C363" s="28" t="inlineStr">
        <is>
          <t>Product</t>
        </is>
      </c>
      <c r="D363" s="28" t="n">
        <v>74</v>
      </c>
      <c r="E363" s="28" t="n">
        <v>532</v>
      </c>
      <c r="F363" s="28" t="n">
        <v>100</v>
      </c>
      <c r="G363" s="28" t="n">
        <v>85</v>
      </c>
      <c r="H363" s="28" t="n">
        <v>63</v>
      </c>
      <c r="I363" s="28" t="inlineStr">
        <is>
          <t>Pasta Kitchen</t>
        </is>
      </c>
      <c r="J363" s="28" t="n">
        <v>148</v>
      </c>
      <c r="K363" s="28" t="n">
        <v>5</v>
      </c>
      <c r="L363" s="28" t="inlineStr">
        <is>
          <t>Veggie Lasagna.png</t>
        </is>
      </c>
      <c r="M363" s="28" t="n">
        <v>488</v>
      </c>
      <c r="N363" s="28" t="n">
        <v>5328</v>
      </c>
      <c r="O363" s="28" t="inlineStr">
        <is>
          <t>1 h 40 min</t>
        </is>
      </c>
      <c r="P363" s="28" t="inlineStr">
        <is>
          <t>1 h 25 min</t>
        </is>
      </c>
      <c r="Q363" s="28" t="inlineStr">
        <is>
          <t>1 to 532</t>
        </is>
      </c>
      <c r="R363" s="28" t="inlineStr">
        <is>
          <t>https://hayday.fandom.com/wiki/Veggie_Lasagna</t>
        </is>
      </c>
    </row>
    <row r="364">
      <c r="A364" s="28" t="inlineStr">
        <is>
          <t>Veggie Platter</t>
        </is>
      </c>
      <c r="B364" s="28" t="inlineStr">
        <is>
          <t>Veggie Platter</t>
        </is>
      </c>
      <c r="C364" s="28" t="inlineStr">
        <is>
          <t>Product</t>
        </is>
      </c>
      <c r="D364" s="28" t="n">
        <v>74</v>
      </c>
      <c r="E364" s="28" t="n">
        <v>266</v>
      </c>
      <c r="F364" s="28" t="n">
        <v>120</v>
      </c>
      <c r="G364" s="28" t="n">
        <v>102</v>
      </c>
      <c r="H364" s="28" t="n">
        <v>32</v>
      </c>
      <c r="I364" s="28" t="inlineStr">
        <is>
          <t>Salad Bar</t>
        </is>
      </c>
      <c r="J364" s="28" t="n">
        <v>74</v>
      </c>
      <c r="K364" s="28" t="n">
        <v>5</v>
      </c>
      <c r="L364" s="28" t="inlineStr">
        <is>
          <t>Veggie Platter.png</t>
        </is>
      </c>
      <c r="M364" s="28" t="n">
        <v>222</v>
      </c>
      <c r="N364" s="28" t="n">
        <v>2664</v>
      </c>
      <c r="O364" s="28" t="inlineStr">
        <is>
          <t>2 h</t>
        </is>
      </c>
      <c r="P364" s="28" t="inlineStr">
        <is>
          <t>1 h 42 min</t>
        </is>
      </c>
      <c r="Q364" s="28" t="inlineStr">
        <is>
          <t>1 to 266</t>
        </is>
      </c>
      <c r="R364" s="28" t="inlineStr">
        <is>
          <t>https://hayday.fandom.com/wiki/Veggie_Platter</t>
        </is>
      </c>
    </row>
    <row r="365">
      <c r="A365" s="28" t="inlineStr">
        <is>
          <t>Violet Dress</t>
        </is>
      </c>
      <c r="B365" s="28" t="inlineStr">
        <is>
          <t>Violet Dress</t>
        </is>
      </c>
      <c r="C365" s="28" t="inlineStr">
        <is>
          <t>Product</t>
        </is>
      </c>
      <c r="D365" s="28" t="n">
        <v>25</v>
      </c>
      <c r="E365" s="28" t="n">
        <v>327</v>
      </c>
      <c r="F365" s="28" t="n">
        <v>135</v>
      </c>
      <c r="G365" s="28" t="n">
        <v>114</v>
      </c>
      <c r="H365" s="28" t="n">
        <v>39</v>
      </c>
      <c r="I365" s="28" t="inlineStr">
        <is>
          <t>Sewing Machine</t>
        </is>
      </c>
      <c r="J365" s="28" t="n">
        <v>91</v>
      </c>
      <c r="K365" s="28" t="n">
        <v>5</v>
      </c>
      <c r="L365" s="28" t="inlineStr">
        <is>
          <t>Violet Dress.png</t>
        </is>
      </c>
      <c r="M365" s="28" t="n">
        <v>287</v>
      </c>
      <c r="N365" s="28" t="n">
        <v>3276</v>
      </c>
      <c r="O365" s="28" t="inlineStr">
        <is>
          <t>2 h 15 min</t>
        </is>
      </c>
      <c r="P365" s="28" t="inlineStr">
        <is>
          <t>1 h 54 min</t>
        </is>
      </c>
      <c r="Q365" s="28" t="inlineStr">
        <is>
          <t>1 to 327</t>
        </is>
      </c>
      <c r="R365" s="28" t="inlineStr">
        <is>
          <t>https://hayday.fandom.com/wiki/Violet_Dress</t>
        </is>
      </c>
    </row>
    <row r="366">
      <c r="A366" s="28" t="inlineStr">
        <is>
          <t>Watermelon</t>
        </is>
      </c>
      <c r="B366" s="28" t="inlineStr">
        <is>
          <t>Watermelon</t>
        </is>
      </c>
      <c r="C366" s="28" t="inlineStr">
        <is>
          <t>Crop</t>
        </is>
      </c>
      <c r="D366" s="28" t="n">
        <v>92</v>
      </c>
      <c r="E366" s="28" t="n">
        <v>39</v>
      </c>
      <c r="F366" s="28" t="n">
        <v>300</v>
      </c>
      <c r="H366" s="28" t="n">
        <v>8</v>
      </c>
      <c r="I366" s="28" t="inlineStr">
        <is>
          <t>Farm</t>
        </is>
      </c>
      <c r="J366" s="28" t="n">
        <v>11</v>
      </c>
      <c r="K366" s="28" t="n">
        <v>8</v>
      </c>
      <c r="L366" s="28" t="inlineStr">
        <is>
          <t>Watermelon.png</t>
        </is>
      </c>
      <c r="N366" s="28" t="n">
        <v>396</v>
      </c>
      <c r="O366" s="28" t="inlineStr">
        <is>
          <t>5 h</t>
        </is>
      </c>
      <c r="Q366" s="28" t="inlineStr">
        <is>
          <t>1 to 39</t>
        </is>
      </c>
      <c r="R366" s="28" t="inlineStr">
        <is>
          <t>https://hayday.fandom.com/wiki/Watermelon</t>
        </is>
      </c>
    </row>
    <row r="367">
      <c r="A367" s="28" t="inlineStr">
        <is>
          <t>Watermelon Juice</t>
        </is>
      </c>
      <c r="B367" s="28" t="inlineStr">
        <is>
          <t>Watermelon Juice</t>
        </is>
      </c>
      <c r="C367" s="28" t="inlineStr">
        <is>
          <t>Product</t>
        </is>
      </c>
      <c r="D367" s="28" t="n">
        <v>92</v>
      </c>
      <c r="E367" s="28" t="n">
        <v>108</v>
      </c>
      <c r="F367" s="28" t="n">
        <v>60</v>
      </c>
      <c r="G367" s="28" t="n">
        <v>51</v>
      </c>
      <c r="H367" s="28" t="n">
        <v>13</v>
      </c>
      <c r="I367" s="28" t="inlineStr">
        <is>
          <t>Juice Press</t>
        </is>
      </c>
      <c r="J367" s="28" t="n">
        <v>30</v>
      </c>
      <c r="K367" s="28" t="n">
        <v>4</v>
      </c>
      <c r="L367" s="28" t="inlineStr">
        <is>
          <t>Watermelon Juice.png</t>
        </is>
      </c>
      <c r="M367" s="28" t="n">
        <v>78</v>
      </c>
      <c r="N367" s="28" t="n">
        <v>1080</v>
      </c>
      <c r="O367" s="28" t="inlineStr">
        <is>
          <t>1 h</t>
        </is>
      </c>
      <c r="P367" s="28" t="inlineStr">
        <is>
          <t>51 min</t>
        </is>
      </c>
      <c r="Q367" s="28" t="inlineStr">
        <is>
          <t>1 to 108</t>
        </is>
      </c>
      <c r="R367" s="28" t="inlineStr">
        <is>
          <t>https://hayday.fandom.com/wiki/Watermelon_Juice</t>
        </is>
      </c>
    </row>
    <row r="368">
      <c r="A368" s="28" t="inlineStr">
        <is>
          <t>Wheat</t>
        </is>
      </c>
      <c r="B368" s="28" t="inlineStr">
        <is>
          <t>Wheat</t>
        </is>
      </c>
      <c r="C368" s="28" t="inlineStr">
        <is>
          <t>Crop</t>
        </is>
      </c>
      <c r="D368" s="28" t="n">
        <v>1</v>
      </c>
      <c r="E368" s="28" t="n">
        <v>3</v>
      </c>
      <c r="F368" s="28" t="n">
        <v>2</v>
      </c>
      <c r="H368" s="28" t="n">
        <v>1</v>
      </c>
      <c r="I368" s="28" t="inlineStr">
        <is>
          <t>Farm</t>
        </is>
      </c>
      <c r="J368" s="28" t="n">
        <v>1</v>
      </c>
      <c r="K368" s="28" t="n">
        <v>1</v>
      </c>
      <c r="L368" s="28" t="inlineStr">
        <is>
          <t>Wheat.png</t>
        </is>
      </c>
      <c r="N368" s="28" t="n">
        <v>36</v>
      </c>
      <c r="O368" s="28" t="inlineStr">
        <is>
          <t>2 min</t>
        </is>
      </c>
      <c r="Q368" s="28" t="inlineStr">
        <is>
          <t>1 to 3</t>
        </is>
      </c>
      <c r="R368" s="28" t="inlineStr">
        <is>
          <t>https://hayday.fandom.com/wiki/Wheat</t>
        </is>
      </c>
    </row>
    <row r="369">
      <c r="A369" s="28" t="inlineStr">
        <is>
          <t>Wheat Bundle</t>
        </is>
      </c>
      <c r="B369" s="28" t="inlineStr">
        <is>
          <t>Wheat Bundle</t>
        </is>
      </c>
      <c r="C369" s="28" t="inlineStr">
        <is>
          <t>Product</t>
        </is>
      </c>
      <c r="E369" s="28" t="n">
        <v>50</v>
      </c>
      <c r="F369" s="28" t="n">
        <v>90</v>
      </c>
      <c r="G369" s="28" t="n">
        <v>76</v>
      </c>
      <c r="H369" s="28" t="n">
        <v>10</v>
      </c>
      <c r="I369" s="28" t="inlineStr">
        <is>
          <t>Feed Mill</t>
        </is>
      </c>
      <c r="J369" s="28" t="n">
        <v>14</v>
      </c>
      <c r="K369" s="28" t="n">
        <v>6</v>
      </c>
      <c r="L369" s="28" t="inlineStr">
        <is>
          <t>Wheat Bundle.png</t>
        </is>
      </c>
      <c r="M369" s="28" t="n">
        <v>225</v>
      </c>
      <c r="N369" s="28" t="n">
        <v>504</v>
      </c>
      <c r="O369" s="28" t="inlineStr">
        <is>
          <t>1 h 30 min</t>
        </is>
      </c>
      <c r="P369" s="28" t="inlineStr">
        <is>
          <t>1 h 16 min</t>
        </is>
      </c>
      <c r="Q369" s="28" t="inlineStr">
        <is>
          <t>1 to 50</t>
        </is>
      </c>
      <c r="R369" s="28" t="inlineStr">
        <is>
          <t>https://hayday.fandom.com/wiki/Wheat_Bundle</t>
        </is>
      </c>
    </row>
    <row r="370">
      <c r="A370" s="28" t="inlineStr">
        <is>
          <t>White Sugar</t>
        </is>
      </c>
      <c r="B370" s="28" t="inlineStr">
        <is>
          <t>White Sugar</t>
        </is>
      </c>
      <c r="C370" s="28" t="inlineStr">
        <is>
          <t>Product</t>
        </is>
      </c>
      <c r="D370" s="28" t="n">
        <v>13</v>
      </c>
      <c r="E370" s="28" t="n">
        <v>50</v>
      </c>
      <c r="F370" s="28" t="n">
        <v>40</v>
      </c>
      <c r="G370" s="28" t="n">
        <v>34</v>
      </c>
      <c r="H370" s="28" t="n">
        <v>6</v>
      </c>
      <c r="I370" s="28" t="inlineStr">
        <is>
          <t>Sugar Mill</t>
        </is>
      </c>
      <c r="J370" s="28" t="n">
        <v>14</v>
      </c>
      <c r="K370" s="28" t="n">
        <v>3</v>
      </c>
      <c r="L370" s="28" t="inlineStr">
        <is>
          <t>White Sugar.png</t>
        </is>
      </c>
      <c r="M370" s="28" t="n">
        <v>28</v>
      </c>
      <c r="N370" s="28" t="n">
        <v>504</v>
      </c>
      <c r="O370" s="28" t="inlineStr">
        <is>
          <t>40 min</t>
        </is>
      </c>
      <c r="P370" s="28" t="inlineStr">
        <is>
          <t>34 min</t>
        </is>
      </c>
      <c r="Q370" s="28" t="inlineStr">
        <is>
          <t>1 to 50</t>
        </is>
      </c>
      <c r="R370" s="28" t="inlineStr">
        <is>
          <t>https://hayday.fandom.com/wiki/White_Sugar</t>
        </is>
      </c>
    </row>
    <row r="371">
      <c r="A371" s="28" t="inlineStr">
        <is>
          <t>Winter Stew</t>
        </is>
      </c>
      <c r="B371" s="28" t="inlineStr">
        <is>
          <t>Winter Stew</t>
        </is>
      </c>
      <c r="C371" s="28" t="inlineStr">
        <is>
          <t>Product</t>
        </is>
      </c>
      <c r="D371" s="28" t="n">
        <v>112</v>
      </c>
      <c r="E371" s="28" t="n">
        <v>295</v>
      </c>
      <c r="F371" s="28" t="n">
        <v>140</v>
      </c>
      <c r="G371" s="28" t="n">
        <v>119</v>
      </c>
      <c r="H371" s="28" t="n">
        <v>35</v>
      </c>
      <c r="I371" s="28" t="inlineStr">
        <is>
          <t>Stew Pot</t>
        </is>
      </c>
      <c r="J371" s="28" t="n">
        <v>103</v>
      </c>
      <c r="K371" s="28" t="n">
        <v>6</v>
      </c>
      <c r="L371" s="28" t="inlineStr">
        <is>
          <t>Winter Stew.png</t>
        </is>
      </c>
      <c r="M371" s="28" t="n">
        <v>256</v>
      </c>
      <c r="N371" s="28" t="n">
        <v>2952</v>
      </c>
      <c r="O371" s="28" t="inlineStr">
        <is>
          <t>2 h 20 min</t>
        </is>
      </c>
      <c r="P371" s="28" t="inlineStr">
        <is>
          <t>1 h 59 min</t>
        </is>
      </c>
      <c r="Q371" s="28" t="inlineStr">
        <is>
          <t>1 to 295</t>
        </is>
      </c>
      <c r="R371" s="28" t="inlineStr">
        <is>
          <t>https://hayday.fandom.com/wiki/Winter_Stew</t>
        </is>
      </c>
    </row>
    <row r="372">
      <c r="A372" s="28" t="inlineStr">
        <is>
          <t>Winter Veggies</t>
        </is>
      </c>
      <c r="B372" s="28" t="inlineStr">
        <is>
          <t>Winter Veggies</t>
        </is>
      </c>
      <c r="C372" s="28" t="inlineStr">
        <is>
          <t>product</t>
        </is>
      </c>
      <c r="D372" s="28" t="n">
        <v>72</v>
      </c>
      <c r="E372" s="28" t="n">
        <v>198</v>
      </c>
      <c r="F372" s="28" t="n">
        <v>25</v>
      </c>
      <c r="G372" s="28" t="n">
        <v>21</v>
      </c>
      <c r="H372" s="28" t="n">
        <v>24</v>
      </c>
      <c r="I372" s="28" t="inlineStr">
        <is>
          <t>BBQ Grill</t>
        </is>
      </c>
      <c r="J372" s="28" t="n">
        <v>55</v>
      </c>
      <c r="K372" s="28" t="n">
        <v>3</v>
      </c>
      <c r="L372" s="28" t="inlineStr">
        <is>
          <t>Winter Veggies.png</t>
        </is>
      </c>
      <c r="M372" s="28" t="n">
        <v>178</v>
      </c>
      <c r="N372" s="28" t="n">
        <v>1980</v>
      </c>
      <c r="O372" s="28" t="inlineStr">
        <is>
          <t>25 min</t>
        </is>
      </c>
      <c r="P372" s="28" t="inlineStr">
        <is>
          <t>21 min</t>
        </is>
      </c>
      <c r="Q372" s="28" t="inlineStr">
        <is>
          <t>1 to 198</t>
        </is>
      </c>
      <c r="R372" s="28" t="inlineStr">
        <is>
          <t>https://hayday.fandom.com/wiki/Winter_Veggies</t>
        </is>
      </c>
    </row>
    <row r="373">
      <c r="A373" s="28" t="inlineStr">
        <is>
          <t>Wool</t>
        </is>
      </c>
      <c r="B373" s="28" t="inlineStr">
        <is>
          <t>Wool</t>
        </is>
      </c>
      <c r="C373" s="28" t="inlineStr">
        <is>
          <t>Animal good</t>
        </is>
      </c>
      <c r="D373" s="28" t="n">
        <v>16</v>
      </c>
      <c r="E373" s="28" t="n">
        <v>54</v>
      </c>
      <c r="F373" s="28" t="n">
        <v>360</v>
      </c>
      <c r="H373" s="28" t="n">
        <v>5</v>
      </c>
      <c r="I373" s="28" t="inlineStr">
        <is>
          <t>Sheep</t>
        </is>
      </c>
      <c r="J373" s="28" t="n">
        <v>15</v>
      </c>
      <c r="K373" s="28" t="n">
        <v>8</v>
      </c>
      <c r="L373" s="28" t="inlineStr">
        <is>
          <t>Wool.png</t>
        </is>
      </c>
      <c r="N373" s="28" t="n">
        <v>540</v>
      </c>
      <c r="O373" s="28" t="inlineStr">
        <is>
          <t>6 h</t>
        </is>
      </c>
      <c r="Q373" s="28" t="inlineStr">
        <is>
          <t>1 to 54</t>
        </is>
      </c>
      <c r="R373" s="28" t="inlineStr">
        <is>
          <t>https://hayday.fandom.com/wiki/Wool</t>
        </is>
      </c>
    </row>
    <row r="374">
      <c r="A374" s="28" t="inlineStr">
        <is>
          <t>Wooly Chaps</t>
        </is>
      </c>
      <c r="B374" s="28" t="inlineStr">
        <is>
          <t>Wooly Chaps</t>
        </is>
      </c>
      <c r="C374" s="28" t="inlineStr">
        <is>
          <t>Product</t>
        </is>
      </c>
      <c r="D374" s="28" t="n">
        <v>21</v>
      </c>
      <c r="E374" s="28" t="n">
        <v>309</v>
      </c>
      <c r="F374" s="28" t="n">
        <v>90</v>
      </c>
      <c r="G374" s="28" t="n">
        <v>76</v>
      </c>
      <c r="H374" s="28" t="n">
        <v>37</v>
      </c>
      <c r="I374" s="28" t="inlineStr">
        <is>
          <t>Sewing Machine</t>
        </is>
      </c>
      <c r="J374" s="28" t="n">
        <v>86</v>
      </c>
      <c r="K374" s="28" t="n">
        <v>5</v>
      </c>
      <c r="L374" s="28" t="inlineStr">
        <is>
          <t>Wooly Chaps.png</t>
        </is>
      </c>
      <c r="M374" s="28" t="n">
        <v>270</v>
      </c>
      <c r="N374" s="28" t="n">
        <v>3096</v>
      </c>
      <c r="O374" s="28" t="inlineStr">
        <is>
          <t>1h 30 min</t>
        </is>
      </c>
      <c r="P374" s="28" t="inlineStr">
        <is>
          <t>1h 16 min</t>
        </is>
      </c>
      <c r="Q374" s="28" t="inlineStr">
        <is>
          <t>1 to 309</t>
        </is>
      </c>
      <c r="R374" s="28" t="inlineStr">
        <is>
          <t>https://hayday.fandom.com/wiki/Wooly_Chaps</t>
        </is>
      </c>
    </row>
    <row r="375">
      <c r="A375" s="28" t="inlineStr">
        <is>
          <t>Yogurt Smoothie</t>
        </is>
      </c>
      <c r="B375" s="28" t="inlineStr">
        <is>
          <t>Yogurt Smoothie</t>
        </is>
      </c>
      <c r="C375" s="28" t="inlineStr">
        <is>
          <t>Product</t>
        </is>
      </c>
      <c r="D375" s="28" t="n">
        <v>70</v>
      </c>
      <c r="E375" s="28" t="n">
        <v>349</v>
      </c>
      <c r="F375" s="28" t="n">
        <v>60</v>
      </c>
      <c r="G375" s="28" t="n">
        <v>51</v>
      </c>
      <c r="H375" s="28" t="n">
        <v>42</v>
      </c>
      <c r="I375" s="28" t="inlineStr">
        <is>
          <t>Smoothie Mixer</t>
        </is>
      </c>
      <c r="J375" s="28" t="n">
        <v>97</v>
      </c>
      <c r="K375" s="28" t="n">
        <v>4</v>
      </c>
      <c r="L375" s="28" t="inlineStr">
        <is>
          <t>Yogurt Smoothie.png</t>
        </is>
      </c>
      <c r="M375" s="28" t="n">
        <v>260</v>
      </c>
      <c r="N375" s="28" t="n">
        <v>3492</v>
      </c>
      <c r="O375" s="28" t="inlineStr">
        <is>
          <t>1 h</t>
        </is>
      </c>
      <c r="P375" s="28" t="inlineStr">
        <is>
          <t>51 min</t>
        </is>
      </c>
      <c r="Q375" s="28" t="inlineStr">
        <is>
          <t>1 to 349</t>
        </is>
      </c>
      <c r="R375" s="28" t="inlineStr">
        <is>
          <t>https://hayday.fandom.com/wiki/Yogurt_Smoothie</t>
        </is>
      </c>
    </row>
    <row r="376">
      <c r="A376" s="28" t="inlineStr">
        <is>
          <t>Asparagus</t>
        </is>
      </c>
      <c r="B376" s="28" t="inlineStr">
        <is>
          <t>Asparagus</t>
        </is>
      </c>
      <c r="C376" s="28" t="inlineStr">
        <is>
          <t>Crop</t>
        </is>
      </c>
      <c r="D376" s="28" t="n">
        <v>49</v>
      </c>
      <c r="E376" s="28" t="n">
        <v>43</v>
      </c>
      <c r="F376" s="28" t="n">
        <v>360</v>
      </c>
      <c r="H376" s="28" t="n">
        <v>8</v>
      </c>
      <c r="I376" s="28" t="inlineStr">
        <is>
          <t>Farm</t>
        </is>
      </c>
      <c r="J376" s="28" t="n">
        <v>12</v>
      </c>
      <c r="K376" s="28" t="n">
        <v>8</v>
      </c>
      <c r="L376" s="28" t="inlineStr">
        <is>
          <t>Asparagus.png</t>
        </is>
      </c>
      <c r="N376" s="28" t="n">
        <v>432</v>
      </c>
      <c r="O376" s="28" t="inlineStr">
        <is>
          <t>6 h</t>
        </is>
      </c>
      <c r="Q376" s="28" t="inlineStr">
        <is>
          <t>1 to 43</t>
        </is>
      </c>
      <c r="R376" s="28" t="inlineStr">
        <is>
          <t>https://hayday.fandom.com/wiki/Asparagus</t>
        </is>
      </c>
    </row>
    <row r="377">
      <c r="A377" s="28" t="inlineStr">
        <is>
          <t>Black Bean</t>
        </is>
      </c>
      <c r="B377" s="28" t="inlineStr">
        <is>
          <t>Black Bean</t>
        </is>
      </c>
      <c r="C377" s="28" t="inlineStr">
        <is>
          <t>Crop</t>
        </is>
      </c>
      <c r="D377" s="28" t="n">
        <v>25</v>
      </c>
      <c r="E377" s="28" t="n">
        <v>7</v>
      </c>
      <c r="F377" s="28" t="n">
        <v>10</v>
      </c>
      <c r="H377" s="28" t="n">
        <v>2</v>
      </c>
      <c r="I377" s="28" t="inlineStr">
        <is>
          <t>Farm</t>
        </is>
      </c>
      <c r="J377" s="28" t="n">
        <v>2</v>
      </c>
      <c r="K377" s="28" t="n">
        <v>1</v>
      </c>
      <c r="L377" s="28" t="inlineStr">
        <is>
          <t>Black Bean.png</t>
        </is>
      </c>
      <c r="N377" s="28" t="n">
        <v>72</v>
      </c>
      <c r="O377" s="28" t="inlineStr">
        <is>
          <t>10 min</t>
        </is>
      </c>
      <c r="Q377" s="28" t="inlineStr">
        <is>
          <t>1 to 7</t>
        </is>
      </c>
      <c r="R377" s="28" t="inlineStr">
        <is>
          <t>https://hayday.fandom.com/wiki/Black_Bean</t>
        </is>
      </c>
    </row>
    <row r="378">
      <c r="A378" s="28" t="inlineStr">
        <is>
          <t>Blueberries</t>
        </is>
      </c>
      <c r="B378" s="28" t="inlineStr">
        <is>
          <t>Blueberries</t>
        </is>
      </c>
      <c r="C378" s="28" t="inlineStr">
        <is>
          <t>Crop</t>
        </is>
      </c>
      <c r="D378" s="28" t="n">
        <v>30</v>
      </c>
      <c r="E378" s="28" t="n">
        <v>82</v>
      </c>
      <c r="F378" s="28" t="n">
        <v>2100</v>
      </c>
      <c r="H378" s="28" t="n">
        <v>16</v>
      </c>
      <c r="I378" s="28" t="inlineStr">
        <is>
          <t>Blueberry Bush</t>
        </is>
      </c>
      <c r="J378" s="28" t="n">
        <v>23</v>
      </c>
      <c r="K378" s="28" t="n">
        <v>19</v>
      </c>
      <c r="L378" s="28" t="inlineStr">
        <is>
          <t>Blueberries.png</t>
        </is>
      </c>
      <c r="O378" s="28" t="inlineStr">
        <is>
          <t>1 d 11 h</t>
        </is>
      </c>
      <c r="Q378" s="28" t="inlineStr">
        <is>
          <t>1 to 82</t>
        </is>
      </c>
      <c r="R378" s="28" t="inlineStr">
        <is>
          <t>https://hayday.fandom.com/wiki/Blueberries</t>
        </is>
      </c>
    </row>
    <row r="379">
      <c r="A379" s="28" t="inlineStr">
        <is>
          <t>Chamomile</t>
        </is>
      </c>
      <c r="B379" s="28" t="inlineStr">
        <is>
          <t>Chamomile</t>
        </is>
      </c>
      <c r="C379" s="28" t="inlineStr">
        <is>
          <t>Crop</t>
        </is>
      </c>
      <c r="D379" s="28" t="n">
        <v>45</v>
      </c>
      <c r="E379" s="28" t="n">
        <v>10</v>
      </c>
      <c r="F379" s="28" t="n">
        <v>20</v>
      </c>
      <c r="H379" s="28" t="n">
        <v>2</v>
      </c>
      <c r="I379" s="28" t="inlineStr">
        <is>
          <t>Farm</t>
        </is>
      </c>
      <c r="J379" s="28" t="n">
        <v>3</v>
      </c>
      <c r="K379" s="28" t="n">
        <v>2</v>
      </c>
      <c r="L379" s="28" t="inlineStr">
        <is>
          <t>Chamomile.png</t>
        </is>
      </c>
      <c r="N379" s="28" t="n">
        <v>108</v>
      </c>
      <c r="O379" s="28" t="inlineStr">
        <is>
          <t>20 min</t>
        </is>
      </c>
      <c r="Q379" s="28" t="inlineStr">
        <is>
          <t>1 to 10</t>
        </is>
      </c>
      <c r="R379" s="28" t="inlineStr">
        <is>
          <t>https://hayday.fandom.com/wiki/Chamomile</t>
        </is>
      </c>
    </row>
    <row r="380">
      <c r="A380" s="28" t="inlineStr">
        <is>
          <t>Coal</t>
        </is>
      </c>
      <c r="B380" s="28" t="inlineStr">
        <is>
          <t>Coal</t>
        </is>
      </c>
      <c r="C380" s="28" t="inlineStr">
        <is>
          <t>Product</t>
        </is>
      </c>
      <c r="D380" s="28" t="n">
        <v>33</v>
      </c>
      <c r="E380" s="28" t="n">
        <v>10</v>
      </c>
      <c r="H380" s="28" t="n">
        <v>3</v>
      </c>
      <c r="I380" s="28" t="inlineStr">
        <is>
          <t>Mine</t>
        </is>
      </c>
      <c r="J380" s="28" t="n">
        <v>3</v>
      </c>
      <c r="L380" s="28" t="inlineStr">
        <is>
          <t>Coal.png</t>
        </is>
      </c>
      <c r="N380" s="28" t="n">
        <v>108</v>
      </c>
      <c r="O380" s="28" t="inlineStr">
        <is>
          <t>Instant</t>
        </is>
      </c>
      <c r="Q380" s="28" t="inlineStr">
        <is>
          <t>1 to 10</t>
        </is>
      </c>
      <c r="R380" s="28" t="inlineStr">
        <is>
          <t>https://hayday.fandom.com/wiki/Coal</t>
        </is>
      </c>
    </row>
    <row r="381">
      <c r="A381" s="28" t="inlineStr">
        <is>
          <t>Coffee Bean</t>
        </is>
      </c>
      <c r="B381" s="28" t="inlineStr">
        <is>
          <t>Coffee Bean</t>
        </is>
      </c>
      <c r="C381" s="28" t="inlineStr">
        <is>
          <t>Crop</t>
        </is>
      </c>
      <c r="D381" s="28" t="n">
        <v>42</v>
      </c>
      <c r="E381" s="28" t="n">
        <v>64</v>
      </c>
      <c r="F381" s="28" t="n">
        <v>1500</v>
      </c>
      <c r="H381" s="28" t="n">
        <v>12</v>
      </c>
      <c r="I381" s="28" t="inlineStr">
        <is>
          <t>Coffee Bush</t>
        </is>
      </c>
      <c r="J381" s="28" t="n">
        <v>18</v>
      </c>
      <c r="K381" s="28" t="n">
        <v>16</v>
      </c>
      <c r="L381" s="28" t="inlineStr">
        <is>
          <t>Coffee Bean.png</t>
        </is>
      </c>
      <c r="N381" s="28" t="n">
        <v>648</v>
      </c>
      <c r="O381" s="28" t="inlineStr">
        <is>
          <t>1 d 1 h</t>
        </is>
      </c>
      <c r="Q381" s="28" t="inlineStr">
        <is>
          <t>1 to 64</t>
        </is>
      </c>
      <c r="R381" s="28" t="inlineStr">
        <is>
          <t>https://hayday.fandom.com/wiki/Coffee_Bean</t>
        </is>
      </c>
    </row>
    <row r="382">
      <c r="A382" s="28" t="inlineStr">
        <is>
          <t>Fish Fillet</t>
        </is>
      </c>
      <c r="B382" s="28" t="inlineStr">
        <is>
          <t>Fish Fillet</t>
        </is>
      </c>
      <c r="C382" s="28" t="inlineStr">
        <is>
          <t>Animal good</t>
        </is>
      </c>
      <c r="D382" s="28" t="n">
        <v>27</v>
      </c>
      <c r="E382" s="28" t="n">
        <v>54</v>
      </c>
      <c r="H382" s="28" t="n">
        <v>4</v>
      </c>
      <c r="I382" s="28" t="inlineStr">
        <is>
          <t>Fish</t>
        </is>
      </c>
      <c r="J382" s="28" t="n">
        <v>15</v>
      </c>
      <c r="L382" s="28" t="inlineStr">
        <is>
          <t>Fish Fillet.png</t>
        </is>
      </c>
      <c r="N382" s="28" t="n">
        <v>540</v>
      </c>
      <c r="O382" s="28" t="inlineStr">
        <is>
          <t>Instant</t>
        </is>
      </c>
      <c r="Q382" s="28" t="inlineStr">
        <is>
          <t>1 to 54</t>
        </is>
      </c>
      <c r="R382" s="28" t="inlineStr">
        <is>
          <t>https://hayday.fandom.com/wiki/Fish_Fillet</t>
        </is>
      </c>
    </row>
    <row r="383">
      <c r="A383" s="28" t="inlineStr">
        <is>
          <t>Gold Ore</t>
        </is>
      </c>
      <c r="B383" s="28" t="inlineStr">
        <is>
          <t>Gold Ore</t>
        </is>
      </c>
      <c r="C383" s="28" t="inlineStr">
        <is>
          <t>Product</t>
        </is>
      </c>
      <c r="D383" s="28" t="n">
        <v>24</v>
      </c>
      <c r="E383" s="28" t="n">
        <v>21</v>
      </c>
      <c r="H383" s="28" t="n">
        <v>6</v>
      </c>
      <c r="I383" s="28" t="inlineStr">
        <is>
          <t>Mine</t>
        </is>
      </c>
      <c r="J383" s="28" t="n">
        <v>6</v>
      </c>
      <c r="L383" s="28" t="inlineStr">
        <is>
          <t>Gold Ore.png</t>
        </is>
      </c>
      <c r="N383" s="28" t="n">
        <v>216</v>
      </c>
      <c r="O383" s="28" t="inlineStr">
        <is>
          <t>Instant</t>
        </is>
      </c>
      <c r="Q383" s="28" t="inlineStr">
        <is>
          <t>1 to 21</t>
        </is>
      </c>
      <c r="R383" s="28" t="inlineStr">
        <is>
          <t>https://hayday.fandom.com/wiki/Gold_Ore</t>
        </is>
      </c>
    </row>
    <row r="384">
      <c r="A384" s="28" t="inlineStr">
        <is>
          <t>Iron Ore</t>
        </is>
      </c>
      <c r="B384" s="28" t="inlineStr">
        <is>
          <t>Iron Ore</t>
        </is>
      </c>
      <c r="C384" s="28" t="inlineStr">
        <is>
          <t>Product</t>
        </is>
      </c>
      <c r="D384" s="28" t="n">
        <v>34</v>
      </c>
      <c r="E384" s="28" t="n">
        <v>14</v>
      </c>
      <c r="H384" s="28" t="n">
        <v>4</v>
      </c>
      <c r="I384" s="28" t="inlineStr">
        <is>
          <t>Mine</t>
        </is>
      </c>
      <c r="J384" s="28" t="n">
        <v>4</v>
      </c>
      <c r="L384" s="28" t="inlineStr">
        <is>
          <t>Iron Ore.png</t>
        </is>
      </c>
      <c r="N384" s="28" t="n">
        <v>144</v>
      </c>
      <c r="O384" s="28" t="inlineStr">
        <is>
          <t>Instant</t>
        </is>
      </c>
      <c r="Q384" s="28" t="inlineStr">
        <is>
          <t>1 to 14</t>
        </is>
      </c>
      <c r="R384" s="28" t="inlineStr">
        <is>
          <t>https://hayday.fandom.com/wiki/Iron_Ore</t>
        </is>
      </c>
    </row>
    <row r="385">
      <c r="A385" s="28" t="inlineStr">
        <is>
          <t>Lamb Chop</t>
        </is>
      </c>
      <c r="B385" s="28" t="inlineStr">
        <is>
          <t>Lamb Chop</t>
        </is>
      </c>
      <c r="C385" s="28" t="inlineStr">
        <is>
          <t>Animal good</t>
        </is>
      </c>
      <c r="D385" s="28" t="n">
        <v>25</v>
      </c>
      <c r="E385" s="28" t="n">
        <v>36</v>
      </c>
      <c r="F385" s="28" t="n">
        <v>30</v>
      </c>
      <c r="H385" s="28" t="n">
        <v>4</v>
      </c>
      <c r="I385" s="28" t="inlineStr">
        <is>
          <t>Lamb</t>
        </is>
      </c>
      <c r="J385" s="28" t="n">
        <v>10</v>
      </c>
      <c r="K385" s="28" t="n">
        <v>3</v>
      </c>
      <c r="L385" s="28" t="inlineStr">
        <is>
          <t>Lamb Chop.png</t>
        </is>
      </c>
      <c r="N385" s="28" t="n">
        <v>360</v>
      </c>
      <c r="O385" s="28" t="inlineStr">
        <is>
          <t>30 min</t>
        </is>
      </c>
      <c r="Q385" s="28" t="inlineStr">
        <is>
          <t>1 to 36</t>
        </is>
      </c>
      <c r="R385" s="28" t="inlineStr">
        <is>
          <t>https://hayday.fandom.com/wiki/Lamb_Chop</t>
        </is>
      </c>
    </row>
    <row r="386">
      <c r="A386" s="28" t="inlineStr">
        <is>
          <t>Mussel Meat</t>
        </is>
      </c>
      <c r="B386" s="28" t="inlineStr">
        <is>
          <t>Mussel Meat</t>
        </is>
      </c>
      <c r="C386" s="28" t="inlineStr">
        <is>
          <t>Animal good</t>
        </is>
      </c>
      <c r="D386" s="28" t="n">
        <v>27</v>
      </c>
      <c r="E386" s="28" t="n">
        <v>28</v>
      </c>
      <c r="F386" s="28" t="n">
        <v>360</v>
      </c>
      <c r="H386" s="28" t="n">
        <v>8</v>
      </c>
      <c r="I386" s="28" t="inlineStr">
        <is>
          <t>Closed Mussel</t>
        </is>
      </c>
      <c r="L386" s="28" t="inlineStr">
        <is>
          <t>Mussel Meat.png</t>
        </is>
      </c>
      <c r="N386" s="28" t="n">
        <v>288</v>
      </c>
      <c r="O386" s="28" t="inlineStr">
        <is>
          <t>6 h</t>
        </is>
      </c>
      <c r="Q386" s="28" t="inlineStr">
        <is>
          <t>1 to 28</t>
        </is>
      </c>
      <c r="R386" s="28" t="inlineStr">
        <is>
          <t>https://hayday.fandom.com/wiki/Mussel_Meat</t>
        </is>
      </c>
    </row>
    <row r="387">
      <c r="A387" s="28" t="inlineStr">
        <is>
          <t>Oats</t>
        </is>
      </c>
      <c r="B387" s="28" t="inlineStr">
        <is>
          <t>Oats</t>
        </is>
      </c>
      <c r="C387" s="28" t="inlineStr">
        <is>
          <t>Crop</t>
        </is>
      </c>
      <c r="D387" s="28" t="n">
        <v>119</v>
      </c>
      <c r="E387" s="28" t="n">
        <v>7</v>
      </c>
      <c r="F387" s="28" t="n">
        <v>7</v>
      </c>
      <c r="H387" s="28" t="n">
        <v>1</v>
      </c>
      <c r="I387" s="28" t="inlineStr">
        <is>
          <t>Farm</t>
        </is>
      </c>
      <c r="J387" s="28" t="n">
        <v>2</v>
      </c>
      <c r="K387" s="28" t="n">
        <v>1</v>
      </c>
      <c r="L387" s="28" t="inlineStr">
        <is>
          <t>Oats.png</t>
        </is>
      </c>
      <c r="N387" s="28" t="n">
        <v>72</v>
      </c>
      <c r="O387" s="28" t="inlineStr">
        <is>
          <t>7 min</t>
        </is>
      </c>
      <c r="Q387" s="28" t="inlineStr">
        <is>
          <t>1 to 7</t>
        </is>
      </c>
      <c r="R387" s="28" t="inlineStr">
        <is>
          <t>https://hayday.fandom.com/wiki/Oats</t>
        </is>
      </c>
    </row>
    <row r="388">
      <c r="A388" s="28" t="inlineStr">
        <is>
          <t>Peanuts</t>
        </is>
      </c>
      <c r="B388" s="28" t="inlineStr">
        <is>
          <t>Peanuts</t>
        </is>
      </c>
      <c r="C388" s="28" t="inlineStr">
        <is>
          <t>Animal good</t>
        </is>
      </c>
      <c r="D388" s="28" t="n">
        <v>62</v>
      </c>
      <c r="E388" s="28" t="n">
        <v>234</v>
      </c>
      <c r="F388" s="28" t="n">
        <v>300</v>
      </c>
      <c r="H388" s="28" t="n">
        <v>43</v>
      </c>
      <c r="I388" s="28" t="inlineStr">
        <is>
          <t>Squirrel</t>
        </is>
      </c>
      <c r="J388" s="28" t="n">
        <v>65</v>
      </c>
      <c r="K388" s="28" t="n">
        <v>6</v>
      </c>
      <c r="L388" s="28" t="inlineStr">
        <is>
          <t>Peanuts.png</t>
        </is>
      </c>
      <c r="N388" s="28" t="n">
        <v>2340</v>
      </c>
      <c r="O388" s="28" t="inlineStr">
        <is>
          <t>5 h</t>
        </is>
      </c>
      <c r="Q388" s="28" t="inlineStr">
        <is>
          <t>1 to 234</t>
        </is>
      </c>
      <c r="R388" s="28" t="inlineStr">
        <is>
          <t>https://hayday.fandom.com/wiki/Peanuts</t>
        </is>
      </c>
    </row>
    <row r="389">
      <c r="A389" s="28" t="inlineStr">
        <is>
          <t>Platinum Ore</t>
        </is>
      </c>
      <c r="B389" s="28" t="inlineStr">
        <is>
          <t>Platinum Ore</t>
        </is>
      </c>
      <c r="C389" s="28" t="inlineStr">
        <is>
          <t>Product</t>
        </is>
      </c>
      <c r="D389" s="28" t="n">
        <v>24</v>
      </c>
      <c r="E389" s="28" t="n">
        <v>32</v>
      </c>
      <c r="H389" s="28" t="n">
        <v>7</v>
      </c>
      <c r="I389" s="28" t="inlineStr">
        <is>
          <t>Mine</t>
        </is>
      </c>
      <c r="J389" s="28" t="n">
        <v>9</v>
      </c>
      <c r="L389" s="28" t="inlineStr">
        <is>
          <t>Platinum Ore.png</t>
        </is>
      </c>
      <c r="N389" s="28" t="n">
        <v>324</v>
      </c>
      <c r="O389" s="28" t="inlineStr">
        <is>
          <t>Instant</t>
        </is>
      </c>
      <c r="Q389" s="28" t="inlineStr">
        <is>
          <t>1 to 32</t>
        </is>
      </c>
      <c r="R389" s="28" t="inlineStr">
        <is>
          <t>https://hayday.fandom.com/wiki/Platinum_Ore</t>
        </is>
      </c>
    </row>
    <row r="390">
      <c r="A390" s="28" t="inlineStr">
        <is>
          <t>Silver Ore</t>
        </is>
      </c>
      <c r="B390" s="28" t="inlineStr">
        <is>
          <t>Silver Ore</t>
        </is>
      </c>
      <c r="C390" s="28" t="inlineStr">
        <is>
          <t>Product</t>
        </is>
      </c>
      <c r="D390" s="28" t="n">
        <v>24</v>
      </c>
      <c r="E390" s="28" t="n">
        <v>18</v>
      </c>
      <c r="H390" s="28" t="n">
        <v>5</v>
      </c>
      <c r="I390" s="28" t="inlineStr">
        <is>
          <t>Mine</t>
        </is>
      </c>
      <c r="J390" s="28" t="n">
        <v>5</v>
      </c>
      <c r="L390" s="28" t="inlineStr">
        <is>
          <t>Silver Ore.png</t>
        </is>
      </c>
      <c r="N390" s="28" t="n">
        <v>180</v>
      </c>
      <c r="O390" s="28" t="inlineStr">
        <is>
          <t>Instant</t>
        </is>
      </c>
      <c r="Q390" s="28" t="inlineStr">
        <is>
          <t>1 to 18</t>
        </is>
      </c>
      <c r="R390" s="28" t="inlineStr">
        <is>
          <t>https://hayday.fandom.com/wiki/Silver_Ore</t>
        </is>
      </c>
    </row>
  </sheetData>
  <autoFilter ref="A1:R39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6"/>
  <sheetViews>
    <sheetView workbookViewId="0">
      <pane ySplit="1" topLeftCell="A2" activePane="bottomLeft" state="frozen"/>
      <selection pane="bottomLeft" activeCell="A1" sqref="A1"/>
    </sheetView>
  </sheetViews>
  <sheetFormatPr baseColWidth="8" defaultRowHeight="15"/>
  <cols>
    <col width="17" customWidth="1" style="29" min="1" max="1"/>
    <col width="25" customWidth="1" style="29" min="2" max="2"/>
    <col width="10" customWidth="1" style="29" min="3" max="3"/>
    <col width="19" customWidth="1" style="29" min="4" max="4"/>
    <col width="12" customWidth="1" style="29" min="5" max="5"/>
    <col width="10" customWidth="1" style="29" min="6" max="6"/>
  </cols>
  <sheetData>
    <row r="1">
      <c r="A1" s="48" t="inlineStr">
        <is>
          <t>Machine page</t>
        </is>
      </c>
      <c r="B1" s="48" t="inlineStr">
        <is>
          <t>Product</t>
        </is>
      </c>
      <c r="C1" s="48" t="inlineStr">
        <is>
          <t>Level</t>
        </is>
      </c>
      <c r="D1" s="48" t="inlineStr">
        <is>
          <t>Time normal (min)</t>
        </is>
      </c>
      <c r="E1" s="48" t="inlineStr">
        <is>
          <t>Sell price</t>
        </is>
      </c>
      <c r="F1" s="48" t="inlineStr">
        <is>
          <t>XP</t>
        </is>
      </c>
    </row>
    <row r="2">
      <c r="A2" s="28" t="inlineStr">
        <is>
          <t>BBQ Grill</t>
        </is>
      </c>
      <c r="B2" s="28" t="inlineStr">
        <is>
          <t>Pancake</t>
        </is>
      </c>
      <c r="C2" s="28" t="n">
        <v>9</v>
      </c>
      <c r="D2" s="28" t="n">
        <v>30</v>
      </c>
      <c r="E2" s="28" t="n">
        <v>108</v>
      </c>
    </row>
    <row r="3">
      <c r="A3" s="28" t="inlineStr">
        <is>
          <t>BBQ Grill</t>
        </is>
      </c>
      <c r="B3" s="28" t="inlineStr">
        <is>
          <t>Bacon and Eggs</t>
        </is>
      </c>
      <c r="C3" s="28" t="n">
        <v>11</v>
      </c>
      <c r="D3" s="28" t="n">
        <v>60</v>
      </c>
      <c r="E3" s="28" t="n">
        <v>201</v>
      </c>
    </row>
    <row r="4">
      <c r="A4" s="28" t="inlineStr">
        <is>
          <t>BBQ Grill</t>
        </is>
      </c>
      <c r="B4" s="28" t="inlineStr">
        <is>
          <t>Hamburger</t>
        </is>
      </c>
      <c r="C4" s="28" t="n">
        <v>18</v>
      </c>
      <c r="D4" s="28" t="n">
        <v>120</v>
      </c>
      <c r="E4" s="28" t="n">
        <v>180</v>
      </c>
      <c r="F4" s="28" t="n">
        <v>22</v>
      </c>
    </row>
    <row r="5">
      <c r="A5" s="28" t="inlineStr">
        <is>
          <t>BBQ Grill</t>
        </is>
      </c>
      <c r="B5" s="28" t="inlineStr">
        <is>
          <t>Grilled Lamb Skewer</t>
        </is>
      </c>
      <c r="C5" s="28" t="n">
        <v>25</v>
      </c>
      <c r="D5" s="28" t="n">
        <v>20</v>
      </c>
      <c r="E5" s="28" t="n">
        <v>90</v>
      </c>
    </row>
    <row r="6">
      <c r="A6" s="28" t="inlineStr">
        <is>
          <t>BBQ Grill</t>
        </is>
      </c>
      <c r="B6" s="28" t="inlineStr">
        <is>
          <t>Fish Burger</t>
        </is>
      </c>
      <c r="C6" s="28" t="n">
        <v>27</v>
      </c>
      <c r="D6" s="28" t="n">
        <v>120</v>
      </c>
      <c r="E6" s="28" t="n">
        <v>226</v>
      </c>
    </row>
    <row r="7">
      <c r="A7" s="28" t="inlineStr">
        <is>
          <t>BBQ Grill</t>
        </is>
      </c>
      <c r="B7" s="28" t="inlineStr">
        <is>
          <t>Steamed Mussels</t>
        </is>
      </c>
      <c r="C7" s="28" t="n">
        <v>27</v>
      </c>
      <c r="D7" s="28" t="n">
        <v>15</v>
      </c>
      <c r="E7" s="28" t="n">
        <v>284</v>
      </c>
    </row>
    <row r="8">
      <c r="A8" s="28" t="inlineStr">
        <is>
          <t>BBQ Grill</t>
        </is>
      </c>
      <c r="B8" s="28" t="inlineStr">
        <is>
          <t>Roasted Tomatoes</t>
        </is>
      </c>
      <c r="C8" s="28" t="n">
        <v>30</v>
      </c>
      <c r="E8" s="28" t="n">
        <v>118</v>
      </c>
    </row>
    <row r="9">
      <c r="A9" s="28" t="inlineStr">
        <is>
          <t>BBQ Grill</t>
        </is>
      </c>
      <c r="B9" s="28" t="inlineStr">
        <is>
          <t>Grilled Mussels</t>
        </is>
      </c>
      <c r="C9" s="28" t="n">
        <v>32</v>
      </c>
      <c r="E9" s="28" t="n">
        <v>370</v>
      </c>
    </row>
    <row r="10">
      <c r="A10" s="28" t="inlineStr">
        <is>
          <t>BBQ Grill</t>
        </is>
      </c>
      <c r="B10" s="28" t="inlineStr">
        <is>
          <t>Baked Potato</t>
        </is>
      </c>
      <c r="C10" s="28" t="n">
        <v>35</v>
      </c>
      <c r="D10" s="28" t="n">
        <v>35</v>
      </c>
      <c r="E10" s="28" t="n">
        <v>298</v>
      </c>
    </row>
    <row r="11">
      <c r="A11" s="28" t="inlineStr">
        <is>
          <t>BBQ Grill</t>
        </is>
      </c>
      <c r="B11" s="28" t="inlineStr">
        <is>
          <t>Fish and Chips</t>
        </is>
      </c>
      <c r="C11" s="28" t="n">
        <v>41</v>
      </c>
      <c r="E11" s="28" t="n">
        <v>244</v>
      </c>
    </row>
    <row r="12">
      <c r="A12" s="28" t="inlineStr">
        <is>
          <t>BBQ Grill</t>
        </is>
      </c>
      <c r="B12" s="28" t="inlineStr">
        <is>
          <t>Lobster Skewer</t>
        </is>
      </c>
      <c r="C12" s="28" t="n">
        <v>48</v>
      </c>
      <c r="D12" s="28" t="n">
        <v>40</v>
      </c>
      <c r="E12" s="28" t="n">
        <v>417</v>
      </c>
    </row>
    <row r="13">
      <c r="A13" s="28" t="inlineStr">
        <is>
          <t>BBQ Grill</t>
        </is>
      </c>
      <c r="B13" s="28" t="inlineStr">
        <is>
          <t>Garlic Bread</t>
        </is>
      </c>
      <c r="C13" s="28" t="n">
        <v>60</v>
      </c>
      <c r="D13" s="28" t="n">
        <v>15</v>
      </c>
      <c r="E13" s="28" t="n">
        <v>198</v>
      </c>
    </row>
    <row r="14">
      <c r="A14" s="28" t="inlineStr">
        <is>
          <t>BBQ Grill</t>
        </is>
      </c>
      <c r="B14" s="28" t="inlineStr">
        <is>
          <t>Grilled Asparagus</t>
        </is>
      </c>
      <c r="C14" s="28" t="n">
        <v>67</v>
      </c>
      <c r="E14" s="28" t="n">
        <v>486</v>
      </c>
    </row>
    <row r="15">
      <c r="A15" s="28" t="inlineStr">
        <is>
          <t>BBQ Grill</t>
        </is>
      </c>
      <c r="B15" s="28" t="inlineStr">
        <is>
          <t>Grilled Onion</t>
        </is>
      </c>
      <c r="C15" s="28" t="n">
        <v>68</v>
      </c>
      <c r="D15" s="28" t="n">
        <v>60</v>
      </c>
      <c r="E15" s="28" t="n">
        <v>190</v>
      </c>
    </row>
    <row r="16">
      <c r="A16" s="28" t="inlineStr">
        <is>
          <t>BBQ Grill</t>
        </is>
      </c>
      <c r="B16" s="28" t="inlineStr">
        <is>
          <t>Winter Veggies</t>
        </is>
      </c>
      <c r="C16" s="28" t="n">
        <v>72</v>
      </c>
      <c r="D16" s="28" t="n">
        <v>25</v>
      </c>
      <c r="E16" s="28" t="n">
        <v>198</v>
      </c>
    </row>
    <row r="17">
      <c r="A17" s="28" t="inlineStr">
        <is>
          <t>BBQ Grill</t>
        </is>
      </c>
      <c r="B17" s="28" t="inlineStr">
        <is>
          <t>Stuffed Peppers</t>
        </is>
      </c>
      <c r="C17" s="28" t="n">
        <v>80</v>
      </c>
      <c r="D17" s="28" t="n">
        <v>20</v>
      </c>
      <c r="E17" s="28" t="n">
        <v>352</v>
      </c>
    </row>
    <row r="18">
      <c r="A18" s="28" t="inlineStr">
        <is>
          <t>BBQ Grill</t>
        </is>
      </c>
      <c r="B18" s="28" t="inlineStr">
        <is>
          <t>Grilled Eggplant</t>
        </is>
      </c>
      <c r="C18" s="28" t="n">
        <v>90</v>
      </c>
      <c r="D18" s="28" t="n">
        <v>40</v>
      </c>
      <c r="E18" s="28" t="n">
        <v>324</v>
      </c>
    </row>
    <row r="19">
      <c r="A19" s="28" t="inlineStr">
        <is>
          <t>BBQ Grill</t>
        </is>
      </c>
      <c r="B19" s="28" t="inlineStr">
        <is>
          <t>Banana Pancakes</t>
        </is>
      </c>
      <c r="C19" s="28" t="n">
        <v>94</v>
      </c>
      <c r="D19" s="28" t="n">
        <v>60</v>
      </c>
      <c r="E19" s="28" t="n">
        <v>352</v>
      </c>
    </row>
    <row r="20">
      <c r="A20" s="28" t="inlineStr">
        <is>
          <t>BBQ Grill</t>
        </is>
      </c>
      <c r="B20" s="28" t="inlineStr">
        <is>
          <t>Fish Skewer</t>
        </is>
      </c>
      <c r="C20" s="28" t="n">
        <v>96</v>
      </c>
      <c r="D20" s="28" t="n">
        <v>30</v>
      </c>
      <c r="E20" s="28" t="n">
        <v>176</v>
      </c>
    </row>
    <row r="21">
      <c r="A21" s="28" t="inlineStr">
        <is>
          <t>Bakery</t>
        </is>
      </c>
      <c r="B21" s="28" t="inlineStr">
        <is>
          <t>Bread</t>
        </is>
      </c>
      <c r="C21" s="28" t="n">
        <v>4</v>
      </c>
      <c r="D21" s="28" t="n">
        <v>5</v>
      </c>
      <c r="E21" s="28" t="n">
        <v>21</v>
      </c>
    </row>
    <row r="22">
      <c r="A22" s="28" t="inlineStr">
        <is>
          <t>Bakery</t>
        </is>
      </c>
      <c r="B22" s="28" t="inlineStr">
        <is>
          <t>Corn Bread</t>
        </is>
      </c>
      <c r="C22" s="28" t="n">
        <v>7</v>
      </c>
      <c r="D22" s="28" t="n">
        <v>30</v>
      </c>
      <c r="E22" s="28" t="n">
        <v>72</v>
      </c>
      <c r="F22" s="28" t="n">
        <v>8</v>
      </c>
    </row>
    <row r="23">
      <c r="A23" s="28" t="inlineStr">
        <is>
          <t>Bakery</t>
        </is>
      </c>
      <c r="B23" s="28" t="inlineStr">
        <is>
          <t>Cookie</t>
        </is>
      </c>
      <c r="C23" s="28" t="n">
        <v>10</v>
      </c>
      <c r="D23" s="28" t="n">
        <v>60</v>
      </c>
      <c r="E23" s="28" t="n">
        <v>104</v>
      </c>
      <c r="F23" s="28" t="n">
        <v>13</v>
      </c>
    </row>
    <row r="24">
      <c r="A24" s="28" t="inlineStr">
        <is>
          <t>Bakery</t>
        </is>
      </c>
      <c r="B24" s="28" t="inlineStr">
        <is>
          <t>Raspberry Muffin</t>
        </is>
      </c>
      <c r="C24" s="28" t="n">
        <v>19</v>
      </c>
      <c r="D24" s="28" t="n">
        <v>45</v>
      </c>
      <c r="E24" s="28" t="n">
        <v>140</v>
      </c>
    </row>
    <row r="25">
      <c r="A25" s="28" t="inlineStr">
        <is>
          <t>Bakery</t>
        </is>
      </c>
      <c r="B25" s="28" t="inlineStr">
        <is>
          <t>Blackberry Muffin</t>
        </is>
      </c>
      <c r="C25" s="28" t="n">
        <v>26</v>
      </c>
      <c r="D25" s="28" t="n">
        <v>45</v>
      </c>
      <c r="E25" s="28" t="n">
        <v>226</v>
      </c>
    </row>
    <row r="26">
      <c r="A26" s="28" t="inlineStr">
        <is>
          <t>Bakery</t>
        </is>
      </c>
      <c r="B26" s="28" t="inlineStr">
        <is>
          <t>Pizza</t>
        </is>
      </c>
      <c r="C26" s="28" t="n">
        <v>33</v>
      </c>
      <c r="D26" s="28" t="n">
        <v>15</v>
      </c>
      <c r="E26" s="28" t="n">
        <v>190</v>
      </c>
    </row>
    <row r="27">
      <c r="A27" s="28" t="inlineStr">
        <is>
          <t>Bakery</t>
        </is>
      </c>
      <c r="B27" s="28" t="inlineStr">
        <is>
          <t>Blueberry Muffin</t>
        </is>
      </c>
      <c r="C27" s="28" t="n">
        <v>33</v>
      </c>
      <c r="D27" s="28" t="n">
        <v>45</v>
      </c>
      <c r="E27" s="28" t="n">
        <v>230</v>
      </c>
      <c r="F27" s="28" t="n">
        <v>28</v>
      </c>
    </row>
    <row r="28">
      <c r="A28" s="28" t="inlineStr">
        <is>
          <t>Bakery</t>
        </is>
      </c>
      <c r="B28" s="28" t="inlineStr">
        <is>
          <t>Spicy Pizza</t>
        </is>
      </c>
      <c r="C28" s="28" t="n">
        <v>37</v>
      </c>
      <c r="D28" s="28" t="n">
        <v>15</v>
      </c>
      <c r="E28" s="28" t="n">
        <v>226</v>
      </c>
    </row>
    <row r="29">
      <c r="A29" s="28" t="inlineStr">
        <is>
          <t>Bakery</t>
        </is>
      </c>
      <c r="B29" s="28" t="inlineStr">
        <is>
          <t>Potato Bread</t>
        </is>
      </c>
      <c r="C29" s="28" t="n">
        <v>39</v>
      </c>
      <c r="D29" s="28" t="n">
        <v>45</v>
      </c>
      <c r="E29" s="28" t="n">
        <v>284</v>
      </c>
    </row>
    <row r="30">
      <c r="A30" s="28" t="inlineStr">
        <is>
          <t>Bakery</t>
        </is>
      </c>
      <c r="B30" s="28" t="inlineStr">
        <is>
          <t>Frutti di Mare Pizza</t>
        </is>
      </c>
      <c r="C30" s="28" t="n">
        <v>45</v>
      </c>
      <c r="D30" s="28" t="n">
        <v>15</v>
      </c>
      <c r="E30" s="28" t="n">
        <v>403</v>
      </c>
    </row>
    <row r="31">
      <c r="A31" s="28" t="inlineStr">
        <is>
          <t>Bakery</t>
        </is>
      </c>
      <c r="B31" s="28" t="inlineStr">
        <is>
          <t>Gingerbread Cookie</t>
        </is>
      </c>
      <c r="C31" s="28" t="n">
        <v>86</v>
      </c>
      <c r="D31" s="28" t="n">
        <v>30</v>
      </c>
      <c r="E31" s="28" t="n">
        <v>273</v>
      </c>
    </row>
    <row r="32">
      <c r="A32" s="28" t="inlineStr">
        <is>
          <t>Bakery</t>
        </is>
      </c>
      <c r="B32" s="28" t="inlineStr">
        <is>
          <t>Banana Bread</t>
        </is>
      </c>
      <c r="C32" s="28" t="n">
        <v>91</v>
      </c>
      <c r="D32" s="28" t="n">
        <v>30</v>
      </c>
      <c r="E32" s="28" t="n">
        <v>424</v>
      </c>
      <c r="F32" s="28" t="n">
        <v>50</v>
      </c>
    </row>
    <row r="33">
      <c r="A33" s="28" t="inlineStr">
        <is>
          <t>Bakery</t>
        </is>
      </c>
      <c r="B33" s="28" t="inlineStr">
        <is>
          <t>Macaroon</t>
        </is>
      </c>
      <c r="C33" s="28" t="n">
        <v>101</v>
      </c>
      <c r="D33" s="28" t="n">
        <v>30</v>
      </c>
      <c r="E33" s="28" t="n">
        <v>421</v>
      </c>
      <c r="F33" s="28" t="n">
        <v>50</v>
      </c>
    </row>
    <row r="34">
      <c r="A34" s="28" t="inlineStr">
        <is>
          <t>Bakery</t>
        </is>
      </c>
      <c r="B34" s="28" t="inlineStr">
        <is>
          <t>Pineapple Coconut Bars</t>
        </is>
      </c>
      <c r="C34" s="28" t="n">
        <v>120</v>
      </c>
      <c r="D34" s="28" t="n">
        <v>40</v>
      </c>
      <c r="E34" s="28" t="n">
        <v>284</v>
      </c>
    </row>
    <row r="35">
      <c r="A35" s="28" t="inlineStr">
        <is>
          <t>Bath Kiosk</t>
        </is>
      </c>
      <c r="B35" s="28" t="inlineStr">
        <is>
          <t>Honey Soap</t>
        </is>
      </c>
      <c r="C35" s="28" t="n">
        <v>84</v>
      </c>
      <c r="D35" s="28" t="n">
        <v>60</v>
      </c>
      <c r="E35" s="28" t="n">
        <v>327</v>
      </c>
    </row>
    <row r="36">
      <c r="A36" s="28" t="inlineStr">
        <is>
          <t>Bath Kiosk</t>
        </is>
      </c>
      <c r="B36" s="28" t="inlineStr">
        <is>
          <t>Lemon Lotion</t>
        </is>
      </c>
      <c r="C36" s="28" t="n">
        <v>84</v>
      </c>
      <c r="E36" s="28" t="n">
        <v>403</v>
      </c>
    </row>
    <row r="37">
      <c r="A37" s="28" t="inlineStr">
        <is>
          <t>Bath Kiosk</t>
        </is>
      </c>
      <c r="B37" s="28" t="inlineStr">
        <is>
          <t>Exfoliating Soap</t>
        </is>
      </c>
      <c r="C37" s="28" t="n">
        <v>93</v>
      </c>
      <c r="D37" s="28" t="n">
        <v>60</v>
      </c>
      <c r="E37" s="28" t="n">
        <v>363</v>
      </c>
    </row>
    <row r="38">
      <c r="A38" s="28" t="inlineStr">
        <is>
          <t>Bath Kiosk</t>
        </is>
      </c>
      <c r="B38" s="28" t="inlineStr">
        <is>
          <t>Honey Face Mask</t>
        </is>
      </c>
      <c r="C38" s="28" t="n">
        <v>99</v>
      </c>
      <c r="E38" s="28" t="n">
        <v>320</v>
      </c>
    </row>
    <row r="39">
      <c r="A39" s="28" t="inlineStr">
        <is>
          <t>Bath Kiosk</t>
        </is>
      </c>
      <c r="B39" s="28" t="inlineStr">
        <is>
          <t>Rich Soap</t>
        </is>
      </c>
      <c r="C39" s="28" t="n">
        <v>121</v>
      </c>
      <c r="E39" s="28" t="n">
        <v>266</v>
      </c>
    </row>
    <row r="40">
      <c r="A40" s="28" t="inlineStr">
        <is>
          <t>Cake Oven</t>
        </is>
      </c>
      <c r="B40" s="28" t="inlineStr">
        <is>
          <t>Carrot Cake</t>
        </is>
      </c>
      <c r="C40" s="28" t="n">
        <v>21</v>
      </c>
      <c r="E40" s="28" t="n">
        <v>165</v>
      </c>
    </row>
    <row r="41">
      <c r="A41" s="28" t="inlineStr">
        <is>
          <t>Cake Oven</t>
        </is>
      </c>
      <c r="B41" s="28" t="inlineStr">
        <is>
          <t>Cream Cake</t>
        </is>
      </c>
      <c r="C41" s="28" t="n">
        <v>23</v>
      </c>
      <c r="D41" s="28" t="n">
        <v>180</v>
      </c>
      <c r="E41" s="28" t="n">
        <v>219</v>
      </c>
    </row>
    <row r="42">
      <c r="A42" s="28" t="inlineStr">
        <is>
          <t>Cake Oven</t>
        </is>
      </c>
      <c r="B42" s="28" t="inlineStr">
        <is>
          <t>Red Berry Cake</t>
        </is>
      </c>
      <c r="C42" s="28" t="n">
        <v>23</v>
      </c>
      <c r="D42" s="28" t="n">
        <v>60</v>
      </c>
      <c r="E42" s="28" t="n">
        <v>255</v>
      </c>
      <c r="F42" s="28" t="n">
        <v>31</v>
      </c>
    </row>
    <row r="43">
      <c r="A43" s="28" t="inlineStr">
        <is>
          <t>Cake Oven</t>
        </is>
      </c>
      <c r="B43" s="28" t="inlineStr">
        <is>
          <t>Cheesecake</t>
        </is>
      </c>
      <c r="C43" s="28" t="n">
        <v>24</v>
      </c>
      <c r="D43" s="28" t="n">
        <v>240</v>
      </c>
      <c r="E43" s="28" t="n">
        <v>284</v>
      </c>
    </row>
    <row r="44">
      <c r="A44" s="28" t="inlineStr">
        <is>
          <t>Cake Oven</t>
        </is>
      </c>
      <c r="B44" s="28" t="inlineStr">
        <is>
          <t>Blueberry Cheesecake</t>
        </is>
      </c>
      <c r="C44" s="28" t="n">
        <v>31</v>
      </c>
      <c r="D44" s="28" t="n">
        <v>240</v>
      </c>
      <c r="E44" s="28" t="n">
        <v>500</v>
      </c>
    </row>
    <row r="45">
      <c r="A45" s="28" t="inlineStr">
        <is>
          <t>Cake Oven</t>
        </is>
      </c>
      <c r="B45" s="28" t="inlineStr">
        <is>
          <t>Strawberry Cake</t>
        </is>
      </c>
      <c r="C45" s="28" t="n">
        <v>35</v>
      </c>
      <c r="D45" s="28" t="n">
        <v>180</v>
      </c>
      <c r="E45" s="28" t="n">
        <v>316</v>
      </c>
    </row>
    <row r="46">
      <c r="A46" s="28" t="inlineStr">
        <is>
          <t>Cake Oven</t>
        </is>
      </c>
      <c r="B46" s="28" t="inlineStr">
        <is>
          <t>Chocolate Cake</t>
        </is>
      </c>
      <c r="C46" s="28" t="n">
        <v>36</v>
      </c>
      <c r="D46" s="28" t="n">
        <v>120</v>
      </c>
      <c r="E46" s="28" t="n">
        <v>320</v>
      </c>
    </row>
    <row r="47">
      <c r="A47" s="28" t="inlineStr">
        <is>
          <t>Cake Oven</t>
        </is>
      </c>
      <c r="B47" s="28" t="inlineStr">
        <is>
          <t>Potato Feta Cake</t>
        </is>
      </c>
      <c r="C47" s="28" t="n">
        <v>38</v>
      </c>
      <c r="D47" s="28" t="n">
        <v>120</v>
      </c>
      <c r="E47" s="28" t="n">
        <v>309</v>
      </c>
    </row>
    <row r="48">
      <c r="A48" s="28" t="inlineStr">
        <is>
          <t>Cake Oven</t>
        </is>
      </c>
      <c r="B48" s="28" t="inlineStr">
        <is>
          <t>Honey Apple Cake</t>
        </is>
      </c>
      <c r="C48" s="28" t="n">
        <v>42</v>
      </c>
      <c r="E48" s="28" t="n">
        <v>482</v>
      </c>
    </row>
    <row r="49">
      <c r="A49" s="28" t="inlineStr">
        <is>
          <t>Cake Oven</t>
        </is>
      </c>
      <c r="B49" s="28" t="inlineStr">
        <is>
          <t>Fancy Cake</t>
        </is>
      </c>
      <c r="C49" s="28" t="n">
        <v>54</v>
      </c>
      <c r="D49" s="28" t="n">
        <v>15</v>
      </c>
      <c r="E49" s="28" t="n">
        <v>450</v>
      </c>
      <c r="F49" s="28" t="n">
        <v>49</v>
      </c>
    </row>
    <row r="50">
      <c r="A50" s="28" t="inlineStr">
        <is>
          <t>Cake Oven</t>
        </is>
      </c>
      <c r="B50" s="28" t="inlineStr">
        <is>
          <t>Pineapple Cake</t>
        </is>
      </c>
      <c r="C50" s="28" t="n">
        <v>65</v>
      </c>
      <c r="E50" s="28" t="n">
        <v>259</v>
      </c>
    </row>
    <row r="51">
      <c r="A51" s="28" t="inlineStr">
        <is>
          <t>Cake Oven</t>
        </is>
      </c>
      <c r="B51" s="28" t="inlineStr">
        <is>
          <t>Lemon Cake</t>
        </is>
      </c>
      <c r="C51" s="28" t="n">
        <v>68</v>
      </c>
      <c r="E51" s="28" t="n">
        <v>896</v>
      </c>
    </row>
    <row r="52">
      <c r="A52" s="28" t="inlineStr">
        <is>
          <t>Cake Oven</t>
        </is>
      </c>
      <c r="B52" s="28" t="inlineStr">
        <is>
          <t>Fruit Cake</t>
        </is>
      </c>
      <c r="C52" s="28" t="n">
        <v>89</v>
      </c>
      <c r="D52" s="28" t="n">
        <v>180</v>
      </c>
      <c r="E52" s="28" t="n">
        <v>450</v>
      </c>
    </row>
    <row r="53">
      <c r="A53" s="28" t="inlineStr">
        <is>
          <t>Cake Oven</t>
        </is>
      </c>
      <c r="B53" s="28" t="inlineStr">
        <is>
          <t>Chocolate Roll</t>
        </is>
      </c>
      <c r="C53" s="28" t="n">
        <v>95</v>
      </c>
      <c r="E53" s="28" t="n">
        <v>604</v>
      </c>
    </row>
    <row r="54">
      <c r="A54" s="28" t="inlineStr">
        <is>
          <t>Cake Oven</t>
        </is>
      </c>
      <c r="B54" s="28" t="inlineStr">
        <is>
          <t>Pomegranate Cake</t>
        </is>
      </c>
      <c r="C54" s="28" t="n">
        <v>108</v>
      </c>
      <c r="E54" s="28" t="n">
        <v>316</v>
      </c>
    </row>
    <row r="55">
      <c r="A55" s="28" t="inlineStr">
        <is>
          <t>Candle Maker</t>
        </is>
      </c>
      <c r="B55" s="28" t="inlineStr">
        <is>
          <t>Strawberry Candle</t>
        </is>
      </c>
      <c r="C55" s="28" t="n">
        <v>48</v>
      </c>
      <c r="D55" s="28" t="n">
        <v>120</v>
      </c>
      <c r="E55" s="28" t="n">
        <v>370</v>
      </c>
    </row>
    <row r="56">
      <c r="A56" s="28" t="inlineStr">
        <is>
          <t>Candle Maker</t>
        </is>
      </c>
      <c r="B56" s="28" t="inlineStr">
        <is>
          <t>Raspberry Candle</t>
        </is>
      </c>
      <c r="C56" s="28" t="n">
        <v>52</v>
      </c>
      <c r="E56" s="28" t="n">
        <v>360</v>
      </c>
    </row>
    <row r="57">
      <c r="A57" s="28" t="inlineStr">
        <is>
          <t>Candle Maker</t>
        </is>
      </c>
      <c r="B57" s="28" t="inlineStr">
        <is>
          <t>Lemon Candle</t>
        </is>
      </c>
      <c r="C57" s="28" t="n">
        <v>72</v>
      </c>
      <c r="E57" s="28" t="n">
        <v>457</v>
      </c>
      <c r="F57" s="28" t="n">
        <v>55</v>
      </c>
    </row>
    <row r="58">
      <c r="A58" s="28" t="inlineStr">
        <is>
          <t>Candle Maker</t>
        </is>
      </c>
      <c r="B58" s="28" t="inlineStr">
        <is>
          <t>Colorful Candles</t>
        </is>
      </c>
      <c r="C58" s="28" t="n">
        <v>84</v>
      </c>
      <c r="E58" s="28" t="n">
        <v>324</v>
      </c>
    </row>
    <row r="59">
      <c r="A59" s="28" t="inlineStr">
        <is>
          <t>Candle Maker</t>
        </is>
      </c>
      <c r="B59" s="28" t="inlineStr">
        <is>
          <t>Floral Candle</t>
        </is>
      </c>
      <c r="C59" s="28" t="n">
        <v>95</v>
      </c>
      <c r="D59" s="28" t="n">
        <v>120</v>
      </c>
      <c r="E59" s="28" t="n">
        <v>442</v>
      </c>
    </row>
    <row r="60">
      <c r="A60" s="28" t="inlineStr">
        <is>
          <t>Candy Machine</t>
        </is>
      </c>
      <c r="B60" s="28" t="inlineStr">
        <is>
          <t>Caramel Apple</t>
        </is>
      </c>
      <c r="C60" s="28" t="n">
        <v>51</v>
      </c>
      <c r="D60" s="28" t="n">
        <v>120</v>
      </c>
      <c r="E60" s="28" t="n">
        <v>255</v>
      </c>
      <c r="F60" s="28" t="n">
        <v>31</v>
      </c>
    </row>
    <row r="61">
      <c r="A61" s="28" t="inlineStr">
        <is>
          <t>Candy Machine</t>
        </is>
      </c>
      <c r="B61" s="28" t="inlineStr">
        <is>
          <t>Toffee</t>
        </is>
      </c>
      <c r="C61" s="28" t="n">
        <v>52</v>
      </c>
      <c r="E61" s="28" t="n">
        <v>176</v>
      </c>
    </row>
    <row r="62">
      <c r="A62" s="28" t="inlineStr">
        <is>
          <t>Candy Machine</t>
        </is>
      </c>
      <c r="B62" s="28" t="inlineStr">
        <is>
          <t>Chocolate</t>
        </is>
      </c>
      <c r="C62" s="28" t="n">
        <v>54</v>
      </c>
      <c r="D62" s="28" t="n">
        <v>1200</v>
      </c>
      <c r="E62" s="28" t="n">
        <v>460</v>
      </c>
    </row>
    <row r="63">
      <c r="A63" s="28" t="inlineStr">
        <is>
          <t>Candy Machine</t>
        </is>
      </c>
      <c r="B63" s="28" t="inlineStr">
        <is>
          <t>Lollipop</t>
        </is>
      </c>
      <c r="C63" s="28" t="n">
        <v>57</v>
      </c>
      <c r="D63" s="28" t="n">
        <v>720</v>
      </c>
      <c r="E63" s="28" t="n">
        <v>342</v>
      </c>
    </row>
    <row r="64">
      <c r="A64" s="28" t="inlineStr">
        <is>
          <t>Candy Machine</t>
        </is>
      </c>
      <c r="B64" s="28" t="inlineStr">
        <is>
          <t>Jelly Beans</t>
        </is>
      </c>
      <c r="C64" s="28" t="n">
        <v>60</v>
      </c>
      <c r="D64" s="28" t="n">
        <v>1440</v>
      </c>
      <c r="E64" s="28" t="n">
        <v>684</v>
      </c>
    </row>
    <row r="65">
      <c r="A65" s="28" t="inlineStr">
        <is>
          <t>Candy Machine</t>
        </is>
      </c>
      <c r="B65" s="28" t="inlineStr">
        <is>
          <t>Honey Peanuts</t>
        </is>
      </c>
      <c r="C65" s="28" t="n">
        <v>63</v>
      </c>
      <c r="D65" s="28" t="n">
        <v>40</v>
      </c>
      <c r="E65" s="28" t="n">
        <v>468</v>
      </c>
      <c r="F65" s="28" t="n">
        <v>64</v>
      </c>
    </row>
    <row r="66">
      <c r="A66" s="28" t="inlineStr">
        <is>
          <t>Candy Machine</t>
        </is>
      </c>
      <c r="B66" s="28" t="inlineStr">
        <is>
          <t>Cotton Candy</t>
        </is>
      </c>
      <c r="C66" s="28" t="n">
        <v>75</v>
      </c>
      <c r="D66" s="28" t="n">
        <v>30</v>
      </c>
      <c r="E66" s="28" t="n">
        <v>226</v>
      </c>
    </row>
    <row r="67">
      <c r="A67" s="28" t="inlineStr">
        <is>
          <t>Candy Machine</t>
        </is>
      </c>
      <c r="B67" s="28" t="inlineStr">
        <is>
          <t>Sesame Brittle</t>
        </is>
      </c>
      <c r="C67" s="28" t="n">
        <v>78</v>
      </c>
      <c r="D67" s="28" t="n">
        <v>60</v>
      </c>
      <c r="E67" s="28" t="n">
        <v>270</v>
      </c>
    </row>
    <row r="68">
      <c r="A68" s="28" t="inlineStr">
        <is>
          <t>Coffee Kiosk</t>
        </is>
      </c>
      <c r="B68" s="28" t="inlineStr">
        <is>
          <t>Espresso</t>
        </is>
      </c>
      <c r="C68" s="28" t="n">
        <v>42</v>
      </c>
      <c r="D68" s="28" t="n">
        <v>5</v>
      </c>
      <c r="E68" s="28" t="n">
        <v>248</v>
      </c>
      <c r="F68" s="28" t="n">
        <v>29</v>
      </c>
    </row>
    <row r="69">
      <c r="A69" s="28" t="inlineStr">
        <is>
          <t>Coffee Kiosk</t>
        </is>
      </c>
      <c r="B69" s="28" t="inlineStr">
        <is>
          <t>Caffè Latte</t>
        </is>
      </c>
      <c r="C69" s="28" t="n">
        <v>43</v>
      </c>
      <c r="D69" s="28" t="n">
        <v>10</v>
      </c>
      <c r="E69" s="28" t="n">
        <v>219</v>
      </c>
    </row>
    <row r="70">
      <c r="A70" s="28" t="inlineStr">
        <is>
          <t>Coffee Kiosk</t>
        </is>
      </c>
      <c r="B70" s="28" t="inlineStr">
        <is>
          <t>Caffè Mocha</t>
        </is>
      </c>
      <c r="C70" s="28" t="n">
        <v>45</v>
      </c>
      <c r="D70" s="28" t="n">
        <v>15</v>
      </c>
      <c r="E70" s="28" t="n">
        <v>291</v>
      </c>
    </row>
    <row r="71">
      <c r="A71" s="28" t="inlineStr">
        <is>
          <t>Coffee Kiosk</t>
        </is>
      </c>
      <c r="B71" s="28" t="inlineStr">
        <is>
          <t>Raspberry Mocha</t>
        </is>
      </c>
      <c r="C71" s="28" t="n">
        <v>46</v>
      </c>
      <c r="D71" s="28" t="n">
        <v>30</v>
      </c>
      <c r="E71" s="28" t="n">
        <v>259</v>
      </c>
    </row>
    <row r="72">
      <c r="A72" s="28" t="inlineStr">
        <is>
          <t>Coffee Kiosk</t>
        </is>
      </c>
      <c r="B72" s="28" t="inlineStr">
        <is>
          <t>Hot Chocolate</t>
        </is>
      </c>
      <c r="C72" s="28" t="n">
        <v>47</v>
      </c>
      <c r="D72" s="28" t="n">
        <v>25</v>
      </c>
      <c r="E72" s="28" t="n">
        <v>316</v>
      </c>
    </row>
    <row r="73">
      <c r="A73" s="28" t="inlineStr">
        <is>
          <t>Coffee Kiosk</t>
        </is>
      </c>
      <c r="B73" s="28" t="inlineStr">
        <is>
          <t>Caramel Latte</t>
        </is>
      </c>
      <c r="C73" s="28" t="n">
        <v>62</v>
      </c>
      <c r="D73" s="28" t="n">
        <v>15</v>
      </c>
      <c r="E73" s="28" t="n">
        <v>345</v>
      </c>
    </row>
    <row r="74">
      <c r="A74" s="28" t="inlineStr">
        <is>
          <t>Coffee Kiosk</t>
        </is>
      </c>
      <c r="B74" s="28" t="inlineStr">
        <is>
          <t>Iced Banana Latte</t>
        </is>
      </c>
      <c r="C74" s="28" t="n">
        <v>88</v>
      </c>
      <c r="D74" s="28" t="n">
        <v>20</v>
      </c>
      <c r="E74" s="28" t="n">
        <v>277</v>
      </c>
    </row>
    <row r="75">
      <c r="A75" s="28" t="inlineStr">
        <is>
          <t>Cupcake Maker</t>
        </is>
      </c>
      <c r="B75" s="28" t="inlineStr">
        <is>
          <t>Plain Cupcake</t>
        </is>
      </c>
      <c r="C75" s="28" t="n">
        <v>109</v>
      </c>
      <c r="D75" s="28" t="n">
        <v>40</v>
      </c>
      <c r="E75" s="28" t="n">
        <v>280</v>
      </c>
      <c r="F75" s="28" t="n">
        <v>34</v>
      </c>
    </row>
    <row r="76">
      <c r="A76" s="28" t="inlineStr">
        <is>
          <t>Cupcake Maker</t>
        </is>
      </c>
      <c r="B76" s="28" t="inlineStr">
        <is>
          <t>Guava Cupcake</t>
        </is>
      </c>
      <c r="C76" s="28" t="n">
        <v>109</v>
      </c>
      <c r="E76" s="28" t="n">
        <v>583</v>
      </c>
      <c r="F76" s="28" t="n">
        <v>70</v>
      </c>
    </row>
    <row r="77">
      <c r="A77" s="28" t="inlineStr">
        <is>
          <t>Cupcake Maker</t>
        </is>
      </c>
      <c r="B77" s="28" t="inlineStr">
        <is>
          <t>Tropical Cupcake</t>
        </is>
      </c>
      <c r="C77" s="28" t="n">
        <v>112</v>
      </c>
      <c r="E77" s="28" t="n">
        <v>572</v>
      </c>
    </row>
    <row r="78">
      <c r="A78" s="28" t="inlineStr">
        <is>
          <t>Cupcake Maker</t>
        </is>
      </c>
      <c r="B78" s="28" t="inlineStr">
        <is>
          <t>Cookie Cupcake</t>
        </is>
      </c>
      <c r="C78" s="28" t="n">
        <v>114</v>
      </c>
      <c r="E78" s="28" t="n">
        <v>712</v>
      </c>
    </row>
    <row r="79">
      <c r="A79" s="28" t="inlineStr">
        <is>
          <t>Dairy</t>
        </is>
      </c>
      <c r="B79" s="28" t="inlineStr">
        <is>
          <t>Cream</t>
        </is>
      </c>
      <c r="C79" s="28" t="n">
        <v>6</v>
      </c>
      <c r="D79" s="28" t="n">
        <v>20</v>
      </c>
      <c r="E79" s="28" t="n">
        <v>50</v>
      </c>
    </row>
    <row r="80">
      <c r="A80" s="28" t="inlineStr">
        <is>
          <t>Dairy</t>
        </is>
      </c>
      <c r="B80" s="28" t="inlineStr">
        <is>
          <t>Butter</t>
        </is>
      </c>
      <c r="C80" s="28" t="n">
        <v>9</v>
      </c>
      <c r="D80" s="28" t="n">
        <v>30</v>
      </c>
      <c r="E80" s="28" t="n">
        <v>82</v>
      </c>
    </row>
    <row r="81">
      <c r="A81" s="28" t="inlineStr">
        <is>
          <t>Dairy</t>
        </is>
      </c>
      <c r="B81" s="28" t="inlineStr">
        <is>
          <t>Cheese</t>
        </is>
      </c>
      <c r="C81" s="28" t="n">
        <v>12</v>
      </c>
      <c r="D81" s="28" t="n">
        <v>60</v>
      </c>
      <c r="E81" s="28" t="n">
        <v>122</v>
      </c>
    </row>
    <row r="82">
      <c r="A82" s="28" t="inlineStr">
        <is>
          <t>Dairy</t>
        </is>
      </c>
      <c r="B82" s="28" t="inlineStr">
        <is>
          <t>Goat Cheese</t>
        </is>
      </c>
      <c r="C82" s="28" t="n">
        <v>33</v>
      </c>
      <c r="E82" s="28" t="n">
        <v>162</v>
      </c>
    </row>
    <row r="83">
      <c r="A83" s="28" t="inlineStr">
        <is>
          <t>Deep Fryer</t>
        </is>
      </c>
      <c r="B83" s="28" t="inlineStr">
        <is>
          <t>Bacon Fries</t>
        </is>
      </c>
      <c r="C83" s="28" t="n">
        <v>87</v>
      </c>
      <c r="D83" s="28" t="n">
        <v>25</v>
      </c>
      <c r="E83" s="28" t="n">
        <v>302</v>
      </c>
    </row>
    <row r="84">
      <c r="A84" s="28" t="inlineStr">
        <is>
          <t>Deep Fryer</t>
        </is>
      </c>
      <c r="B84" s="28" t="inlineStr">
        <is>
          <t>Hand Pies</t>
        </is>
      </c>
      <c r="C84" s="28" t="n">
        <v>91</v>
      </c>
      <c r="D84" s="28" t="n">
        <v>20</v>
      </c>
      <c r="E84" s="28" t="n">
        <v>295</v>
      </c>
    </row>
    <row r="85">
      <c r="A85" s="28" t="inlineStr">
        <is>
          <t>Deep Fryer</t>
        </is>
      </c>
      <c r="B85" s="28" t="inlineStr">
        <is>
          <t>Chili Poppers</t>
        </is>
      </c>
      <c r="C85" s="28" t="n">
        <v>98</v>
      </c>
      <c r="D85" s="28" t="n">
        <v>40</v>
      </c>
      <c r="E85" s="28" t="n">
        <v>406</v>
      </c>
    </row>
    <row r="86">
      <c r="A86" s="28" t="inlineStr">
        <is>
          <t>Deep Fryer</t>
        </is>
      </c>
      <c r="B86" s="28" t="inlineStr">
        <is>
          <t>Falafel</t>
        </is>
      </c>
      <c r="C86" s="28" t="n">
        <v>98</v>
      </c>
      <c r="D86" s="28" t="n">
        <v>55</v>
      </c>
      <c r="E86" s="28" t="n">
        <v>226</v>
      </c>
    </row>
    <row r="87">
      <c r="A87" s="28" t="inlineStr">
        <is>
          <t>Deep Fryer</t>
        </is>
      </c>
      <c r="B87" s="28" t="inlineStr">
        <is>
          <t>Fried Candy Bar</t>
        </is>
      </c>
      <c r="C87" s="28" t="n">
        <v>100</v>
      </c>
      <c r="D87" s="28" t="n">
        <v>15</v>
      </c>
      <c r="E87" s="28" t="n">
        <v>658</v>
      </c>
      <c r="F87" s="28" t="n">
        <v>87</v>
      </c>
    </row>
    <row r="88">
      <c r="A88" s="28" t="inlineStr">
        <is>
          <t>Deep Fryer</t>
        </is>
      </c>
      <c r="B88" s="28" t="inlineStr">
        <is>
          <t>Samosa</t>
        </is>
      </c>
      <c r="C88" s="28" t="n">
        <v>103</v>
      </c>
      <c r="E88" s="28" t="n">
        <v>223</v>
      </c>
    </row>
    <row r="89">
      <c r="A89" s="28" t="inlineStr">
        <is>
          <t>Donut Maker</t>
        </is>
      </c>
      <c r="B89" s="28" t="inlineStr">
        <is>
          <t>Plain Donut</t>
        </is>
      </c>
      <c r="C89" s="28" t="n">
        <v>76</v>
      </c>
      <c r="D89" s="28" t="n">
        <v>15</v>
      </c>
      <c r="E89" s="28" t="n">
        <v>129</v>
      </c>
    </row>
    <row r="90">
      <c r="A90" s="28" t="inlineStr">
        <is>
          <t>Donut Maker</t>
        </is>
      </c>
      <c r="B90" s="28" t="inlineStr">
        <is>
          <t>Sprinkled Donut</t>
        </is>
      </c>
      <c r="C90" s="28" t="n">
        <v>79</v>
      </c>
      <c r="D90" s="28" t="n">
        <v>20</v>
      </c>
      <c r="E90" s="28" t="n">
        <v>313</v>
      </c>
    </row>
    <row r="91">
      <c r="A91" s="28" t="inlineStr">
        <is>
          <t>Donut Maker</t>
        </is>
      </c>
      <c r="B91" s="28" t="inlineStr">
        <is>
          <t>Crunchy Donut</t>
        </is>
      </c>
      <c r="C91" s="28" t="n">
        <v>82</v>
      </c>
      <c r="D91" s="28" t="n">
        <v>30</v>
      </c>
      <c r="E91" s="28" t="n">
        <v>594</v>
      </c>
    </row>
    <row r="92">
      <c r="A92" s="28" t="inlineStr">
        <is>
          <t>Donut Maker</t>
        </is>
      </c>
      <c r="B92" s="28" t="inlineStr">
        <is>
          <t>Cream Donut</t>
        </is>
      </c>
      <c r="C92" s="28" t="n">
        <v>86</v>
      </c>
      <c r="D92" s="28" t="n">
        <v>25</v>
      </c>
      <c r="E92" s="28" t="n">
        <v>230</v>
      </c>
    </row>
    <row r="93">
      <c r="A93" s="28" t="inlineStr">
        <is>
          <t>Donut Maker</t>
        </is>
      </c>
      <c r="B93" s="28" t="inlineStr">
        <is>
          <t>Bacon Donut</t>
        </is>
      </c>
      <c r="C93" s="28" t="n">
        <v>88</v>
      </c>
      <c r="D93" s="28" t="n">
        <v>30</v>
      </c>
      <c r="E93" s="28" t="n">
        <v>388</v>
      </c>
    </row>
    <row r="94">
      <c r="A94" s="28" t="inlineStr">
        <is>
          <t>Donut Maker</t>
        </is>
      </c>
      <c r="B94" s="28" t="inlineStr">
        <is>
          <t>Filled Donut</t>
        </is>
      </c>
      <c r="C94" s="28" t="n">
        <v>93</v>
      </c>
      <c r="D94" s="28" t="n">
        <v>35</v>
      </c>
      <c r="E94" s="28" t="n">
        <v>403</v>
      </c>
    </row>
    <row r="95">
      <c r="A95" s="28" t="inlineStr">
        <is>
          <t>Feed Mill</t>
        </is>
      </c>
      <c r="B95" s="28" t="inlineStr">
        <is>
          <t>Chicken Feed</t>
        </is>
      </c>
      <c r="C95" s="28" t="n">
        <v>2</v>
      </c>
      <c r="D95" s="28" t="n">
        <v>4</v>
      </c>
      <c r="E95" s="28" t="n">
        <v>7</v>
      </c>
    </row>
    <row r="96">
      <c r="A96" s="28" t="inlineStr">
        <is>
          <t>Feed Mill</t>
        </is>
      </c>
      <c r="B96" s="28" t="inlineStr">
        <is>
          <t>Cow Feed</t>
        </is>
      </c>
      <c r="C96" s="28" t="n">
        <v>6</v>
      </c>
      <c r="D96" s="28" t="n">
        <v>10</v>
      </c>
      <c r="E96" s="28" t="n">
        <v>14</v>
      </c>
    </row>
    <row r="97">
      <c r="A97" s="28" t="inlineStr">
        <is>
          <t>Feed Mill</t>
        </is>
      </c>
      <c r="B97" s="28" t="inlineStr">
        <is>
          <t>Pig Feed</t>
        </is>
      </c>
      <c r="C97" s="28" t="n">
        <v>10</v>
      </c>
      <c r="D97" s="28" t="n">
        <v>20</v>
      </c>
      <c r="E97" s="28" t="n">
        <v>14</v>
      </c>
    </row>
    <row r="98">
      <c r="A98" s="28" t="inlineStr">
        <is>
          <t>Feed Mill</t>
        </is>
      </c>
      <c r="B98" s="28" t="inlineStr">
        <is>
          <t>Sheep Feed</t>
        </is>
      </c>
      <c r="C98" s="28" t="n">
        <v>16</v>
      </c>
      <c r="D98" s="28" t="n">
        <v>30</v>
      </c>
      <c r="E98" s="28" t="n">
        <v>14</v>
      </c>
      <c r="F98" s="28" t="n">
        <v>3</v>
      </c>
    </row>
    <row r="99">
      <c r="A99" s="28" t="inlineStr">
        <is>
          <t>Feed Mill</t>
        </is>
      </c>
      <c r="B99" s="28" t="inlineStr">
        <is>
          <t>Lamb Feed</t>
        </is>
      </c>
      <c r="C99" s="28" t="n">
        <v>25</v>
      </c>
      <c r="D99" s="28" t="n">
        <v>10</v>
      </c>
      <c r="E99" s="28" t="n">
        <v>18</v>
      </c>
      <c r="F99" s="28" t="n">
        <v>4</v>
      </c>
    </row>
    <row r="100">
      <c r="A100" s="28" t="inlineStr">
        <is>
          <t>Feed Mill</t>
        </is>
      </c>
      <c r="B100" s="28" t="inlineStr">
        <is>
          <t>Goat Feed</t>
        </is>
      </c>
      <c r="C100" s="28" t="n">
        <v>32</v>
      </c>
      <c r="D100" s="28" t="n">
        <v>40</v>
      </c>
      <c r="E100" s="28" t="n">
        <v>14</v>
      </c>
      <c r="F100" s="28" t="n">
        <v>3</v>
      </c>
    </row>
    <row r="101">
      <c r="A101" s="28" t="inlineStr">
        <is>
          <t>Feed Mill</t>
        </is>
      </c>
      <c r="B101" s="28" t="inlineStr">
        <is>
          <t>Wheat Bundle</t>
        </is>
      </c>
      <c r="C101" s="28" t="n">
        <v>3</v>
      </c>
      <c r="E101" s="28" t="n">
        <v>50</v>
      </c>
      <c r="F101" s="28" t="n">
        <v>10</v>
      </c>
    </row>
    <row r="102">
      <c r="A102" s="28" t="inlineStr">
        <is>
          <t>Feed Mill</t>
        </is>
      </c>
      <c r="B102" s="28" t="inlineStr">
        <is>
          <t>Meat Bucket</t>
        </is>
      </c>
      <c r="C102" s="28" t="n">
        <v>3</v>
      </c>
      <c r="D102" s="28" t="n">
        <v>45</v>
      </c>
      <c r="E102" s="28" t="n">
        <v>72</v>
      </c>
      <c r="F102" s="28" t="n">
        <v>9</v>
      </c>
    </row>
    <row r="103">
      <c r="A103" s="28" t="inlineStr">
        <is>
          <t>Flower Shop</t>
        </is>
      </c>
      <c r="B103" s="28" t="inlineStr">
        <is>
          <t>Rustic Bouquet</t>
        </is>
      </c>
      <c r="C103" s="28" t="n">
        <v>49</v>
      </c>
      <c r="D103" s="28" t="n">
        <v>45</v>
      </c>
      <c r="E103" s="28" t="n">
        <v>208</v>
      </c>
    </row>
    <row r="104">
      <c r="A104" s="28" t="inlineStr">
        <is>
          <t>Flower Shop</t>
        </is>
      </c>
      <c r="B104" s="28" t="inlineStr">
        <is>
          <t>Bright Bouquet</t>
        </is>
      </c>
      <c r="C104" s="28" t="n">
        <v>65</v>
      </c>
      <c r="D104" s="28" t="n">
        <v>20</v>
      </c>
      <c r="E104" s="28" t="n">
        <v>338</v>
      </c>
    </row>
    <row r="105">
      <c r="A105" s="28" t="inlineStr">
        <is>
          <t>Flower Shop</t>
        </is>
      </c>
      <c r="B105" s="28" t="inlineStr">
        <is>
          <t>Gracious Bouquet</t>
        </is>
      </c>
      <c r="C105" s="28" t="n">
        <v>73</v>
      </c>
      <c r="D105" s="28" t="n">
        <v>40</v>
      </c>
      <c r="E105" s="28" t="n">
        <v>500</v>
      </c>
    </row>
    <row r="106">
      <c r="A106" s="28" t="inlineStr">
        <is>
          <t>Flower Shop</t>
        </is>
      </c>
      <c r="B106" s="28" t="inlineStr">
        <is>
          <t>Candy Bouquet</t>
        </is>
      </c>
      <c r="C106" s="28" t="n">
        <v>90</v>
      </c>
      <c r="D106" s="28" t="n">
        <v>20</v>
      </c>
      <c r="E106" s="28" t="n">
        <v>554</v>
      </c>
    </row>
    <row r="107">
      <c r="A107" s="28" t="inlineStr">
        <is>
          <t>Flower Shop</t>
        </is>
      </c>
      <c r="B107" s="28" t="inlineStr">
        <is>
          <t>Birthday Bouquet</t>
        </is>
      </c>
      <c r="C107" s="28" t="n">
        <v>92</v>
      </c>
      <c r="D107" s="28" t="n">
        <v>20</v>
      </c>
      <c r="E107" s="28" t="n">
        <v>349</v>
      </c>
    </row>
    <row r="108">
      <c r="A108" s="28" t="inlineStr">
        <is>
          <t>Flower Shop</t>
        </is>
      </c>
      <c r="B108" s="28" t="inlineStr">
        <is>
          <t>Soft Bouquet</t>
        </is>
      </c>
      <c r="C108" s="28" t="n">
        <v>93</v>
      </c>
      <c r="D108" s="28" t="n">
        <v>30</v>
      </c>
      <c r="E108" s="28" t="n">
        <v>298</v>
      </c>
    </row>
    <row r="109">
      <c r="A109" s="28" t="inlineStr">
        <is>
          <t>Flower Shop</t>
        </is>
      </c>
      <c r="B109" s="28" t="inlineStr">
        <is>
          <t>Veggie Bouquet</t>
        </is>
      </c>
      <c r="C109" s="28" t="n">
        <v>106</v>
      </c>
      <c r="D109" s="28" t="n">
        <v>15</v>
      </c>
      <c r="E109" s="28" t="n">
        <v>352</v>
      </c>
    </row>
    <row r="110">
      <c r="A110" s="28" t="inlineStr">
        <is>
          <t>Fondue Pot</t>
        </is>
      </c>
      <c r="B110" s="28" t="inlineStr">
        <is>
          <t>Chocolate Fondue</t>
        </is>
      </c>
      <c r="C110" s="28" t="n">
        <v>81</v>
      </c>
      <c r="D110" s="28" t="n">
        <v>25</v>
      </c>
      <c r="E110" s="28" t="n">
        <v>626</v>
      </c>
      <c r="F110" s="28" t="n">
        <v>74</v>
      </c>
    </row>
    <row r="111">
      <c r="A111" s="28" t="inlineStr">
        <is>
          <t>Fondue Pot</t>
        </is>
      </c>
      <c r="B111" s="28" t="inlineStr">
        <is>
          <t>Bacon Fondue</t>
        </is>
      </c>
      <c r="C111" s="28" t="n">
        <v>86</v>
      </c>
      <c r="D111" s="28" t="n">
        <v>30</v>
      </c>
      <c r="E111" s="28" t="n">
        <v>507</v>
      </c>
    </row>
    <row r="112">
      <c r="A112" s="28" t="inlineStr">
        <is>
          <t>Fondue Pot</t>
        </is>
      </c>
      <c r="B112" s="28" t="inlineStr">
        <is>
          <t>Cheese Fondue</t>
        </is>
      </c>
      <c r="C112" s="28" t="n">
        <v>91</v>
      </c>
      <c r="D112" s="28" t="n">
        <v>20</v>
      </c>
      <c r="E112" s="28" t="n">
        <v>493</v>
      </c>
    </row>
    <row r="113">
      <c r="A113" s="28" t="inlineStr">
        <is>
          <t>Fondue Pot</t>
        </is>
      </c>
      <c r="B113" s="28" t="inlineStr">
        <is>
          <t>Tropical Fondue</t>
        </is>
      </c>
      <c r="C113" s="28" t="n">
        <v>100</v>
      </c>
      <c r="D113" s="28" t="n">
        <v>35</v>
      </c>
      <c r="E113" s="28" t="n">
        <v>417</v>
      </c>
      <c r="F113" s="28" t="n">
        <v>60</v>
      </c>
    </row>
    <row r="114">
      <c r="A114" s="28" t="inlineStr">
        <is>
          <t>Fudge Shop</t>
        </is>
      </c>
      <c r="B114" s="28" t="inlineStr">
        <is>
          <t>Rich Fudge</t>
        </is>
      </c>
      <c r="C114" s="28" t="n">
        <v>99</v>
      </c>
      <c r="E114" s="28" t="n">
        <v>644</v>
      </c>
    </row>
    <row r="115">
      <c r="A115" s="28" t="inlineStr">
        <is>
          <t>Fudge Shop</t>
        </is>
      </c>
      <c r="B115" s="28" t="inlineStr">
        <is>
          <t>Mint Fudge</t>
        </is>
      </c>
      <c r="C115" s="28" t="n">
        <v>102</v>
      </c>
      <c r="E115" s="28" t="n">
        <v>522</v>
      </c>
    </row>
    <row r="116">
      <c r="A116" s="28" t="inlineStr">
        <is>
          <t>Fudge Shop</t>
        </is>
      </c>
      <c r="B116" s="28" t="inlineStr">
        <is>
          <t>Chili Fudge</t>
        </is>
      </c>
      <c r="C116" s="28" t="n">
        <v>104</v>
      </c>
      <c r="E116" s="28" t="n">
        <v>540</v>
      </c>
    </row>
    <row r="117">
      <c r="A117" s="28" t="inlineStr">
        <is>
          <t>Fudge Shop</t>
        </is>
      </c>
      <c r="B117" s="28" t="inlineStr">
        <is>
          <t>Lemon Fudge</t>
        </is>
      </c>
      <c r="C117" s="28" t="n">
        <v>108</v>
      </c>
      <c r="E117" s="28" t="n">
        <v>590</v>
      </c>
    </row>
    <row r="118">
      <c r="A118" s="28" t="inlineStr">
        <is>
          <t>Fudge Shop</t>
        </is>
      </c>
      <c r="B118" s="28" t="inlineStr">
        <is>
          <t>Peanut Fudge</t>
        </is>
      </c>
      <c r="C118" s="28" t="n">
        <v>111</v>
      </c>
      <c r="E118" s="28" t="n">
        <v>1141</v>
      </c>
    </row>
    <row r="119">
      <c r="A119" s="28" t="inlineStr">
        <is>
          <t>Hat Maker</t>
        </is>
      </c>
      <c r="B119" s="28" t="inlineStr">
        <is>
          <t>Cloche Hat</t>
        </is>
      </c>
      <c r="C119" s="28" t="n">
        <v>70</v>
      </c>
      <c r="D119" s="28" t="n">
        <v>120</v>
      </c>
      <c r="E119" s="28" t="n">
        <v>468</v>
      </c>
    </row>
    <row r="120">
      <c r="A120" s="28" t="inlineStr">
        <is>
          <t>Hat Maker</t>
        </is>
      </c>
      <c r="B120" s="28" t="inlineStr">
        <is>
          <t>Top Hat</t>
        </is>
      </c>
      <c r="C120" s="28" t="n">
        <v>72</v>
      </c>
      <c r="E120" s="28" t="n">
        <v>619</v>
      </c>
    </row>
    <row r="121">
      <c r="A121" s="28" t="inlineStr">
        <is>
          <t>Hat Maker</t>
        </is>
      </c>
      <c r="B121" s="28" t="inlineStr">
        <is>
          <t>Sun Hat</t>
        </is>
      </c>
      <c r="C121" s="28" t="n">
        <v>74</v>
      </c>
      <c r="E121" s="28" t="n">
        <v>558</v>
      </c>
    </row>
    <row r="122">
      <c r="A122" s="28" t="inlineStr">
        <is>
          <t>Hat Maker</t>
        </is>
      </c>
      <c r="B122" s="28" t="inlineStr">
        <is>
          <t>Flower Crown</t>
        </is>
      </c>
      <c r="C122" s="28" t="n">
        <v>86</v>
      </c>
      <c r="D122" s="28" t="n">
        <v>120</v>
      </c>
      <c r="E122" s="28" t="n">
        <v>331</v>
      </c>
      <c r="F122" s="28" t="n">
        <v>40</v>
      </c>
    </row>
    <row r="123">
      <c r="A123" s="28" t="inlineStr">
        <is>
          <t>Honey Extractor</t>
        </is>
      </c>
      <c r="B123" s="28" t="inlineStr">
        <is>
          <t>Honey</t>
        </is>
      </c>
      <c r="C123" s="28" t="n">
        <v>39</v>
      </c>
      <c r="D123" s="28" t="n">
        <v>20</v>
      </c>
      <c r="E123" s="28" t="n">
        <v>154</v>
      </c>
      <c r="F123" s="28" t="n">
        <v>18</v>
      </c>
    </row>
    <row r="124">
      <c r="A124" s="28" t="inlineStr">
        <is>
          <t>Honey Extractor</t>
        </is>
      </c>
      <c r="B124" s="28" t="inlineStr">
        <is>
          <t>Beeswax</t>
        </is>
      </c>
      <c r="C124" s="28" t="n">
        <v>48</v>
      </c>
      <c r="D124" s="28" t="n">
        <v>45</v>
      </c>
      <c r="E124" s="28" t="n">
        <v>234</v>
      </c>
    </row>
    <row r="125">
      <c r="A125" s="28" t="inlineStr">
        <is>
          <t>Hot Dog Stand</t>
        </is>
      </c>
      <c r="B125" s="28" t="inlineStr">
        <is>
          <t>Hot Dog</t>
        </is>
      </c>
      <c r="C125" s="28" t="n">
        <v>75</v>
      </c>
      <c r="D125" s="28" t="n">
        <v>30</v>
      </c>
      <c r="E125" s="28" t="n">
        <v>370</v>
      </c>
    </row>
    <row r="126">
      <c r="A126" s="28" t="inlineStr">
        <is>
          <t>Hot Dog Stand</t>
        </is>
      </c>
      <c r="B126" s="28" t="inlineStr">
        <is>
          <t>Tofu Dog</t>
        </is>
      </c>
      <c r="C126" s="28" t="n">
        <v>76</v>
      </c>
      <c r="D126" s="28" t="n">
        <v>45</v>
      </c>
      <c r="E126" s="28" t="n">
        <v>367</v>
      </c>
    </row>
    <row r="127">
      <c r="A127" s="28" t="inlineStr">
        <is>
          <t>Hot Dog Stand</t>
        </is>
      </c>
      <c r="B127" s="28" t="inlineStr">
        <is>
          <t>Corn Dog</t>
        </is>
      </c>
      <c r="C127" s="28" t="n">
        <v>78</v>
      </c>
      <c r="D127" s="28" t="n">
        <v>60</v>
      </c>
      <c r="E127" s="28" t="n">
        <v>529</v>
      </c>
    </row>
    <row r="128">
      <c r="A128" s="28" t="inlineStr">
        <is>
          <t>Hot Dog Stand</t>
        </is>
      </c>
      <c r="B128" s="28" t="inlineStr">
        <is>
          <t>Onion Dog</t>
        </is>
      </c>
      <c r="C128" s="28" t="n">
        <v>80</v>
      </c>
      <c r="E128" s="28" t="n">
        <v>306</v>
      </c>
    </row>
    <row r="129">
      <c r="A129" s="28" t="inlineStr">
        <is>
          <t>Ice Cream Maker</t>
        </is>
      </c>
      <c r="B129" s="28" t="inlineStr">
        <is>
          <t>Vanilla Ice Cream</t>
        </is>
      </c>
      <c r="C129" s="28" t="n">
        <v>29</v>
      </c>
      <c r="D129" s="28" t="n">
        <v>120</v>
      </c>
      <c r="E129" s="28" t="n">
        <v>172</v>
      </c>
      <c r="F129" s="28" t="n">
        <v>20</v>
      </c>
    </row>
    <row r="130">
      <c r="A130" s="28" t="inlineStr">
        <is>
          <t>Ice Cream Maker</t>
        </is>
      </c>
      <c r="B130" s="28" t="inlineStr">
        <is>
          <t>Cherry Popsicle</t>
        </is>
      </c>
      <c r="C130" s="28" t="n">
        <v>33</v>
      </c>
      <c r="D130" s="28" t="n">
        <v>180</v>
      </c>
      <c r="E130" s="28" t="n">
        <v>352</v>
      </c>
    </row>
    <row r="131">
      <c r="A131" s="28" t="inlineStr">
        <is>
          <t>Ice Cream Maker</t>
        </is>
      </c>
      <c r="B131" s="28" t="inlineStr">
        <is>
          <t>Strawberry Ice Cream</t>
        </is>
      </c>
      <c r="C131" s="28" t="n">
        <v>34</v>
      </c>
      <c r="D131" s="28" t="n">
        <v>240</v>
      </c>
      <c r="E131" s="28" t="n">
        <v>331</v>
      </c>
      <c r="F131" s="28" t="n">
        <v>40</v>
      </c>
    </row>
    <row r="132">
      <c r="A132" s="28" t="inlineStr">
        <is>
          <t>Ice Cream Maker</t>
        </is>
      </c>
      <c r="B132" s="28" t="inlineStr">
        <is>
          <t>Chocolate Ice Cream</t>
        </is>
      </c>
      <c r="C132" s="28" t="n">
        <v>39</v>
      </c>
      <c r="E132" s="28" t="n">
        <v>342</v>
      </c>
    </row>
    <row r="133">
      <c r="A133" s="28" t="inlineStr">
        <is>
          <t>Ice Cream Maker</t>
        </is>
      </c>
      <c r="B133" s="28" t="inlineStr">
        <is>
          <t>Sesame Ice Cream</t>
        </is>
      </c>
      <c r="C133" s="28" t="n">
        <v>50</v>
      </c>
      <c r="D133" s="28" t="n">
        <v>120</v>
      </c>
      <c r="E133" s="28" t="n">
        <v>176</v>
      </c>
    </row>
    <row r="134">
      <c r="A134" s="28" t="inlineStr">
        <is>
          <t>Ice Cream Maker</t>
        </is>
      </c>
      <c r="B134" s="28" t="inlineStr">
        <is>
          <t>Peanut Butter Milkshake</t>
        </is>
      </c>
      <c r="C134" s="28" t="n">
        <v>68</v>
      </c>
      <c r="E134" s="28" t="n">
        <v>619</v>
      </c>
      <c r="F134" s="28" t="n">
        <v>86</v>
      </c>
    </row>
    <row r="135">
      <c r="A135" s="28" t="inlineStr">
        <is>
          <t>Ice Cream Maker</t>
        </is>
      </c>
      <c r="B135" s="28" t="inlineStr">
        <is>
          <t>Orange Sorbet</t>
        </is>
      </c>
      <c r="C135" s="28" t="n">
        <v>78</v>
      </c>
      <c r="E135" s="28" t="n">
        <v>399</v>
      </c>
    </row>
    <row r="136">
      <c r="A136" s="28" t="inlineStr">
        <is>
          <t>Ice Cream Maker</t>
        </is>
      </c>
      <c r="B136" s="28" t="inlineStr">
        <is>
          <t>Affogato</t>
        </is>
      </c>
      <c r="C136" s="28" t="n">
        <v>78</v>
      </c>
      <c r="D136" s="28" t="n">
        <v>20</v>
      </c>
      <c r="E136" s="28" t="n">
        <v>435</v>
      </c>
      <c r="F136" s="28" t="n">
        <v>52</v>
      </c>
    </row>
    <row r="137">
      <c r="A137" s="28" t="inlineStr">
        <is>
          <t>Ice Cream Maker</t>
        </is>
      </c>
      <c r="B137" s="28" t="inlineStr">
        <is>
          <t>Peach Ice Cream</t>
        </is>
      </c>
      <c r="C137" s="28" t="n">
        <v>83</v>
      </c>
      <c r="D137" s="28" t="n">
        <v>180</v>
      </c>
      <c r="E137" s="28" t="n">
        <v>450</v>
      </c>
    </row>
    <row r="138">
      <c r="A138" s="28" t="inlineStr">
        <is>
          <t>Ice Cream Maker</t>
        </is>
      </c>
      <c r="B138" s="28" t="inlineStr">
        <is>
          <t>Mint Ice Cream</t>
        </is>
      </c>
      <c r="C138" s="28" t="n">
        <v>85</v>
      </c>
      <c r="E138" s="28" t="n">
        <v>288</v>
      </c>
    </row>
    <row r="139">
      <c r="A139" s="28" t="inlineStr">
        <is>
          <t>Ice Cream Maker</t>
        </is>
      </c>
      <c r="B139" s="28" t="inlineStr">
        <is>
          <t>Banana Split</t>
        </is>
      </c>
      <c r="C139" s="28" t="n">
        <v>96</v>
      </c>
      <c r="E139" s="28" t="n">
        <v>403</v>
      </c>
    </row>
    <row r="140">
      <c r="A140" s="28" t="inlineStr">
        <is>
          <t>Ice Cream Maker</t>
        </is>
      </c>
      <c r="B140" s="28" t="inlineStr">
        <is>
          <t>Coconut Ice Cream</t>
        </is>
      </c>
      <c r="C140" s="28" t="n">
        <v>102</v>
      </c>
      <c r="D140" s="28" t="n">
        <v>15</v>
      </c>
      <c r="E140" s="28" t="n">
        <v>320</v>
      </c>
      <c r="F140" s="28" t="n">
        <v>38</v>
      </c>
    </row>
    <row r="141">
      <c r="A141" s="28" t="inlineStr">
        <is>
          <t>Ice Cream Maker</t>
        </is>
      </c>
      <c r="B141" s="28" t="inlineStr">
        <is>
          <t>Fruit Sorbet</t>
        </is>
      </c>
      <c r="C141" s="28" t="n">
        <v>106</v>
      </c>
      <c r="D141" s="28" t="n">
        <v>60</v>
      </c>
      <c r="E141" s="28" t="n">
        <v>518</v>
      </c>
    </row>
    <row r="142">
      <c r="A142" s="28" t="inlineStr">
        <is>
          <t>Jam Maker</t>
        </is>
      </c>
      <c r="B142" s="28" t="inlineStr">
        <is>
          <t>Apple Jam</t>
        </is>
      </c>
      <c r="C142" s="28" t="n">
        <v>35</v>
      </c>
      <c r="D142" s="28" t="n">
        <v>360</v>
      </c>
      <c r="E142" s="28" t="n">
        <v>219</v>
      </c>
    </row>
    <row r="143">
      <c r="A143" s="28" t="inlineStr">
        <is>
          <t>Jam Maker</t>
        </is>
      </c>
      <c r="B143" s="28" t="inlineStr">
        <is>
          <t>Raspberry Jam</t>
        </is>
      </c>
      <c r="C143" s="28" t="n">
        <v>36</v>
      </c>
      <c r="D143" s="28" t="n">
        <v>420</v>
      </c>
      <c r="E143" s="28" t="n">
        <v>252</v>
      </c>
    </row>
    <row r="144">
      <c r="A144" s="28" t="inlineStr">
        <is>
          <t>Jam Maker</t>
        </is>
      </c>
      <c r="B144" s="28" t="inlineStr">
        <is>
          <t>Blackberry Jam</t>
        </is>
      </c>
      <c r="C144" s="28" t="n">
        <v>37</v>
      </c>
      <c r="D144" s="28" t="n">
        <v>480</v>
      </c>
      <c r="E144" s="28" t="n">
        <v>388</v>
      </c>
    </row>
    <row r="145">
      <c r="A145" s="28" t="inlineStr">
        <is>
          <t>Jam Maker</t>
        </is>
      </c>
      <c r="B145" s="28" t="inlineStr">
        <is>
          <t>Cherry Jam</t>
        </is>
      </c>
      <c r="C145" s="28" t="n">
        <v>38</v>
      </c>
      <c r="D145" s="28" t="n">
        <v>420</v>
      </c>
      <c r="E145" s="28" t="n">
        <v>334</v>
      </c>
    </row>
    <row r="146">
      <c r="A146" s="28" t="inlineStr">
        <is>
          <t>Jam Maker</t>
        </is>
      </c>
      <c r="B146" s="28" t="inlineStr">
        <is>
          <t>Strawberry Jam</t>
        </is>
      </c>
      <c r="C146" s="28" t="n">
        <v>50</v>
      </c>
      <c r="E146" s="28" t="n">
        <v>270</v>
      </c>
    </row>
    <row r="147">
      <c r="A147" s="28" t="inlineStr">
        <is>
          <t>Jam Maker</t>
        </is>
      </c>
      <c r="B147" s="28" t="inlineStr">
        <is>
          <t>Blueberry Chutney</t>
        </is>
      </c>
      <c r="C147" s="28" t="n">
        <v>70</v>
      </c>
      <c r="D147" s="28" t="n">
        <v>240</v>
      </c>
      <c r="E147" s="28" t="n">
        <v>579</v>
      </c>
    </row>
    <row r="148">
      <c r="A148" s="28" t="inlineStr">
        <is>
          <t>Jam Maker</t>
        </is>
      </c>
      <c r="B148" s="28" t="inlineStr">
        <is>
          <t>Marmalade</t>
        </is>
      </c>
      <c r="C148" s="28" t="n">
        <v>74</v>
      </c>
      <c r="E148" s="28" t="n">
        <v>457</v>
      </c>
    </row>
    <row r="149">
      <c r="A149" s="28" t="inlineStr">
        <is>
          <t>Jam Maker</t>
        </is>
      </c>
      <c r="B149" s="28" t="inlineStr">
        <is>
          <t>Peach Jam</t>
        </is>
      </c>
      <c r="C149" s="28" t="n">
        <v>79</v>
      </c>
      <c r="D149" s="28" t="n">
        <v>480</v>
      </c>
      <c r="E149" s="28" t="n">
        <v>464</v>
      </c>
    </row>
    <row r="150">
      <c r="A150" s="28" t="inlineStr">
        <is>
          <t>Jam Maker</t>
        </is>
      </c>
      <c r="B150" s="28" t="inlineStr">
        <is>
          <t>Grape Jam</t>
        </is>
      </c>
      <c r="C150" s="28" t="n">
        <v>85</v>
      </c>
      <c r="E150" s="28" t="n">
        <v>162</v>
      </c>
    </row>
    <row r="151">
      <c r="A151" s="28" t="inlineStr">
        <is>
          <t>Jam Maker</t>
        </is>
      </c>
      <c r="B151" s="28" t="inlineStr">
        <is>
          <t>Plum Jam</t>
        </is>
      </c>
      <c r="C151" s="28" t="n">
        <v>94</v>
      </c>
      <c r="D151" s="28" t="n">
        <v>300</v>
      </c>
      <c r="E151" s="28" t="n">
        <v>385</v>
      </c>
    </row>
    <row r="152">
      <c r="A152" s="28" t="inlineStr">
        <is>
          <t>Jam Maker</t>
        </is>
      </c>
      <c r="B152" s="28" t="inlineStr">
        <is>
          <t>Passion Fruit Jam</t>
        </is>
      </c>
      <c r="C152" s="28" t="n">
        <v>96</v>
      </c>
      <c r="E152" s="28" t="n">
        <v>118</v>
      </c>
    </row>
    <row r="153">
      <c r="A153" s="28" t="inlineStr">
        <is>
          <t>Jeweler</t>
        </is>
      </c>
      <c r="B153" s="28" t="inlineStr">
        <is>
          <t>Bracelet</t>
        </is>
      </c>
      <c r="C153" s="28" t="n">
        <v>38</v>
      </c>
      <c r="D153" s="28" t="n">
        <v>120</v>
      </c>
      <c r="E153" s="28" t="n">
        <v>514</v>
      </c>
    </row>
    <row r="154">
      <c r="A154" s="28" t="inlineStr">
        <is>
          <t>Jeweler</t>
        </is>
      </c>
      <c r="B154" s="28" t="inlineStr">
        <is>
          <t>Necklace</t>
        </is>
      </c>
      <c r="C154" s="28" t="n">
        <v>39</v>
      </c>
      <c r="D154" s="28" t="n">
        <v>180</v>
      </c>
      <c r="E154" s="28" t="n">
        <v>727</v>
      </c>
    </row>
    <row r="155">
      <c r="A155" s="28" t="inlineStr">
        <is>
          <t>Jeweler</t>
        </is>
      </c>
      <c r="B155" s="28" t="inlineStr">
        <is>
          <t>Diamond Ring</t>
        </is>
      </c>
      <c r="C155" s="28" t="n">
        <v>40</v>
      </c>
      <c r="D155" s="28" t="n">
        <v>240</v>
      </c>
      <c r="E155" s="28" t="n">
        <v>824</v>
      </c>
    </row>
    <row r="156">
      <c r="A156" s="28" t="inlineStr">
        <is>
          <t>Jeweler</t>
        </is>
      </c>
      <c r="B156" s="28" t="inlineStr">
        <is>
          <t>Iron Bracelet</t>
        </is>
      </c>
      <c r="C156" s="28" t="n">
        <v>41</v>
      </c>
      <c r="E156" s="28" t="n">
        <v>658</v>
      </c>
      <c r="F156" s="28" t="n">
        <v>78</v>
      </c>
    </row>
    <row r="157">
      <c r="A157" s="28" t="inlineStr">
        <is>
          <t>Jeweler</t>
        </is>
      </c>
      <c r="B157" s="28" t="inlineStr">
        <is>
          <t>Flower Pendant</t>
        </is>
      </c>
      <c r="C157" s="28" t="n">
        <v>98</v>
      </c>
      <c r="D157" s="28" t="n">
        <v>60</v>
      </c>
      <c r="E157" s="28" t="n">
        <v>698</v>
      </c>
    </row>
    <row r="158">
      <c r="A158" s="28" t="inlineStr">
        <is>
          <t>Juice Press</t>
        </is>
      </c>
      <c r="B158" s="28" t="inlineStr">
        <is>
          <t>Carrot Juice</t>
        </is>
      </c>
      <c r="C158" s="28" t="n">
        <v>26</v>
      </c>
      <c r="D158" s="28" t="n">
        <v>30</v>
      </c>
      <c r="E158" s="28" t="n">
        <v>46</v>
      </c>
    </row>
    <row r="159">
      <c r="A159" s="28" t="inlineStr">
        <is>
          <t>Juice Press</t>
        </is>
      </c>
      <c r="B159" s="28" t="inlineStr">
        <is>
          <t>Apple Juice</t>
        </is>
      </c>
      <c r="C159" s="28" t="n">
        <v>28</v>
      </c>
      <c r="D159" s="28" t="n">
        <v>120</v>
      </c>
      <c r="E159" s="28" t="n">
        <v>111</v>
      </c>
    </row>
    <row r="160">
      <c r="A160" s="28" t="inlineStr">
        <is>
          <t>Juice Press</t>
        </is>
      </c>
      <c r="B160" s="28" t="inlineStr">
        <is>
          <t>Cherry Juice</t>
        </is>
      </c>
      <c r="C160" s="28" t="n">
        <v>30</v>
      </c>
      <c r="E160" s="28" t="n">
        <v>216</v>
      </c>
    </row>
    <row r="161">
      <c r="A161" s="28" t="inlineStr">
        <is>
          <t>Juice Press</t>
        </is>
      </c>
      <c r="B161" s="28" t="inlineStr">
        <is>
          <t>Tomato Juice</t>
        </is>
      </c>
      <c r="C161" s="28" t="n">
        <v>31</v>
      </c>
      <c r="E161" s="28" t="n">
        <v>162</v>
      </c>
    </row>
    <row r="162">
      <c r="A162" s="28" t="inlineStr">
        <is>
          <t>Juice Press</t>
        </is>
      </c>
      <c r="B162" s="28" t="inlineStr">
        <is>
          <t>Berry Juice</t>
        </is>
      </c>
      <c r="C162" s="28" t="n">
        <v>31</v>
      </c>
      <c r="D162" s="28" t="n">
        <v>180</v>
      </c>
      <c r="E162" s="28" t="n">
        <v>205</v>
      </c>
    </row>
    <row r="163">
      <c r="A163" s="28" t="inlineStr">
        <is>
          <t>Juice Press</t>
        </is>
      </c>
      <c r="B163" s="28" t="inlineStr">
        <is>
          <t>Pineapple Juice</t>
        </is>
      </c>
      <c r="C163" s="28" t="n">
        <v>52</v>
      </c>
      <c r="D163" s="28" t="n">
        <v>45</v>
      </c>
      <c r="E163" s="28" t="n">
        <v>68</v>
      </c>
    </row>
    <row r="164">
      <c r="A164" s="28" t="inlineStr">
        <is>
          <t>Juice Press</t>
        </is>
      </c>
      <c r="B164" s="28" t="inlineStr">
        <is>
          <t>Orange Juice</t>
        </is>
      </c>
      <c r="C164" s="28" t="n">
        <v>71</v>
      </c>
      <c r="D164" s="28" t="n">
        <v>120</v>
      </c>
      <c r="E164" s="28" t="n">
        <v>234</v>
      </c>
    </row>
    <row r="165">
      <c r="A165" s="28" t="inlineStr">
        <is>
          <t>Juice Press</t>
        </is>
      </c>
      <c r="B165" s="28" t="inlineStr">
        <is>
          <t>Grape Juice</t>
        </is>
      </c>
      <c r="C165" s="28" t="n">
        <v>84</v>
      </c>
      <c r="E165" s="28" t="n">
        <v>104</v>
      </c>
      <c r="F165" s="28" t="n">
        <v>13</v>
      </c>
    </row>
    <row r="166">
      <c r="A166" s="28" t="inlineStr">
        <is>
          <t>Juice Press</t>
        </is>
      </c>
      <c r="B166" s="28" t="inlineStr">
        <is>
          <t>Passion Fruit Juice</t>
        </is>
      </c>
      <c r="C166" s="28" t="n">
        <v>88</v>
      </c>
      <c r="D166" s="28" t="n">
        <v>45</v>
      </c>
      <c r="E166" s="28" t="n">
        <v>64</v>
      </c>
    </row>
    <row r="167">
      <c r="A167" s="28" t="inlineStr">
        <is>
          <t>Juice Press</t>
        </is>
      </c>
      <c r="B167" s="28" t="inlineStr">
        <is>
          <t>Watermelon Juice</t>
        </is>
      </c>
      <c r="C167" s="28" t="n">
        <v>92</v>
      </c>
      <c r="D167" s="28" t="n">
        <v>60</v>
      </c>
      <c r="E167" s="28" t="n">
        <v>108</v>
      </c>
    </row>
    <row r="168">
      <c r="A168" s="28" t="inlineStr">
        <is>
          <t>Juice Press</t>
        </is>
      </c>
      <c r="B168" s="28" t="inlineStr">
        <is>
          <t>Mango Juice</t>
        </is>
      </c>
      <c r="C168" s="28" t="n">
        <v>97</v>
      </c>
      <c r="D168" s="28" t="n">
        <v>50</v>
      </c>
      <c r="E168" s="28" t="n">
        <v>230</v>
      </c>
      <c r="F168" s="28" t="n">
        <v>27</v>
      </c>
    </row>
    <row r="169">
      <c r="A169" s="28" t="inlineStr">
        <is>
          <t>Juice Press</t>
        </is>
      </c>
      <c r="B169" s="28" t="inlineStr">
        <is>
          <t>Guava Juice</t>
        </is>
      </c>
      <c r="C169" s="28" t="n">
        <v>104</v>
      </c>
      <c r="D169" s="28" t="n">
        <v>55</v>
      </c>
      <c r="E169" s="28" t="n">
        <v>252</v>
      </c>
    </row>
    <row r="170">
      <c r="A170" s="28" t="inlineStr">
        <is>
          <t>Loom</t>
        </is>
      </c>
      <c r="B170" s="28" t="inlineStr">
        <is>
          <t>Sweater</t>
        </is>
      </c>
      <c r="C170" s="28" t="n">
        <v>17</v>
      </c>
      <c r="D170" s="28" t="n">
        <v>120</v>
      </c>
      <c r="E170" s="28" t="n">
        <v>151</v>
      </c>
    </row>
    <row r="171">
      <c r="A171" s="28" t="inlineStr">
        <is>
          <t>Loom</t>
        </is>
      </c>
      <c r="B171" s="28" t="inlineStr">
        <is>
          <t>Cotton Fabric</t>
        </is>
      </c>
      <c r="C171" s="28" t="n">
        <v>18</v>
      </c>
      <c r="D171" s="28" t="n">
        <v>30</v>
      </c>
      <c r="E171" s="28" t="n">
        <v>108</v>
      </c>
    </row>
    <row r="172">
      <c r="A172" s="28" t="inlineStr">
        <is>
          <t>Loom</t>
        </is>
      </c>
      <c r="B172" s="28" t="inlineStr">
        <is>
          <t>Blue Woolly Hat</t>
        </is>
      </c>
      <c r="C172" s="28" t="n">
        <v>19</v>
      </c>
      <c r="D172" s="28" t="n">
        <v>60</v>
      </c>
      <c r="E172" s="28" t="n">
        <v>111</v>
      </c>
    </row>
    <row r="173">
      <c r="A173" s="28" t="inlineStr">
        <is>
          <t>Loom</t>
        </is>
      </c>
      <c r="B173" s="28" t="inlineStr">
        <is>
          <t>Blue Sweater</t>
        </is>
      </c>
      <c r="C173" s="28" t="n">
        <v>20</v>
      </c>
      <c r="D173" s="28" t="n">
        <v>180</v>
      </c>
      <c r="E173" s="28" t="n">
        <v>208</v>
      </c>
    </row>
    <row r="174">
      <c r="A174" s="28" t="inlineStr">
        <is>
          <t>Loom</t>
        </is>
      </c>
      <c r="B174" s="28" t="inlineStr">
        <is>
          <t>Red Scarf</t>
        </is>
      </c>
      <c r="C174" s="28" t="n">
        <v>48</v>
      </c>
      <c r="E174" s="28" t="n">
        <v>288</v>
      </c>
    </row>
    <row r="175">
      <c r="A175" s="28" t="inlineStr">
        <is>
          <t>Loom</t>
        </is>
      </c>
      <c r="B175" s="28" t="inlineStr">
        <is>
          <t>Flower Shawl</t>
        </is>
      </c>
      <c r="C175" s="28" t="n">
        <v>71</v>
      </c>
      <c r="E175" s="28" t="n">
        <v>295</v>
      </c>
    </row>
    <row r="176">
      <c r="A176" s="28" t="inlineStr">
        <is>
          <t>Pasta Kitchen</t>
        </is>
      </c>
      <c r="B176" s="28" t="inlineStr">
        <is>
          <t>Gnocchi</t>
        </is>
      </c>
      <c r="C176" s="28" t="n">
        <v>72</v>
      </c>
      <c r="E176" s="28" t="n">
        <v>475</v>
      </c>
    </row>
    <row r="177">
      <c r="A177" s="28" t="inlineStr">
        <is>
          <t>Pasta Kitchen</t>
        </is>
      </c>
      <c r="B177" s="28" t="inlineStr">
        <is>
          <t>Mussel Linguine</t>
        </is>
      </c>
      <c r="C177" s="28" t="n">
        <v>73</v>
      </c>
      <c r="E177" s="28" t="n">
        <v>583</v>
      </c>
    </row>
    <row r="178">
      <c r="A178" s="28" t="inlineStr">
        <is>
          <t>Pasta Kitchen</t>
        </is>
      </c>
      <c r="B178" s="28" t="inlineStr">
        <is>
          <t>Veggie Lasagna</t>
        </is>
      </c>
      <c r="C178" s="28" t="n">
        <v>74</v>
      </c>
      <c r="E178" s="28" t="n">
        <v>532</v>
      </c>
    </row>
    <row r="179">
      <c r="A179" s="28" t="inlineStr">
        <is>
          <t>Pasta Kitchen</t>
        </is>
      </c>
      <c r="B179" s="28" t="inlineStr">
        <is>
          <t>Lobster Pasta</t>
        </is>
      </c>
      <c r="C179" s="28" t="n">
        <v>79</v>
      </c>
      <c r="D179" s="28" t="n">
        <v>120</v>
      </c>
      <c r="E179" s="28" t="n">
        <v>637</v>
      </c>
    </row>
    <row r="180">
      <c r="A180" s="28" t="inlineStr">
        <is>
          <t>Pasta Kitchen</t>
        </is>
      </c>
      <c r="B180" s="28" t="inlineStr">
        <is>
          <t>Pasta Carbonara</t>
        </is>
      </c>
      <c r="C180" s="28" t="n">
        <v>83</v>
      </c>
      <c r="E180" s="28" t="n">
        <v>410</v>
      </c>
    </row>
    <row r="181">
      <c r="A181" s="28" t="inlineStr">
        <is>
          <t>Pasta Kitchen</t>
        </is>
      </c>
      <c r="B181" s="28" t="inlineStr">
        <is>
          <t>Broccoli Pasta</t>
        </is>
      </c>
      <c r="C181" s="28" t="n">
        <v>83</v>
      </c>
      <c r="D181" s="28" t="n">
        <v>60</v>
      </c>
      <c r="E181" s="28" t="n">
        <v>345</v>
      </c>
    </row>
    <row r="182">
      <c r="A182" s="28" t="inlineStr">
        <is>
          <t>Pasta Kitchen</t>
        </is>
      </c>
      <c r="B182" s="28" t="inlineStr">
        <is>
          <t>Spicy Pasta</t>
        </is>
      </c>
      <c r="C182" s="28" t="n">
        <v>87</v>
      </c>
      <c r="E182" s="28" t="n">
        <v>576</v>
      </c>
    </row>
    <row r="183">
      <c r="A183" s="28" t="inlineStr">
        <is>
          <t>Pasta Kitchen</t>
        </is>
      </c>
      <c r="B183" s="28" t="inlineStr">
        <is>
          <t>Mushroom Pasta</t>
        </is>
      </c>
      <c r="C183" s="28" t="n">
        <v>101</v>
      </c>
      <c r="E183" s="28" t="n">
        <v>280</v>
      </c>
    </row>
    <row r="184">
      <c r="A184" s="28" t="inlineStr">
        <is>
          <t>Pasta Maker</t>
        </is>
      </c>
      <c r="B184" s="28" t="inlineStr">
        <is>
          <t>Fresh Pasta</t>
        </is>
      </c>
      <c r="C184" s="28" t="n">
        <v>67</v>
      </c>
      <c r="D184" s="28" t="n">
        <v>15</v>
      </c>
      <c r="E184" s="28" t="n">
        <v>43</v>
      </c>
    </row>
    <row r="185">
      <c r="A185" s="28" t="inlineStr">
        <is>
          <t>Pasta Maker</t>
        </is>
      </c>
      <c r="B185" s="28" t="inlineStr">
        <is>
          <t>Rice Noodles</t>
        </is>
      </c>
      <c r="C185" s="28" t="n">
        <v>73</v>
      </c>
      <c r="D185" s="28" t="n">
        <v>20</v>
      </c>
      <c r="E185" s="28" t="n">
        <v>100</v>
      </c>
    </row>
    <row r="186">
      <c r="A186" s="28" t="inlineStr">
        <is>
          <t>Pie Oven</t>
        </is>
      </c>
      <c r="B186" s="28" t="inlineStr">
        <is>
          <t>Carrot Pie</t>
        </is>
      </c>
      <c r="C186" s="28" t="n">
        <v>14</v>
      </c>
      <c r="D186" s="28" t="n">
        <v>60</v>
      </c>
      <c r="E186" s="28" t="n">
        <v>82</v>
      </c>
    </row>
    <row r="187">
      <c r="A187" s="28" t="inlineStr">
        <is>
          <t>Pie Oven</t>
        </is>
      </c>
      <c r="B187" s="28" t="inlineStr">
        <is>
          <t>Pumpkin Pie</t>
        </is>
      </c>
      <c r="C187" s="28" t="n">
        <v>15</v>
      </c>
      <c r="E187" s="28" t="n">
        <v>97</v>
      </c>
    </row>
    <row r="188">
      <c r="A188" s="28" t="inlineStr">
        <is>
          <t>Pie Oven</t>
        </is>
      </c>
      <c r="B188" s="28" t="inlineStr">
        <is>
          <t>Bacon Pie</t>
        </is>
      </c>
      <c r="C188" s="28" t="n">
        <v>18</v>
      </c>
      <c r="D188" s="28" t="n">
        <v>180</v>
      </c>
      <c r="E188" s="28" t="n">
        <v>180</v>
      </c>
    </row>
    <row r="189">
      <c r="A189" s="28" t="inlineStr">
        <is>
          <t>Pie Oven</t>
        </is>
      </c>
      <c r="B189" s="28" t="inlineStr">
        <is>
          <t>Apple Pie</t>
        </is>
      </c>
      <c r="C189" s="28" t="n">
        <v>28</v>
      </c>
      <c r="E189" s="28" t="n">
        <v>270</v>
      </c>
    </row>
    <row r="190">
      <c r="A190" s="28" t="inlineStr">
        <is>
          <t>Pie Oven</t>
        </is>
      </c>
      <c r="B190" s="28" t="inlineStr">
        <is>
          <t>Fish Pie</t>
        </is>
      </c>
      <c r="C190" s="28" t="n">
        <v>28</v>
      </c>
      <c r="D190" s="28" t="n">
        <v>120</v>
      </c>
      <c r="E190" s="28" t="n">
        <v>226</v>
      </c>
    </row>
    <row r="191">
      <c r="A191" s="28" t="inlineStr">
        <is>
          <t>Pie Oven</t>
        </is>
      </c>
      <c r="B191" s="28" t="inlineStr">
        <is>
          <t>Feta Pie</t>
        </is>
      </c>
      <c r="C191" s="28" t="n">
        <v>34</v>
      </c>
      <c r="E191" s="28" t="n">
        <v>223</v>
      </c>
      <c r="F191" s="28" t="n">
        <v>26</v>
      </c>
    </row>
    <row r="192">
      <c r="A192" s="28" t="inlineStr">
        <is>
          <t>Pie Oven</t>
        </is>
      </c>
      <c r="B192" s="28" t="inlineStr">
        <is>
          <t>Casserole</t>
        </is>
      </c>
      <c r="C192" s="28" t="n">
        <v>36</v>
      </c>
      <c r="D192" s="28" t="n">
        <v>120</v>
      </c>
      <c r="E192" s="28" t="n">
        <v>367</v>
      </c>
    </row>
    <row r="193">
      <c r="A193" s="28" t="inlineStr">
        <is>
          <t>Pie Oven</t>
        </is>
      </c>
      <c r="B193" s="28" t="inlineStr">
        <is>
          <t>Shepherd's Pie</t>
        </is>
      </c>
      <c r="C193" s="28" t="n">
        <v>39</v>
      </c>
      <c r="E193" s="28" t="n">
        <v>280</v>
      </c>
      <c r="F193" s="28" t="n">
        <v>34</v>
      </c>
    </row>
    <row r="194">
      <c r="A194" s="28" t="inlineStr">
        <is>
          <t>Pie Oven</t>
        </is>
      </c>
      <c r="B194" s="28" t="inlineStr">
        <is>
          <t>Asparagus Quiche</t>
        </is>
      </c>
      <c r="C194" s="28" t="n">
        <v>49</v>
      </c>
      <c r="D194" s="28" t="n">
        <v>120</v>
      </c>
      <c r="E194" s="28" t="n">
        <v>302</v>
      </c>
    </row>
    <row r="195">
      <c r="A195" s="28" t="inlineStr">
        <is>
          <t>Pie Oven</t>
        </is>
      </c>
      <c r="B195" s="28" t="inlineStr">
        <is>
          <t>Chocolate Pie</t>
        </is>
      </c>
      <c r="C195" s="28" t="n">
        <v>65</v>
      </c>
      <c r="E195" s="28" t="n">
        <v>514</v>
      </c>
      <c r="F195" s="28" t="n">
        <v>70</v>
      </c>
    </row>
    <row r="196">
      <c r="A196" s="28" t="inlineStr">
        <is>
          <t>Pie Oven</t>
        </is>
      </c>
      <c r="B196" s="28" t="inlineStr">
        <is>
          <t>Lemon Pie</t>
        </is>
      </c>
      <c r="C196" s="28" t="n">
        <v>67</v>
      </c>
      <c r="E196" s="28" t="n">
        <v>446</v>
      </c>
    </row>
    <row r="197">
      <c r="A197" s="28" t="inlineStr">
        <is>
          <t>Pie Oven</t>
        </is>
      </c>
      <c r="B197" s="28" t="inlineStr">
        <is>
          <t>Peach Tart</t>
        </is>
      </c>
      <c r="C197" s="28" t="n">
        <v>76</v>
      </c>
      <c r="E197" s="28" t="n">
        <v>435</v>
      </c>
    </row>
    <row r="198">
      <c r="A198" s="28" t="inlineStr">
        <is>
          <t>Pie Oven</t>
        </is>
      </c>
      <c r="B198" s="28" t="inlineStr">
        <is>
          <t>Passion Fruit Pie</t>
        </is>
      </c>
      <c r="C198" s="28" t="n">
        <v>92</v>
      </c>
      <c r="D198" s="28" t="n">
        <v>50</v>
      </c>
      <c r="E198" s="28" t="n">
        <v>111</v>
      </c>
    </row>
    <row r="199">
      <c r="A199" s="28" t="inlineStr">
        <is>
          <t>Pie Oven</t>
        </is>
      </c>
      <c r="B199" s="28" t="inlineStr">
        <is>
          <t>Mushroom Pot Pie</t>
        </is>
      </c>
      <c r="C199" s="28" t="n">
        <v>97</v>
      </c>
      <c r="D199" s="28" t="n">
        <v>60</v>
      </c>
      <c r="E199" s="28" t="n">
        <v>162</v>
      </c>
    </row>
    <row r="200">
      <c r="A200" s="28" t="inlineStr">
        <is>
          <t>Pie Oven</t>
        </is>
      </c>
      <c r="B200" s="28" t="inlineStr">
        <is>
          <t>Eggplant Parmesan</t>
        </is>
      </c>
      <c r="C200" s="28" t="n">
        <v>99</v>
      </c>
      <c r="D200" s="28" t="n">
        <v>45</v>
      </c>
      <c r="E200" s="28" t="n">
        <v>442</v>
      </c>
    </row>
    <row r="201">
      <c r="A201" s="28" t="inlineStr">
        <is>
          <t>Popcorn Pot</t>
        </is>
      </c>
      <c r="B201" s="28" t="inlineStr">
        <is>
          <t>Popcorn</t>
        </is>
      </c>
      <c r="C201" s="28" t="n">
        <v>8</v>
      </c>
      <c r="D201" s="28" t="n">
        <v>30</v>
      </c>
      <c r="E201" s="28" t="n">
        <v>32</v>
      </c>
    </row>
    <row r="202">
      <c r="A202" s="28" t="inlineStr">
        <is>
          <t>Popcorn Pot</t>
        </is>
      </c>
      <c r="B202" s="28" t="inlineStr">
        <is>
          <t>Buttered Popcorn</t>
        </is>
      </c>
      <c r="C202" s="28" t="n">
        <v>16</v>
      </c>
      <c r="D202" s="28" t="n">
        <v>60</v>
      </c>
      <c r="E202" s="28" t="n">
        <v>126</v>
      </c>
    </row>
    <row r="203">
      <c r="A203" s="28" t="inlineStr">
        <is>
          <t>Popcorn Pot</t>
        </is>
      </c>
      <c r="B203" s="28" t="inlineStr">
        <is>
          <t>Chili Popcorn</t>
        </is>
      </c>
      <c r="C203" s="28" t="n">
        <v>25</v>
      </c>
      <c r="D203" s="28" t="n">
        <v>120</v>
      </c>
      <c r="E203" s="28" t="n">
        <v>122</v>
      </c>
    </row>
    <row r="204">
      <c r="A204" s="28" t="inlineStr">
        <is>
          <t>Popcorn Pot</t>
        </is>
      </c>
      <c r="B204" s="28" t="inlineStr">
        <is>
          <t>Honey Popcorn</t>
        </is>
      </c>
      <c r="C204" s="28" t="n">
        <v>40</v>
      </c>
      <c r="E204" s="28" t="n">
        <v>360</v>
      </c>
    </row>
    <row r="205">
      <c r="A205" s="28" t="inlineStr">
        <is>
          <t>Popcorn Pot</t>
        </is>
      </c>
      <c r="B205" s="28" t="inlineStr">
        <is>
          <t>Chocolate Popcorn</t>
        </is>
      </c>
      <c r="C205" s="28" t="n">
        <v>44</v>
      </c>
      <c r="E205" s="28" t="n">
        <v>248</v>
      </c>
      <c r="F205" s="28" t="n">
        <v>29</v>
      </c>
    </row>
    <row r="206">
      <c r="A206" s="28" t="inlineStr">
        <is>
          <t>Popcorn Pot</t>
        </is>
      </c>
      <c r="B206" s="28" t="inlineStr">
        <is>
          <t>Snack Mix</t>
        </is>
      </c>
      <c r="C206" s="28" t="n">
        <v>64</v>
      </c>
      <c r="D206" s="28" t="n">
        <v>45</v>
      </c>
      <c r="E206" s="28" t="n">
        <v>309</v>
      </c>
      <c r="F206" s="28" t="n">
        <v>50</v>
      </c>
    </row>
    <row r="207">
      <c r="A207" s="28" t="inlineStr">
        <is>
          <t>Pottery Studio</t>
        </is>
      </c>
      <c r="B207" s="28" t="inlineStr">
        <is>
          <t>Tea Pot</t>
        </is>
      </c>
      <c r="C207" s="28" t="n">
        <v>94</v>
      </c>
      <c r="D207" s="28" t="n">
        <v>240</v>
      </c>
      <c r="E207" s="28" t="n">
        <v>219</v>
      </c>
    </row>
    <row r="208">
      <c r="A208" s="28" t="inlineStr">
        <is>
          <t>Pottery Studio</t>
        </is>
      </c>
      <c r="B208" s="28" t="inlineStr">
        <is>
          <t>Potted Plant</t>
        </is>
      </c>
      <c r="C208" s="28" t="n">
        <v>96</v>
      </c>
      <c r="E208" s="28" t="n">
        <v>151</v>
      </c>
      <c r="F208" s="28" t="n">
        <v>26</v>
      </c>
    </row>
    <row r="209">
      <c r="A209" s="28" t="inlineStr">
        <is>
          <t>Pottery Studio</t>
        </is>
      </c>
      <c r="B209" s="28" t="inlineStr">
        <is>
          <t>Clay Mug</t>
        </is>
      </c>
      <c r="C209" s="28" t="n">
        <v>99</v>
      </c>
      <c r="E209" s="28" t="n">
        <v>212</v>
      </c>
    </row>
    <row r="210">
      <c r="A210" s="28" t="inlineStr">
        <is>
          <t>Preservation Station</t>
        </is>
      </c>
      <c r="B210" s="28" t="inlineStr">
        <is>
          <t>Pickles</t>
        </is>
      </c>
      <c r="C210" s="28" t="n">
        <v>91</v>
      </c>
      <c r="D210" s="28" t="n">
        <v>240</v>
      </c>
      <c r="E210" s="28" t="n">
        <v>270</v>
      </c>
    </row>
    <row r="211">
      <c r="A211" s="28" t="inlineStr">
        <is>
          <t>Preservation Station</t>
        </is>
      </c>
      <c r="B211" s="28" t="inlineStr">
        <is>
          <t>Canned Fish</t>
        </is>
      </c>
      <c r="C211" s="28" t="n">
        <v>95</v>
      </c>
      <c r="E211" s="28" t="n">
        <v>471</v>
      </c>
    </row>
    <row r="212">
      <c r="A212" s="28" t="inlineStr">
        <is>
          <t>Preservation Station</t>
        </is>
      </c>
      <c r="B212" s="28" t="inlineStr">
        <is>
          <t>Kimchi</t>
        </is>
      </c>
      <c r="C212" s="28" t="n">
        <v>98</v>
      </c>
      <c r="D212" s="28" t="n">
        <v>300</v>
      </c>
      <c r="E212" s="28" t="n">
        <v>219</v>
      </c>
    </row>
    <row r="213">
      <c r="A213" s="28" t="inlineStr">
        <is>
          <t>Preservation Station</t>
        </is>
      </c>
      <c r="B213" s="28" t="inlineStr">
        <is>
          <t>Dried Fruit</t>
        </is>
      </c>
      <c r="C213" s="28" t="n">
        <v>102</v>
      </c>
      <c r="D213" s="28" t="n">
        <v>180</v>
      </c>
      <c r="E213" s="28" t="n">
        <v>266</v>
      </c>
    </row>
    <row r="214">
      <c r="A214" s="28" t="inlineStr">
        <is>
          <t>Preservation Station</t>
        </is>
      </c>
      <c r="B214" s="28" t="inlineStr">
        <is>
          <t>Guava Compote</t>
        </is>
      </c>
      <c r="C214" s="28" t="n">
        <v>104</v>
      </c>
      <c r="E214" s="28" t="n">
        <v>421</v>
      </c>
      <c r="F214" s="28" t="n">
        <v>50</v>
      </c>
    </row>
    <row r="215">
      <c r="A215" s="28" t="inlineStr">
        <is>
          <t>Salad Bar</t>
        </is>
      </c>
      <c r="B215" s="28" t="inlineStr">
        <is>
          <t>Feta Salad</t>
        </is>
      </c>
      <c r="C215" s="28" t="n">
        <v>58</v>
      </c>
      <c r="E215" s="28" t="n">
        <v>745</v>
      </c>
    </row>
    <row r="216">
      <c r="A216" s="28" t="inlineStr">
        <is>
          <t>Salad Bar</t>
        </is>
      </c>
      <c r="B216" s="28" t="inlineStr">
        <is>
          <t>Bean Salad</t>
        </is>
      </c>
      <c r="C216" s="28" t="n">
        <v>58</v>
      </c>
      <c r="D216" s="28" t="n">
        <v>60</v>
      </c>
      <c r="E216" s="28" t="n">
        <v>169</v>
      </c>
    </row>
    <row r="217">
      <c r="A217" s="28" t="inlineStr">
        <is>
          <t>Salad Bar</t>
        </is>
      </c>
      <c r="B217" s="28" t="inlineStr">
        <is>
          <t>BLT Salad</t>
        </is>
      </c>
      <c r="C217" s="28" t="n">
        <v>62</v>
      </c>
      <c r="E217" s="28" t="n">
        <v>723</v>
      </c>
    </row>
    <row r="218">
      <c r="A218" s="28" t="inlineStr">
        <is>
          <t>Salad Bar</t>
        </is>
      </c>
      <c r="B218" s="28" t="inlineStr">
        <is>
          <t>Seafood Salad</t>
        </is>
      </c>
      <c r="C218" s="28" t="n">
        <v>64</v>
      </c>
      <c r="D218" s="28" t="n">
        <v>120</v>
      </c>
      <c r="E218" s="28" t="n">
        <v>763</v>
      </c>
    </row>
    <row r="219">
      <c r="A219" s="28" t="inlineStr">
        <is>
          <t>Salad Bar</t>
        </is>
      </c>
      <c r="B219" s="28" t="inlineStr">
        <is>
          <t>Pasta Salad</t>
        </is>
      </c>
      <c r="C219" s="28" t="n">
        <v>67</v>
      </c>
      <c r="E219" s="28" t="n">
        <v>759</v>
      </c>
    </row>
    <row r="220">
      <c r="A220" s="28" t="inlineStr">
        <is>
          <t>Salad Bar</t>
        </is>
      </c>
      <c r="B220" s="28" t="inlineStr">
        <is>
          <t>Veggie Platter</t>
        </is>
      </c>
      <c r="C220" s="28" t="n">
        <v>74</v>
      </c>
      <c r="D220" s="28" t="n">
        <v>120</v>
      </c>
      <c r="E220" s="28" t="n">
        <v>266</v>
      </c>
    </row>
    <row r="221">
      <c r="A221" s="28" t="inlineStr">
        <is>
          <t>Salad Bar</t>
        </is>
      </c>
      <c r="B221" s="28" t="inlineStr">
        <is>
          <t>Coleslaw</t>
        </is>
      </c>
      <c r="C221" s="28" t="n">
        <v>75</v>
      </c>
      <c r="E221" s="28" t="n">
        <v>468</v>
      </c>
    </row>
    <row r="222">
      <c r="A222" s="28" t="inlineStr">
        <is>
          <t>Salad Bar</t>
        </is>
      </c>
      <c r="B222" s="28" t="inlineStr">
        <is>
          <t>Beetroot Salad</t>
        </is>
      </c>
      <c r="C222" s="28" t="n">
        <v>76</v>
      </c>
      <c r="D222" s="28" t="n">
        <v>45</v>
      </c>
      <c r="E222" s="28" t="n">
        <v>234</v>
      </c>
    </row>
    <row r="223">
      <c r="A223" s="28" t="inlineStr">
        <is>
          <t>Salad Bar</t>
        </is>
      </c>
      <c r="B223" s="28" t="inlineStr">
        <is>
          <t>Summer Rolls</t>
        </is>
      </c>
      <c r="C223" s="28" t="n">
        <v>78</v>
      </c>
      <c r="D223" s="28" t="n">
        <v>60</v>
      </c>
      <c r="E223" s="28" t="n">
        <v>316</v>
      </c>
    </row>
    <row r="224">
      <c r="A224" s="28" t="inlineStr">
        <is>
          <t>Salad Bar</t>
        </is>
      </c>
      <c r="B224" s="28" t="inlineStr">
        <is>
          <t>Fruit Salad</t>
        </is>
      </c>
      <c r="C224" s="28" t="n">
        <v>82</v>
      </c>
      <c r="D224" s="28" t="n">
        <v>120</v>
      </c>
      <c r="E224" s="28" t="n">
        <v>597</v>
      </c>
    </row>
    <row r="225">
      <c r="A225" s="28" t="inlineStr">
        <is>
          <t>Salad Bar</t>
        </is>
      </c>
      <c r="B225" s="28" t="inlineStr">
        <is>
          <t>Summer Salad</t>
        </is>
      </c>
      <c r="C225" s="28" t="n">
        <v>84</v>
      </c>
      <c r="D225" s="28" t="n">
        <v>180</v>
      </c>
      <c r="E225" s="28" t="n">
        <v>554</v>
      </c>
    </row>
    <row r="226">
      <c r="A226" s="28" t="inlineStr">
        <is>
          <t>Salad Bar</t>
        </is>
      </c>
      <c r="B226" s="28" t="inlineStr">
        <is>
          <t>Mushroom Salad</t>
        </is>
      </c>
      <c r="C226" s="28" t="n">
        <v>89</v>
      </c>
      <c r="D226" s="28" t="n">
        <v>60</v>
      </c>
      <c r="E226" s="28" t="n">
        <v>216</v>
      </c>
    </row>
    <row r="227">
      <c r="A227" s="28" t="inlineStr">
        <is>
          <t>Salad Bar</t>
        </is>
      </c>
      <c r="B227" s="28" t="inlineStr">
        <is>
          <t>Orange Salad</t>
        </is>
      </c>
      <c r="C227" s="28" t="n">
        <v>117</v>
      </c>
      <c r="D227" s="28" t="n">
        <v>45</v>
      </c>
      <c r="E227" s="28" t="n">
        <v>558</v>
      </c>
    </row>
    <row r="228">
      <c r="A228" s="28" t="inlineStr">
        <is>
          <t>Sandwich Bar</t>
        </is>
      </c>
      <c r="B228" s="28" t="inlineStr">
        <is>
          <t>Veggie Bagel</t>
        </is>
      </c>
      <c r="C228" s="28" t="n">
        <v>61</v>
      </c>
      <c r="D228" s="28" t="n">
        <v>40</v>
      </c>
      <c r="E228" s="28" t="n">
        <v>532</v>
      </c>
    </row>
    <row r="229">
      <c r="A229" s="28" t="inlineStr">
        <is>
          <t>Sandwich Bar</t>
        </is>
      </c>
      <c r="B229" s="28" t="inlineStr">
        <is>
          <t>Bacon Toast</t>
        </is>
      </c>
      <c r="C229" s="28" t="n">
        <v>65</v>
      </c>
      <c r="E229" s="28" t="n">
        <v>648</v>
      </c>
    </row>
    <row r="230">
      <c r="A230" s="28" t="inlineStr">
        <is>
          <t>Sandwich Bar</t>
        </is>
      </c>
      <c r="B230" s="28" t="inlineStr">
        <is>
          <t>Egg Sandwich</t>
        </is>
      </c>
      <c r="C230" s="28" t="n">
        <v>66</v>
      </c>
      <c r="E230" s="28" t="n">
        <v>583</v>
      </c>
    </row>
    <row r="231">
      <c r="A231" s="28" t="inlineStr">
        <is>
          <t>Sandwich Bar</t>
        </is>
      </c>
      <c r="B231" s="28" t="inlineStr">
        <is>
          <t>Honey Toast</t>
        </is>
      </c>
      <c r="C231" s="28" t="n">
        <v>69</v>
      </c>
      <c r="D231" s="28" t="n">
        <v>60</v>
      </c>
      <c r="E231" s="28" t="n">
        <v>255</v>
      </c>
      <c r="F231" s="28" t="n">
        <v>31</v>
      </c>
    </row>
    <row r="232">
      <c r="A232" s="28" t="inlineStr">
        <is>
          <t>Sandwich Bar</t>
        </is>
      </c>
      <c r="B232" s="28" t="inlineStr">
        <is>
          <t>Peanut Butter and Jelly Sandwich</t>
        </is>
      </c>
      <c r="C232" s="28" t="n">
        <v>71</v>
      </c>
      <c r="D232" s="28" t="n">
        <v>25</v>
      </c>
      <c r="E232" s="28" t="n">
        <v>601</v>
      </c>
      <c r="F232" s="28" t="n">
        <v>80</v>
      </c>
    </row>
    <row r="233">
      <c r="A233" s="28" t="inlineStr">
        <is>
          <t>Sandwich Bar</t>
        </is>
      </c>
      <c r="B233" s="28" t="inlineStr">
        <is>
          <t>Cucumber Sandwich</t>
        </is>
      </c>
      <c r="C233" s="28" t="n">
        <v>79</v>
      </c>
      <c r="D233" s="28" t="n">
        <v>35</v>
      </c>
      <c r="E233" s="28" t="n">
        <v>464</v>
      </c>
    </row>
    <row r="234">
      <c r="A234" s="28" t="inlineStr">
        <is>
          <t>Sandwich Bar</t>
        </is>
      </c>
      <c r="B234" s="28" t="inlineStr">
        <is>
          <t>Onion Melt</t>
        </is>
      </c>
      <c r="C234" s="28" t="n">
        <v>84</v>
      </c>
      <c r="E234" s="28" t="n">
        <v>417</v>
      </c>
    </row>
    <row r="235">
      <c r="A235" s="28" t="inlineStr">
        <is>
          <t>Sandwich Bar</t>
        </is>
      </c>
      <c r="B235" s="28" t="inlineStr">
        <is>
          <t>Goat Cheese Toast</t>
        </is>
      </c>
      <c r="C235" s="28" t="n">
        <v>92</v>
      </c>
      <c r="D235" s="28" t="n">
        <v>50</v>
      </c>
      <c r="E235" s="28" t="n">
        <v>302</v>
      </c>
    </row>
    <row r="236">
      <c r="A236" s="28" t="inlineStr">
        <is>
          <t>Sandwich Bar</t>
        </is>
      </c>
      <c r="B236" s="28" t="inlineStr">
        <is>
          <t>Hummus Wrap</t>
        </is>
      </c>
      <c r="C236" s="28" t="n">
        <v>109</v>
      </c>
      <c r="D236" s="28" t="n">
        <v>25</v>
      </c>
      <c r="E236" s="28" t="n">
        <v>374</v>
      </c>
    </row>
    <row r="237">
      <c r="A237" s="28" t="inlineStr">
        <is>
          <t>Sauce Maker</t>
        </is>
      </c>
      <c r="B237" s="28" t="inlineStr">
        <is>
          <t>Soy Sauce</t>
        </is>
      </c>
      <c r="C237" s="28" t="n">
        <v>54</v>
      </c>
      <c r="D237" s="28" t="n">
        <v>180</v>
      </c>
      <c r="E237" s="28" t="n">
        <v>154</v>
      </c>
      <c r="F237" s="28" t="n">
        <v>18</v>
      </c>
    </row>
    <row r="238">
      <c r="A238" s="28" t="inlineStr">
        <is>
          <t>Sauce Maker</t>
        </is>
      </c>
      <c r="B238" s="28" t="inlineStr">
        <is>
          <t>Bean Dip</t>
        </is>
      </c>
      <c r="C238" s="28" t="n">
        <v>54</v>
      </c>
      <c r="D238" s="28" t="n">
        <v>40</v>
      </c>
      <c r="E238" s="28" t="n">
        <v>126</v>
      </c>
    </row>
    <row r="239">
      <c r="A239" s="28" t="inlineStr">
        <is>
          <t>Sauce Maker</t>
        </is>
      </c>
      <c r="B239" s="28" t="inlineStr">
        <is>
          <t>Olive Oil</t>
        </is>
      </c>
      <c r="C239" s="28" t="n">
        <v>60</v>
      </c>
      <c r="D239" s="28" t="n">
        <v>45</v>
      </c>
      <c r="E239" s="28" t="n">
        <v>277</v>
      </c>
    </row>
    <row r="240">
      <c r="A240" s="28" t="inlineStr">
        <is>
          <t>Sauce Maker</t>
        </is>
      </c>
      <c r="B240" s="28" t="inlineStr">
        <is>
          <t>Mayonnaise</t>
        </is>
      </c>
      <c r="C240" s="28" t="n">
        <v>62</v>
      </c>
      <c r="D240" s="28" t="n">
        <v>15</v>
      </c>
      <c r="E240" s="28" t="n">
        <v>367</v>
      </c>
    </row>
    <row r="241">
      <c r="A241" s="28" t="inlineStr">
        <is>
          <t>Sauce Maker</t>
        </is>
      </c>
      <c r="B241" s="28" t="inlineStr">
        <is>
          <t>Lemon Curd</t>
        </is>
      </c>
      <c r="C241" s="28" t="n">
        <v>66</v>
      </c>
      <c r="D241" s="28" t="n">
        <v>25</v>
      </c>
      <c r="E241" s="28" t="n">
        <v>378</v>
      </c>
    </row>
    <row r="242">
      <c r="A242" s="28" t="inlineStr">
        <is>
          <t>Sauce Maker</t>
        </is>
      </c>
      <c r="B242" s="28" t="inlineStr">
        <is>
          <t>Olive Dip</t>
        </is>
      </c>
      <c r="C242" s="28" t="n">
        <v>66</v>
      </c>
      <c r="D242" s="28" t="n">
        <v>45</v>
      </c>
      <c r="E242" s="28" t="n">
        <v>468</v>
      </c>
    </row>
    <row r="243">
      <c r="A243" s="28" t="inlineStr">
        <is>
          <t>Sauce Maker</t>
        </is>
      </c>
      <c r="B243" s="28" t="inlineStr">
        <is>
          <t>Tomato Sauce</t>
        </is>
      </c>
      <c r="C243" s="28" t="n">
        <v>69</v>
      </c>
      <c r="D243" s="28" t="n">
        <v>30</v>
      </c>
      <c r="E243" s="28" t="n">
        <v>230</v>
      </c>
    </row>
    <row r="244">
      <c r="A244" s="28" t="inlineStr">
        <is>
          <t>Sauce Maker</t>
        </is>
      </c>
      <c r="B244" s="28" t="inlineStr">
        <is>
          <t>Salsa</t>
        </is>
      </c>
      <c r="C244" s="28" t="n">
        <v>77</v>
      </c>
      <c r="D244" s="28" t="n">
        <v>20</v>
      </c>
      <c r="E244" s="28" t="n">
        <v>252</v>
      </c>
    </row>
    <row r="245">
      <c r="A245" s="28" t="inlineStr">
        <is>
          <t>Sauce Maker</t>
        </is>
      </c>
      <c r="B245" s="28" t="inlineStr">
        <is>
          <t>Hummus</t>
        </is>
      </c>
      <c r="C245" s="28" t="n">
        <v>95</v>
      </c>
      <c r="D245" s="28" t="n">
        <v>30</v>
      </c>
      <c r="E245" s="28" t="n">
        <v>277</v>
      </c>
    </row>
    <row r="246">
      <c r="A246" s="28" t="inlineStr">
        <is>
          <t>Sauce Maker</t>
        </is>
      </c>
      <c r="B246" s="28" t="inlineStr">
        <is>
          <t>Tart Dressing</t>
        </is>
      </c>
      <c r="C246" s="28" t="n">
        <v>100</v>
      </c>
      <c r="D246" s="28" t="n">
        <v>30</v>
      </c>
      <c r="E246" s="28" t="n">
        <v>288</v>
      </c>
    </row>
    <row r="247">
      <c r="A247" s="28" t="inlineStr">
        <is>
          <t>Sewing Machine</t>
        </is>
      </c>
      <c r="B247" s="28" t="inlineStr">
        <is>
          <t>Cotton Shirt</t>
        </is>
      </c>
      <c r="C247" s="28" t="n">
        <v>19</v>
      </c>
      <c r="D247" s="28" t="n">
        <v>45</v>
      </c>
      <c r="E247" s="28" t="n">
        <v>241</v>
      </c>
    </row>
    <row r="248">
      <c r="A248" s="28" t="inlineStr">
        <is>
          <t>Sewing Machine</t>
        </is>
      </c>
      <c r="B248" s="28" t="inlineStr">
        <is>
          <t>Wooly Chaps</t>
        </is>
      </c>
      <c r="C248" s="28" t="n">
        <v>21</v>
      </c>
      <c r="E248" s="28" t="n">
        <v>309</v>
      </c>
    </row>
    <row r="249">
      <c r="A249" s="28" t="inlineStr">
        <is>
          <t>Sewing Machine</t>
        </is>
      </c>
      <c r="B249" s="28" t="inlineStr">
        <is>
          <t>Violet Dress</t>
        </is>
      </c>
      <c r="C249" s="28" t="n">
        <v>25</v>
      </c>
      <c r="E249" s="28" t="n">
        <v>327</v>
      </c>
    </row>
    <row r="250">
      <c r="A250" s="28" t="inlineStr">
        <is>
          <t>Sewing Machine</t>
        </is>
      </c>
      <c r="B250" s="28" t="inlineStr">
        <is>
          <t>Soothing Pad</t>
        </is>
      </c>
      <c r="C250" s="28" t="n">
        <v>45</v>
      </c>
      <c r="D250" s="28" t="n">
        <v>60</v>
      </c>
      <c r="E250" s="28" t="n">
        <v>324</v>
      </c>
    </row>
    <row r="251">
      <c r="A251" s="28" t="inlineStr">
        <is>
          <t>Sewing Machine</t>
        </is>
      </c>
      <c r="B251" s="28" t="inlineStr">
        <is>
          <t>Pillow</t>
        </is>
      </c>
      <c r="C251" s="28" t="n">
        <v>51</v>
      </c>
      <c r="D251" s="28" t="n">
        <v>180</v>
      </c>
      <c r="E251" s="28" t="n">
        <v>676</v>
      </c>
    </row>
    <row r="252">
      <c r="A252" s="28" t="inlineStr">
        <is>
          <t>Sewing Machine</t>
        </is>
      </c>
      <c r="B252" s="28" t="inlineStr">
        <is>
          <t>Blanket</t>
        </is>
      </c>
      <c r="C252" s="28" t="n">
        <v>59</v>
      </c>
      <c r="E252" s="28" t="n">
        <v>1098</v>
      </c>
    </row>
    <row r="253">
      <c r="A253" s="28" t="inlineStr">
        <is>
          <t>Smelter</t>
        </is>
      </c>
      <c r="B253" s="28" t="inlineStr">
        <is>
          <t>Silver Bar</t>
        </is>
      </c>
      <c r="C253" s="28" t="n">
        <v>24</v>
      </c>
      <c r="D253" s="28" t="n">
        <v>480</v>
      </c>
      <c r="E253" s="28" t="n">
        <v>147</v>
      </c>
    </row>
    <row r="254">
      <c r="A254" s="28" t="inlineStr">
        <is>
          <t>Smelter</t>
        </is>
      </c>
      <c r="B254" s="28" t="inlineStr">
        <is>
          <t>Gold Bar</t>
        </is>
      </c>
      <c r="C254" s="28" t="n">
        <v>25</v>
      </c>
      <c r="D254" s="28" t="n">
        <v>720</v>
      </c>
      <c r="E254" s="28" t="n">
        <v>180</v>
      </c>
    </row>
    <row r="255">
      <c r="A255" s="28" t="inlineStr">
        <is>
          <t>Smelter</t>
        </is>
      </c>
      <c r="B255" s="28" t="inlineStr">
        <is>
          <t>Platinum Bar</t>
        </is>
      </c>
      <c r="C255" s="28" t="n">
        <v>25</v>
      </c>
      <c r="D255" s="28" t="n">
        <v>960</v>
      </c>
      <c r="E255" s="28" t="n">
        <v>205</v>
      </c>
    </row>
    <row r="256">
      <c r="A256" s="28" t="inlineStr">
        <is>
          <t>Smelter</t>
        </is>
      </c>
      <c r="B256" s="28" t="inlineStr">
        <is>
          <t>Refined Coal</t>
        </is>
      </c>
      <c r="C256" s="28" t="n">
        <v>33</v>
      </c>
      <c r="D256" s="28" t="n">
        <v>360</v>
      </c>
      <c r="E256" s="28" t="n">
        <v>108</v>
      </c>
    </row>
    <row r="257">
      <c r="A257" s="28" t="inlineStr">
        <is>
          <t>Smelter</t>
        </is>
      </c>
      <c r="B257" s="28" t="inlineStr">
        <is>
          <t>Iron Bar</t>
        </is>
      </c>
      <c r="C257" s="28" t="n">
        <v>34</v>
      </c>
      <c r="D257" s="28" t="n">
        <v>420</v>
      </c>
      <c r="E257" s="28" t="n">
        <v>129</v>
      </c>
    </row>
    <row r="258">
      <c r="A258" s="28" t="inlineStr">
        <is>
          <t>Smoothie Mixer</t>
        </is>
      </c>
      <c r="B258" s="28" t="inlineStr">
        <is>
          <t>Berry Smoothie</t>
        </is>
      </c>
      <c r="C258" s="28" t="n">
        <v>64</v>
      </c>
      <c r="E258" s="28" t="n">
        <v>547</v>
      </c>
    </row>
    <row r="259">
      <c r="A259" s="28" t="inlineStr">
        <is>
          <t>Smoothie Mixer</t>
        </is>
      </c>
      <c r="B259" s="28" t="inlineStr">
        <is>
          <t>Green Smoothie</t>
        </is>
      </c>
      <c r="C259" s="28" t="n">
        <v>66</v>
      </c>
      <c r="D259" s="28" t="n">
        <v>45</v>
      </c>
      <c r="E259" s="28" t="n">
        <v>320</v>
      </c>
    </row>
    <row r="260">
      <c r="A260" s="28" t="inlineStr">
        <is>
          <t>Smoothie Mixer</t>
        </is>
      </c>
      <c r="B260" s="28" t="inlineStr">
        <is>
          <t>Yogurt Smoothie</t>
        </is>
      </c>
      <c r="C260" s="28" t="n">
        <v>70</v>
      </c>
      <c r="D260" s="28" t="n">
        <v>60</v>
      </c>
      <c r="E260" s="28" t="n">
        <v>349</v>
      </c>
    </row>
    <row r="261">
      <c r="A261" s="28" t="inlineStr">
        <is>
          <t>Smoothie Mixer</t>
        </is>
      </c>
      <c r="B261" s="28" t="inlineStr">
        <is>
          <t>Cucumber Smoothie</t>
        </is>
      </c>
      <c r="C261" s="28" t="n">
        <v>70</v>
      </c>
      <c r="D261" s="28" t="n">
        <v>40</v>
      </c>
      <c r="E261" s="28" t="n">
        <v>266</v>
      </c>
    </row>
    <row r="262">
      <c r="A262" s="28" t="inlineStr">
        <is>
          <t>Smoothie Mixer</t>
        </is>
      </c>
      <c r="B262" s="28" t="inlineStr">
        <is>
          <t>Mixed Smoothie</t>
        </is>
      </c>
      <c r="C262" s="28" t="n">
        <v>88</v>
      </c>
      <c r="D262" s="28" t="n">
        <v>30</v>
      </c>
      <c r="E262" s="28" t="n">
        <v>504</v>
      </c>
    </row>
    <row r="263">
      <c r="A263" s="28" t="inlineStr">
        <is>
          <t>Smoothie Mixer</t>
        </is>
      </c>
      <c r="B263" s="28" t="inlineStr">
        <is>
          <t>Black Sesame Smoothie</t>
        </is>
      </c>
      <c r="C263" s="28" t="n">
        <v>93</v>
      </c>
      <c r="D263" s="28" t="n">
        <v>45</v>
      </c>
      <c r="E263" s="28" t="n">
        <v>313</v>
      </c>
    </row>
    <row r="264">
      <c r="A264" s="28" t="inlineStr">
        <is>
          <t>Smoothie Mixer</t>
        </is>
      </c>
      <c r="B264" s="28" t="inlineStr">
        <is>
          <t>Cocoa Smoothie</t>
        </is>
      </c>
      <c r="C264" s="28" t="n">
        <v>100</v>
      </c>
      <c r="D264" s="28" t="n">
        <v>40</v>
      </c>
      <c r="E264" s="28" t="n">
        <v>511</v>
      </c>
    </row>
    <row r="265">
      <c r="A265" s="28" t="inlineStr">
        <is>
          <t>Smoothie Mixer</t>
        </is>
      </c>
      <c r="B265" s="28" t="inlineStr">
        <is>
          <t>Plum Smoothie</t>
        </is>
      </c>
      <c r="C265" s="28" t="n">
        <v>102</v>
      </c>
      <c r="D265" s="28" t="n">
        <v>35</v>
      </c>
      <c r="E265" s="28" t="n">
        <v>522</v>
      </c>
    </row>
    <row r="266">
      <c r="A266" s="28" t="inlineStr">
        <is>
          <t>Smoothie Mixer</t>
        </is>
      </c>
      <c r="B266" s="28" t="inlineStr">
        <is>
          <t>Tropical Smoothie</t>
        </is>
      </c>
      <c r="C266" s="28" t="n">
        <v>104</v>
      </c>
      <c r="D266" s="28" t="n">
        <v>40</v>
      </c>
      <c r="E266" s="28" t="n">
        <v>457</v>
      </c>
    </row>
    <row r="267">
      <c r="A267" s="28" t="inlineStr">
        <is>
          <t>Soup Kitchen</t>
        </is>
      </c>
      <c r="B267" s="28" t="inlineStr">
        <is>
          <t>Lobster Soup</t>
        </is>
      </c>
      <c r="C267" s="28" t="n">
        <v>46</v>
      </c>
      <c r="E267" s="28" t="n">
        <v>612</v>
      </c>
    </row>
    <row r="268">
      <c r="A268" s="28" t="inlineStr">
        <is>
          <t>Soup Kitchen</t>
        </is>
      </c>
      <c r="B268" s="28" t="inlineStr">
        <is>
          <t>Lamb Soup</t>
        </is>
      </c>
      <c r="C268" s="28" t="n">
        <v>46</v>
      </c>
      <c r="D268" s="28" t="n">
        <v>120</v>
      </c>
      <c r="E268" s="28" t="n">
        <v>180</v>
      </c>
    </row>
    <row r="269">
      <c r="A269" s="28" t="inlineStr">
        <is>
          <t>Soup Kitchen</t>
        </is>
      </c>
      <c r="B269" s="28" t="inlineStr">
        <is>
          <t>Tomato Soup</t>
        </is>
      </c>
      <c r="C269" s="28" t="n">
        <v>47</v>
      </c>
      <c r="E269" s="28" t="n">
        <v>478</v>
      </c>
    </row>
    <row r="270">
      <c r="A270" s="28" t="inlineStr">
        <is>
          <t>Soup Kitchen</t>
        </is>
      </c>
      <c r="B270" s="28" t="inlineStr">
        <is>
          <t>Mussel Chowder</t>
        </is>
      </c>
      <c r="C270" s="28" t="n">
        <v>47</v>
      </c>
      <c r="D270" s="28" t="n">
        <v>180</v>
      </c>
      <c r="E270" s="28" t="n">
        <v>626</v>
      </c>
    </row>
    <row r="271">
      <c r="A271" s="28" t="inlineStr">
        <is>
          <t>Soup Kitchen</t>
        </is>
      </c>
      <c r="B271" s="28" t="inlineStr">
        <is>
          <t>Pumpkin Soup</t>
        </is>
      </c>
      <c r="C271" s="28" t="n">
        <v>49</v>
      </c>
      <c r="D271" s="28" t="n">
        <v>120</v>
      </c>
      <c r="E271" s="28" t="n">
        <v>392</v>
      </c>
    </row>
    <row r="272">
      <c r="A272" s="28" t="inlineStr">
        <is>
          <t>Soup Kitchen</t>
        </is>
      </c>
      <c r="B272" s="28" t="inlineStr">
        <is>
          <t>Asparagus Soup</t>
        </is>
      </c>
      <c r="C272" s="28" t="n">
        <v>51</v>
      </c>
      <c r="D272" s="28" t="n">
        <v>60</v>
      </c>
      <c r="E272" s="28" t="n">
        <v>255</v>
      </c>
    </row>
    <row r="273">
      <c r="A273" s="28" t="inlineStr">
        <is>
          <t>Soup Kitchen</t>
        </is>
      </c>
      <c r="B273" s="28" t="inlineStr">
        <is>
          <t>Fish Soup</t>
        </is>
      </c>
      <c r="C273" s="28" t="n">
        <v>53</v>
      </c>
      <c r="D273" s="28" t="n">
        <v>180</v>
      </c>
      <c r="E273" s="28" t="n">
        <v>298</v>
      </c>
      <c r="F273" s="28" t="n">
        <v>35</v>
      </c>
    </row>
    <row r="274">
      <c r="A274" s="28" t="inlineStr">
        <is>
          <t>Soup Kitchen</t>
        </is>
      </c>
      <c r="B274" s="28" t="inlineStr">
        <is>
          <t>Cabbage Soup</t>
        </is>
      </c>
      <c r="C274" s="28" t="n">
        <v>65</v>
      </c>
      <c r="E274" s="28" t="n">
        <v>270</v>
      </c>
    </row>
    <row r="275">
      <c r="A275" s="28" t="inlineStr">
        <is>
          <t>Soup Kitchen</t>
        </is>
      </c>
      <c r="B275" s="28" t="inlineStr">
        <is>
          <t>Onion Soup</t>
        </is>
      </c>
      <c r="C275" s="28" t="n">
        <v>72</v>
      </c>
      <c r="E275" s="28" t="n">
        <v>327</v>
      </c>
      <c r="F275" s="28" t="n">
        <v>39</v>
      </c>
    </row>
    <row r="276">
      <c r="A276" s="28" t="inlineStr">
        <is>
          <t>Soup Kitchen</t>
        </is>
      </c>
      <c r="B276" s="28" t="inlineStr">
        <is>
          <t>Noodle Soup</t>
        </is>
      </c>
      <c r="C276" s="28" t="n">
        <v>73</v>
      </c>
      <c r="D276" s="28" t="n">
        <v>120</v>
      </c>
      <c r="E276" s="28" t="n">
        <v>432</v>
      </c>
      <c r="F276" s="28" t="n">
        <v>52</v>
      </c>
    </row>
    <row r="277">
      <c r="A277" s="28" t="inlineStr">
        <is>
          <t>Soup Kitchen</t>
        </is>
      </c>
      <c r="B277" s="28" t="inlineStr">
        <is>
          <t>Potato Soup</t>
        </is>
      </c>
      <c r="C277" s="28" t="n">
        <v>78</v>
      </c>
      <c r="E277" s="28" t="n">
        <v>255</v>
      </c>
      <c r="F277" s="28" t="n">
        <v>31</v>
      </c>
    </row>
    <row r="278">
      <c r="A278" s="28" t="inlineStr">
        <is>
          <t>Soup Kitchen</t>
        </is>
      </c>
      <c r="B278" s="28" t="inlineStr">
        <is>
          <t>Bell Pepper Soup</t>
        </is>
      </c>
      <c r="C278" s="28" t="n">
        <v>81</v>
      </c>
      <c r="D278" s="28" t="n">
        <v>60</v>
      </c>
      <c r="E278" s="28" t="n">
        <v>439</v>
      </c>
    </row>
    <row r="279">
      <c r="A279" s="28" t="inlineStr">
        <is>
          <t>Soup Kitchen</t>
        </is>
      </c>
      <c r="B279" s="28" t="inlineStr">
        <is>
          <t>Broccoli Soup</t>
        </is>
      </c>
      <c r="C279" s="28" t="n">
        <v>87</v>
      </c>
      <c r="E279" s="28" t="n">
        <v>237</v>
      </c>
    </row>
    <row r="280">
      <c r="A280" s="28" t="inlineStr">
        <is>
          <t>Soup Kitchen</t>
        </is>
      </c>
      <c r="B280" s="28" t="inlineStr">
        <is>
          <t>Mushroom Soup</t>
        </is>
      </c>
      <c r="C280" s="28" t="n">
        <v>104</v>
      </c>
      <c r="E280" s="28" t="n">
        <v>176</v>
      </c>
    </row>
    <row r="281">
      <c r="A281" s="28" t="inlineStr">
        <is>
          <t>Stew Pot</t>
        </is>
      </c>
      <c r="B281" s="28" t="inlineStr">
        <is>
          <t>Chickpea Stew</t>
        </is>
      </c>
      <c r="C281" s="28" t="n">
        <v>106</v>
      </c>
      <c r="E281" s="28" t="n">
        <v>284</v>
      </c>
    </row>
    <row r="282">
      <c r="A282" s="28" t="inlineStr">
        <is>
          <t>Stew Pot</t>
        </is>
      </c>
      <c r="B282" s="28" t="inlineStr">
        <is>
          <t>Chili Stew</t>
        </is>
      </c>
      <c r="C282" s="28" t="n">
        <v>109</v>
      </c>
      <c r="D282" s="28" t="n">
        <v>120</v>
      </c>
      <c r="E282" s="28" t="n">
        <v>370</v>
      </c>
    </row>
    <row r="283">
      <c r="A283" s="28" t="inlineStr">
        <is>
          <t>Stew Pot</t>
        </is>
      </c>
      <c r="B283" s="28" t="inlineStr">
        <is>
          <t>Winter Stew</t>
        </is>
      </c>
      <c r="C283" s="28" t="n">
        <v>112</v>
      </c>
      <c r="E283" s="28" t="n">
        <v>295</v>
      </c>
    </row>
    <row r="284">
      <c r="A284" s="28" t="inlineStr">
        <is>
          <t>Sugar Mill</t>
        </is>
      </c>
      <c r="B284" s="28" t="inlineStr">
        <is>
          <t>Brown Sugar</t>
        </is>
      </c>
      <c r="C284" s="28" t="n">
        <v>7</v>
      </c>
      <c r="D284" s="28" t="n">
        <v>20</v>
      </c>
      <c r="E284" s="28" t="n">
        <v>32</v>
      </c>
    </row>
    <row r="285">
      <c r="A285" s="28" t="inlineStr">
        <is>
          <t>Sugar Mill</t>
        </is>
      </c>
      <c r="B285" s="28" t="inlineStr">
        <is>
          <t>White Sugar</t>
        </is>
      </c>
      <c r="C285" s="28" t="n">
        <v>13</v>
      </c>
      <c r="D285" s="28" t="n">
        <v>40</v>
      </c>
      <c r="E285" s="28" t="n">
        <v>50</v>
      </c>
    </row>
    <row r="286">
      <c r="A286" s="28" t="inlineStr">
        <is>
          <t>Sugar Mill</t>
        </is>
      </c>
      <c r="B286" s="28" t="inlineStr">
        <is>
          <t>Syrup</t>
        </is>
      </c>
      <c r="C286" s="28" t="n">
        <v>18</v>
      </c>
      <c r="E286" s="28" t="n">
        <v>90</v>
      </c>
    </row>
    <row r="287">
      <c r="A287" s="28" t="inlineStr">
        <is>
          <t>Sushi Bar</t>
        </is>
      </c>
      <c r="B287" s="28" t="inlineStr">
        <is>
          <t>Sushi Roll</t>
        </is>
      </c>
      <c r="C287" s="28" t="n">
        <v>56</v>
      </c>
      <c r="D287" s="28" t="n">
        <v>60</v>
      </c>
      <c r="E287" s="28" t="n">
        <v>489</v>
      </c>
    </row>
    <row r="288">
      <c r="A288" s="28" t="inlineStr">
        <is>
          <t>Sushi Bar</t>
        </is>
      </c>
      <c r="B288" s="28" t="inlineStr">
        <is>
          <t>Mussel Nigiri</t>
        </is>
      </c>
      <c r="C288" s="28" t="n">
        <v>56</v>
      </c>
      <c r="E288" s="28" t="n">
        <v>543</v>
      </c>
    </row>
    <row r="289">
      <c r="A289" s="28" t="inlineStr">
        <is>
          <t>Sushi Bar</t>
        </is>
      </c>
      <c r="B289" s="28" t="inlineStr">
        <is>
          <t>Lobster Sushi</t>
        </is>
      </c>
      <c r="C289" s="28" t="n">
        <v>59</v>
      </c>
      <c r="D289" s="28" t="n">
        <v>60</v>
      </c>
      <c r="E289" s="28" t="n">
        <v>637</v>
      </c>
    </row>
    <row r="290">
      <c r="A290" s="28" t="inlineStr">
        <is>
          <t>Sushi Bar</t>
        </is>
      </c>
      <c r="B290" s="28" t="inlineStr">
        <is>
          <t>Egg Sushi</t>
        </is>
      </c>
      <c r="C290" s="28" t="n">
        <v>63</v>
      </c>
      <c r="D290" s="28" t="n">
        <v>120</v>
      </c>
      <c r="E290" s="28" t="n">
        <v>550</v>
      </c>
    </row>
    <row r="291">
      <c r="A291" s="28" t="inlineStr">
        <is>
          <t>Sushi Bar</t>
        </is>
      </c>
      <c r="B291" s="28" t="inlineStr">
        <is>
          <t>Big Sushi Roll</t>
        </is>
      </c>
      <c r="C291" s="28" t="n">
        <v>76</v>
      </c>
      <c r="E291" s="28" t="n">
        <v>648</v>
      </c>
    </row>
    <row r="292">
      <c r="A292" s="28" t="inlineStr">
        <is>
          <t>Sushi Bar</t>
        </is>
      </c>
      <c r="B292" s="28" t="inlineStr">
        <is>
          <t>Rice Ball</t>
        </is>
      </c>
      <c r="C292" s="28" t="n">
        <v>110</v>
      </c>
      <c r="D292" s="28" t="n">
        <v>45</v>
      </c>
      <c r="E292" s="28" t="n">
        <v>464</v>
      </c>
    </row>
    <row r="293">
      <c r="A293" s="28" t="inlineStr">
        <is>
          <t>Taco Kitchen</t>
        </is>
      </c>
      <c r="B293" s="28" t="inlineStr">
        <is>
          <t>Taco</t>
        </is>
      </c>
      <c r="C293" s="28" t="n">
        <v>77</v>
      </c>
      <c r="D293" s="28" t="n">
        <v>45</v>
      </c>
      <c r="E293" s="28" t="n">
        <v>331</v>
      </c>
    </row>
    <row r="294">
      <c r="A294" s="28" t="inlineStr">
        <is>
          <t>Taco Kitchen</t>
        </is>
      </c>
      <c r="B294" s="28" t="inlineStr">
        <is>
          <t>Spicy Bean Taco</t>
        </is>
      </c>
      <c r="C294" s="28" t="n">
        <v>77</v>
      </c>
      <c r="D294" s="28" t="n">
        <v>120</v>
      </c>
      <c r="E294" s="28" t="n">
        <v>453</v>
      </c>
    </row>
    <row r="295">
      <c r="A295" s="28" t="inlineStr">
        <is>
          <t>Taco Kitchen</t>
        </is>
      </c>
      <c r="B295" s="28" t="inlineStr">
        <is>
          <t>Fish Taco</t>
        </is>
      </c>
      <c r="C295" s="28" t="n">
        <v>79</v>
      </c>
      <c r="E295" s="28" t="n">
        <v>392</v>
      </c>
    </row>
    <row r="296">
      <c r="A296" s="28" t="inlineStr">
        <is>
          <t>Taco Kitchen</t>
        </is>
      </c>
      <c r="B296" s="28" t="inlineStr">
        <is>
          <t>Quesadilla</t>
        </is>
      </c>
      <c r="C296" s="28" t="n">
        <v>82</v>
      </c>
      <c r="D296" s="28" t="n">
        <v>60</v>
      </c>
      <c r="E296" s="28" t="n">
        <v>241</v>
      </c>
    </row>
    <row r="297">
      <c r="A297" s="28" t="inlineStr">
        <is>
          <t>Taco Kitchen</t>
        </is>
      </c>
      <c r="B297" s="28" t="inlineStr">
        <is>
          <t>Nachos</t>
        </is>
      </c>
      <c r="C297" s="28" t="n">
        <v>87</v>
      </c>
      <c r="E297" s="28" t="n">
        <v>432</v>
      </c>
      <c r="F297" s="28" t="n">
        <v>52</v>
      </c>
    </row>
    <row r="298">
      <c r="A298" s="28" t="inlineStr">
        <is>
          <t>Tea Stand</t>
        </is>
      </c>
      <c r="B298" s="28" t="inlineStr">
        <is>
          <t>Green Tea</t>
        </is>
      </c>
      <c r="C298" s="28" t="n">
        <v>80</v>
      </c>
      <c r="D298" s="28" t="n">
        <v>30</v>
      </c>
      <c r="E298" s="28" t="n">
        <v>241</v>
      </c>
    </row>
    <row r="299">
      <c r="A299" s="28" t="inlineStr">
        <is>
          <t>Tea Stand</t>
        </is>
      </c>
      <c r="B299" s="28" t="inlineStr">
        <is>
          <t>Milk Tea</t>
        </is>
      </c>
      <c r="C299" s="28" t="n">
        <v>81</v>
      </c>
      <c r="D299" s="28" t="n">
        <v>45</v>
      </c>
      <c r="E299" s="28" t="n">
        <v>190</v>
      </c>
    </row>
    <row r="300">
      <c r="A300" s="28" t="inlineStr">
        <is>
          <t>Tea Stand</t>
        </is>
      </c>
      <c r="B300" s="28" t="inlineStr">
        <is>
          <t>Honey Tea</t>
        </is>
      </c>
      <c r="C300" s="28" t="n">
        <v>83</v>
      </c>
      <c r="D300" s="28" t="n">
        <v>40</v>
      </c>
      <c r="E300" s="28" t="n">
        <v>313</v>
      </c>
    </row>
    <row r="301">
      <c r="A301" s="28" t="inlineStr">
        <is>
          <t>Tea Stand</t>
        </is>
      </c>
      <c r="B301" s="28" t="inlineStr">
        <is>
          <t>Lemon Tea</t>
        </is>
      </c>
      <c r="C301" s="28" t="n">
        <v>86</v>
      </c>
      <c r="D301" s="28" t="n">
        <v>20</v>
      </c>
      <c r="E301" s="28" t="n">
        <v>241</v>
      </c>
    </row>
    <row r="302">
      <c r="A302" s="28" t="inlineStr">
        <is>
          <t>Tea Stand</t>
        </is>
      </c>
      <c r="B302" s="28" t="inlineStr">
        <is>
          <t>Apple Ginger Tea</t>
        </is>
      </c>
      <c r="C302" s="28" t="n">
        <v>88</v>
      </c>
      <c r="D302" s="28" t="n">
        <v>30</v>
      </c>
      <c r="E302" s="28" t="n">
        <v>169</v>
      </c>
    </row>
    <row r="303">
      <c r="A303" s="28" t="inlineStr">
        <is>
          <t>Tea Stand</t>
        </is>
      </c>
      <c r="B303" s="28" t="inlineStr">
        <is>
          <t>Orange Tea</t>
        </is>
      </c>
      <c r="C303" s="28" t="n">
        <v>89</v>
      </c>
      <c r="D303" s="28" t="n">
        <v>40</v>
      </c>
      <c r="E303" s="28" t="n">
        <v>255</v>
      </c>
    </row>
    <row r="304">
      <c r="A304" s="28" t="inlineStr">
        <is>
          <t>Tea Stand</t>
        </is>
      </c>
      <c r="B304" s="28" t="inlineStr">
        <is>
          <t>Iced Tea</t>
        </is>
      </c>
      <c r="C304" s="28" t="n">
        <v>92</v>
      </c>
      <c r="D304" s="28" t="n">
        <v>30</v>
      </c>
      <c r="E304" s="28" t="n">
        <v>252</v>
      </c>
    </row>
    <row r="305">
      <c r="A305" s="28" t="inlineStr">
        <is>
          <t>Tea Stand</t>
        </is>
      </c>
      <c r="B305" s="28" t="inlineStr">
        <is>
          <t>Mint Tea</t>
        </is>
      </c>
      <c r="C305" s="28" t="n">
        <v>97</v>
      </c>
      <c r="D305" s="28" t="n">
        <v>35</v>
      </c>
      <c r="E305" s="28" t="n">
        <v>255</v>
      </c>
      <c r="F305" s="28" t="n">
        <v>31</v>
      </c>
    </row>
    <row r="306">
      <c r="A306" s="28" t="inlineStr">
        <is>
          <t>Tea Stand</t>
        </is>
      </c>
      <c r="B306" s="28" t="inlineStr">
        <is>
          <t>Chamomile Tea</t>
        </is>
      </c>
      <c r="C306" s="28" t="n">
        <v>100</v>
      </c>
      <c r="D306" s="28" t="n">
        <v>20</v>
      </c>
      <c r="E306" s="28" t="n">
        <v>144</v>
      </c>
    </row>
    <row r="307">
      <c r="A307" s="28" t="inlineStr">
        <is>
          <t>Tea Stand</t>
        </is>
      </c>
      <c r="B307" s="28" t="inlineStr">
        <is>
          <t>Pomegranate Tea</t>
        </is>
      </c>
      <c r="C307" s="28" t="n">
        <v>107</v>
      </c>
      <c r="D307" s="28" t="n">
        <v>34</v>
      </c>
      <c r="E307" s="28" t="n">
        <v>313</v>
      </c>
    </row>
    <row r="308">
      <c r="A308" s="28" t="inlineStr">
        <is>
          <t>Wok Kitchen</t>
        </is>
      </c>
      <c r="B308" s="28" t="inlineStr">
        <is>
          <t>Fried Rice</t>
        </is>
      </c>
      <c r="C308" s="28" t="n">
        <v>69</v>
      </c>
      <c r="D308" s="28" t="n">
        <v>60</v>
      </c>
      <c r="E308" s="28" t="n">
        <v>205</v>
      </c>
    </row>
    <row r="309">
      <c r="A309" s="28" t="inlineStr">
        <is>
          <t>Wok Kitchen</t>
        </is>
      </c>
      <c r="B309" s="28" t="inlineStr">
        <is>
          <t>Lamb Stir Fry</t>
        </is>
      </c>
      <c r="C309" s="28" t="n">
        <v>69</v>
      </c>
      <c r="D309" s="28" t="n">
        <v>120</v>
      </c>
      <c r="E309" s="28" t="n">
        <v>270</v>
      </c>
    </row>
    <row r="310">
      <c r="A310" s="28" t="inlineStr">
        <is>
          <t>Wok Kitchen</t>
        </is>
      </c>
      <c r="B310" s="28" t="inlineStr">
        <is>
          <t>Spicy Fish</t>
        </is>
      </c>
      <c r="C310" s="28" t="n">
        <v>79</v>
      </c>
      <c r="E310" s="28" t="n">
        <v>543</v>
      </c>
    </row>
    <row r="311">
      <c r="A311" s="28" t="inlineStr">
        <is>
          <t>Wok Kitchen</t>
        </is>
      </c>
      <c r="B311" s="28" t="inlineStr">
        <is>
          <t>Peanut Noodles</t>
        </is>
      </c>
      <c r="C311" s="28" t="n">
        <v>86</v>
      </c>
      <c r="D311" s="28" t="n">
        <v>45</v>
      </c>
      <c r="E311" s="28" t="n">
        <v>597</v>
      </c>
      <c r="F311" s="28" t="n">
        <v>80</v>
      </c>
    </row>
    <row r="312">
      <c r="A312" s="28" t="inlineStr">
        <is>
          <t>Wok Kitchen</t>
        </is>
      </c>
      <c r="B312" s="28" t="inlineStr">
        <is>
          <t>Tofu Stir Fry</t>
        </is>
      </c>
      <c r="C312" s="28" t="n">
        <v>89</v>
      </c>
      <c r="E312" s="28" t="n">
        <v>306</v>
      </c>
      <c r="F312" s="28" t="n">
        <v>37</v>
      </c>
    </row>
    <row r="313">
      <c r="A313" s="28" t="inlineStr">
        <is>
          <t>Yogurt Maker</t>
        </is>
      </c>
      <c r="B313" s="28" t="inlineStr">
        <is>
          <t>Plain Yogurt</t>
        </is>
      </c>
      <c r="C313" s="28" t="n">
        <v>103</v>
      </c>
      <c r="E313" s="28" t="n">
        <v>234</v>
      </c>
    </row>
    <row r="314">
      <c r="A314" s="28" t="inlineStr">
        <is>
          <t>Yogurt Maker</t>
        </is>
      </c>
      <c r="B314" s="28" t="inlineStr">
        <is>
          <t>Strawberry Yogurt</t>
        </is>
      </c>
      <c r="C314" s="28" t="n">
        <v>105</v>
      </c>
      <c r="E314" s="28" t="n">
        <v>529</v>
      </c>
    </row>
    <row r="315">
      <c r="A315" s="28" t="inlineStr">
        <is>
          <t>Yogurt Maker</t>
        </is>
      </c>
      <c r="B315" s="28" t="inlineStr">
        <is>
          <t>Tropical Yogurt</t>
        </is>
      </c>
      <c r="C315" s="28" t="n">
        <v>109</v>
      </c>
      <c r="E315" s="28" t="n">
        <v>457</v>
      </c>
    </row>
    <row r="316">
      <c r="A316" s="28" t="inlineStr">
        <is>
          <t>Yogurt Maker</t>
        </is>
      </c>
      <c r="B316" s="28" t="inlineStr">
        <is>
          <t>Breakfast Bowl</t>
        </is>
      </c>
      <c r="C316" s="28" t="n">
        <v>119</v>
      </c>
      <c r="E316" s="28" t="n">
        <v>604</v>
      </c>
    </row>
  </sheetData>
  <autoFilter ref="A1:F3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97"/>
  <sheetViews>
    <sheetView workbookViewId="0">
      <pane ySplit="1" topLeftCell="A2" activePane="bottomLeft" state="frozen"/>
      <selection pane="bottomLeft" activeCell="A1" sqref="A1"/>
    </sheetView>
  </sheetViews>
  <sheetFormatPr baseColWidth="8" defaultRowHeight="15"/>
  <cols>
    <col width="23" customWidth="1" style="29" min="1" max="1"/>
    <col width="19" customWidth="1" style="29" min="2" max="2"/>
    <col width="10" customWidth="1" style="29" min="3" max="3"/>
    <col width="36" customWidth="1" style="29" min="4" max="4"/>
    <col width="45" customWidth="1" style="29" min="5" max="5"/>
  </cols>
  <sheetData>
    <row r="1">
      <c r="A1" s="48" t="inlineStr">
        <is>
          <t>Product</t>
        </is>
      </c>
      <c r="B1" s="48" t="inlineStr">
        <is>
          <t>Ingredient</t>
        </is>
      </c>
      <c r="C1" s="48" t="inlineStr">
        <is>
          <t>Qty</t>
        </is>
      </c>
      <c r="D1" s="48" t="inlineStr">
        <is>
          <t>Source</t>
        </is>
      </c>
      <c r="E1" s="48" t="inlineStr">
        <is>
          <t>Fandom page</t>
        </is>
      </c>
    </row>
    <row r="2">
      <c r="A2" s="28" t="inlineStr">
        <is>
          <t>Affogato</t>
        </is>
      </c>
      <c r="B2" s="28" t="inlineStr">
        <is>
          <t>Vanilla Ice Cream</t>
        </is>
      </c>
      <c r="C2" s="28" t="n">
        <v>1</v>
      </c>
      <c r="D2" s="28" t="inlineStr">
        <is>
          <t>Fandom product page (Making table)</t>
        </is>
      </c>
      <c r="E2" s="28" t="inlineStr">
        <is>
          <t>https://hayday.fandom.com/wiki/Affogato</t>
        </is>
      </c>
    </row>
    <row r="3">
      <c r="A3" s="28" t="inlineStr">
        <is>
          <t>Affogato</t>
        </is>
      </c>
      <c r="B3" s="28" t="inlineStr">
        <is>
          <t>Espresso</t>
        </is>
      </c>
      <c r="C3" s="28" t="n">
        <v>1</v>
      </c>
      <c r="D3" s="28" t="inlineStr">
        <is>
          <t>Fandom product page (Making table)</t>
        </is>
      </c>
      <c r="E3" s="28" t="inlineStr">
        <is>
          <t>https://hayday.fandom.com/wiki/Affogato</t>
        </is>
      </c>
    </row>
    <row r="4">
      <c r="A4" s="28" t="inlineStr">
        <is>
          <t>Apple Ginger Tea</t>
        </is>
      </c>
      <c r="B4" s="28" t="inlineStr">
        <is>
          <t>Ginger</t>
        </is>
      </c>
      <c r="C4" s="28" t="n">
        <v>1</v>
      </c>
      <c r="D4" s="28" t="inlineStr">
        <is>
          <t>Fandom product page (Making table)</t>
        </is>
      </c>
      <c r="E4" s="28" t="inlineStr">
        <is>
          <t>https://hayday.fandom.com/wiki/Apple_Ginger_Tea</t>
        </is>
      </c>
    </row>
    <row r="5">
      <c r="A5" s="28" t="inlineStr">
        <is>
          <t>Apple Ginger Tea</t>
        </is>
      </c>
      <c r="B5" s="28" t="inlineStr">
        <is>
          <t>Apple</t>
        </is>
      </c>
      <c r="C5" s="28" t="n">
        <v>2</v>
      </c>
      <c r="D5" s="28" t="inlineStr">
        <is>
          <t>Fandom product page (Making table)</t>
        </is>
      </c>
      <c r="E5" s="28" t="inlineStr">
        <is>
          <t>https://hayday.fandom.com/wiki/Apple_Ginger_Tea</t>
        </is>
      </c>
    </row>
    <row r="6">
      <c r="A6" s="28" t="inlineStr">
        <is>
          <t>Apple Ginger Tea</t>
        </is>
      </c>
      <c r="B6" s="28" t="inlineStr">
        <is>
          <t>Tea Leaf</t>
        </is>
      </c>
      <c r="C6" s="28" t="n">
        <v>1</v>
      </c>
      <c r="D6" s="28" t="inlineStr">
        <is>
          <t>Fandom product page (Making table)</t>
        </is>
      </c>
      <c r="E6" s="28" t="inlineStr">
        <is>
          <t>https://hayday.fandom.com/wiki/Apple_Ginger_Tea</t>
        </is>
      </c>
    </row>
    <row r="7">
      <c r="A7" s="28" t="inlineStr">
        <is>
          <t>Apple Jam</t>
        </is>
      </c>
      <c r="B7" s="28" t="inlineStr">
        <is>
          <t>Apple</t>
        </is>
      </c>
      <c r="C7" s="28" t="n">
        <v>3</v>
      </c>
      <c r="D7" s="28" t="inlineStr">
        <is>
          <t>Fandom product page (Making table)</t>
        </is>
      </c>
      <c r="E7" s="28" t="inlineStr">
        <is>
          <t>https://hayday.fandom.com/wiki/Apple_Jam</t>
        </is>
      </c>
    </row>
    <row r="8">
      <c r="A8" s="28" t="inlineStr">
        <is>
          <t>Apple Juice</t>
        </is>
      </c>
      <c r="B8" s="28" t="inlineStr">
        <is>
          <t>Apple</t>
        </is>
      </c>
      <c r="C8" s="28" t="n">
        <v>2</v>
      </c>
      <c r="D8" s="28" t="inlineStr">
        <is>
          <t>Fandom product page (Making table)</t>
        </is>
      </c>
      <c r="E8" s="28" t="inlineStr">
        <is>
          <t>https://hayday.fandom.com/wiki/Apple_Juice</t>
        </is>
      </c>
    </row>
    <row r="9">
      <c r="A9" s="28" t="inlineStr">
        <is>
          <t>Apple Pie</t>
        </is>
      </c>
      <c r="B9" s="28" t="inlineStr">
        <is>
          <t>Apple</t>
        </is>
      </c>
      <c r="C9" s="28" t="n">
        <v>3</v>
      </c>
      <c r="D9" s="28" t="inlineStr">
        <is>
          <t>Fandom product page (Making table)</t>
        </is>
      </c>
      <c r="E9" s="28" t="inlineStr">
        <is>
          <t>https://hayday.fandom.com/wiki/Apple_Pie</t>
        </is>
      </c>
    </row>
    <row r="10">
      <c r="A10" s="28" t="inlineStr">
        <is>
          <t>Apple Pie</t>
        </is>
      </c>
      <c r="B10" s="28" t="inlineStr">
        <is>
          <t>Wheat</t>
        </is>
      </c>
      <c r="C10" s="28" t="n">
        <v>2</v>
      </c>
      <c r="D10" s="28" t="inlineStr">
        <is>
          <t>Fandom product page (Making table)</t>
        </is>
      </c>
      <c r="E10" s="28" t="inlineStr">
        <is>
          <t>https://hayday.fandom.com/wiki/Apple_Pie</t>
        </is>
      </c>
    </row>
    <row r="11">
      <c r="A11" s="28" t="inlineStr">
        <is>
          <t>Apple Pie</t>
        </is>
      </c>
      <c r="B11" s="28" t="inlineStr">
        <is>
          <t>Egg</t>
        </is>
      </c>
      <c r="C11" s="28" t="n">
        <v>1</v>
      </c>
      <c r="D11" s="28" t="inlineStr">
        <is>
          <t>Fandom product page (Making table)</t>
        </is>
      </c>
      <c r="E11" s="28" t="inlineStr">
        <is>
          <t>https://hayday.fandom.com/wiki/Apple_Pie</t>
        </is>
      </c>
    </row>
    <row r="12">
      <c r="A12" s="28" t="inlineStr">
        <is>
          <t>Apple Pie</t>
        </is>
      </c>
      <c r="B12" s="28" t="inlineStr">
        <is>
          <t>Syrup</t>
        </is>
      </c>
      <c r="C12" s="28" t="n">
        <v>1</v>
      </c>
      <c r="D12" s="28" t="inlineStr">
        <is>
          <t>Fandom product page (Making table)</t>
        </is>
      </c>
      <c r="E12" s="28" t="inlineStr">
        <is>
          <t>https://hayday.fandom.com/wiki/Apple_Pie</t>
        </is>
      </c>
    </row>
    <row r="13">
      <c r="A13" s="28" t="inlineStr">
        <is>
          <t>Asparagus Quiche</t>
        </is>
      </c>
      <c r="B13" s="28" t="inlineStr">
        <is>
          <t>Asparagus</t>
        </is>
      </c>
      <c r="C13" s="28" t="n">
        <v>2</v>
      </c>
      <c r="D13" s="28" t="inlineStr">
        <is>
          <t>Fandom product page (Making table)</t>
        </is>
      </c>
      <c r="E13" s="28" t="inlineStr">
        <is>
          <t>https://hayday.fandom.com/wiki/Asparagus_Quiche</t>
        </is>
      </c>
    </row>
    <row r="14">
      <c r="A14" s="28" t="inlineStr">
        <is>
          <t>Asparagus Quiche</t>
        </is>
      </c>
      <c r="B14" s="28" t="inlineStr">
        <is>
          <t>Egg</t>
        </is>
      </c>
      <c r="C14" s="28" t="n">
        <v>2</v>
      </c>
      <c r="D14" s="28" t="inlineStr">
        <is>
          <t>Fandom product page (Making table)</t>
        </is>
      </c>
      <c r="E14" s="28" t="inlineStr">
        <is>
          <t>https://hayday.fandom.com/wiki/Asparagus_Quiche</t>
        </is>
      </c>
    </row>
    <row r="15">
      <c r="A15" s="28" t="inlineStr">
        <is>
          <t>Asparagus Quiche</t>
        </is>
      </c>
      <c r="B15" s="28" t="inlineStr">
        <is>
          <t>Cheese</t>
        </is>
      </c>
      <c r="C15" s="28" t="n">
        <v>1</v>
      </c>
      <c r="D15" s="28" t="inlineStr">
        <is>
          <t>Fandom product page (Making table)</t>
        </is>
      </c>
      <c r="E15" s="28" t="inlineStr">
        <is>
          <t>https://hayday.fandom.com/wiki/Asparagus_Quiche</t>
        </is>
      </c>
    </row>
    <row r="16">
      <c r="A16" s="28" t="inlineStr">
        <is>
          <t>Asparagus Quiche</t>
        </is>
      </c>
      <c r="B16" s="28" t="inlineStr">
        <is>
          <t>Wheat</t>
        </is>
      </c>
      <c r="C16" s="28" t="n">
        <v>4</v>
      </c>
      <c r="D16" s="28" t="inlineStr">
        <is>
          <t>Fandom product page (Making table)</t>
        </is>
      </c>
      <c r="E16" s="28" t="inlineStr">
        <is>
          <t>https://hayday.fandom.com/wiki/Asparagus_Quiche</t>
        </is>
      </c>
    </row>
    <row r="17">
      <c r="A17" s="28" t="inlineStr">
        <is>
          <t>Asparagus Soup</t>
        </is>
      </c>
      <c r="B17" s="28" t="inlineStr">
        <is>
          <t>Asparagus</t>
        </is>
      </c>
      <c r="C17" s="28" t="n">
        <v>3</v>
      </c>
      <c r="D17" s="28" t="inlineStr">
        <is>
          <t>Fandom product page (Making table)</t>
        </is>
      </c>
      <c r="E17" s="28" t="inlineStr">
        <is>
          <t>https://hayday.fandom.com/wiki/Asparagus_Soup</t>
        </is>
      </c>
    </row>
    <row r="18">
      <c r="A18" s="28" t="inlineStr">
        <is>
          <t>Asparagus Soup</t>
        </is>
      </c>
      <c r="B18" s="28" t="inlineStr">
        <is>
          <t>Cream</t>
        </is>
      </c>
      <c r="C18" s="28" t="n">
        <v>2</v>
      </c>
      <c r="D18" s="28" t="inlineStr">
        <is>
          <t>Fandom product page (Making table)</t>
        </is>
      </c>
      <c r="E18" s="28" t="inlineStr">
        <is>
          <t>https://hayday.fandom.com/wiki/Asparagus_Soup</t>
        </is>
      </c>
    </row>
    <row r="19">
      <c r="A19" s="28" t="inlineStr">
        <is>
          <t>BLT Salad</t>
        </is>
      </c>
      <c r="B19" s="28" t="inlineStr">
        <is>
          <t>Lettuce</t>
        </is>
      </c>
      <c r="C19" s="28" t="n">
        <v>3</v>
      </c>
      <c r="D19" s="28" t="inlineStr">
        <is>
          <t>Fandom product page (Making table)</t>
        </is>
      </c>
      <c r="E19" s="28" t="inlineStr">
        <is>
          <t>https://hayday.fandom.com/wiki/BLT_Salad</t>
        </is>
      </c>
    </row>
    <row r="20">
      <c r="A20" s="28" t="inlineStr">
        <is>
          <t>BLT Salad</t>
        </is>
      </c>
      <c r="B20" s="28" t="inlineStr">
        <is>
          <t>Roasted Tomatoes</t>
        </is>
      </c>
      <c r="C20" s="28" t="n">
        <v>1</v>
      </c>
      <c r="D20" s="28" t="inlineStr">
        <is>
          <t>Fandom product page (Making table)</t>
        </is>
      </c>
      <c r="E20" s="28" t="inlineStr">
        <is>
          <t>https://hayday.fandom.com/wiki/BLT_Salad</t>
        </is>
      </c>
    </row>
    <row r="21">
      <c r="A21" s="28" t="inlineStr">
        <is>
          <t>BLT Salad</t>
        </is>
      </c>
      <c r="B21" s="28" t="inlineStr">
        <is>
          <t>Bacon</t>
        </is>
      </c>
      <c r="C21" s="28" t="n">
        <v>2</v>
      </c>
      <c r="D21" s="28" t="inlineStr">
        <is>
          <t>Fandom product page (Making table)</t>
        </is>
      </c>
      <c r="E21" s="28" t="inlineStr">
        <is>
          <t>https://hayday.fandom.com/wiki/BLT_Salad</t>
        </is>
      </c>
    </row>
    <row r="22">
      <c r="A22" s="28" t="inlineStr">
        <is>
          <t>BLT Salad</t>
        </is>
      </c>
      <c r="B22" s="28" t="inlineStr">
        <is>
          <t>Mayonnaise</t>
        </is>
      </c>
      <c r="C22" s="28" t="n">
        <v>1</v>
      </c>
      <c r="D22" s="28" t="inlineStr">
        <is>
          <t>Fandom product page (Making table)</t>
        </is>
      </c>
      <c r="E22" s="28" t="inlineStr">
        <is>
          <t>https://hayday.fandom.com/wiki/BLT_Salad</t>
        </is>
      </c>
    </row>
    <row r="23">
      <c r="A23" s="28" t="inlineStr">
        <is>
          <t>Bacon Donut</t>
        </is>
      </c>
      <c r="B23" s="28" t="inlineStr">
        <is>
          <t>Plain Donut</t>
        </is>
      </c>
      <c r="C23" s="28" t="n">
        <v>1</v>
      </c>
      <c r="D23" s="28" t="inlineStr">
        <is>
          <t>Fandom product page (Making table)</t>
        </is>
      </c>
      <c r="E23" s="28" t="inlineStr">
        <is>
          <t>https://hayday.fandom.com/wiki/Bacon_Donut</t>
        </is>
      </c>
    </row>
    <row r="24">
      <c r="A24" s="28" t="inlineStr">
        <is>
          <t>Bacon Donut</t>
        </is>
      </c>
      <c r="B24" s="28" t="inlineStr">
        <is>
          <t>Bacon</t>
        </is>
      </c>
      <c r="C24" s="28" t="n">
        <v>3</v>
      </c>
      <c r="D24" s="28" t="inlineStr">
        <is>
          <t>Fandom product page (Making table)</t>
        </is>
      </c>
      <c r="E24" s="28" t="inlineStr">
        <is>
          <t>https://hayday.fandom.com/wiki/Bacon_Donut</t>
        </is>
      </c>
    </row>
    <row r="25">
      <c r="A25" s="28" t="inlineStr">
        <is>
          <t>Bacon Donut</t>
        </is>
      </c>
      <c r="B25" s="28" t="inlineStr">
        <is>
          <t>Syrup</t>
        </is>
      </c>
      <c r="C25" s="28" t="n">
        <v>1</v>
      </c>
      <c r="D25" s="28" t="inlineStr">
        <is>
          <t>Fandom product page (Making table)</t>
        </is>
      </c>
      <c r="E25" s="28" t="inlineStr">
        <is>
          <t>https://hayday.fandom.com/wiki/Bacon_Donut</t>
        </is>
      </c>
    </row>
    <row r="26">
      <c r="A26" s="28" t="inlineStr">
        <is>
          <t>Bacon Fondue</t>
        </is>
      </c>
      <c r="B26" s="28" t="inlineStr">
        <is>
          <t>Bacon</t>
        </is>
      </c>
      <c r="C26" s="28" t="n">
        <v>3</v>
      </c>
      <c r="D26" s="28" t="inlineStr">
        <is>
          <t>Fandom product page (Making table)</t>
        </is>
      </c>
      <c r="E26" s="28" t="inlineStr">
        <is>
          <t>https://hayday.fandom.com/wiki/Bacon_Fondue</t>
        </is>
      </c>
    </row>
    <row r="27">
      <c r="A27" s="28" t="inlineStr">
        <is>
          <t>Bacon Fondue</t>
        </is>
      </c>
      <c r="B27" s="28" t="inlineStr">
        <is>
          <t>Broccoli</t>
        </is>
      </c>
      <c r="C27" s="28" t="n">
        <v>1</v>
      </c>
      <c r="D27" s="28" t="inlineStr">
        <is>
          <t>Fandom product page (Making table)</t>
        </is>
      </c>
      <c r="E27" s="28" t="inlineStr">
        <is>
          <t>https://hayday.fandom.com/wiki/Bacon_Fondue</t>
        </is>
      </c>
    </row>
    <row r="28">
      <c r="A28" s="28" t="inlineStr">
        <is>
          <t>Bacon Fondue</t>
        </is>
      </c>
      <c r="B28" s="28" t="inlineStr">
        <is>
          <t>Bell Pepper</t>
        </is>
      </c>
      <c r="C28" s="28" t="n">
        <v>1</v>
      </c>
      <c r="D28" s="28" t="inlineStr">
        <is>
          <t>Fandom product page (Making table)</t>
        </is>
      </c>
      <c r="E28" s="28" t="inlineStr">
        <is>
          <t>https://hayday.fandom.com/wiki/Bacon_Fondue</t>
        </is>
      </c>
    </row>
    <row r="29">
      <c r="A29" s="28" t="inlineStr">
        <is>
          <t>Bacon Fondue</t>
        </is>
      </c>
      <c r="B29" s="28" t="inlineStr">
        <is>
          <t>Olive Oil</t>
        </is>
      </c>
      <c r="C29" s="28" t="n">
        <v>1</v>
      </c>
      <c r="D29" s="28" t="inlineStr">
        <is>
          <t>Fandom product page (Making table)</t>
        </is>
      </c>
      <c r="E29" s="28" t="inlineStr">
        <is>
          <t>https://hayday.fandom.com/wiki/Bacon_Fondue</t>
        </is>
      </c>
    </row>
    <row r="30">
      <c r="A30" s="28" t="inlineStr">
        <is>
          <t>Bacon Fries</t>
        </is>
      </c>
      <c r="B30" s="28" t="inlineStr">
        <is>
          <t>Chili Pepper</t>
        </is>
      </c>
      <c r="C30" s="28" t="n">
        <v>1</v>
      </c>
      <c r="D30" s="28" t="inlineStr">
        <is>
          <t>Fandom product page (Making table)</t>
        </is>
      </c>
      <c r="E30" s="28" t="inlineStr">
        <is>
          <t>https://hayday.fandom.com/wiki/Bacon_Fries</t>
        </is>
      </c>
    </row>
    <row r="31">
      <c r="A31" s="28" t="inlineStr">
        <is>
          <t>Bacon Fries</t>
        </is>
      </c>
      <c r="B31" s="28" t="inlineStr">
        <is>
          <t>Bacon</t>
        </is>
      </c>
      <c r="C31" s="28" t="n">
        <v>2</v>
      </c>
      <c r="D31" s="28" t="inlineStr">
        <is>
          <t>Fandom product page (Making table)</t>
        </is>
      </c>
      <c r="E31" s="28" t="inlineStr">
        <is>
          <t>https://hayday.fandom.com/wiki/Bacon_Fries</t>
        </is>
      </c>
    </row>
    <row r="32">
      <c r="A32" s="28" t="inlineStr">
        <is>
          <t>Bacon Fries</t>
        </is>
      </c>
      <c r="B32" s="28" t="inlineStr">
        <is>
          <t>Potato</t>
        </is>
      </c>
      <c r="C32" s="28" t="n">
        <v>4</v>
      </c>
      <c r="D32" s="28" t="inlineStr">
        <is>
          <t>Fandom product page (Making table)</t>
        </is>
      </c>
      <c r="E32" s="28" t="inlineStr">
        <is>
          <t>https://hayday.fandom.com/wiki/Bacon_Fries</t>
        </is>
      </c>
    </row>
    <row r="33">
      <c r="A33" s="28" t="inlineStr">
        <is>
          <t>Bacon Fries</t>
        </is>
      </c>
      <c r="B33" s="28" t="inlineStr">
        <is>
          <t>Garlic</t>
        </is>
      </c>
      <c r="C33" s="28" t="n">
        <v>1</v>
      </c>
      <c r="D33" s="28" t="inlineStr">
        <is>
          <t>Fandom product page (Making table)</t>
        </is>
      </c>
      <c r="E33" s="28" t="inlineStr">
        <is>
          <t>https://hayday.fandom.com/wiki/Bacon_Fries</t>
        </is>
      </c>
    </row>
    <row r="34">
      <c r="A34" s="28" t="inlineStr">
        <is>
          <t>Bacon Pie</t>
        </is>
      </c>
      <c r="B34" s="28" t="inlineStr">
        <is>
          <t>Wheat</t>
        </is>
      </c>
      <c r="C34" s="28" t="n">
        <v>2</v>
      </c>
      <c r="D34" s="28" t="inlineStr">
        <is>
          <t>Fandom product page (Making table)</t>
        </is>
      </c>
      <c r="E34" s="28" t="inlineStr">
        <is>
          <t>https://hayday.fandom.com/wiki/Bacon_Pie</t>
        </is>
      </c>
    </row>
    <row r="35">
      <c r="A35" s="28" t="inlineStr">
        <is>
          <t>Bacon Pie</t>
        </is>
      </c>
      <c r="B35" s="28" t="inlineStr">
        <is>
          <t>Bacon</t>
        </is>
      </c>
      <c r="C35" s="28" t="n">
        <v>3</v>
      </c>
      <c r="D35" s="28" t="inlineStr">
        <is>
          <t>Fandom product page (Making table)</t>
        </is>
      </c>
      <c r="E35" s="28" t="inlineStr">
        <is>
          <t>https://hayday.fandom.com/wiki/Bacon_Pie</t>
        </is>
      </c>
    </row>
    <row r="36">
      <c r="A36" s="28" t="inlineStr">
        <is>
          <t>Bacon Pie</t>
        </is>
      </c>
      <c r="B36" s="28" t="inlineStr">
        <is>
          <t>Egg</t>
        </is>
      </c>
      <c r="C36" s="28" t="n">
        <v>1</v>
      </c>
      <c r="D36" s="28" t="inlineStr">
        <is>
          <t>Fandom product page (Making table)</t>
        </is>
      </c>
      <c r="E36" s="28" t="inlineStr">
        <is>
          <t>https://hayday.fandom.com/wiki/Bacon_Pie</t>
        </is>
      </c>
    </row>
    <row r="37">
      <c r="A37" s="28" t="inlineStr">
        <is>
          <t>Bacon Toast</t>
        </is>
      </c>
      <c r="B37" s="28" t="inlineStr">
        <is>
          <t>Bacon</t>
        </is>
      </c>
      <c r="C37" s="28" t="n">
        <v>2</v>
      </c>
      <c r="D37" s="28" t="inlineStr">
        <is>
          <t>Fandom product page (Making table)</t>
        </is>
      </c>
      <c r="E37" s="28" t="inlineStr">
        <is>
          <t>https://hayday.fandom.com/wiki/Bacon_Toast</t>
        </is>
      </c>
    </row>
    <row r="38">
      <c r="A38" s="28" t="inlineStr">
        <is>
          <t>Bacon Toast</t>
        </is>
      </c>
      <c r="B38" s="28" t="inlineStr">
        <is>
          <t>Bread</t>
        </is>
      </c>
      <c r="C38" s="28" t="n">
        <v>2</v>
      </c>
      <c r="D38" s="28" t="inlineStr">
        <is>
          <t>Fandom product page (Making table)</t>
        </is>
      </c>
      <c r="E38" s="28" t="inlineStr">
        <is>
          <t>https://hayday.fandom.com/wiki/Bacon_Toast</t>
        </is>
      </c>
    </row>
    <row r="39">
      <c r="A39" s="28" t="inlineStr">
        <is>
          <t>Bacon Toast</t>
        </is>
      </c>
      <c r="B39" s="28" t="inlineStr">
        <is>
          <t>Lettuce</t>
        </is>
      </c>
      <c r="C39" s="28" t="n">
        <v>3</v>
      </c>
      <c r="D39" s="28" t="inlineStr">
        <is>
          <t>Fandom product page (Making table)</t>
        </is>
      </c>
      <c r="E39" s="28" t="inlineStr">
        <is>
          <t>https://hayday.fandom.com/wiki/Bacon_Toast</t>
        </is>
      </c>
    </row>
    <row r="40">
      <c r="A40" s="28" t="inlineStr">
        <is>
          <t>Bacon Toast</t>
        </is>
      </c>
      <c r="B40" s="28" t="inlineStr">
        <is>
          <t>Mayonnaise</t>
        </is>
      </c>
      <c r="C40" s="28" t="n">
        <v>1</v>
      </c>
      <c r="D40" s="28" t="inlineStr">
        <is>
          <t>Fandom product page (Making table)</t>
        </is>
      </c>
      <c r="E40" s="28" t="inlineStr">
        <is>
          <t>https://hayday.fandom.com/wiki/Bacon_Toast</t>
        </is>
      </c>
    </row>
    <row r="41">
      <c r="A41" s="28" t="inlineStr">
        <is>
          <t>Bacon and Eggs</t>
        </is>
      </c>
      <c r="B41" s="28" t="inlineStr">
        <is>
          <t>Egg</t>
        </is>
      </c>
      <c r="C41" s="28" t="n">
        <v>4</v>
      </c>
      <c r="D41" s="28" t="inlineStr">
        <is>
          <t>Fandom product page (Making table)</t>
        </is>
      </c>
      <c r="E41" s="28" t="inlineStr">
        <is>
          <t>https://hayday.fandom.com/wiki/Bacon_and_Eggs</t>
        </is>
      </c>
    </row>
    <row r="42">
      <c r="A42" s="28" t="inlineStr">
        <is>
          <t>Bacon and Eggs</t>
        </is>
      </c>
      <c r="B42" s="28" t="inlineStr">
        <is>
          <t>Bacon</t>
        </is>
      </c>
      <c r="C42" s="28" t="n">
        <v>2</v>
      </c>
      <c r="D42" s="28" t="inlineStr">
        <is>
          <t>Fandom product page (Making table)</t>
        </is>
      </c>
      <c r="E42" s="28" t="inlineStr">
        <is>
          <t>https://hayday.fandom.com/wiki/Bacon_and_Eggs</t>
        </is>
      </c>
    </row>
    <row r="43">
      <c r="A43" s="28" t="inlineStr">
        <is>
          <t>Baked Potato</t>
        </is>
      </c>
      <c r="B43" s="28" t="inlineStr">
        <is>
          <t>Potato</t>
        </is>
      </c>
      <c r="C43" s="28" t="n">
        <v>2</v>
      </c>
      <c r="D43" s="28" t="inlineStr">
        <is>
          <t>Fandom product page (Making table)</t>
        </is>
      </c>
      <c r="E43" s="28" t="inlineStr">
        <is>
          <t>https://hayday.fandom.com/wiki/Baked_Potato</t>
        </is>
      </c>
    </row>
    <row r="44">
      <c r="A44" s="28" t="inlineStr">
        <is>
          <t>Baked Potato</t>
        </is>
      </c>
      <c r="B44" s="28" t="inlineStr">
        <is>
          <t>Chili Pepper</t>
        </is>
      </c>
      <c r="C44" s="28" t="n">
        <v>1</v>
      </c>
      <c r="D44" s="28" t="inlineStr">
        <is>
          <t>Fandom product page (Making table)</t>
        </is>
      </c>
      <c r="E44" s="28" t="inlineStr">
        <is>
          <t>https://hayday.fandom.com/wiki/Baked_Potato</t>
        </is>
      </c>
    </row>
    <row r="45">
      <c r="A45" s="28" t="inlineStr">
        <is>
          <t>Baked Potato</t>
        </is>
      </c>
      <c r="B45" s="28" t="inlineStr">
        <is>
          <t>Cream</t>
        </is>
      </c>
      <c r="C45" s="28" t="n">
        <v>1</v>
      </c>
      <c r="D45" s="28" t="inlineStr">
        <is>
          <t>Fandom product page (Making table)</t>
        </is>
      </c>
      <c r="E45" s="28" t="inlineStr">
        <is>
          <t>https://hayday.fandom.com/wiki/Baked_Potato</t>
        </is>
      </c>
    </row>
    <row r="46">
      <c r="A46" s="28" t="inlineStr">
        <is>
          <t>Baked Potato</t>
        </is>
      </c>
      <c r="B46" s="28" t="inlineStr">
        <is>
          <t>Cheese</t>
        </is>
      </c>
      <c r="C46" s="28" t="n">
        <v>1</v>
      </c>
      <c r="D46" s="28" t="inlineStr">
        <is>
          <t>Fandom product page (Making table)</t>
        </is>
      </c>
      <c r="E46" s="28" t="inlineStr">
        <is>
          <t>https://hayday.fandom.com/wiki/Baked_Potato</t>
        </is>
      </c>
    </row>
    <row r="47">
      <c r="A47" s="28" t="inlineStr">
        <is>
          <t>Banana Bread</t>
        </is>
      </c>
      <c r="B47" s="28" t="inlineStr">
        <is>
          <t>Banana</t>
        </is>
      </c>
      <c r="C47" s="28" t="n">
        <v>3</v>
      </c>
      <c r="D47" s="28" t="inlineStr">
        <is>
          <t>Fandom product page (Making table)</t>
        </is>
      </c>
      <c r="E47" s="28" t="inlineStr">
        <is>
          <t>https://hayday.fandom.com/wiki/Banana_Bread</t>
        </is>
      </c>
    </row>
    <row r="48">
      <c r="A48" s="28" t="inlineStr">
        <is>
          <t>Banana Bread</t>
        </is>
      </c>
      <c r="B48" s="28" t="inlineStr">
        <is>
          <t>Grapes</t>
        </is>
      </c>
      <c r="C48" s="28" t="n">
        <v>2</v>
      </c>
      <c r="D48" s="28" t="inlineStr">
        <is>
          <t>Fandom product page (Making table)</t>
        </is>
      </c>
      <c r="E48" s="28" t="inlineStr">
        <is>
          <t>https://hayday.fandom.com/wiki/Banana_Bread</t>
        </is>
      </c>
    </row>
    <row r="49">
      <c r="A49" s="28" t="inlineStr">
        <is>
          <t>Banana Bread</t>
        </is>
      </c>
      <c r="B49" s="28" t="inlineStr">
        <is>
          <t>Wheat</t>
        </is>
      </c>
      <c r="C49" s="28" t="n">
        <v>3</v>
      </c>
      <c r="D49" s="28" t="inlineStr">
        <is>
          <t>Fandom product page (Making table)</t>
        </is>
      </c>
      <c r="E49" s="28" t="inlineStr">
        <is>
          <t>https://hayday.fandom.com/wiki/Banana_Bread</t>
        </is>
      </c>
    </row>
    <row r="50">
      <c r="A50" s="28" t="inlineStr">
        <is>
          <t>Banana Bread</t>
        </is>
      </c>
      <c r="B50" s="28" t="inlineStr">
        <is>
          <t>Egg</t>
        </is>
      </c>
      <c r="C50" s="28" t="n">
        <v>1</v>
      </c>
      <c r="D50" s="28" t="inlineStr">
        <is>
          <t>Fandom product page (Making table)</t>
        </is>
      </c>
      <c r="E50" s="28" t="inlineStr">
        <is>
          <t>https://hayday.fandom.com/wiki/Banana_Bread</t>
        </is>
      </c>
    </row>
    <row r="51">
      <c r="A51" s="28" t="inlineStr">
        <is>
          <t>Banana Pancakes</t>
        </is>
      </c>
      <c r="B51" s="28" t="inlineStr">
        <is>
          <t>Banana</t>
        </is>
      </c>
      <c r="C51" s="28" t="n">
        <v>1</v>
      </c>
      <c r="D51" s="28" t="inlineStr">
        <is>
          <t>Fandom product page (Making table)</t>
        </is>
      </c>
      <c r="E51" s="28" t="inlineStr">
        <is>
          <t>https://hayday.fandom.com/wiki/Banana_Pancakes</t>
        </is>
      </c>
    </row>
    <row r="52">
      <c r="A52" s="28" t="inlineStr">
        <is>
          <t>Banana Pancakes</t>
        </is>
      </c>
      <c r="B52" s="28" t="inlineStr">
        <is>
          <t>Blackberry</t>
        </is>
      </c>
      <c r="C52" s="28" t="n">
        <v>2</v>
      </c>
      <c r="D52" s="28" t="inlineStr">
        <is>
          <t>Fandom product page (Making table)</t>
        </is>
      </c>
      <c r="E52" s="28" t="inlineStr">
        <is>
          <t>https://hayday.fandom.com/wiki/Banana_Pancakes</t>
        </is>
      </c>
    </row>
    <row r="53">
      <c r="A53" s="28" t="inlineStr">
        <is>
          <t>Banana Pancakes</t>
        </is>
      </c>
      <c r="B53" s="28" t="inlineStr">
        <is>
          <t>Wheat</t>
        </is>
      </c>
      <c r="C53" s="28" t="n">
        <v>3</v>
      </c>
      <c r="D53" s="28" t="inlineStr">
        <is>
          <t>Fandom product page (Making table)</t>
        </is>
      </c>
      <c r="E53" s="28" t="inlineStr">
        <is>
          <t>https://hayday.fandom.com/wiki/Banana_Pancakes</t>
        </is>
      </c>
    </row>
    <row r="54">
      <c r="A54" s="28" t="inlineStr">
        <is>
          <t>Banana Pancakes</t>
        </is>
      </c>
      <c r="B54" s="28" t="inlineStr">
        <is>
          <t>Cream</t>
        </is>
      </c>
      <c r="C54" s="28" t="n">
        <v>1</v>
      </c>
      <c r="D54" s="28" t="inlineStr">
        <is>
          <t>Fandom product page (Making table)</t>
        </is>
      </c>
      <c r="E54" s="28" t="inlineStr">
        <is>
          <t>https://hayday.fandom.com/wiki/Banana_Pancakes</t>
        </is>
      </c>
    </row>
    <row r="55">
      <c r="A55" s="28" t="inlineStr">
        <is>
          <t>Banana Split</t>
        </is>
      </c>
      <c r="B55" s="28" t="inlineStr">
        <is>
          <t>Banana</t>
        </is>
      </c>
      <c r="C55" s="28" t="n">
        <v>1</v>
      </c>
      <c r="D55" s="28" t="inlineStr">
        <is>
          <t>Fandom product page (Making table)</t>
        </is>
      </c>
      <c r="E55" s="28" t="inlineStr">
        <is>
          <t>https://hayday.fandom.com/wiki/Banana_Split</t>
        </is>
      </c>
    </row>
    <row r="56">
      <c r="A56" s="28" t="inlineStr">
        <is>
          <t>Banana Split</t>
        </is>
      </c>
      <c r="B56" s="28" t="inlineStr">
        <is>
          <t>Cream</t>
        </is>
      </c>
      <c r="C56" s="28" t="n">
        <v>1</v>
      </c>
      <c r="D56" s="28" t="inlineStr">
        <is>
          <t>Fandom product page (Making table)</t>
        </is>
      </c>
      <c r="E56" s="28" t="inlineStr">
        <is>
          <t>https://hayday.fandom.com/wiki/Banana_Split</t>
        </is>
      </c>
    </row>
    <row r="57">
      <c r="A57" s="28" t="inlineStr">
        <is>
          <t>Banana Split</t>
        </is>
      </c>
      <c r="B57" s="28" t="inlineStr">
        <is>
          <t>Cherry</t>
        </is>
      </c>
      <c r="C57" s="28" t="n">
        <v>3</v>
      </c>
      <c r="D57" s="28" t="inlineStr">
        <is>
          <t>Fandom product page (Making table)</t>
        </is>
      </c>
      <c r="E57" s="28" t="inlineStr">
        <is>
          <t>https://hayday.fandom.com/wiki/Banana_Split</t>
        </is>
      </c>
    </row>
    <row r="58">
      <c r="A58" s="28" t="inlineStr">
        <is>
          <t>Bean Dip</t>
        </is>
      </c>
      <c r="B58" s="28" t="inlineStr">
        <is>
          <t>Black Bean</t>
        </is>
      </c>
      <c r="C58" s="28" t="n">
        <v>3</v>
      </c>
      <c r="D58" s="28" t="inlineStr">
        <is>
          <t>Fandom product page (Making table)</t>
        </is>
      </c>
      <c r="E58" s="28" t="inlineStr">
        <is>
          <t>https://hayday.fandom.com/wiki/Bean_Dip</t>
        </is>
      </c>
    </row>
    <row r="59">
      <c r="A59" s="28" t="inlineStr">
        <is>
          <t>Bean Dip</t>
        </is>
      </c>
      <c r="B59" s="28" t="inlineStr">
        <is>
          <t>Tomato</t>
        </is>
      </c>
      <c r="C59" s="28" t="n">
        <v>1</v>
      </c>
      <c r="D59" s="28" t="inlineStr">
        <is>
          <t>Fandom product page (Making table)</t>
        </is>
      </c>
      <c r="E59" s="28" t="inlineStr">
        <is>
          <t>https://hayday.fandom.com/wiki/Bean_Dip</t>
        </is>
      </c>
    </row>
    <row r="60">
      <c r="A60" s="28" t="inlineStr">
        <is>
          <t>Bean Dip</t>
        </is>
      </c>
      <c r="B60" s="28" t="inlineStr">
        <is>
          <t>Chili Pepper</t>
        </is>
      </c>
      <c r="C60" s="28" t="n">
        <v>1</v>
      </c>
      <c r="D60" s="28" t="inlineStr">
        <is>
          <t>Fandom product page (Making table)</t>
        </is>
      </c>
      <c r="E60" s="28" t="inlineStr">
        <is>
          <t>https://hayday.fandom.com/wiki/Bean_Dip</t>
        </is>
      </c>
    </row>
    <row r="61">
      <c r="A61" s="28" t="inlineStr">
        <is>
          <t>Bean Salad</t>
        </is>
      </c>
      <c r="B61" s="28" t="inlineStr">
        <is>
          <t>Black Bean</t>
        </is>
      </c>
      <c r="C61" s="28" t="n">
        <v>3</v>
      </c>
      <c r="D61" s="28" t="inlineStr">
        <is>
          <t>Fandom product page (Making table)</t>
        </is>
      </c>
      <c r="E61" s="28" t="inlineStr">
        <is>
          <t>https://hayday.fandom.com/wiki/Bean_Salad</t>
        </is>
      </c>
    </row>
    <row r="62">
      <c r="A62" s="28" t="inlineStr">
        <is>
          <t>Bean Salad</t>
        </is>
      </c>
      <c r="B62" s="28" t="inlineStr">
        <is>
          <t>Tomato</t>
        </is>
      </c>
      <c r="C62" s="28" t="n">
        <v>1</v>
      </c>
      <c r="D62" s="28" t="inlineStr">
        <is>
          <t>Fandom product page (Making table)</t>
        </is>
      </c>
      <c r="E62" s="28" t="inlineStr">
        <is>
          <t>https://hayday.fandom.com/wiki/Bean_Salad</t>
        </is>
      </c>
    </row>
    <row r="63">
      <c r="A63" s="28" t="inlineStr">
        <is>
          <t>Bean Salad</t>
        </is>
      </c>
      <c r="B63" s="28" t="inlineStr">
        <is>
          <t>Lettuce</t>
        </is>
      </c>
      <c r="C63" s="28" t="n">
        <v>2</v>
      </c>
      <c r="D63" s="28" t="inlineStr">
        <is>
          <t>Fandom product page (Making table)</t>
        </is>
      </c>
      <c r="E63" s="28" t="inlineStr">
        <is>
          <t>https://hayday.fandom.com/wiki/Bean_Salad</t>
        </is>
      </c>
    </row>
    <row r="64">
      <c r="A64" s="28" t="inlineStr">
        <is>
          <t>Bean Salad</t>
        </is>
      </c>
      <c r="B64" s="28" t="inlineStr">
        <is>
          <t>Corn</t>
        </is>
      </c>
      <c r="C64" s="28" t="n">
        <v>1</v>
      </c>
      <c r="D64" s="28" t="inlineStr">
        <is>
          <t>Fandom product page (Making table)</t>
        </is>
      </c>
      <c r="E64" s="28" t="inlineStr">
        <is>
          <t>https://hayday.fandom.com/wiki/Bean_Salad</t>
        </is>
      </c>
    </row>
    <row r="65">
      <c r="A65" s="28" t="inlineStr">
        <is>
          <t>Beeswax</t>
        </is>
      </c>
      <c r="B65" s="28" t="inlineStr">
        <is>
          <t>Honeycomb</t>
        </is>
      </c>
      <c r="C65" s="28" t="n">
        <v>3</v>
      </c>
      <c r="D65" s="28" t="inlineStr">
        <is>
          <t>Fandom product page (Making table)</t>
        </is>
      </c>
      <c r="E65" s="28" t="inlineStr">
        <is>
          <t>https://hayday.fandom.com/wiki/Beeswax</t>
        </is>
      </c>
    </row>
    <row r="66">
      <c r="A66" s="28" t="inlineStr">
        <is>
          <t>Beetroot Salad</t>
        </is>
      </c>
      <c r="B66" s="28" t="inlineStr">
        <is>
          <t>Beetroot</t>
        </is>
      </c>
      <c r="C66" s="28" t="n">
        <v>3</v>
      </c>
      <c r="D66" s="28" t="inlineStr">
        <is>
          <t>Fandom product page (Making table)</t>
        </is>
      </c>
      <c r="E66" s="28" t="inlineStr">
        <is>
          <t>https://hayday.fandom.com/wiki/Beetroot_Salad</t>
        </is>
      </c>
    </row>
    <row r="67">
      <c r="A67" s="28" t="inlineStr">
        <is>
          <t>Beetroot Salad</t>
        </is>
      </c>
      <c r="B67" s="28" t="inlineStr">
        <is>
          <t>Goat Cheese</t>
        </is>
      </c>
      <c r="C67" s="28" t="n">
        <v>1</v>
      </c>
      <c r="D67" s="28" t="inlineStr">
        <is>
          <t>Fandom product page (Making table)</t>
        </is>
      </c>
      <c r="E67" s="28" t="inlineStr">
        <is>
          <t>https://hayday.fandom.com/wiki/Beetroot_Salad</t>
        </is>
      </c>
    </row>
    <row r="68">
      <c r="A68" s="28" t="inlineStr">
        <is>
          <t>Bell Pepper Soup</t>
        </is>
      </c>
      <c r="B68" s="28" t="inlineStr">
        <is>
          <t>Bread</t>
        </is>
      </c>
      <c r="C68" s="28" t="n">
        <v>1</v>
      </c>
      <c r="D68" s="28" t="inlineStr">
        <is>
          <t>Fandom product page (Making table)</t>
        </is>
      </c>
      <c r="E68" s="28" t="inlineStr">
        <is>
          <t>https://hayday.fandom.com/wiki/Bell_Pepper_Soup</t>
        </is>
      </c>
    </row>
    <row r="69">
      <c r="A69" s="28" t="inlineStr">
        <is>
          <t>Bell Pepper Soup</t>
        </is>
      </c>
      <c r="B69" s="28" t="inlineStr">
        <is>
          <t>Olive Oil</t>
        </is>
      </c>
      <c r="C69" s="28" t="n">
        <v>1</v>
      </c>
      <c r="D69" s="28" t="inlineStr">
        <is>
          <t>Fandom product page (Making table)</t>
        </is>
      </c>
      <c r="E69" s="28" t="inlineStr">
        <is>
          <t>https://hayday.fandom.com/wiki/Bell_Pepper_Soup</t>
        </is>
      </c>
    </row>
    <row r="70">
      <c r="A70" s="28" t="inlineStr">
        <is>
          <t>Bell Pepper Soup</t>
        </is>
      </c>
      <c r="B70" s="28" t="inlineStr">
        <is>
          <t>Chili Pepper</t>
        </is>
      </c>
      <c r="C70" s="28" t="n">
        <v>1</v>
      </c>
      <c r="D70" s="28" t="inlineStr">
        <is>
          <t>Fandom product page (Making table)</t>
        </is>
      </c>
      <c r="E70" s="28" t="inlineStr">
        <is>
          <t>https://hayday.fandom.com/wiki/Bell_Pepper_Soup</t>
        </is>
      </c>
    </row>
    <row r="71">
      <c r="A71" s="28" t="inlineStr">
        <is>
          <t>Bell Pepper Soup</t>
        </is>
      </c>
      <c r="B71" s="28" t="inlineStr">
        <is>
          <t>Bell Pepper</t>
        </is>
      </c>
      <c r="C71" s="28" t="n">
        <v>2</v>
      </c>
      <c r="D71" s="28" t="inlineStr">
        <is>
          <t>Fandom product page (Making table)</t>
        </is>
      </c>
      <c r="E71" s="28" t="inlineStr">
        <is>
          <t>https://hayday.fandom.com/wiki/Bell_Pepper_Soup</t>
        </is>
      </c>
    </row>
    <row r="72">
      <c r="A72" s="28" t="inlineStr">
        <is>
          <t>Berry Juice</t>
        </is>
      </c>
      <c r="B72" s="28" t="inlineStr">
        <is>
          <t>Blackberry</t>
        </is>
      </c>
      <c r="C72" s="28" t="n">
        <v>1</v>
      </c>
      <c r="D72" s="28" t="inlineStr">
        <is>
          <t>Fandom product page (Making table)</t>
        </is>
      </c>
      <c r="E72" s="28" t="inlineStr">
        <is>
          <t>https://hayday.fandom.com/wiki/Berry_Juice</t>
        </is>
      </c>
    </row>
    <row r="73">
      <c r="A73" s="28" t="inlineStr">
        <is>
          <t>Berry Juice</t>
        </is>
      </c>
      <c r="B73" s="28" t="inlineStr">
        <is>
          <t>Raspberry</t>
        </is>
      </c>
      <c r="C73" s="28" t="n">
        <v>1</v>
      </c>
      <c r="D73" s="28" t="inlineStr">
        <is>
          <t>Fandom product page (Making table)</t>
        </is>
      </c>
      <c r="E73" s="28" t="inlineStr">
        <is>
          <t>https://hayday.fandom.com/wiki/Berry_Juice</t>
        </is>
      </c>
    </row>
    <row r="74">
      <c r="A74" s="28" t="inlineStr">
        <is>
          <t>Berry Smoothie</t>
        </is>
      </c>
      <c r="B74" s="28" t="inlineStr">
        <is>
          <t>Raspberry</t>
        </is>
      </c>
      <c r="C74" s="28" t="n">
        <v>3</v>
      </c>
      <c r="D74" s="28" t="inlineStr">
        <is>
          <t>Fandom product page (Making table)</t>
        </is>
      </c>
      <c r="E74" s="28" t="inlineStr">
        <is>
          <t>https://hayday.fandom.com/wiki/Berry_Smoothie</t>
        </is>
      </c>
    </row>
    <row r="75">
      <c r="A75" s="28" t="inlineStr">
        <is>
          <t>Berry Smoothie</t>
        </is>
      </c>
      <c r="B75" s="28" t="inlineStr">
        <is>
          <t>Strawberry</t>
        </is>
      </c>
      <c r="C75" s="28" t="n">
        <v>3</v>
      </c>
      <c r="D75" s="28" t="inlineStr">
        <is>
          <t>Fandom product page (Making table)</t>
        </is>
      </c>
      <c r="E75" s="28" t="inlineStr">
        <is>
          <t>https://hayday.fandom.com/wiki/Berry_Smoothie</t>
        </is>
      </c>
    </row>
    <row r="76">
      <c r="A76" s="28" t="inlineStr">
        <is>
          <t>Berry Smoothie</t>
        </is>
      </c>
      <c r="B76" s="28" t="inlineStr">
        <is>
          <t>Blackberry</t>
        </is>
      </c>
      <c r="C76" s="28" t="n">
        <v>3</v>
      </c>
      <c r="D76" s="28" t="inlineStr">
        <is>
          <t>Fandom product page (Making table)</t>
        </is>
      </c>
      <c r="E76" s="28" t="inlineStr">
        <is>
          <t>https://hayday.fandom.com/wiki/Berry_Smoothie</t>
        </is>
      </c>
    </row>
    <row r="77">
      <c r="A77" s="28" t="inlineStr">
        <is>
          <t>Big Sushi Roll</t>
        </is>
      </c>
      <c r="B77" s="28" t="inlineStr">
        <is>
          <t>Fish Fillet</t>
        </is>
      </c>
      <c r="C77" s="28" t="n">
        <v>1</v>
      </c>
      <c r="D77" s="28" t="inlineStr">
        <is>
          <t>Fandom product page (Making table)</t>
        </is>
      </c>
      <c r="E77" s="28" t="inlineStr">
        <is>
          <t>https://hayday.fandom.com/wiki/Big_Sushi_Roll</t>
        </is>
      </c>
    </row>
    <row r="78">
      <c r="A78" s="28" t="inlineStr">
        <is>
          <t>Big Sushi Roll</t>
        </is>
      </c>
      <c r="B78" s="28" t="inlineStr">
        <is>
          <t>Rice</t>
        </is>
      </c>
      <c r="C78" s="28" t="n">
        <v>20</v>
      </c>
      <c r="D78" s="28" t="inlineStr">
        <is>
          <t>Fandom product page (Making table)</t>
        </is>
      </c>
      <c r="E78" s="28" t="inlineStr">
        <is>
          <t>https://hayday.fandom.com/wiki/Big_Sushi_Roll</t>
        </is>
      </c>
    </row>
    <row r="79">
      <c r="A79" s="28" t="inlineStr">
        <is>
          <t>Big Sushi Roll</t>
        </is>
      </c>
      <c r="B79" s="28" t="inlineStr">
        <is>
          <t>Egg</t>
        </is>
      </c>
      <c r="C79" s="28" t="n">
        <v>3</v>
      </c>
      <c r="D79" s="28" t="inlineStr">
        <is>
          <t>Fandom product page (Making table)</t>
        </is>
      </c>
      <c r="E79" s="28" t="inlineStr">
        <is>
          <t>https://hayday.fandom.com/wiki/Big_Sushi_Roll</t>
        </is>
      </c>
    </row>
    <row r="80">
      <c r="A80" s="28" t="inlineStr">
        <is>
          <t>Big Sushi Roll</t>
        </is>
      </c>
      <c r="B80" s="28" t="inlineStr">
        <is>
          <t>Lettuce</t>
        </is>
      </c>
      <c r="C80" s="28" t="n">
        <v>5</v>
      </c>
      <c r="D80" s="28" t="inlineStr">
        <is>
          <t>Fandom product page (Making table)</t>
        </is>
      </c>
      <c r="E80" s="28" t="inlineStr">
        <is>
          <t>https://hayday.fandom.com/wiki/Big_Sushi_Roll</t>
        </is>
      </c>
    </row>
    <row r="81">
      <c r="A81" s="28" t="inlineStr">
        <is>
          <t>Birthday Bouquet</t>
        </is>
      </c>
      <c r="B81" s="28" t="inlineStr">
        <is>
          <t>Cherry Juice</t>
        </is>
      </c>
      <c r="C81" s="28" t="n">
        <v>1</v>
      </c>
      <c r="D81" s="28" t="inlineStr">
        <is>
          <t>Fandom product page (Making table)</t>
        </is>
      </c>
      <c r="E81" s="28" t="inlineStr">
        <is>
          <t>https://hayday.fandom.com/wiki/Birthday_Bouquet</t>
        </is>
      </c>
    </row>
    <row r="82">
      <c r="A82" s="28" t="inlineStr">
        <is>
          <t>Birthday Bouquet</t>
        </is>
      </c>
      <c r="B82" s="28" t="inlineStr">
        <is>
          <t>Peony</t>
        </is>
      </c>
      <c r="C82" s="28" t="n">
        <v>3</v>
      </c>
      <c r="D82" s="28" t="inlineStr">
        <is>
          <t>Fandom product page (Making table)</t>
        </is>
      </c>
      <c r="E82" s="28" t="inlineStr">
        <is>
          <t>https://hayday.fandom.com/wiki/Birthday_Bouquet</t>
        </is>
      </c>
    </row>
    <row r="83">
      <c r="A83" s="28" t="inlineStr">
        <is>
          <t>Birthday Bouquet</t>
        </is>
      </c>
      <c r="B83" s="28" t="inlineStr">
        <is>
          <t>Lily</t>
        </is>
      </c>
      <c r="C83" s="28" t="n">
        <v>1</v>
      </c>
      <c r="D83" s="28" t="inlineStr">
        <is>
          <t>Fandom product page (Making table)</t>
        </is>
      </c>
      <c r="E83" s="28" t="inlineStr">
        <is>
          <t>https://hayday.fandom.com/wiki/Birthday_Bouquet</t>
        </is>
      </c>
    </row>
    <row r="84">
      <c r="A84" s="28" t="inlineStr">
        <is>
          <t>Birthday Bouquet</t>
        </is>
      </c>
      <c r="B84" s="28" t="inlineStr">
        <is>
          <t>Indigo</t>
        </is>
      </c>
      <c r="C84" s="28" t="n">
        <v>1</v>
      </c>
      <c r="D84" s="28" t="inlineStr">
        <is>
          <t>Fandom product page (Making table)</t>
        </is>
      </c>
      <c r="E84" s="28" t="inlineStr">
        <is>
          <t>https://hayday.fandom.com/wiki/Birthday_Bouquet</t>
        </is>
      </c>
    </row>
    <row r="85">
      <c r="A85" s="28" t="inlineStr">
        <is>
          <t>Black Sesame Smoothie</t>
        </is>
      </c>
      <c r="B85" s="28" t="inlineStr">
        <is>
          <t>Sesame</t>
        </is>
      </c>
      <c r="C85" s="28" t="n">
        <v>3</v>
      </c>
      <c r="D85" s="28" t="inlineStr">
        <is>
          <t>Fandom product page (Making table)</t>
        </is>
      </c>
      <c r="E85" s="28" t="inlineStr">
        <is>
          <t>https://hayday.fandom.com/wiki/Black_Sesame_Smoothie</t>
        </is>
      </c>
    </row>
    <row r="86">
      <c r="A86" s="28" t="inlineStr">
        <is>
          <t>Black Sesame Smoothie</t>
        </is>
      </c>
      <c r="B86" s="28" t="inlineStr">
        <is>
          <t>Banana</t>
        </is>
      </c>
      <c r="C86" s="28" t="n">
        <v>1</v>
      </c>
      <c r="D86" s="28" t="inlineStr">
        <is>
          <t>Fandom product page (Making table)</t>
        </is>
      </c>
      <c r="E86" s="28" t="inlineStr">
        <is>
          <t>https://hayday.fandom.com/wiki/Black_Sesame_Smoothie</t>
        </is>
      </c>
    </row>
    <row r="87">
      <c r="A87" s="28" t="inlineStr">
        <is>
          <t>Black Sesame Smoothie</t>
        </is>
      </c>
      <c r="B87" s="28" t="inlineStr">
        <is>
          <t>Goat Milk</t>
        </is>
      </c>
      <c r="C87" s="28" t="n">
        <v>2</v>
      </c>
      <c r="D87" s="28" t="inlineStr">
        <is>
          <t>Fandom product page (Making table)</t>
        </is>
      </c>
      <c r="E87" s="28" t="inlineStr">
        <is>
          <t>https://hayday.fandom.com/wiki/Black_Sesame_Smoothie</t>
        </is>
      </c>
    </row>
    <row r="88">
      <c r="A88" s="28" t="inlineStr">
        <is>
          <t>Blackberry Jam</t>
        </is>
      </c>
      <c r="B88" s="28" t="inlineStr">
        <is>
          <t>Blackberry</t>
        </is>
      </c>
      <c r="C88" s="28" t="n">
        <v>3</v>
      </c>
      <c r="D88" s="28" t="inlineStr">
        <is>
          <t>Fandom product page (Making table)</t>
        </is>
      </c>
      <c r="E88" s="28" t="inlineStr">
        <is>
          <t>https://hayday.fandom.com/wiki/Blackberry_Jam</t>
        </is>
      </c>
    </row>
    <row r="89">
      <c r="A89" s="28" t="inlineStr">
        <is>
          <t>Blackberry Muffin</t>
        </is>
      </c>
      <c r="B89" s="28" t="inlineStr">
        <is>
          <t>Wheat</t>
        </is>
      </c>
      <c r="C89" s="28" t="n">
        <v>1</v>
      </c>
      <c r="D89" s="28" t="inlineStr">
        <is>
          <t>Fandom product page (Making table)</t>
        </is>
      </c>
      <c r="E89" s="28" t="inlineStr">
        <is>
          <t>https://hayday.fandom.com/wiki/Blackberry_Muffin</t>
        </is>
      </c>
    </row>
    <row r="90">
      <c r="A90" s="28" t="inlineStr">
        <is>
          <t>Blackberry Muffin</t>
        </is>
      </c>
      <c r="B90" s="28" t="inlineStr">
        <is>
          <t>Egg</t>
        </is>
      </c>
      <c r="C90" s="28" t="n">
        <v>2</v>
      </c>
      <c r="D90" s="28" t="inlineStr">
        <is>
          <t>Fandom product page (Making table)</t>
        </is>
      </c>
      <c r="E90" s="28" t="inlineStr">
        <is>
          <t>https://hayday.fandom.com/wiki/Blackberry_Muffin</t>
        </is>
      </c>
    </row>
    <row r="91">
      <c r="A91" s="28" t="inlineStr">
        <is>
          <t>Blackberry Muffin</t>
        </is>
      </c>
      <c r="B91" s="28" t="inlineStr">
        <is>
          <t>Blackberry</t>
        </is>
      </c>
      <c r="C91" s="28" t="n">
        <v>2</v>
      </c>
      <c r="D91" s="28" t="inlineStr">
        <is>
          <t>Fandom product page (Making table)</t>
        </is>
      </c>
      <c r="E91" s="28" t="inlineStr">
        <is>
          <t>https://hayday.fandom.com/wiki/Blackberry_Muffin</t>
        </is>
      </c>
    </row>
    <row r="92">
      <c r="A92" s="28" t="inlineStr">
        <is>
          <t>Blanket</t>
        </is>
      </c>
      <c r="B92" s="28" t="inlineStr">
        <is>
          <t>Cotton Fabric</t>
        </is>
      </c>
      <c r="C92" s="28" t="n">
        <v>3</v>
      </c>
      <c r="D92" s="28" t="inlineStr">
        <is>
          <t>Fandom product page (Making table)</t>
        </is>
      </c>
      <c r="E92" s="28" t="inlineStr">
        <is>
          <t>https://hayday.fandom.com/wiki/Blanket</t>
        </is>
      </c>
    </row>
    <row r="93">
      <c r="A93" s="28" t="inlineStr">
        <is>
          <t>Blanket</t>
        </is>
      </c>
      <c r="B93" s="28" t="inlineStr">
        <is>
          <t>Pumpkin</t>
        </is>
      </c>
      <c r="C93" s="28" t="n">
        <v>1</v>
      </c>
      <c r="D93" s="28" t="inlineStr">
        <is>
          <t>Fandom product page (Making table)</t>
        </is>
      </c>
      <c r="E93" s="28" t="inlineStr">
        <is>
          <t>https://hayday.fandom.com/wiki/Blanket</t>
        </is>
      </c>
    </row>
    <row r="94">
      <c r="A94" s="28" t="inlineStr">
        <is>
          <t>Blanket</t>
        </is>
      </c>
      <c r="B94" s="28" t="inlineStr">
        <is>
          <t>Duck Feather</t>
        </is>
      </c>
      <c r="C94" s="28" t="n">
        <v>5</v>
      </c>
      <c r="D94" s="28" t="inlineStr">
        <is>
          <t>Fandom product page (Making table)</t>
        </is>
      </c>
      <c r="E94" s="28" t="inlineStr">
        <is>
          <t>https://hayday.fandom.com/wiki/Blanket</t>
        </is>
      </c>
    </row>
    <row r="95">
      <c r="A95" s="28" t="inlineStr">
        <is>
          <t>Blue Sweater</t>
        </is>
      </c>
      <c r="B95" s="28" t="inlineStr">
        <is>
          <t>Wool</t>
        </is>
      </c>
      <c r="C95" s="28" t="n">
        <v>2</v>
      </c>
      <c r="D95" s="28" t="inlineStr">
        <is>
          <t>Fandom product page (Making table)</t>
        </is>
      </c>
      <c r="E95" s="28" t="inlineStr">
        <is>
          <t>https://hayday.fandom.com/wiki/Blue_Sweater</t>
        </is>
      </c>
    </row>
    <row r="96">
      <c r="A96" s="28" t="inlineStr">
        <is>
          <t>Blue Sweater</t>
        </is>
      </c>
      <c r="B96" s="28" t="inlineStr">
        <is>
          <t>indigo</t>
        </is>
      </c>
      <c r="C96" s="28" t="n">
        <v>2</v>
      </c>
      <c r="D96" s="28" t="inlineStr">
        <is>
          <t>Fandom product page (Making table)</t>
        </is>
      </c>
      <c r="E96" s="28" t="inlineStr">
        <is>
          <t>https://hayday.fandom.com/wiki/Blue_Sweater</t>
        </is>
      </c>
    </row>
    <row r="97">
      <c r="A97" s="28" t="inlineStr">
        <is>
          <t>Blue Woolly Hat</t>
        </is>
      </c>
      <c r="B97" s="28" t="inlineStr">
        <is>
          <t>Wool</t>
        </is>
      </c>
      <c r="C97" s="28" t="n">
        <v>1</v>
      </c>
      <c r="D97" s="28" t="inlineStr">
        <is>
          <t>Fandom product page (Making table)</t>
        </is>
      </c>
      <c r="E97" s="28" t="inlineStr">
        <is>
          <t>https://hayday.fandom.com/wiki/Blue_Woolly_Hat</t>
        </is>
      </c>
    </row>
    <row r="98">
      <c r="A98" s="28" t="inlineStr">
        <is>
          <t>Blue Woolly Hat</t>
        </is>
      </c>
      <c r="B98" s="28" t="inlineStr">
        <is>
          <t>Indigo</t>
        </is>
      </c>
      <c r="C98" s="28" t="n">
        <v>1</v>
      </c>
      <c r="D98" s="28" t="inlineStr">
        <is>
          <t>Fandom product page (Making table)</t>
        </is>
      </c>
      <c r="E98" s="28" t="inlineStr">
        <is>
          <t>https://hayday.fandom.com/wiki/Blue_Woolly_Hat</t>
        </is>
      </c>
    </row>
    <row r="99">
      <c r="A99" s="28" t="inlineStr">
        <is>
          <t>Blueberry Cheesecake</t>
        </is>
      </c>
      <c r="B99" s="28" t="inlineStr">
        <is>
          <t>Cheesecake</t>
        </is>
      </c>
      <c r="C99" s="28" t="n">
        <v>1</v>
      </c>
      <c r="D99" s="28" t="inlineStr">
        <is>
          <t>Fandom product page (Making table)</t>
        </is>
      </c>
      <c r="E99" s="28" t="inlineStr">
        <is>
          <t>https://hayday.fandom.com/wiki/Blueberry_Cheesecake</t>
        </is>
      </c>
    </row>
    <row r="100">
      <c r="A100" s="28" t="inlineStr">
        <is>
          <t>Blueberry Cheesecake</t>
        </is>
      </c>
      <c r="B100" s="28" t="inlineStr">
        <is>
          <t>Blueberries</t>
        </is>
      </c>
      <c r="C100" s="28" t="n">
        <v>2</v>
      </c>
      <c r="D100" s="28" t="inlineStr">
        <is>
          <t>Fandom product page (Making table)</t>
        </is>
      </c>
      <c r="E100" s="28" t="inlineStr">
        <is>
          <t>https://hayday.fandom.com/wiki/Blueberry_Cheesecake</t>
        </is>
      </c>
    </row>
    <row r="101">
      <c r="A101" s="28" t="inlineStr">
        <is>
          <t>Blueberry Chutney</t>
        </is>
      </c>
      <c r="B101" s="28" t="inlineStr">
        <is>
          <t>Brown Sugar</t>
        </is>
      </c>
      <c r="C101" s="28" t="n">
        <v>1</v>
      </c>
      <c r="D101" s="28" t="inlineStr">
        <is>
          <t>Fandom product page (Making table)</t>
        </is>
      </c>
      <c r="E101" s="28" t="inlineStr">
        <is>
          <t>https://hayday.fandom.com/wiki/Blueberry_Chutney</t>
        </is>
      </c>
    </row>
    <row r="102">
      <c r="A102" s="28" t="inlineStr">
        <is>
          <t>Blueberry Chutney</t>
        </is>
      </c>
      <c r="B102" s="28" t="inlineStr">
        <is>
          <t>Lemon</t>
        </is>
      </c>
      <c r="C102" s="28" t="n">
        <v>1</v>
      </c>
      <c r="D102" s="28" t="inlineStr">
        <is>
          <t>Fandom product page (Making table)</t>
        </is>
      </c>
      <c r="E102" s="28" t="inlineStr">
        <is>
          <t>https://hayday.fandom.com/wiki/Blueberry_Chutney</t>
        </is>
      </c>
    </row>
    <row r="103">
      <c r="A103" s="28" t="inlineStr">
        <is>
          <t>Blueberry Chutney</t>
        </is>
      </c>
      <c r="B103" s="28" t="inlineStr">
        <is>
          <t>Onion</t>
        </is>
      </c>
      <c r="C103" s="28" t="n">
        <v>1</v>
      </c>
      <c r="D103" s="28" t="inlineStr">
        <is>
          <t>Fandom product page (Making table)</t>
        </is>
      </c>
      <c r="E103" s="28" t="inlineStr">
        <is>
          <t>https://hayday.fandom.com/wiki/Blueberry_Chutney</t>
        </is>
      </c>
    </row>
    <row r="104">
      <c r="A104" s="28" t="inlineStr">
        <is>
          <t>Blueberry Chutney</t>
        </is>
      </c>
      <c r="B104" s="28" t="inlineStr">
        <is>
          <t>Blueberries</t>
        </is>
      </c>
      <c r="C104" s="28" t="n">
        <v>3</v>
      </c>
      <c r="D104" s="28" t="inlineStr">
        <is>
          <t>Fandom product page (Making table)</t>
        </is>
      </c>
      <c r="E104" s="28" t="inlineStr">
        <is>
          <t>https://hayday.fandom.com/wiki/Blueberry_Chutney</t>
        </is>
      </c>
    </row>
    <row r="105">
      <c r="A105" s="28" t="inlineStr">
        <is>
          <t>Blueberry Muffin</t>
        </is>
      </c>
      <c r="B105" s="28" t="inlineStr">
        <is>
          <t>Wheat</t>
        </is>
      </c>
      <c r="C105" s="28" t="n">
        <v>1</v>
      </c>
      <c r="D105" s="28" t="inlineStr">
        <is>
          <t>Fandom product page (Making table)</t>
        </is>
      </c>
      <c r="E105" s="28" t="inlineStr">
        <is>
          <t>https://hayday.fandom.com/wiki/Blueberry_Muffin</t>
        </is>
      </c>
    </row>
    <row r="106">
      <c r="A106" s="28" t="inlineStr">
        <is>
          <t>Blueberry Muffin</t>
        </is>
      </c>
      <c r="B106" s="28" t="inlineStr">
        <is>
          <t>Egg</t>
        </is>
      </c>
      <c r="C106" s="28" t="n">
        <v>2</v>
      </c>
      <c r="D106" s="28" t="inlineStr">
        <is>
          <t>Fandom product page (Making table)</t>
        </is>
      </c>
      <c r="E106" s="28" t="inlineStr">
        <is>
          <t>https://hayday.fandom.com/wiki/Blueberry_Muffin</t>
        </is>
      </c>
    </row>
    <row r="107">
      <c r="A107" s="28" t="inlineStr">
        <is>
          <t>Blueberry Muffin</t>
        </is>
      </c>
      <c r="B107" s="28" t="inlineStr">
        <is>
          <t>Blueberries</t>
        </is>
      </c>
      <c r="C107" s="28" t="n">
        <v>2</v>
      </c>
      <c r="D107" s="28" t="inlineStr">
        <is>
          <t>Fandom product page (Making table)</t>
        </is>
      </c>
      <c r="E107" s="28" t="inlineStr">
        <is>
          <t>https://hayday.fandom.com/wiki/Blueberry_Muffin</t>
        </is>
      </c>
    </row>
    <row r="108">
      <c r="A108" s="28" t="inlineStr">
        <is>
          <t>Bracelet</t>
        </is>
      </c>
      <c r="B108" s="28" t="inlineStr">
        <is>
          <t>Silver Bar</t>
        </is>
      </c>
      <c r="C108" s="28" t="n">
        <v>2</v>
      </c>
      <c r="D108" s="28" t="inlineStr">
        <is>
          <t>Fandom product page (Making table)</t>
        </is>
      </c>
      <c r="E108" s="28" t="inlineStr">
        <is>
          <t>https://hayday.fandom.com/wiki/Bracelet</t>
        </is>
      </c>
    </row>
    <row r="109">
      <c r="A109" s="28" t="inlineStr">
        <is>
          <t>Bracelet</t>
        </is>
      </c>
      <c r="B109" s="28" t="inlineStr">
        <is>
          <t>Gold Bar</t>
        </is>
      </c>
      <c r="C109" s="28" t="n">
        <v>1</v>
      </c>
      <c r="D109" s="28" t="inlineStr">
        <is>
          <t>Fandom product page (Making table)</t>
        </is>
      </c>
      <c r="E109" s="28" t="inlineStr">
        <is>
          <t>https://hayday.fandom.com/wiki/Bracelet</t>
        </is>
      </c>
    </row>
    <row r="110">
      <c r="A110" s="28" t="inlineStr">
        <is>
          <t>Bread</t>
        </is>
      </c>
      <c r="B110" s="28" t="inlineStr">
        <is>
          <t>Wheat</t>
        </is>
      </c>
      <c r="C110" s="28" t="n">
        <v>3</v>
      </c>
      <c r="D110" s="28" t="inlineStr">
        <is>
          <t>Fandom product page (Making table)</t>
        </is>
      </c>
      <c r="E110" s="28" t="inlineStr">
        <is>
          <t>https://hayday.fandom.com/wiki/Bread</t>
        </is>
      </c>
    </row>
    <row r="111">
      <c r="A111" s="28" t="inlineStr">
        <is>
          <t>Breakfast Bowl</t>
        </is>
      </c>
      <c r="B111" s="28" t="inlineStr">
        <is>
          <t>Plain Yogurt</t>
        </is>
      </c>
      <c r="C111" s="28" t="n">
        <v>1</v>
      </c>
      <c r="D111" s="28" t="inlineStr">
        <is>
          <t>Fandom product page (Making table)</t>
        </is>
      </c>
      <c r="E111" s="28" t="inlineStr">
        <is>
          <t>https://hayday.fandom.com/wiki/Breakfast_Bowl</t>
        </is>
      </c>
    </row>
    <row r="112">
      <c r="A112" s="28" t="inlineStr">
        <is>
          <t>Breakfast Bowl</t>
        </is>
      </c>
      <c r="B112" s="28" t="inlineStr">
        <is>
          <t>Oats</t>
        </is>
      </c>
      <c r="C112" s="28" t="n">
        <v>4</v>
      </c>
      <c r="D112" s="28" t="inlineStr">
        <is>
          <t>Fandom product page (Making table)</t>
        </is>
      </c>
      <c r="E112" s="28" t="inlineStr">
        <is>
          <t>https://hayday.fandom.com/wiki/Breakfast_Bowl</t>
        </is>
      </c>
    </row>
    <row r="113">
      <c r="A113" s="28" t="inlineStr">
        <is>
          <t>Breakfast Bowl</t>
        </is>
      </c>
      <c r="B113" s="28" t="inlineStr">
        <is>
          <t>Honey</t>
        </is>
      </c>
      <c r="C113" s="28" t="n">
        <v>1</v>
      </c>
      <c r="D113" s="28" t="inlineStr">
        <is>
          <t>Fandom product page (Making table)</t>
        </is>
      </c>
      <c r="E113" s="28" t="inlineStr">
        <is>
          <t>https://hayday.fandom.com/wiki/Breakfast_Bowl</t>
        </is>
      </c>
    </row>
    <row r="114">
      <c r="A114" s="28" t="inlineStr">
        <is>
          <t>Breakfast Bowl</t>
        </is>
      </c>
      <c r="B114" s="28" t="inlineStr">
        <is>
          <t>Blackberry</t>
        </is>
      </c>
      <c r="C114" s="28" t="n">
        <v>2</v>
      </c>
      <c r="D114" s="28" t="inlineStr">
        <is>
          <t>Fandom product page (Making table)</t>
        </is>
      </c>
      <c r="E114" s="28" t="inlineStr">
        <is>
          <t>https://hayday.fandom.com/wiki/Breakfast_Bowl</t>
        </is>
      </c>
    </row>
    <row r="115">
      <c r="A115" s="28" t="inlineStr">
        <is>
          <t>Bright Bouquet</t>
        </is>
      </c>
      <c r="B115" s="28" t="inlineStr">
        <is>
          <t>Sunflower</t>
        </is>
      </c>
      <c r="C115" s="28" t="n">
        <v>5</v>
      </c>
      <c r="D115" s="28" t="inlineStr">
        <is>
          <t>Fandom product page (Making table)</t>
        </is>
      </c>
      <c r="E115" s="28" t="inlineStr">
        <is>
          <t>https://hayday.fandom.com/wiki/Bright_Bouquet</t>
        </is>
      </c>
    </row>
    <row r="116">
      <c r="A116" s="28" t="inlineStr">
        <is>
          <t>Bright Bouquet</t>
        </is>
      </c>
      <c r="B116" s="28" t="inlineStr">
        <is>
          <t>Indigo</t>
        </is>
      </c>
      <c r="C116" s="28" t="n">
        <v>3</v>
      </c>
      <c r="D116" s="28" t="inlineStr">
        <is>
          <t>Fandom product page (Making table)</t>
        </is>
      </c>
      <c r="E116" s="28" t="inlineStr">
        <is>
          <t>https://hayday.fandom.com/wiki/Bright_Bouquet</t>
        </is>
      </c>
    </row>
    <row r="117">
      <c r="A117" s="28" t="inlineStr">
        <is>
          <t>Bright Bouquet</t>
        </is>
      </c>
      <c r="B117" s="28" t="inlineStr">
        <is>
          <t>Cotton</t>
        </is>
      </c>
      <c r="C117" s="28" t="n">
        <v>1</v>
      </c>
      <c r="D117" s="28" t="inlineStr">
        <is>
          <t>Fandom product page (Making table)</t>
        </is>
      </c>
      <c r="E117" s="28" t="inlineStr">
        <is>
          <t>https://hayday.fandom.com/wiki/Bright_Bouquet</t>
        </is>
      </c>
    </row>
    <row r="118">
      <c r="A118" s="28" t="inlineStr">
        <is>
          <t>Bright Bouquet</t>
        </is>
      </c>
      <c r="B118" s="28" t="inlineStr">
        <is>
          <t>Iron Ore</t>
        </is>
      </c>
      <c r="C118" s="28" t="n">
        <v>5</v>
      </c>
      <c r="D118" s="28" t="inlineStr">
        <is>
          <t>Fandom product page (Making table)</t>
        </is>
      </c>
      <c r="E118" s="28" t="inlineStr">
        <is>
          <t>https://hayday.fandom.com/wiki/Bright_Bouquet</t>
        </is>
      </c>
    </row>
    <row r="119">
      <c r="A119" s="28" t="inlineStr">
        <is>
          <t>Broccoli Pasta</t>
        </is>
      </c>
      <c r="B119" s="28" t="inlineStr">
        <is>
          <t>Broccoli</t>
        </is>
      </c>
      <c r="C119" s="28" t="n">
        <v>3</v>
      </c>
      <c r="D119" s="28" t="inlineStr">
        <is>
          <t>Fandom product page (Making table)</t>
        </is>
      </c>
      <c r="E119" s="28" t="inlineStr">
        <is>
          <t>https://hayday.fandom.com/wiki/Broccoli_Pasta</t>
        </is>
      </c>
    </row>
    <row r="120">
      <c r="A120" s="28" t="inlineStr">
        <is>
          <t>Broccoli Pasta</t>
        </is>
      </c>
      <c r="B120" s="28" t="inlineStr">
        <is>
          <t>Cheese</t>
        </is>
      </c>
      <c r="C120" s="28" t="n">
        <v>1</v>
      </c>
      <c r="D120" s="28" t="inlineStr">
        <is>
          <t>Fandom product page (Making table)</t>
        </is>
      </c>
      <c r="E120" s="28" t="inlineStr">
        <is>
          <t>https://hayday.fandom.com/wiki/Broccoli_Pasta</t>
        </is>
      </c>
    </row>
    <row r="121">
      <c r="A121" s="28" t="inlineStr">
        <is>
          <t>Broccoli Pasta</t>
        </is>
      </c>
      <c r="B121" s="28" t="inlineStr">
        <is>
          <t>Fresh Pasta</t>
        </is>
      </c>
      <c r="C121" s="28" t="n">
        <v>3</v>
      </c>
      <c r="D121" s="28" t="inlineStr">
        <is>
          <t>Fandom product page (Making table)</t>
        </is>
      </c>
      <c r="E121" s="28" t="inlineStr">
        <is>
          <t>https://hayday.fandom.com/wiki/Broccoli_Pasta</t>
        </is>
      </c>
    </row>
    <row r="122">
      <c r="A122" s="28" t="inlineStr">
        <is>
          <t>Broccoli Soup</t>
        </is>
      </c>
      <c r="B122" s="28" t="inlineStr">
        <is>
          <t>Broccoli</t>
        </is>
      </c>
      <c r="C122" s="28" t="n">
        <v>3</v>
      </c>
      <c r="D122" s="28" t="inlineStr">
        <is>
          <t>Fandom product page (Making table)</t>
        </is>
      </c>
      <c r="E122" s="28" t="inlineStr">
        <is>
          <t>https://hayday.fandom.com/wiki/Broccoli_Soup</t>
        </is>
      </c>
    </row>
    <row r="123">
      <c r="A123" s="28" t="inlineStr">
        <is>
          <t>Broccoli Soup</t>
        </is>
      </c>
      <c r="B123" s="28" t="inlineStr">
        <is>
          <t>Onion</t>
        </is>
      </c>
      <c r="C123" s="28" t="n">
        <v>1</v>
      </c>
      <c r="D123" s="28" t="inlineStr">
        <is>
          <t>Fandom product page (Making table)</t>
        </is>
      </c>
      <c r="E123" s="28" t="inlineStr">
        <is>
          <t>https://hayday.fandom.com/wiki/Broccoli_Soup</t>
        </is>
      </c>
    </row>
    <row r="124">
      <c r="A124" s="28" t="inlineStr">
        <is>
          <t>Broccoli Soup</t>
        </is>
      </c>
      <c r="B124" s="28" t="inlineStr">
        <is>
          <t>Potato</t>
        </is>
      </c>
      <c r="C124" s="28" t="n">
        <v>3</v>
      </c>
      <c r="D124" s="28" t="inlineStr">
        <is>
          <t>Fandom product page (Making table)</t>
        </is>
      </c>
      <c r="E124" s="28" t="inlineStr">
        <is>
          <t>https://hayday.fandom.com/wiki/Broccoli_Soup</t>
        </is>
      </c>
    </row>
    <row r="125">
      <c r="A125" s="28" t="inlineStr">
        <is>
          <t>Brown Sugar</t>
        </is>
      </c>
      <c r="B125" s="28" t="inlineStr">
        <is>
          <t>Sugarcane</t>
        </is>
      </c>
      <c r="C125" s="28" t="n">
        <v>1</v>
      </c>
      <c r="D125" s="28" t="inlineStr">
        <is>
          <t>Fandom product page (Making table)</t>
        </is>
      </c>
      <c r="E125" s="28" t="inlineStr">
        <is>
          <t>https://hayday.fandom.com/wiki/Brown_Sugar</t>
        </is>
      </c>
    </row>
    <row r="126">
      <c r="A126" s="28" t="inlineStr">
        <is>
          <t>Butter</t>
        </is>
      </c>
      <c r="B126" s="28" t="inlineStr">
        <is>
          <t>Milk</t>
        </is>
      </c>
      <c r="C126" s="28" t="n">
        <v>2</v>
      </c>
      <c r="D126" s="28" t="inlineStr">
        <is>
          <t>Fandom product page (Making table)</t>
        </is>
      </c>
      <c r="E126" s="28" t="inlineStr">
        <is>
          <t>https://hayday.fandom.com/wiki/Butter</t>
        </is>
      </c>
    </row>
    <row r="127">
      <c r="A127" s="28" t="inlineStr">
        <is>
          <t>Buttered Popcorn</t>
        </is>
      </c>
      <c r="B127" s="28" t="inlineStr">
        <is>
          <t>Corn</t>
        </is>
      </c>
      <c r="C127" s="28" t="n">
        <v>2</v>
      </c>
      <c r="D127" s="28" t="inlineStr">
        <is>
          <t>Fandom product page (Making table)</t>
        </is>
      </c>
      <c r="E127" s="28" t="inlineStr">
        <is>
          <t>https://hayday.fandom.com/wiki/Buttered_Popcorn</t>
        </is>
      </c>
    </row>
    <row r="128">
      <c r="A128" s="28" t="inlineStr">
        <is>
          <t>Buttered Popcorn</t>
        </is>
      </c>
      <c r="B128" s="28" t="inlineStr">
        <is>
          <t>Butter</t>
        </is>
      </c>
      <c r="C128" s="28" t="n">
        <v>1</v>
      </c>
      <c r="D128" s="28" t="inlineStr">
        <is>
          <t>Fandom product page (Making table)</t>
        </is>
      </c>
      <c r="E128" s="28" t="inlineStr">
        <is>
          <t>https://hayday.fandom.com/wiki/Buttered_Popcorn</t>
        </is>
      </c>
    </row>
    <row r="129">
      <c r="A129" s="28" t="inlineStr">
        <is>
          <t>Cabbage Soup</t>
        </is>
      </c>
      <c r="B129" s="28" t="inlineStr">
        <is>
          <t>Cabbage</t>
        </is>
      </c>
      <c r="C129" s="28" t="n">
        <v>3</v>
      </c>
      <c r="D129" s="28" t="inlineStr">
        <is>
          <t>Fandom product page (Making table)</t>
        </is>
      </c>
      <c r="E129" s="28" t="inlineStr">
        <is>
          <t>https://hayday.fandom.com/wiki/Cabbage_Soup</t>
        </is>
      </c>
    </row>
    <row r="130">
      <c r="A130" s="28" t="inlineStr">
        <is>
          <t>Cabbage Soup</t>
        </is>
      </c>
      <c r="B130" s="28" t="inlineStr">
        <is>
          <t>Bacon</t>
        </is>
      </c>
      <c r="C130" s="28" t="n">
        <v>2</v>
      </c>
      <c r="D130" s="28" t="inlineStr">
        <is>
          <t>Fandom product page (Making table)</t>
        </is>
      </c>
      <c r="E130" s="28" t="inlineStr">
        <is>
          <t>https://hayday.fandom.com/wiki/Cabbage_Soup</t>
        </is>
      </c>
    </row>
    <row r="131">
      <c r="A131" s="28" t="inlineStr">
        <is>
          <t>Cabbage Soup</t>
        </is>
      </c>
      <c r="B131" s="28" t="inlineStr">
        <is>
          <t>Potato</t>
        </is>
      </c>
      <c r="C131" s="28" t="n">
        <v>2</v>
      </c>
      <c r="D131" s="28" t="inlineStr">
        <is>
          <t>Fandom product page (Making table)</t>
        </is>
      </c>
      <c r="E131" s="28" t="inlineStr">
        <is>
          <t>https://hayday.fandom.com/wiki/Cabbage_Soup</t>
        </is>
      </c>
    </row>
    <row r="132">
      <c r="A132" s="28" t="inlineStr">
        <is>
          <t>Cabbage Soup</t>
        </is>
      </c>
      <c r="B132" s="28" t="inlineStr">
        <is>
          <t>Carrot</t>
        </is>
      </c>
      <c r="C132" s="28" t="n">
        <v>2</v>
      </c>
      <c r="D132" s="28" t="inlineStr">
        <is>
          <t>Fandom product page (Making table)</t>
        </is>
      </c>
      <c r="E132" s="28" t="inlineStr">
        <is>
          <t>https://hayday.fandom.com/wiki/Cabbage_Soup</t>
        </is>
      </c>
    </row>
    <row r="133">
      <c r="A133" s="28" t="inlineStr">
        <is>
          <t>Caffè Latte</t>
        </is>
      </c>
      <c r="B133" s="28" t="inlineStr">
        <is>
          <t>Coffee Bean</t>
        </is>
      </c>
      <c r="C133" s="28" t="n">
        <v>2</v>
      </c>
      <c r="D133" s="28" t="inlineStr">
        <is>
          <t>Fandom product page (Making table)</t>
        </is>
      </c>
      <c r="E133" s="28" t="inlineStr">
        <is>
          <t>https://hayday.fandom.com/wiki/Caffè_Latte</t>
        </is>
      </c>
    </row>
    <row r="134">
      <c r="A134" s="28" t="inlineStr">
        <is>
          <t>Caffè Latte</t>
        </is>
      </c>
      <c r="B134" s="28" t="inlineStr">
        <is>
          <t>White Sugar</t>
        </is>
      </c>
      <c r="C134" s="28" t="n">
        <v>1</v>
      </c>
      <c r="D134" s="28" t="inlineStr">
        <is>
          <t>Fandom product page (Making table)</t>
        </is>
      </c>
      <c r="E134" s="28" t="inlineStr">
        <is>
          <t>https://hayday.fandom.com/wiki/Caffè_Latte</t>
        </is>
      </c>
    </row>
    <row r="135">
      <c r="A135" s="28" t="inlineStr">
        <is>
          <t>Caffè Latte</t>
        </is>
      </c>
      <c r="B135" s="28" t="inlineStr">
        <is>
          <t>Milk</t>
        </is>
      </c>
      <c r="C135" s="28" t="n">
        <v>1</v>
      </c>
      <c r="D135" s="28" t="inlineStr">
        <is>
          <t>Fandom product page (Making table)</t>
        </is>
      </c>
      <c r="E135" s="28" t="inlineStr">
        <is>
          <t>https://hayday.fandom.com/wiki/Caffè_Latte</t>
        </is>
      </c>
    </row>
    <row r="136">
      <c r="A136" s="28" t="inlineStr">
        <is>
          <t>Caffè Mocha</t>
        </is>
      </c>
      <c r="B136" s="28" t="inlineStr">
        <is>
          <t>Coffee Bean</t>
        </is>
      </c>
      <c r="C136" s="28" t="n">
        <v>1</v>
      </c>
      <c r="D136" s="28" t="inlineStr">
        <is>
          <t>Fandom product page (Making table)</t>
        </is>
      </c>
      <c r="E136" s="28" t="inlineStr">
        <is>
          <t>https://hayday.fandom.com/wiki/Caffè_Mocha</t>
        </is>
      </c>
    </row>
    <row r="137">
      <c r="A137" s="28" t="inlineStr">
        <is>
          <t>Caffè Mocha</t>
        </is>
      </c>
      <c r="B137" s="28" t="inlineStr">
        <is>
          <t>Cream</t>
        </is>
      </c>
      <c r="C137" s="28" t="n">
        <v>1</v>
      </c>
      <c r="D137" s="28" t="inlineStr">
        <is>
          <t>Fandom product page (Making table)</t>
        </is>
      </c>
      <c r="E137" s="28" t="inlineStr">
        <is>
          <t>https://hayday.fandom.com/wiki/Caffè_Mocha</t>
        </is>
      </c>
    </row>
    <row r="138">
      <c r="A138" s="28" t="inlineStr">
        <is>
          <t>Caffè Mocha</t>
        </is>
      </c>
      <c r="B138" s="28" t="inlineStr">
        <is>
          <t>Cacao</t>
        </is>
      </c>
      <c r="C138" s="28" t="n">
        <v>2</v>
      </c>
      <c r="D138" s="28" t="inlineStr">
        <is>
          <t>Fandom product page (Making table)</t>
        </is>
      </c>
      <c r="E138" s="28" t="inlineStr">
        <is>
          <t>https://hayday.fandom.com/wiki/Caffè_Mocha</t>
        </is>
      </c>
    </row>
    <row r="139">
      <c r="A139" s="28" t="inlineStr">
        <is>
          <t>Candy Bouquet</t>
        </is>
      </c>
      <c r="B139" s="28" t="inlineStr">
        <is>
          <t>Peony</t>
        </is>
      </c>
      <c r="C139" s="28" t="n">
        <v>3</v>
      </c>
      <c r="D139" s="28" t="inlineStr">
        <is>
          <t>Fandom product page (Making table)</t>
        </is>
      </c>
      <c r="E139" s="28" t="inlineStr">
        <is>
          <t>https://hayday.fandom.com/wiki/Candy_Bouquet</t>
        </is>
      </c>
    </row>
    <row r="140">
      <c r="A140" s="28" t="inlineStr">
        <is>
          <t>Candy Bouquet</t>
        </is>
      </c>
      <c r="B140" s="28" t="inlineStr">
        <is>
          <t>Caramel Apple</t>
        </is>
      </c>
      <c r="C140" s="28" t="n">
        <v>1</v>
      </c>
      <c r="D140" s="28" t="inlineStr">
        <is>
          <t>Fandom product page (Making table)</t>
        </is>
      </c>
      <c r="E140" s="28" t="inlineStr">
        <is>
          <t>https://hayday.fandom.com/wiki/Candy_Bouquet</t>
        </is>
      </c>
    </row>
    <row r="141">
      <c r="A141" s="28" t="inlineStr">
        <is>
          <t>Candy Bouquet</t>
        </is>
      </c>
      <c r="B141" s="28" t="inlineStr">
        <is>
          <t>Toffee</t>
        </is>
      </c>
      <c r="C141" s="28" t="n">
        <v>1</v>
      </c>
      <c r="D141" s="28" t="inlineStr">
        <is>
          <t>Fandom product page (Making table)</t>
        </is>
      </c>
      <c r="E141" s="28" t="inlineStr">
        <is>
          <t>https://hayday.fandom.com/wiki/Candy_Bouquet</t>
        </is>
      </c>
    </row>
    <row r="142">
      <c r="A142" s="28" t="inlineStr">
        <is>
          <t>Canned Fish</t>
        </is>
      </c>
      <c r="B142" s="28" t="inlineStr">
        <is>
          <t>Fish Fillet</t>
        </is>
      </c>
      <c r="C142" s="28" t="n">
        <v>2</v>
      </c>
      <c r="D142" s="28" t="inlineStr">
        <is>
          <t>Fandom product page (Making table)</t>
        </is>
      </c>
      <c r="E142" s="28" t="inlineStr">
        <is>
          <t>https://hayday.fandom.com/wiki/Canned_Fish</t>
        </is>
      </c>
    </row>
    <row r="143">
      <c r="A143" s="28" t="inlineStr">
        <is>
          <t>Canned Fish</t>
        </is>
      </c>
      <c r="B143" s="28" t="inlineStr">
        <is>
          <t>Chili Pepper</t>
        </is>
      </c>
      <c r="C143" s="28" t="n">
        <v>1</v>
      </c>
      <c r="D143" s="28" t="inlineStr">
        <is>
          <t>Fandom product page (Making table)</t>
        </is>
      </c>
      <c r="E143" s="28" t="inlineStr">
        <is>
          <t>https://hayday.fandom.com/wiki/Canned_Fish</t>
        </is>
      </c>
    </row>
    <row r="144">
      <c r="A144" s="28" t="inlineStr">
        <is>
          <t>Canned Fish</t>
        </is>
      </c>
      <c r="B144" s="28" t="inlineStr">
        <is>
          <t>Olive Oil</t>
        </is>
      </c>
      <c r="C144" s="28" t="n">
        <v>1</v>
      </c>
      <c r="D144" s="28" t="inlineStr">
        <is>
          <t>Fandom product page (Making table)</t>
        </is>
      </c>
      <c r="E144" s="28" t="inlineStr">
        <is>
          <t>https://hayday.fandom.com/wiki/Canned_Fish</t>
        </is>
      </c>
    </row>
    <row r="145">
      <c r="A145" s="28" t="inlineStr">
        <is>
          <t>Caramel Apple</t>
        </is>
      </c>
      <c r="B145" s="28" t="inlineStr">
        <is>
          <t>Syrup</t>
        </is>
      </c>
      <c r="C145" s="28" t="n">
        <v>2</v>
      </c>
      <c r="D145" s="28" t="inlineStr">
        <is>
          <t>Fandom product page (Making table)</t>
        </is>
      </c>
      <c r="E145" s="28" t="inlineStr">
        <is>
          <t>https://hayday.fandom.com/wiki/Caramel_Apple</t>
        </is>
      </c>
    </row>
    <row r="146">
      <c r="A146" s="28" t="inlineStr">
        <is>
          <t>Caramel Apple</t>
        </is>
      </c>
      <c r="B146" s="28" t="inlineStr">
        <is>
          <t>Apple</t>
        </is>
      </c>
      <c r="C146" s="28" t="n">
        <v>1</v>
      </c>
      <c r="D146" s="28" t="inlineStr">
        <is>
          <t>Fandom product page (Making table)</t>
        </is>
      </c>
      <c r="E146" s="28" t="inlineStr">
        <is>
          <t>https://hayday.fandom.com/wiki/Caramel_Apple</t>
        </is>
      </c>
    </row>
    <row r="147">
      <c r="A147" s="28" t="inlineStr">
        <is>
          <t>Caramel Latte</t>
        </is>
      </c>
      <c r="B147" s="28" t="inlineStr">
        <is>
          <t>Coffee Bean</t>
        </is>
      </c>
      <c r="C147" s="28" t="n">
        <v>2</v>
      </c>
      <c r="D147" s="28" t="inlineStr">
        <is>
          <t>Fandom product page (Making table)</t>
        </is>
      </c>
      <c r="E147" s="28" t="inlineStr">
        <is>
          <t>https://hayday.fandom.com/wiki/Caramel_Latte</t>
        </is>
      </c>
    </row>
    <row r="148">
      <c r="A148" s="28" t="inlineStr">
        <is>
          <t>Caramel Latte</t>
        </is>
      </c>
      <c r="B148" s="28" t="inlineStr">
        <is>
          <t>Toffee</t>
        </is>
      </c>
      <c r="C148" s="28" t="n">
        <v>1</v>
      </c>
      <c r="D148" s="28" t="inlineStr">
        <is>
          <t>Fandom product page (Making table)</t>
        </is>
      </c>
      <c r="E148" s="28" t="inlineStr">
        <is>
          <t>https://hayday.fandom.com/wiki/Caramel_Latte</t>
        </is>
      </c>
    </row>
    <row r="149">
      <c r="A149" s="28" t="inlineStr">
        <is>
          <t>Caramel Latte</t>
        </is>
      </c>
      <c r="B149" s="28" t="inlineStr">
        <is>
          <t>Milk</t>
        </is>
      </c>
      <c r="C149" s="28" t="n">
        <v>1</v>
      </c>
      <c r="D149" s="28" t="inlineStr">
        <is>
          <t>Fandom product page (Making table)</t>
        </is>
      </c>
      <c r="E149" s="28" t="inlineStr">
        <is>
          <t>https://hayday.fandom.com/wiki/Caramel_Latte</t>
        </is>
      </c>
    </row>
    <row r="150">
      <c r="A150" s="28" t="inlineStr">
        <is>
          <t>Carrot Cake</t>
        </is>
      </c>
      <c r="B150" s="28" t="inlineStr">
        <is>
          <t>Carrot</t>
        </is>
      </c>
      <c r="C150" s="28" t="n">
        <v>2</v>
      </c>
      <c r="D150" s="28" t="inlineStr">
        <is>
          <t>Fandom product page (Making table)</t>
        </is>
      </c>
      <c r="E150" s="28" t="inlineStr">
        <is>
          <t>https://hayday.fandom.com/wiki/Carrot_Cake</t>
        </is>
      </c>
    </row>
    <row r="151">
      <c r="A151" s="28" t="inlineStr">
        <is>
          <t>Carrot Cake</t>
        </is>
      </c>
      <c r="B151" s="28" t="inlineStr">
        <is>
          <t>Butter</t>
        </is>
      </c>
      <c r="C151" s="28" t="n">
        <v>1</v>
      </c>
      <c r="D151" s="28" t="inlineStr">
        <is>
          <t>Fandom product page (Making table)</t>
        </is>
      </c>
      <c r="E151" s="28" t="inlineStr">
        <is>
          <t>https://hayday.fandom.com/wiki/Carrot_Cake</t>
        </is>
      </c>
    </row>
    <row r="152">
      <c r="A152" s="28" t="inlineStr">
        <is>
          <t>Carrot Cake</t>
        </is>
      </c>
      <c r="B152" s="28" t="inlineStr">
        <is>
          <t>Brown Sugar</t>
        </is>
      </c>
      <c r="C152" s="28" t="n">
        <v>1</v>
      </c>
      <c r="D152" s="28" t="inlineStr">
        <is>
          <t>Fandom product page (Making table)</t>
        </is>
      </c>
      <c r="E152" s="28" t="inlineStr">
        <is>
          <t>https://hayday.fandom.com/wiki/Carrot_Cake</t>
        </is>
      </c>
    </row>
    <row r="153">
      <c r="A153" s="28" t="inlineStr">
        <is>
          <t>Carrot Juice</t>
        </is>
      </c>
      <c r="B153" s="28" t="inlineStr">
        <is>
          <t>Carrot</t>
        </is>
      </c>
      <c r="C153" s="28" t="n">
        <v>3</v>
      </c>
      <c r="D153" s="28" t="inlineStr">
        <is>
          <t>Fandom product page (Making table)</t>
        </is>
      </c>
      <c r="E153" s="28" t="inlineStr">
        <is>
          <t>https://hayday.fandom.com/wiki/Carrot_Juice</t>
        </is>
      </c>
    </row>
    <row r="154">
      <c r="A154" s="28" t="inlineStr">
        <is>
          <t>Carrot Pie</t>
        </is>
      </c>
      <c r="B154" s="28" t="inlineStr">
        <is>
          <t>Carrot</t>
        </is>
      </c>
      <c r="C154" s="28" t="n">
        <v>3</v>
      </c>
      <c r="D154" s="28" t="inlineStr">
        <is>
          <t>Fandom product page (Making table)</t>
        </is>
      </c>
      <c r="E154" s="28" t="inlineStr">
        <is>
          <t>https://hayday.fandom.com/wiki/Carrot_Pie</t>
        </is>
      </c>
    </row>
    <row r="155">
      <c r="A155" s="28" t="inlineStr">
        <is>
          <t>Carrot Pie</t>
        </is>
      </c>
      <c r="B155" s="28" t="inlineStr">
        <is>
          <t>Wheat</t>
        </is>
      </c>
      <c r="C155" s="28" t="n">
        <v>2</v>
      </c>
      <c r="D155" s="28" t="inlineStr">
        <is>
          <t>Fandom product page (Making table)</t>
        </is>
      </c>
      <c r="E155" s="28" t="inlineStr">
        <is>
          <t>https://hayday.fandom.com/wiki/Carrot_Pie</t>
        </is>
      </c>
    </row>
    <row r="156">
      <c r="A156" s="28" t="inlineStr">
        <is>
          <t>Carrot Pie</t>
        </is>
      </c>
      <c r="B156" s="28" t="inlineStr">
        <is>
          <t>Egg</t>
        </is>
      </c>
      <c r="C156" s="28" t="n">
        <v>1</v>
      </c>
      <c r="D156" s="28" t="inlineStr">
        <is>
          <t>Fandom product page (Making table)</t>
        </is>
      </c>
      <c r="E156" s="28" t="inlineStr">
        <is>
          <t>https://hayday.fandom.com/wiki/Carrot_Pie</t>
        </is>
      </c>
    </row>
    <row r="157">
      <c r="A157" s="28" t="inlineStr">
        <is>
          <t>Casserole</t>
        </is>
      </c>
      <c r="B157" s="28" t="inlineStr">
        <is>
          <t>Potato</t>
        </is>
      </c>
      <c r="C157" s="28" t="n">
        <v>2</v>
      </c>
      <c r="D157" s="28" t="inlineStr">
        <is>
          <t>Fandom product page (Making table)</t>
        </is>
      </c>
      <c r="E157" s="28" t="inlineStr">
        <is>
          <t>https://hayday.fandom.com/wiki/Casserole</t>
        </is>
      </c>
    </row>
    <row r="158">
      <c r="A158" s="28" t="inlineStr">
        <is>
          <t>Casserole</t>
        </is>
      </c>
      <c r="B158" s="28" t="inlineStr">
        <is>
          <t>Bacon</t>
        </is>
      </c>
      <c r="C158" s="28" t="n">
        <v>2</v>
      </c>
      <c r="D158" s="28" t="inlineStr">
        <is>
          <t>Fandom product page (Making table)</t>
        </is>
      </c>
      <c r="E158" s="28" t="inlineStr">
        <is>
          <t>https://hayday.fandom.com/wiki/Casserole</t>
        </is>
      </c>
    </row>
    <row r="159">
      <c r="A159" s="28" t="inlineStr">
        <is>
          <t>Casserole</t>
        </is>
      </c>
      <c r="B159" s="28" t="inlineStr">
        <is>
          <t>Egg</t>
        </is>
      </c>
      <c r="C159" s="28" t="n">
        <v>2</v>
      </c>
      <c r="D159" s="28" t="inlineStr">
        <is>
          <t>Fandom product page (Making table)</t>
        </is>
      </c>
      <c r="E159" s="28" t="inlineStr">
        <is>
          <t>https://hayday.fandom.com/wiki/Casserole</t>
        </is>
      </c>
    </row>
    <row r="160">
      <c r="A160" s="28" t="inlineStr">
        <is>
          <t>Casserole</t>
        </is>
      </c>
      <c r="B160" s="28" t="inlineStr">
        <is>
          <t>Cheese</t>
        </is>
      </c>
      <c r="C160" s="28" t="n">
        <v>1</v>
      </c>
      <c r="D160" s="28" t="inlineStr">
        <is>
          <t>Fandom product page (Making table)</t>
        </is>
      </c>
      <c r="E160" s="28" t="inlineStr">
        <is>
          <t>https://hayday.fandom.com/wiki/Casserole</t>
        </is>
      </c>
    </row>
    <row r="161">
      <c r="A161" s="28" t="inlineStr">
        <is>
          <t>Chamomile Tea</t>
        </is>
      </c>
      <c r="B161" s="28" t="inlineStr">
        <is>
          <t>Chamomile</t>
        </is>
      </c>
      <c r="C161" s="28" t="n">
        <v>5</v>
      </c>
      <c r="D161" s="28" t="inlineStr">
        <is>
          <t>Fandom product page (Making table)</t>
        </is>
      </c>
      <c r="E161" s="28" t="inlineStr">
        <is>
          <t>https://hayday.fandom.com/wiki/Chamomile_Tea</t>
        </is>
      </c>
    </row>
    <row r="162">
      <c r="A162" s="28" t="inlineStr">
        <is>
          <t>Chamomile Tea</t>
        </is>
      </c>
      <c r="B162" s="28" t="inlineStr">
        <is>
          <t>Honeycomb</t>
        </is>
      </c>
      <c r="C162" s="28" t="n">
        <v>1</v>
      </c>
      <c r="D162" s="28" t="inlineStr">
        <is>
          <t>Fandom product page (Making table)</t>
        </is>
      </c>
      <c r="E162" s="28" t="inlineStr">
        <is>
          <t>https://hayday.fandom.com/wiki/Chamomile_Tea</t>
        </is>
      </c>
    </row>
    <row r="163">
      <c r="A163" s="28" t="inlineStr">
        <is>
          <t>Cheese</t>
        </is>
      </c>
      <c r="B163" s="28" t="inlineStr">
        <is>
          <t>Milk</t>
        </is>
      </c>
      <c r="C163" s="28" t="n">
        <v>3</v>
      </c>
      <c r="D163" s="28" t="inlineStr">
        <is>
          <t>Fandom product page (Making table)</t>
        </is>
      </c>
      <c r="E163" s="28" t="inlineStr">
        <is>
          <t>https://hayday.fandom.com/wiki/Cheese</t>
        </is>
      </c>
    </row>
    <row r="164">
      <c r="A164" s="28" t="inlineStr">
        <is>
          <t>Cheese Fondue</t>
        </is>
      </c>
      <c r="B164" s="28" t="inlineStr">
        <is>
          <t>Potato Bread</t>
        </is>
      </c>
      <c r="C164" s="28" t="n">
        <v>1</v>
      </c>
      <c r="D164" s="28" t="inlineStr">
        <is>
          <t>Fandom product page (Making table)</t>
        </is>
      </c>
      <c r="E164" s="28" t="inlineStr">
        <is>
          <t>https://hayday.fandom.com/wiki/Cheese_Fondue</t>
        </is>
      </c>
    </row>
    <row r="165">
      <c r="A165" s="28" t="inlineStr">
        <is>
          <t>Cheese Fondue</t>
        </is>
      </c>
      <c r="B165" s="28" t="inlineStr">
        <is>
          <t>Cheese</t>
        </is>
      </c>
      <c r="C165" s="28" t="n">
        <v>1</v>
      </c>
      <c r="D165" s="28" t="inlineStr">
        <is>
          <t>Fandom product page (Making table)</t>
        </is>
      </c>
      <c r="E165" s="28" t="inlineStr">
        <is>
          <t>https://hayday.fandom.com/wiki/Cheese_Fondue</t>
        </is>
      </c>
    </row>
    <row r="166">
      <c r="A166" s="28" t="inlineStr">
        <is>
          <t>Cheese Fondue</t>
        </is>
      </c>
      <c r="B166" s="28" t="inlineStr">
        <is>
          <t>Mushroom</t>
        </is>
      </c>
      <c r="C166" s="28" t="n">
        <v>2</v>
      </c>
      <c r="D166" s="28" t="inlineStr">
        <is>
          <t>Fandom product page (Making table)</t>
        </is>
      </c>
      <c r="E166" s="28" t="inlineStr">
        <is>
          <t>https://hayday.fandom.com/wiki/Cheese_Fondue</t>
        </is>
      </c>
    </row>
    <row r="167">
      <c r="A167" s="28" t="inlineStr">
        <is>
          <t>Cheese Fondue</t>
        </is>
      </c>
      <c r="B167" s="28" t="inlineStr">
        <is>
          <t>Tomato</t>
        </is>
      </c>
      <c r="C167" s="28" t="n">
        <v>1</v>
      </c>
      <c r="D167" s="28" t="inlineStr">
        <is>
          <t>Fandom product page (Making table)</t>
        </is>
      </c>
      <c r="E167" s="28" t="inlineStr">
        <is>
          <t>https://hayday.fandom.com/wiki/Cheese_Fondue</t>
        </is>
      </c>
    </row>
    <row r="168">
      <c r="A168" s="28" t="inlineStr">
        <is>
          <t>Cheesecake</t>
        </is>
      </c>
      <c r="B168" s="28" t="inlineStr">
        <is>
          <t>Cheese</t>
        </is>
      </c>
      <c r="C168" s="28" t="n">
        <v>1</v>
      </c>
      <c r="D168" s="28" t="inlineStr">
        <is>
          <t>Fandom product page (Making table)</t>
        </is>
      </c>
      <c r="E168" s="28" t="inlineStr">
        <is>
          <t>https://hayday.fandom.com/wiki/Cheesecake</t>
        </is>
      </c>
    </row>
    <row r="169">
      <c r="A169" s="28" t="inlineStr">
        <is>
          <t>Cheesecake</t>
        </is>
      </c>
      <c r="B169" s="28" t="inlineStr">
        <is>
          <t>Cookie</t>
        </is>
      </c>
      <c r="C169" s="28" t="n">
        <v>1</v>
      </c>
      <c r="D169" s="28" t="inlineStr">
        <is>
          <t>Fandom product page (Making table)</t>
        </is>
      </c>
      <c r="E169" s="28" t="inlineStr">
        <is>
          <t>https://hayday.fandom.com/wiki/Cheesecake</t>
        </is>
      </c>
    </row>
    <row r="170">
      <c r="A170" s="28" t="inlineStr">
        <is>
          <t>Cherry Jam</t>
        </is>
      </c>
      <c r="B170" s="28" t="inlineStr">
        <is>
          <t>Cherry</t>
        </is>
      </c>
      <c r="C170" s="28" t="n">
        <v>3</v>
      </c>
      <c r="D170" s="28" t="inlineStr">
        <is>
          <t>Fandom product page (Making table)</t>
        </is>
      </c>
      <c r="E170" s="28" t="inlineStr">
        <is>
          <t>https://hayday.fandom.com/wiki/Cherry_Jam</t>
        </is>
      </c>
    </row>
    <row r="171">
      <c r="A171" s="28" t="inlineStr">
        <is>
          <t>Cherry Juice</t>
        </is>
      </c>
      <c r="B171" s="28" t="inlineStr">
        <is>
          <t>Cherry</t>
        </is>
      </c>
      <c r="C171" s="28" t="n">
        <v>2</v>
      </c>
      <c r="D171" s="28" t="inlineStr">
        <is>
          <t>Fandom product page (Making table)</t>
        </is>
      </c>
      <c r="E171" s="28" t="inlineStr">
        <is>
          <t>https://hayday.fandom.com/wiki/Cherry_Juice</t>
        </is>
      </c>
    </row>
    <row r="172">
      <c r="A172" s="28" t="inlineStr">
        <is>
          <t>Cherry Popsicle</t>
        </is>
      </c>
      <c r="B172" s="28" t="inlineStr">
        <is>
          <t>Syrup</t>
        </is>
      </c>
      <c r="C172" s="28" t="n">
        <v>1</v>
      </c>
      <c r="D172" s="28" t="inlineStr">
        <is>
          <t>Fandom product page (Making table)</t>
        </is>
      </c>
      <c r="E172" s="28" t="inlineStr">
        <is>
          <t>https://hayday.fandom.com/wiki/Cherry_Popsicle</t>
        </is>
      </c>
    </row>
    <row r="173">
      <c r="A173" s="28" t="inlineStr">
        <is>
          <t>Cherry Popsicle</t>
        </is>
      </c>
      <c r="B173" s="28" t="inlineStr">
        <is>
          <t>Cherry Juice</t>
        </is>
      </c>
      <c r="C173" s="28" t="n">
        <v>1</v>
      </c>
      <c r="D173" s="28" t="inlineStr">
        <is>
          <t>Fandom product page (Making table)</t>
        </is>
      </c>
      <c r="E173" s="28" t="inlineStr">
        <is>
          <t>https://hayday.fandom.com/wiki/Cherry_Popsicle</t>
        </is>
      </c>
    </row>
    <row r="174">
      <c r="A174" s="28" t="inlineStr">
        <is>
          <t>Chicken Feed</t>
        </is>
      </c>
      <c r="B174" s="28" t="inlineStr">
        <is>
          <t>Wheat</t>
        </is>
      </c>
      <c r="C174" s="28" t="n">
        <v>2</v>
      </c>
      <c r="D174" s="28" t="inlineStr">
        <is>
          <t>Fandom product page (Making table)</t>
        </is>
      </c>
      <c r="E174" s="28" t="inlineStr">
        <is>
          <t>https://hayday.fandom.com/wiki/Chicken_Feed</t>
        </is>
      </c>
    </row>
    <row r="175">
      <c r="A175" s="28" t="inlineStr">
        <is>
          <t>Chicken Feed</t>
        </is>
      </c>
      <c r="B175" s="28" t="inlineStr">
        <is>
          <t>Corn</t>
        </is>
      </c>
      <c r="C175" s="28" t="n">
        <v>1</v>
      </c>
      <c r="D175" s="28" t="inlineStr">
        <is>
          <t>Fandom product page (Making table)</t>
        </is>
      </c>
      <c r="E175" s="28" t="inlineStr">
        <is>
          <t>https://hayday.fandom.com/wiki/Chicken_Feed</t>
        </is>
      </c>
    </row>
    <row r="176">
      <c r="A176" s="28" t="inlineStr">
        <is>
          <t>Chickpea Stew</t>
        </is>
      </c>
      <c r="B176" s="28" t="inlineStr">
        <is>
          <t>Coconut</t>
        </is>
      </c>
      <c r="C176" s="28" t="n">
        <v>1</v>
      </c>
      <c r="D176" s="28" t="inlineStr">
        <is>
          <t>Fandom product page (Making table)</t>
        </is>
      </c>
      <c r="E176" s="28" t="inlineStr">
        <is>
          <t>https://hayday.fandom.com/wiki/Chickpea_Stew</t>
        </is>
      </c>
    </row>
    <row r="177">
      <c r="A177" s="28" t="inlineStr">
        <is>
          <t>Chickpea Stew</t>
        </is>
      </c>
      <c r="B177" s="28" t="inlineStr">
        <is>
          <t>Tomato</t>
        </is>
      </c>
      <c r="C177" s="28" t="n">
        <v>2</v>
      </c>
      <c r="D177" s="28" t="inlineStr">
        <is>
          <t>Fandom product page (Making table)</t>
        </is>
      </c>
      <c r="E177" s="28" t="inlineStr">
        <is>
          <t>https://hayday.fandom.com/wiki/Chickpea_Stew</t>
        </is>
      </c>
    </row>
    <row r="178">
      <c r="A178" s="28" t="inlineStr">
        <is>
          <t>Chickpea Stew</t>
        </is>
      </c>
      <c r="B178" s="28" t="inlineStr">
        <is>
          <t>Chickpea</t>
        </is>
      </c>
      <c r="C178" s="28" t="n">
        <v>3</v>
      </c>
      <c r="D178" s="28" t="inlineStr">
        <is>
          <t>Fandom product page (Making table)</t>
        </is>
      </c>
      <c r="E178" s="28" t="inlineStr">
        <is>
          <t>https://hayday.fandom.com/wiki/Chickpea_Stew</t>
        </is>
      </c>
    </row>
    <row r="179">
      <c r="A179" s="28" t="inlineStr">
        <is>
          <t>Chili Fudge</t>
        </is>
      </c>
      <c r="B179" s="28" t="inlineStr">
        <is>
          <t>Butter</t>
        </is>
      </c>
      <c r="C179" s="28" t="n">
        <v>2</v>
      </c>
      <c r="D179" s="28" t="inlineStr">
        <is>
          <t>Fandom product page (Making table)</t>
        </is>
      </c>
      <c r="E179" s="28" t="inlineStr">
        <is>
          <t>https://hayday.fandom.com/wiki/Chili_Fudge</t>
        </is>
      </c>
    </row>
    <row r="180">
      <c r="A180" s="28" t="inlineStr">
        <is>
          <t>Chili Fudge</t>
        </is>
      </c>
      <c r="B180" s="28" t="inlineStr">
        <is>
          <t>Cacao</t>
        </is>
      </c>
      <c r="C180" s="28" t="n">
        <v>2</v>
      </c>
      <c r="D180" s="28" t="inlineStr">
        <is>
          <t>Fandom product page (Making table)</t>
        </is>
      </c>
      <c r="E180" s="28" t="inlineStr">
        <is>
          <t>https://hayday.fandom.com/wiki/Chili_Fudge</t>
        </is>
      </c>
    </row>
    <row r="181">
      <c r="A181" s="28" t="inlineStr">
        <is>
          <t>Chili Fudge</t>
        </is>
      </c>
      <c r="B181" s="28" t="inlineStr">
        <is>
          <t>White Sugar</t>
        </is>
      </c>
      <c r="C181" s="28" t="n">
        <v>1</v>
      </c>
      <c r="D181" s="28" t="inlineStr">
        <is>
          <t>Fandom product page (Making table)</t>
        </is>
      </c>
      <c r="E181" s="28" t="inlineStr">
        <is>
          <t>https://hayday.fandom.com/wiki/Chili_Fudge</t>
        </is>
      </c>
    </row>
    <row r="182">
      <c r="A182" s="28" t="inlineStr">
        <is>
          <t>Chili Fudge</t>
        </is>
      </c>
      <c r="B182" s="28" t="inlineStr">
        <is>
          <t>Chili Pepper</t>
        </is>
      </c>
      <c r="C182" s="28" t="n">
        <v>3</v>
      </c>
      <c r="D182" s="28" t="inlineStr">
        <is>
          <t>Fandom product page (Making table)</t>
        </is>
      </c>
      <c r="E182" s="28" t="inlineStr">
        <is>
          <t>https://hayday.fandom.com/wiki/Chili_Fudge</t>
        </is>
      </c>
    </row>
    <row r="183">
      <c r="A183" s="28" t="inlineStr">
        <is>
          <t>Chili Popcorn</t>
        </is>
      </c>
      <c r="B183" s="28" t="inlineStr">
        <is>
          <t>Corn</t>
        </is>
      </c>
      <c r="C183" s="28" t="n">
        <v>2</v>
      </c>
      <c r="D183" s="28" t="inlineStr">
        <is>
          <t>Fandom product page (Making table)</t>
        </is>
      </c>
      <c r="E183" s="28" t="inlineStr">
        <is>
          <t>https://hayday.fandom.com/wiki/Chili_Popcorn</t>
        </is>
      </c>
    </row>
    <row r="184">
      <c r="A184" s="28" t="inlineStr">
        <is>
          <t>Chili Popcorn</t>
        </is>
      </c>
      <c r="B184" s="28" t="inlineStr">
        <is>
          <t>Chili Pepper</t>
        </is>
      </c>
      <c r="C184" s="28" t="n">
        <v>2</v>
      </c>
      <c r="D184" s="28" t="inlineStr">
        <is>
          <t>Fandom product page (Making table)</t>
        </is>
      </c>
      <c r="E184" s="28" t="inlineStr">
        <is>
          <t>https://hayday.fandom.com/wiki/Chili_Popcorn</t>
        </is>
      </c>
    </row>
    <row r="185">
      <c r="A185" s="28" t="inlineStr">
        <is>
          <t>Chili Poppers</t>
        </is>
      </c>
      <c r="B185" s="28" t="inlineStr">
        <is>
          <t>Chili Pepper</t>
        </is>
      </c>
      <c r="C185" s="28" t="n">
        <v>3</v>
      </c>
      <c r="D185" s="28" t="inlineStr">
        <is>
          <t>Fandom product page (Making table)</t>
        </is>
      </c>
      <c r="E185" s="28" t="inlineStr">
        <is>
          <t>https://hayday.fandom.com/wiki/Chili_Poppers</t>
        </is>
      </c>
    </row>
    <row r="186">
      <c r="A186" s="28" t="inlineStr">
        <is>
          <t>Chili Poppers</t>
        </is>
      </c>
      <c r="B186" s="28" t="inlineStr">
        <is>
          <t>Wheat</t>
        </is>
      </c>
      <c r="C186" s="28" t="n">
        <v>1</v>
      </c>
      <c r="D186" s="28" t="inlineStr">
        <is>
          <t>Fandom product page (Making table)</t>
        </is>
      </c>
      <c r="E186" s="28" t="inlineStr">
        <is>
          <t>https://hayday.fandom.com/wiki/Chili_Poppers</t>
        </is>
      </c>
    </row>
    <row r="187">
      <c r="A187" s="28" t="inlineStr">
        <is>
          <t>Chili Poppers</t>
        </is>
      </c>
      <c r="B187" s="28" t="inlineStr">
        <is>
          <t>Bacon</t>
        </is>
      </c>
      <c r="C187" s="28" t="n">
        <v>3</v>
      </c>
      <c r="D187" s="28" t="inlineStr">
        <is>
          <t>Fandom product page (Making table)</t>
        </is>
      </c>
      <c r="E187" s="28" t="inlineStr">
        <is>
          <t>https://hayday.fandom.com/wiki/Chili_Poppers</t>
        </is>
      </c>
    </row>
    <row r="188">
      <c r="A188" s="28" t="inlineStr">
        <is>
          <t>Chili Poppers</t>
        </is>
      </c>
      <c r="B188" s="28" t="inlineStr">
        <is>
          <t>Cheese</t>
        </is>
      </c>
      <c r="C188" s="28" t="n">
        <v>1</v>
      </c>
      <c r="D188" s="28" t="inlineStr">
        <is>
          <t>Fandom product page (Making table)</t>
        </is>
      </c>
      <c r="E188" s="28" t="inlineStr">
        <is>
          <t>https://hayday.fandom.com/wiki/Chili_Poppers</t>
        </is>
      </c>
    </row>
    <row r="189">
      <c r="A189" s="28" t="inlineStr">
        <is>
          <t>Chili Stew</t>
        </is>
      </c>
      <c r="B189" s="28" t="inlineStr">
        <is>
          <t>Chili Pepper</t>
        </is>
      </c>
      <c r="C189" s="28" t="n">
        <v>3</v>
      </c>
      <c r="D189" s="28" t="inlineStr">
        <is>
          <t>Fandom product page (Making table)</t>
        </is>
      </c>
      <c r="E189" s="28" t="inlineStr">
        <is>
          <t>https://hayday.fandom.com/wiki/Chili_Stew</t>
        </is>
      </c>
    </row>
    <row r="190">
      <c r="A190" s="28" t="inlineStr">
        <is>
          <t>Chili Stew</t>
        </is>
      </c>
      <c r="B190" s="28" t="inlineStr">
        <is>
          <t>Bacon</t>
        </is>
      </c>
      <c r="C190" s="28" t="n">
        <v>2</v>
      </c>
      <c r="D190" s="28" t="inlineStr">
        <is>
          <t>Fandom product page (Making table)</t>
        </is>
      </c>
      <c r="E190" s="28" t="inlineStr">
        <is>
          <t>https://hayday.fandom.com/wiki/Chili_Stew</t>
        </is>
      </c>
    </row>
    <row r="191">
      <c r="A191" s="28" t="inlineStr">
        <is>
          <t>Chili Stew</t>
        </is>
      </c>
      <c r="B191" s="28" t="inlineStr">
        <is>
          <t>Onion</t>
        </is>
      </c>
      <c r="C191" s="28" t="n">
        <v>2</v>
      </c>
      <c r="D191" s="28" t="inlineStr">
        <is>
          <t>Fandom product page (Making table)</t>
        </is>
      </c>
      <c r="E191" s="28" t="inlineStr">
        <is>
          <t>https://hayday.fandom.com/wiki/Chili_Stew</t>
        </is>
      </c>
    </row>
    <row r="192">
      <c r="A192" s="28" t="inlineStr">
        <is>
          <t>Chili Stew</t>
        </is>
      </c>
      <c r="B192" s="28" t="inlineStr">
        <is>
          <t>Cream</t>
        </is>
      </c>
      <c r="C192" s="28" t="n">
        <v>1</v>
      </c>
      <c r="D192" s="28" t="inlineStr">
        <is>
          <t>Fandom product page (Making table)</t>
        </is>
      </c>
      <c r="E192" s="28" t="inlineStr">
        <is>
          <t>https://hayday.fandom.com/wiki/Chili_Stew</t>
        </is>
      </c>
    </row>
    <row r="193">
      <c r="A193" s="28" t="inlineStr">
        <is>
          <t>Chocolate</t>
        </is>
      </c>
      <c r="B193" s="28" t="inlineStr">
        <is>
          <t>Cacao</t>
        </is>
      </c>
      <c r="C193" s="28" t="n">
        <v>3</v>
      </c>
      <c r="D193" s="28" t="inlineStr">
        <is>
          <t>Fandom product page (Making table)</t>
        </is>
      </c>
      <c r="E193" s="28" t="inlineStr">
        <is>
          <t>https://hayday.fandom.com/wiki/Chocolate</t>
        </is>
      </c>
    </row>
    <row r="194">
      <c r="A194" s="28" t="inlineStr">
        <is>
          <t>Chocolate</t>
        </is>
      </c>
      <c r="B194" s="28" t="inlineStr">
        <is>
          <t>Cream</t>
        </is>
      </c>
      <c r="C194" s="28" t="n">
        <v>1</v>
      </c>
      <c r="D194" s="28" t="inlineStr">
        <is>
          <t>Fandom product page (Making table)</t>
        </is>
      </c>
      <c r="E194" s="28" t="inlineStr">
        <is>
          <t>https://hayday.fandom.com/wiki/Chocolate</t>
        </is>
      </c>
    </row>
    <row r="195">
      <c r="A195" s="28" t="inlineStr">
        <is>
          <t>Chocolate</t>
        </is>
      </c>
      <c r="B195" s="28" t="inlineStr">
        <is>
          <t>White Sugar</t>
        </is>
      </c>
      <c r="C195" s="28" t="n">
        <v>1</v>
      </c>
      <c r="D195" s="28" t="inlineStr">
        <is>
          <t>Fandom product page (Making table)</t>
        </is>
      </c>
      <c r="E195" s="28" t="inlineStr">
        <is>
          <t>https://hayday.fandom.com/wiki/Chocolate</t>
        </is>
      </c>
    </row>
    <row r="196">
      <c r="A196" s="28" t="inlineStr">
        <is>
          <t>Chocolate Cake</t>
        </is>
      </c>
      <c r="B196" s="28" t="inlineStr">
        <is>
          <t>Cacao</t>
        </is>
      </c>
      <c r="C196" s="28" t="n">
        <v>2</v>
      </c>
      <c r="D196" s="28" t="inlineStr">
        <is>
          <t>Fandom product page (Making table)</t>
        </is>
      </c>
      <c r="E196" s="28" t="inlineStr">
        <is>
          <t>https://hayday.fandom.com/wiki/Chocolate_Cake</t>
        </is>
      </c>
    </row>
    <row r="197">
      <c r="A197" s="28" t="inlineStr">
        <is>
          <t>Chocolate Cake</t>
        </is>
      </c>
      <c r="B197" s="28" t="inlineStr">
        <is>
          <t>Brown Sugar</t>
        </is>
      </c>
      <c r="C197" s="28" t="n">
        <v>1</v>
      </c>
      <c r="D197" s="28" t="inlineStr">
        <is>
          <t>Fandom product page (Making table)</t>
        </is>
      </c>
      <c r="E197" s="28" t="inlineStr">
        <is>
          <t>https://hayday.fandom.com/wiki/Chocolate_Cake</t>
        </is>
      </c>
    </row>
    <row r="198">
      <c r="A198" s="28" t="inlineStr">
        <is>
          <t>Chocolate Cake</t>
        </is>
      </c>
      <c r="B198" s="28" t="inlineStr">
        <is>
          <t>Butter</t>
        </is>
      </c>
      <c r="C198" s="28" t="n">
        <v>1</v>
      </c>
      <c r="D198" s="28" t="inlineStr">
        <is>
          <t>Fandom product page (Making table)</t>
        </is>
      </c>
      <c r="E198" s="28" t="inlineStr">
        <is>
          <t>https://hayday.fandom.com/wiki/Chocolate_Cake</t>
        </is>
      </c>
    </row>
    <row r="199">
      <c r="A199" s="28" t="inlineStr">
        <is>
          <t>Chocolate Fondue</t>
        </is>
      </c>
      <c r="B199" s="28" t="inlineStr">
        <is>
          <t>Chocolate</t>
        </is>
      </c>
      <c r="C199" s="28" t="n">
        <v>1</v>
      </c>
      <c r="D199" s="28" t="inlineStr">
        <is>
          <t>Fandom product page (Making table)</t>
        </is>
      </c>
      <c r="E199" s="28" t="inlineStr">
        <is>
          <t>https://hayday.fandom.com/wiki/Chocolate_Fondue</t>
        </is>
      </c>
    </row>
    <row r="200">
      <c r="A200" s="28" t="inlineStr">
        <is>
          <t>Chocolate Fondue</t>
        </is>
      </c>
      <c r="B200" s="28" t="inlineStr">
        <is>
          <t>Strawberry</t>
        </is>
      </c>
      <c r="C200" s="28" t="n">
        <v>3</v>
      </c>
      <c r="D200" s="28" t="inlineStr">
        <is>
          <t>Fandom product page (Making table)</t>
        </is>
      </c>
      <c r="E200" s="28" t="inlineStr">
        <is>
          <t>https://hayday.fandom.com/wiki/Chocolate_Fondue</t>
        </is>
      </c>
    </row>
    <row r="201">
      <c r="A201" s="28" t="inlineStr">
        <is>
          <t>Chocolate Ice Cream</t>
        </is>
      </c>
      <c r="B201" s="28" t="inlineStr">
        <is>
          <t>Cream</t>
        </is>
      </c>
      <c r="C201" s="28" t="n">
        <v>1</v>
      </c>
      <c r="D201" s="28" t="inlineStr">
        <is>
          <t>Fandom product page (Making table)</t>
        </is>
      </c>
      <c r="E201" s="28" t="inlineStr">
        <is>
          <t>https://hayday.fandom.com/wiki/Chocolate_Ice_Cream</t>
        </is>
      </c>
    </row>
    <row r="202">
      <c r="A202" s="28" t="inlineStr">
        <is>
          <t>Chocolate Ice Cream</t>
        </is>
      </c>
      <c r="B202" s="28" t="inlineStr">
        <is>
          <t>White Sugar</t>
        </is>
      </c>
      <c r="C202" s="28" t="n">
        <v>1</v>
      </c>
      <c r="D202" s="28" t="inlineStr">
        <is>
          <t>Fandom product page (Making table)</t>
        </is>
      </c>
      <c r="E202" s="28" t="inlineStr">
        <is>
          <t>https://hayday.fandom.com/wiki/Chocolate_Ice_Cream</t>
        </is>
      </c>
    </row>
    <row r="203">
      <c r="A203" s="28" t="inlineStr">
        <is>
          <t>Chocolate Ice Cream</t>
        </is>
      </c>
      <c r="B203" s="28" t="inlineStr">
        <is>
          <t>Cacao</t>
        </is>
      </c>
      <c r="C203" s="28" t="n">
        <v>2</v>
      </c>
      <c r="D203" s="28" t="inlineStr">
        <is>
          <t>Fandom product page (Making table)</t>
        </is>
      </c>
      <c r="E203" s="28" t="inlineStr">
        <is>
          <t>https://hayday.fandom.com/wiki/Chocolate_Ice_Cream</t>
        </is>
      </c>
    </row>
    <row r="204">
      <c r="A204" s="28" t="inlineStr">
        <is>
          <t>Chocolate Ice Cream</t>
        </is>
      </c>
      <c r="B204" s="28" t="inlineStr">
        <is>
          <t>Milk</t>
        </is>
      </c>
      <c r="C204" s="28" t="n">
        <v>1</v>
      </c>
      <c r="D204" s="28" t="inlineStr">
        <is>
          <t>Fandom product page (Making table)</t>
        </is>
      </c>
      <c r="E204" s="28" t="inlineStr">
        <is>
          <t>https://hayday.fandom.com/wiki/Chocolate_Ice_Cream</t>
        </is>
      </c>
    </row>
    <row r="205">
      <c r="A205" s="28" t="inlineStr">
        <is>
          <t>Chocolate Pie</t>
        </is>
      </c>
      <c r="B205" s="28" t="inlineStr">
        <is>
          <t>Wheat</t>
        </is>
      </c>
      <c r="C205" s="28" t="n">
        <v>3</v>
      </c>
      <c r="D205" s="28" t="inlineStr">
        <is>
          <t>Fandom product page (Making table)</t>
        </is>
      </c>
      <c r="E205" s="28" t="inlineStr">
        <is>
          <t>https://hayday.fandom.com/wiki/Chocolate_Pie</t>
        </is>
      </c>
    </row>
    <row r="206">
      <c r="A206" s="28" t="inlineStr">
        <is>
          <t>Chocolate Pie</t>
        </is>
      </c>
      <c r="B206" s="28" t="inlineStr">
        <is>
          <t>Cacao</t>
        </is>
      </c>
      <c r="C206" s="28" t="n">
        <v>2</v>
      </c>
      <c r="D206" s="28" t="inlineStr">
        <is>
          <t>Fandom product page (Making table)</t>
        </is>
      </c>
      <c r="E206" s="28" t="inlineStr">
        <is>
          <t>https://hayday.fandom.com/wiki/Chocolate_Pie</t>
        </is>
      </c>
    </row>
    <row r="207">
      <c r="A207" s="28" t="inlineStr">
        <is>
          <t>Chocolate Pie</t>
        </is>
      </c>
      <c r="B207" s="28" t="inlineStr">
        <is>
          <t>Egg</t>
        </is>
      </c>
      <c r="C207" s="28" t="n">
        <v>1</v>
      </c>
      <c r="D207" s="28" t="inlineStr">
        <is>
          <t>Fandom product page (Making table)</t>
        </is>
      </c>
      <c r="E207" s="28" t="inlineStr">
        <is>
          <t>https://hayday.fandom.com/wiki/Chocolate_Pie</t>
        </is>
      </c>
    </row>
    <row r="208">
      <c r="A208" s="28" t="inlineStr">
        <is>
          <t>Chocolate Pie</t>
        </is>
      </c>
      <c r="B208" s="28" t="inlineStr">
        <is>
          <t>Peanuts</t>
        </is>
      </c>
      <c r="C208" s="28" t="n">
        <v>1</v>
      </c>
      <c r="D208" s="28" t="inlineStr">
        <is>
          <t>Fandom product page (Making table)</t>
        </is>
      </c>
      <c r="E208" s="28" t="inlineStr">
        <is>
          <t>https://hayday.fandom.com/wiki/Chocolate_Pie</t>
        </is>
      </c>
    </row>
    <row r="209">
      <c r="A209" s="28" t="inlineStr">
        <is>
          <t>Chocolate Popcorn</t>
        </is>
      </c>
      <c r="B209" s="28" t="inlineStr">
        <is>
          <t>Corn</t>
        </is>
      </c>
      <c r="C209" s="28" t="n">
        <v>2</v>
      </c>
      <c r="D209" s="28" t="inlineStr">
        <is>
          <t>Fandom product page (Making table)</t>
        </is>
      </c>
      <c r="E209" s="28" t="inlineStr">
        <is>
          <t>https://hayday.fandom.com/wiki/Chocolate_Popcorn</t>
        </is>
      </c>
    </row>
    <row r="210">
      <c r="A210" s="28" t="inlineStr">
        <is>
          <t>Chocolate Popcorn</t>
        </is>
      </c>
      <c r="B210" s="28" t="inlineStr">
        <is>
          <t>Cacao</t>
        </is>
      </c>
      <c r="C210" s="28" t="n">
        <v>2</v>
      </c>
      <c r="D210" s="28" t="inlineStr">
        <is>
          <t>Fandom product page (Making table)</t>
        </is>
      </c>
      <c r="E210" s="28" t="inlineStr">
        <is>
          <t>https://hayday.fandom.com/wiki/Chocolate_Popcorn</t>
        </is>
      </c>
    </row>
    <row r="211">
      <c r="A211" s="28" t="inlineStr">
        <is>
          <t>Chocolate Roll</t>
        </is>
      </c>
      <c r="B211" s="28" t="inlineStr">
        <is>
          <t>Cacao</t>
        </is>
      </c>
      <c r="C211" s="28" t="n">
        <v>5</v>
      </c>
      <c r="D211" s="28" t="inlineStr">
        <is>
          <t>Fandom product page (Making table)</t>
        </is>
      </c>
      <c r="E211" s="28" t="inlineStr">
        <is>
          <t>https://hayday.fandom.com/wiki/Chocolate_Roll</t>
        </is>
      </c>
    </row>
    <row r="212">
      <c r="A212" s="28" t="inlineStr">
        <is>
          <t>Chocolate Roll</t>
        </is>
      </c>
      <c r="B212" s="28" t="inlineStr">
        <is>
          <t>Cream</t>
        </is>
      </c>
      <c r="C212" s="28" t="n">
        <v>1</v>
      </c>
      <c r="D212" s="28" t="inlineStr">
        <is>
          <t>Fandom product page (Making table)</t>
        </is>
      </c>
      <c r="E212" s="28" t="inlineStr">
        <is>
          <t>https://hayday.fandom.com/wiki/Chocolate_Roll</t>
        </is>
      </c>
    </row>
    <row r="213">
      <c r="A213" s="28" t="inlineStr">
        <is>
          <t>Chocolate Roll</t>
        </is>
      </c>
      <c r="B213" s="28" t="inlineStr">
        <is>
          <t>Wheat</t>
        </is>
      </c>
      <c r="C213" s="28" t="n">
        <v>3</v>
      </c>
      <c r="D213" s="28" t="inlineStr">
        <is>
          <t>Fandom product page (Making table)</t>
        </is>
      </c>
      <c r="E213" s="28" t="inlineStr">
        <is>
          <t>https://hayday.fandom.com/wiki/Chocolate_Roll</t>
        </is>
      </c>
    </row>
    <row r="214">
      <c r="A214" s="28" t="inlineStr">
        <is>
          <t>Chocolate Roll</t>
        </is>
      </c>
      <c r="B214" s="28" t="inlineStr">
        <is>
          <t>Mint</t>
        </is>
      </c>
      <c r="C214" s="28" t="n">
        <v>3</v>
      </c>
      <c r="D214" s="28" t="inlineStr">
        <is>
          <t>Fandom product page (Making table)</t>
        </is>
      </c>
      <c r="E214" s="28" t="inlineStr">
        <is>
          <t>https://hayday.fandom.com/wiki/Chocolate_Roll</t>
        </is>
      </c>
    </row>
    <row r="215">
      <c r="A215" s="28" t="inlineStr">
        <is>
          <t>Clay Mug</t>
        </is>
      </c>
      <c r="B215" s="28" t="inlineStr">
        <is>
          <t>Clay</t>
        </is>
      </c>
      <c r="C215" s="28" t="n">
        <v>3</v>
      </c>
      <c r="D215" s="28" t="inlineStr">
        <is>
          <t>Fandom product page (Making table)</t>
        </is>
      </c>
      <c r="E215" s="28" t="inlineStr">
        <is>
          <t>https://hayday.fandom.com/wiki/Clay_Mug</t>
        </is>
      </c>
    </row>
    <row r="216">
      <c r="A216" s="28" t="inlineStr">
        <is>
          <t>Clay Mug</t>
        </is>
      </c>
      <c r="B216" s="28" t="inlineStr">
        <is>
          <t>Indigo</t>
        </is>
      </c>
      <c r="C216" s="28" t="n">
        <v>2</v>
      </c>
      <c r="D216" s="28" t="inlineStr">
        <is>
          <t>Fandom product page (Making table)</t>
        </is>
      </c>
      <c r="E216" s="28" t="inlineStr">
        <is>
          <t>https://hayday.fandom.com/wiki/Clay_Mug</t>
        </is>
      </c>
    </row>
    <row r="217">
      <c r="A217" s="28" t="inlineStr">
        <is>
          <t>Clay Mug</t>
        </is>
      </c>
      <c r="B217" s="28" t="inlineStr">
        <is>
          <t>Peony</t>
        </is>
      </c>
      <c r="C217" s="28" t="n">
        <v>1</v>
      </c>
      <c r="D217" s="28" t="inlineStr">
        <is>
          <t>Fandom product page (Making table)</t>
        </is>
      </c>
      <c r="E217" s="28" t="inlineStr">
        <is>
          <t>https://hayday.fandom.com/wiki/Clay_Mug</t>
        </is>
      </c>
    </row>
    <row r="218">
      <c r="A218" s="28" t="inlineStr">
        <is>
          <t>Cloche Hat</t>
        </is>
      </c>
      <c r="B218" s="28" t="inlineStr">
        <is>
          <t>Strawberry</t>
        </is>
      </c>
      <c r="C218" s="28" t="n">
        <v>2</v>
      </c>
      <c r="D218" s="28" t="inlineStr">
        <is>
          <t>Fandom product page (Making table)</t>
        </is>
      </c>
      <c r="E218" s="28" t="inlineStr">
        <is>
          <t>https://hayday.fandom.com/wiki/Cloche_Hat</t>
        </is>
      </c>
    </row>
    <row r="219">
      <c r="A219" s="28" t="inlineStr">
        <is>
          <t>Cloche Hat</t>
        </is>
      </c>
      <c r="B219" s="28" t="inlineStr">
        <is>
          <t>Wool</t>
        </is>
      </c>
      <c r="C219" s="28" t="n">
        <v>6</v>
      </c>
      <c r="D219" s="28" t="inlineStr">
        <is>
          <t>Fandom product page (Making table)</t>
        </is>
      </c>
      <c r="E219" s="28" t="inlineStr">
        <is>
          <t>https://hayday.fandom.com/wiki/Cloche_Hat</t>
        </is>
      </c>
    </row>
    <row r="220">
      <c r="A220" s="28" t="inlineStr">
        <is>
          <t>Cocoa Smoothie</t>
        </is>
      </c>
      <c r="B220" s="28" t="inlineStr">
        <is>
          <t>Banana</t>
        </is>
      </c>
      <c r="C220" s="28" t="n">
        <v>2</v>
      </c>
      <c r="D220" s="28" t="inlineStr">
        <is>
          <t>Fandom product page (Making table)</t>
        </is>
      </c>
      <c r="E220" s="28" t="inlineStr">
        <is>
          <t>https://hayday.fandom.com/wiki/Cocoa_Smoothie</t>
        </is>
      </c>
    </row>
    <row r="221">
      <c r="A221" s="28" t="inlineStr">
        <is>
          <t>Cocoa Smoothie</t>
        </is>
      </c>
      <c r="B221" s="28" t="inlineStr">
        <is>
          <t>Cacao</t>
        </is>
      </c>
      <c r="C221" s="28" t="n">
        <v>3</v>
      </c>
      <c r="D221" s="28" t="inlineStr">
        <is>
          <t>Fandom product page (Making table)</t>
        </is>
      </c>
      <c r="E221" s="28" t="inlineStr">
        <is>
          <t>https://hayday.fandom.com/wiki/Cocoa_Smoothie</t>
        </is>
      </c>
    </row>
    <row r="222">
      <c r="A222" s="28" t="inlineStr">
        <is>
          <t>Cocoa Smoothie</t>
        </is>
      </c>
      <c r="B222" s="28" t="inlineStr">
        <is>
          <t>Milk</t>
        </is>
      </c>
      <c r="C222" s="28" t="n">
        <v>1</v>
      </c>
      <c r="D222" s="28" t="inlineStr">
        <is>
          <t>Fandom product page (Making table)</t>
        </is>
      </c>
      <c r="E222" s="28" t="inlineStr">
        <is>
          <t>https://hayday.fandom.com/wiki/Cocoa_Smoothie</t>
        </is>
      </c>
    </row>
    <row r="223">
      <c r="A223" s="28" t="inlineStr">
        <is>
          <t>Coconut Ice Cream</t>
        </is>
      </c>
      <c r="B223" s="28" t="inlineStr">
        <is>
          <t>Coconut</t>
        </is>
      </c>
      <c r="C223" s="28" t="n">
        <v>2</v>
      </c>
      <c r="D223" s="28" t="inlineStr">
        <is>
          <t>Fandom product page (Making table)</t>
        </is>
      </c>
      <c r="E223" s="28" t="inlineStr">
        <is>
          <t>https://hayday.fandom.com/wiki/Coconut_Ice_Cream</t>
        </is>
      </c>
    </row>
    <row r="224">
      <c r="A224" s="28" t="inlineStr">
        <is>
          <t>Coconut Ice Cream</t>
        </is>
      </c>
      <c r="B224" s="28" t="inlineStr">
        <is>
          <t>Syrup</t>
        </is>
      </c>
      <c r="C224" s="28" t="n">
        <v>1</v>
      </c>
      <c r="D224" s="28" t="inlineStr">
        <is>
          <t>Fandom product page (Making table)</t>
        </is>
      </c>
      <c r="E224" s="28" t="inlineStr">
        <is>
          <t>https://hayday.fandom.com/wiki/Coconut_Ice_Cream</t>
        </is>
      </c>
    </row>
    <row r="225">
      <c r="A225" s="28" t="inlineStr">
        <is>
          <t>Coleslaw</t>
        </is>
      </c>
      <c r="B225" s="28" t="inlineStr">
        <is>
          <t>Cabbage</t>
        </is>
      </c>
      <c r="C225" s="28" t="n">
        <v>3</v>
      </c>
      <c r="D225" s="28" t="inlineStr">
        <is>
          <t>Fandom product page (Making table)</t>
        </is>
      </c>
      <c r="E225" s="28" t="inlineStr">
        <is>
          <t>https://hayday.fandom.com/wiki/Coleslaw</t>
        </is>
      </c>
    </row>
    <row r="226">
      <c r="A226" s="28" t="inlineStr">
        <is>
          <t>Coleslaw</t>
        </is>
      </c>
      <c r="B226" s="28" t="inlineStr">
        <is>
          <t>Carrot</t>
        </is>
      </c>
      <c r="C226" s="28" t="n">
        <v>2</v>
      </c>
      <c r="D226" s="28" t="inlineStr">
        <is>
          <t>Fandom product page (Making table)</t>
        </is>
      </c>
      <c r="E226" s="28" t="inlineStr">
        <is>
          <t>https://hayday.fandom.com/wiki/Coleslaw</t>
        </is>
      </c>
    </row>
    <row r="227">
      <c r="A227" s="28" t="inlineStr">
        <is>
          <t>Coleslaw</t>
        </is>
      </c>
      <c r="B227" s="28" t="inlineStr">
        <is>
          <t>Mayonnaise</t>
        </is>
      </c>
      <c r="C227" s="28" t="n">
        <v>1</v>
      </c>
      <c r="D227" s="28" t="inlineStr">
        <is>
          <t>Fandom product page (Making table)</t>
        </is>
      </c>
      <c r="E227" s="28" t="inlineStr">
        <is>
          <t>https://hayday.fandom.com/wiki/Coleslaw</t>
        </is>
      </c>
    </row>
    <row r="228">
      <c r="A228" s="28" t="inlineStr">
        <is>
          <t>Colorful Candles</t>
        </is>
      </c>
      <c r="B228" s="28" t="inlineStr">
        <is>
          <t>Beeswax</t>
        </is>
      </c>
      <c r="C228" s="28" t="n">
        <v>1</v>
      </c>
      <c r="D228" s="28" t="inlineStr">
        <is>
          <t>Fandom product page (Making table)</t>
        </is>
      </c>
      <c r="E228" s="28" t="inlineStr">
        <is>
          <t>https://hayday.fandom.com/wiki/Colorful_Candles</t>
        </is>
      </c>
    </row>
    <row r="229">
      <c r="A229" s="28" t="inlineStr">
        <is>
          <t>Colorful Candles</t>
        </is>
      </c>
      <c r="B229" s="28" t="inlineStr">
        <is>
          <t>Raspberry</t>
        </is>
      </c>
      <c r="C229" s="28" t="n">
        <v>1</v>
      </c>
      <c r="D229" s="28" t="inlineStr">
        <is>
          <t>Fandom product page (Making table)</t>
        </is>
      </c>
      <c r="E229" s="28" t="inlineStr">
        <is>
          <t>https://hayday.fandom.com/wiki/Colorful_Candles</t>
        </is>
      </c>
    </row>
    <row r="230">
      <c r="A230" s="28" t="inlineStr">
        <is>
          <t>Colorful Candles</t>
        </is>
      </c>
      <c r="B230" s="28" t="inlineStr">
        <is>
          <t>Carrot</t>
        </is>
      </c>
      <c r="C230" s="28" t="n">
        <v>1</v>
      </c>
      <c r="D230" s="28" t="inlineStr">
        <is>
          <t>Fandom product page (Making table)</t>
        </is>
      </c>
      <c r="E230" s="28" t="inlineStr">
        <is>
          <t>https://hayday.fandom.com/wiki/Colorful_Candles</t>
        </is>
      </c>
    </row>
    <row r="231">
      <c r="A231" s="28" t="inlineStr">
        <is>
          <t>Cookie</t>
        </is>
      </c>
      <c r="B231" s="28" t="inlineStr">
        <is>
          <t>Wheat</t>
        </is>
      </c>
      <c r="C231" s="28" t="n">
        <v>2</v>
      </c>
      <c r="D231" s="28" t="inlineStr">
        <is>
          <t>Fandom product page (Making table)</t>
        </is>
      </c>
      <c r="E231" s="28" t="inlineStr">
        <is>
          <t>https://hayday.fandom.com/wiki/Cookie</t>
        </is>
      </c>
    </row>
    <row r="232">
      <c r="A232" s="28" t="inlineStr">
        <is>
          <t>Cookie</t>
        </is>
      </c>
      <c r="B232" s="28" t="inlineStr">
        <is>
          <t>Egg</t>
        </is>
      </c>
      <c r="C232" s="28" t="n">
        <v>2</v>
      </c>
      <c r="D232" s="28" t="inlineStr">
        <is>
          <t>Fandom product page (Making table)</t>
        </is>
      </c>
      <c r="E232" s="28" t="inlineStr">
        <is>
          <t>https://hayday.fandom.com/wiki/Cookie</t>
        </is>
      </c>
    </row>
    <row r="233">
      <c r="A233" s="28" t="inlineStr">
        <is>
          <t>Cookie</t>
        </is>
      </c>
      <c r="B233" s="28" t="inlineStr">
        <is>
          <t>Brown Sugar</t>
        </is>
      </c>
      <c r="C233" s="28" t="n">
        <v>1</v>
      </c>
      <c r="D233" s="28" t="inlineStr">
        <is>
          <t>Fandom product page (Making table)</t>
        </is>
      </c>
      <c r="E233" s="28" t="inlineStr">
        <is>
          <t>https://hayday.fandom.com/wiki/Cookie</t>
        </is>
      </c>
    </row>
    <row r="234">
      <c r="A234" s="28" t="inlineStr">
        <is>
          <t>Cookie Cupcake</t>
        </is>
      </c>
      <c r="B234" s="28" t="inlineStr">
        <is>
          <t>Plain Cupcake</t>
        </is>
      </c>
      <c r="C234" s="28" t="n">
        <v>1</v>
      </c>
      <c r="D234" s="28" t="inlineStr">
        <is>
          <t>Fandom product page (Making table)</t>
        </is>
      </c>
      <c r="E234" s="28" t="inlineStr">
        <is>
          <t>https://hayday.fandom.com/wiki/Cookie_Cupcake</t>
        </is>
      </c>
    </row>
    <row r="235">
      <c r="A235" s="28" t="inlineStr">
        <is>
          <t>Cookie Cupcake</t>
        </is>
      </c>
      <c r="B235" s="28" t="inlineStr">
        <is>
          <t>Cream</t>
        </is>
      </c>
      <c r="C235" s="28" t="n">
        <v>2</v>
      </c>
      <c r="D235" s="28" t="inlineStr">
        <is>
          <t>Fandom product page (Making table)</t>
        </is>
      </c>
      <c r="E235" s="28" t="inlineStr">
        <is>
          <t>https://hayday.fandom.com/wiki/Cookie_Cupcake</t>
        </is>
      </c>
    </row>
    <row r="236">
      <c r="A236" s="28" t="inlineStr">
        <is>
          <t>Cookie Cupcake</t>
        </is>
      </c>
      <c r="B236" s="28" t="inlineStr">
        <is>
          <t>Cookie</t>
        </is>
      </c>
      <c r="C236" s="28" t="n">
        <v>2</v>
      </c>
      <c r="D236" s="28" t="inlineStr">
        <is>
          <t>Fandom product page (Making table)</t>
        </is>
      </c>
      <c r="E236" s="28" t="inlineStr">
        <is>
          <t>https://hayday.fandom.com/wiki/Cookie_Cupcake</t>
        </is>
      </c>
    </row>
    <row r="237">
      <c r="A237" s="28" t="inlineStr">
        <is>
          <t>Cookie Cupcake</t>
        </is>
      </c>
      <c r="B237" s="28" t="inlineStr">
        <is>
          <t>Cacao</t>
        </is>
      </c>
      <c r="C237" s="28" t="n">
        <v>1</v>
      </c>
      <c r="D237" s="28" t="inlineStr">
        <is>
          <t>Fandom product page (Making table)</t>
        </is>
      </c>
      <c r="E237" s="28" t="inlineStr">
        <is>
          <t>https://hayday.fandom.com/wiki/Cookie_Cupcake</t>
        </is>
      </c>
    </row>
    <row r="238">
      <c r="A238" s="28" t="inlineStr">
        <is>
          <t>Corn Bread</t>
        </is>
      </c>
      <c r="B238" s="28" t="inlineStr">
        <is>
          <t>Corn</t>
        </is>
      </c>
      <c r="C238" s="28" t="n">
        <v>2</v>
      </c>
      <c r="D238" s="28" t="inlineStr">
        <is>
          <t>Fandom product page (Making table)</t>
        </is>
      </c>
      <c r="E238" s="28" t="inlineStr">
        <is>
          <t>https://hayday.fandom.com/wiki/Corn_Bread</t>
        </is>
      </c>
    </row>
    <row r="239">
      <c r="A239" s="28" t="inlineStr">
        <is>
          <t>Corn Bread</t>
        </is>
      </c>
      <c r="B239" s="28" t="inlineStr">
        <is>
          <t>Egg</t>
        </is>
      </c>
      <c r="C239" s="28" t="n">
        <v>2</v>
      </c>
      <c r="D239" s="28" t="inlineStr">
        <is>
          <t>Fandom product page (Making table)</t>
        </is>
      </c>
      <c r="E239" s="28" t="inlineStr">
        <is>
          <t>https://hayday.fandom.com/wiki/Corn_Bread</t>
        </is>
      </c>
    </row>
    <row r="240">
      <c r="A240" s="28" t="inlineStr">
        <is>
          <t>Corn Dog</t>
        </is>
      </c>
      <c r="B240" s="28" t="inlineStr">
        <is>
          <t>Bacon</t>
        </is>
      </c>
      <c r="C240" s="28" t="n">
        <v>4</v>
      </c>
      <c r="D240" s="28" t="inlineStr">
        <is>
          <t>Fandom product page (Making table)</t>
        </is>
      </c>
      <c r="E240" s="28" t="inlineStr">
        <is>
          <t>https://hayday.fandom.com/wiki/Corn_Dog</t>
        </is>
      </c>
    </row>
    <row r="241">
      <c r="A241" s="28" t="inlineStr">
        <is>
          <t>Corn Dog</t>
        </is>
      </c>
      <c r="B241" s="28" t="inlineStr">
        <is>
          <t>Corn</t>
        </is>
      </c>
      <c r="C241" s="28" t="n">
        <v>4</v>
      </c>
      <c r="D241" s="28" t="inlineStr">
        <is>
          <t>Fandom product page (Making table)</t>
        </is>
      </c>
      <c r="E241" s="28" t="inlineStr">
        <is>
          <t>https://hayday.fandom.com/wiki/Corn_Dog</t>
        </is>
      </c>
    </row>
    <row r="242">
      <c r="A242" s="28" t="inlineStr">
        <is>
          <t>Corn Dog</t>
        </is>
      </c>
      <c r="B242" s="28" t="inlineStr">
        <is>
          <t>Olive Oil</t>
        </is>
      </c>
      <c r="C242" s="28" t="n">
        <v>1</v>
      </c>
      <c r="D242" s="28" t="inlineStr">
        <is>
          <t>Fandom product page (Making table)</t>
        </is>
      </c>
      <c r="E242" s="28" t="inlineStr">
        <is>
          <t>https://hayday.fandom.com/wiki/Corn_Dog</t>
        </is>
      </c>
    </row>
    <row r="243">
      <c r="A243" s="28" t="inlineStr">
        <is>
          <t>Cotton Candy</t>
        </is>
      </c>
      <c r="B243" s="28" t="inlineStr">
        <is>
          <t>White Sugar</t>
        </is>
      </c>
      <c r="C243" s="28" t="n">
        <v>3</v>
      </c>
      <c r="D243" s="28" t="inlineStr">
        <is>
          <t>Fandom product page (Making table)</t>
        </is>
      </c>
      <c r="E243" s="28" t="inlineStr">
        <is>
          <t>https://hayday.fandom.com/wiki/Cotton_Candy</t>
        </is>
      </c>
    </row>
    <row r="244">
      <c r="A244" s="28" t="inlineStr">
        <is>
          <t>Cotton Candy</t>
        </is>
      </c>
      <c r="B244" s="28" t="inlineStr">
        <is>
          <t>Strawberry</t>
        </is>
      </c>
      <c r="C244" s="28" t="n">
        <v>1</v>
      </c>
      <c r="D244" s="28" t="inlineStr">
        <is>
          <t>Fandom product page (Making table)</t>
        </is>
      </c>
      <c r="E244" s="28" t="inlineStr">
        <is>
          <t>https://hayday.fandom.com/wiki/Cotton_Candy</t>
        </is>
      </c>
    </row>
    <row r="245">
      <c r="A245" s="28" t="inlineStr">
        <is>
          <t>Cotton Fabric</t>
        </is>
      </c>
      <c r="B245" s="28" t="inlineStr">
        <is>
          <t>Cotton</t>
        </is>
      </c>
      <c r="C245" s="28" t="n">
        <v>3</v>
      </c>
      <c r="D245" s="28" t="inlineStr">
        <is>
          <t>Fandom product page (Making table)</t>
        </is>
      </c>
      <c r="E245" s="28" t="inlineStr">
        <is>
          <t>https://hayday.fandom.com/wiki/Cotton_Fabric</t>
        </is>
      </c>
    </row>
    <row r="246">
      <c r="A246" s="28" t="inlineStr">
        <is>
          <t>Cotton Shirt</t>
        </is>
      </c>
      <c r="B246" s="28" t="inlineStr">
        <is>
          <t>Cotton Fabric</t>
        </is>
      </c>
      <c r="C246" s="28" t="n">
        <v>2</v>
      </c>
      <c r="D246" s="28" t="inlineStr">
        <is>
          <t>Fandom product page (Making table)</t>
        </is>
      </c>
      <c r="E246" s="28" t="inlineStr">
        <is>
          <t>https://hayday.fandom.com/wiki/Cotton_Shirt</t>
        </is>
      </c>
    </row>
    <row r="247">
      <c r="A247" s="28" t="inlineStr">
        <is>
          <t>Cow Feed</t>
        </is>
      </c>
      <c r="B247" s="28" t="inlineStr">
        <is>
          <t>Soybean</t>
        </is>
      </c>
      <c r="C247" s="28" t="n">
        <v>2</v>
      </c>
      <c r="D247" s="28" t="inlineStr">
        <is>
          <t>Fandom product page (Making table)</t>
        </is>
      </c>
      <c r="E247" s="28" t="inlineStr">
        <is>
          <t>https://hayday.fandom.com/wiki/Cow_Feed</t>
        </is>
      </c>
    </row>
    <row r="248">
      <c r="A248" s="28" t="inlineStr">
        <is>
          <t>Cow Feed</t>
        </is>
      </c>
      <c r="B248" s="28" t="inlineStr">
        <is>
          <t>Corn</t>
        </is>
      </c>
      <c r="C248" s="28" t="n">
        <v>1</v>
      </c>
      <c r="D248" s="28" t="inlineStr">
        <is>
          <t>Fandom product page (Making table)</t>
        </is>
      </c>
      <c r="E248" s="28" t="inlineStr">
        <is>
          <t>https://hayday.fandom.com/wiki/Cow_Feed</t>
        </is>
      </c>
    </row>
    <row r="249">
      <c r="A249" s="28" t="inlineStr">
        <is>
          <t>Cream</t>
        </is>
      </c>
      <c r="B249" s="28" t="inlineStr">
        <is>
          <t>Milk</t>
        </is>
      </c>
      <c r="C249" s="28" t="n">
        <v>1</v>
      </c>
      <c r="D249" s="28" t="inlineStr">
        <is>
          <t>Fandom product page (Making table)</t>
        </is>
      </c>
      <c r="E249" s="28" t="inlineStr">
        <is>
          <t>https://hayday.fandom.com/wiki/Cream</t>
        </is>
      </c>
    </row>
    <row r="250">
      <c r="A250" s="28" t="inlineStr">
        <is>
          <t>Cream Cake</t>
        </is>
      </c>
      <c r="B250" s="28" t="inlineStr">
        <is>
          <t>Wheat</t>
        </is>
      </c>
      <c r="C250" s="28" t="n">
        <v>5</v>
      </c>
      <c r="D250" s="28" t="inlineStr">
        <is>
          <t>Fandom product page (Making table)</t>
        </is>
      </c>
      <c r="E250" s="28" t="inlineStr">
        <is>
          <t>https://hayday.fandom.com/wiki/Cream_Cake</t>
        </is>
      </c>
    </row>
    <row r="251">
      <c r="A251" s="28" t="inlineStr">
        <is>
          <t>Cream Cake</t>
        </is>
      </c>
      <c r="B251" s="28" t="inlineStr">
        <is>
          <t>Cream</t>
        </is>
      </c>
      <c r="C251" s="28" t="n">
        <v>1</v>
      </c>
      <c r="D251" s="28" t="inlineStr">
        <is>
          <t>Fandom product page (Making table)</t>
        </is>
      </c>
      <c r="E251" s="28" t="inlineStr">
        <is>
          <t>https://hayday.fandom.com/wiki/Cream_Cake</t>
        </is>
      </c>
    </row>
    <row r="252">
      <c r="A252" s="28" t="inlineStr">
        <is>
          <t>Cream Cake</t>
        </is>
      </c>
      <c r="B252" s="28" t="inlineStr">
        <is>
          <t>White Sugar</t>
        </is>
      </c>
      <c r="C252" s="28" t="n">
        <v>1</v>
      </c>
      <c r="D252" s="28" t="inlineStr">
        <is>
          <t>Fandom product page (Making table)</t>
        </is>
      </c>
      <c r="E252" s="28" t="inlineStr">
        <is>
          <t>https://hayday.fandom.com/wiki/Cream_Cake</t>
        </is>
      </c>
    </row>
    <row r="253">
      <c r="A253" s="28" t="inlineStr">
        <is>
          <t>Cream Donut</t>
        </is>
      </c>
      <c r="B253" s="28" t="inlineStr">
        <is>
          <t>Plain Donut</t>
        </is>
      </c>
      <c r="C253" s="28" t="n">
        <v>1</v>
      </c>
      <c r="D253" s="28" t="inlineStr">
        <is>
          <t>Fandom product page (Making table)</t>
        </is>
      </c>
      <c r="E253" s="28" t="inlineStr">
        <is>
          <t>https://hayday.fandom.com/wiki/Cream_Donut</t>
        </is>
      </c>
    </row>
    <row r="254">
      <c r="A254" s="28" t="inlineStr">
        <is>
          <t>Cream Donut</t>
        </is>
      </c>
      <c r="B254" s="28" t="inlineStr">
        <is>
          <t>Cream</t>
        </is>
      </c>
      <c r="C254" s="28" t="n">
        <v>1</v>
      </c>
      <c r="D254" s="28" t="inlineStr">
        <is>
          <t>Fandom product page (Making table)</t>
        </is>
      </c>
      <c r="E254" s="28" t="inlineStr">
        <is>
          <t>https://hayday.fandom.com/wiki/Cream_Donut</t>
        </is>
      </c>
    </row>
    <row r="255">
      <c r="A255" s="28" t="inlineStr">
        <is>
          <t>Cream Donut</t>
        </is>
      </c>
      <c r="B255" s="28" t="inlineStr">
        <is>
          <t>Brown Sugar</t>
        </is>
      </c>
      <c r="C255" s="28" t="n">
        <v>1</v>
      </c>
      <c r="D255" s="28" t="inlineStr">
        <is>
          <t>Fandom product page (Making table)</t>
        </is>
      </c>
      <c r="E255" s="28" t="inlineStr">
        <is>
          <t>https://hayday.fandom.com/wiki/Cream_Donut</t>
        </is>
      </c>
    </row>
    <row r="256">
      <c r="A256" s="28" t="inlineStr">
        <is>
          <t>Crunchy Donut</t>
        </is>
      </c>
      <c r="B256" s="28" t="inlineStr">
        <is>
          <t>Plain Donut</t>
        </is>
      </c>
      <c r="C256" s="28" t="n">
        <v>1</v>
      </c>
      <c r="D256" s="28" t="inlineStr">
        <is>
          <t>Fandom product page (Making table)</t>
        </is>
      </c>
      <c r="E256" s="28" t="inlineStr">
        <is>
          <t>https://hayday.fandom.com/wiki/Crunchy_Donut</t>
        </is>
      </c>
    </row>
    <row r="257">
      <c r="A257" s="28" t="inlineStr">
        <is>
          <t>Crunchy Donut</t>
        </is>
      </c>
      <c r="B257" s="28" t="inlineStr">
        <is>
          <t>Cacao</t>
        </is>
      </c>
      <c r="C257" s="28" t="n">
        <v>1</v>
      </c>
      <c r="D257" s="28" t="inlineStr">
        <is>
          <t>Fandom product page (Making table)</t>
        </is>
      </c>
      <c r="E257" s="28" t="inlineStr">
        <is>
          <t>https://hayday.fandom.com/wiki/Crunchy_Donut</t>
        </is>
      </c>
    </row>
    <row r="258">
      <c r="A258" s="28" t="inlineStr">
        <is>
          <t>Crunchy Donut</t>
        </is>
      </c>
      <c r="B258" s="28" t="inlineStr">
        <is>
          <t>Peanuts</t>
        </is>
      </c>
      <c r="C258" s="28" t="n">
        <v>1</v>
      </c>
      <c r="D258" s="28" t="inlineStr">
        <is>
          <t>Fandom product page (Making table)</t>
        </is>
      </c>
      <c r="E258" s="28" t="inlineStr">
        <is>
          <t>https://hayday.fandom.com/wiki/Crunchy_Donut</t>
        </is>
      </c>
    </row>
    <row r="259">
      <c r="A259" s="28" t="inlineStr">
        <is>
          <t>Cucumber Sandwich</t>
        </is>
      </c>
      <c r="B259" s="28" t="inlineStr">
        <is>
          <t>Cucumber</t>
        </is>
      </c>
      <c r="C259" s="28" t="n">
        <v>2</v>
      </c>
      <c r="D259" s="28" t="inlineStr">
        <is>
          <t>Fandom product page (Making table)</t>
        </is>
      </c>
      <c r="E259" s="28" t="inlineStr">
        <is>
          <t>https://hayday.fandom.com/wiki/Cucumber_Sandwich</t>
        </is>
      </c>
    </row>
    <row r="260">
      <c r="A260" s="28" t="inlineStr">
        <is>
          <t>Cucumber Sandwich</t>
        </is>
      </c>
      <c r="B260" s="28" t="inlineStr">
        <is>
          <t>Mayonnaise</t>
        </is>
      </c>
      <c r="C260" s="28" t="n">
        <v>1</v>
      </c>
      <c r="D260" s="28" t="inlineStr">
        <is>
          <t>Fandom product page (Making table)</t>
        </is>
      </c>
      <c r="E260" s="28" t="inlineStr">
        <is>
          <t>https://hayday.fandom.com/wiki/Cucumber_Sandwich</t>
        </is>
      </c>
    </row>
    <row r="261">
      <c r="A261" s="28" t="inlineStr">
        <is>
          <t>Cucumber Sandwich</t>
        </is>
      </c>
      <c r="B261" s="28" t="inlineStr">
        <is>
          <t>Bread</t>
        </is>
      </c>
      <c r="C261" s="28" t="n">
        <v>2</v>
      </c>
      <c r="D261" s="28" t="inlineStr">
        <is>
          <t>Fandom product page (Making table)</t>
        </is>
      </c>
      <c r="E261" s="28" t="inlineStr">
        <is>
          <t>https://hayday.fandom.com/wiki/Cucumber_Sandwich</t>
        </is>
      </c>
    </row>
    <row r="262">
      <c r="A262" s="28" t="inlineStr">
        <is>
          <t>Cucumber Smoothie</t>
        </is>
      </c>
      <c r="B262" s="28" t="inlineStr">
        <is>
          <t>Cucumber</t>
        </is>
      </c>
      <c r="C262" s="28" t="n">
        <v>3</v>
      </c>
      <c r="D262" s="28" t="inlineStr">
        <is>
          <t>Fandom product page (Making table)</t>
        </is>
      </c>
      <c r="E262" s="28" t="inlineStr">
        <is>
          <t>https://hayday.fandom.com/wiki/Cucumber_Smoothie</t>
        </is>
      </c>
    </row>
    <row r="263">
      <c r="A263" s="28" t="inlineStr">
        <is>
          <t>Cucumber Smoothie</t>
        </is>
      </c>
      <c r="B263" s="28" t="inlineStr">
        <is>
          <t>Honey</t>
        </is>
      </c>
      <c r="C263" s="28" t="n">
        <v>1</v>
      </c>
      <c r="D263" s="28" t="inlineStr">
        <is>
          <t>Fandom product page (Making table)</t>
        </is>
      </c>
      <c r="E263" s="28" t="inlineStr">
        <is>
          <t>https://hayday.fandom.com/wiki/Cucumber_Smoothie</t>
        </is>
      </c>
    </row>
    <row r="264">
      <c r="A264" s="28" t="inlineStr">
        <is>
          <t>Cucumber Smoothie</t>
        </is>
      </c>
      <c r="B264" s="28" t="inlineStr">
        <is>
          <t>Pineapple</t>
        </is>
      </c>
      <c r="C264" s="28" t="n">
        <v>3</v>
      </c>
      <c r="D264" s="28" t="inlineStr">
        <is>
          <t>Fandom product page (Making table)</t>
        </is>
      </c>
      <c r="E264" s="28" t="inlineStr">
        <is>
          <t>https://hayday.fandom.com/wiki/Cucumber_Smoothie</t>
        </is>
      </c>
    </row>
    <row r="265">
      <c r="A265" s="28" t="inlineStr">
        <is>
          <t>Diamond Ring</t>
        </is>
      </c>
      <c r="B265" s="28" t="inlineStr">
        <is>
          <t>Gold Bar</t>
        </is>
      </c>
      <c r="C265" s="28" t="n">
        <v>2</v>
      </c>
      <c r="D265" s="28" t="inlineStr">
        <is>
          <t>Fandom product page (Making table)</t>
        </is>
      </c>
      <c r="E265" s="28" t="inlineStr">
        <is>
          <t>https://hayday.fandom.com/wiki/Diamond_Ring</t>
        </is>
      </c>
    </row>
    <row r="266">
      <c r="A266" s="28" t="inlineStr">
        <is>
          <t>Diamond Ring</t>
        </is>
      </c>
      <c r="B266" s="28" t="inlineStr">
        <is>
          <t>Platinum Bar</t>
        </is>
      </c>
      <c r="C266" s="28" t="n">
        <v>2</v>
      </c>
      <c r="D266" s="28" t="inlineStr">
        <is>
          <t>Fandom product page (Making table)</t>
        </is>
      </c>
      <c r="E266" s="28" t="inlineStr">
        <is>
          <t>https://hayday.fandom.com/wiki/Diamond_Ring</t>
        </is>
      </c>
    </row>
    <row r="267">
      <c r="A267" s="28" t="inlineStr">
        <is>
          <t>Diamond Ring</t>
        </is>
      </c>
      <c r="B267" s="28" t="inlineStr">
        <is>
          <t>Diamond</t>
        </is>
      </c>
      <c r="C267" s="28" t="n">
        <v>1</v>
      </c>
      <c r="D267" s="28" t="inlineStr">
        <is>
          <t>Fandom product page (Making table)</t>
        </is>
      </c>
      <c r="E267" s="28" t="inlineStr">
        <is>
          <t>https://hayday.fandom.com/wiki/Diamond_Ring</t>
        </is>
      </c>
    </row>
    <row r="268">
      <c r="A268" s="28" t="inlineStr">
        <is>
          <t>Dried Fruit</t>
        </is>
      </c>
      <c r="B268" s="28" t="inlineStr">
        <is>
          <t>Grapes</t>
        </is>
      </c>
      <c r="C268" s="28" t="n">
        <v>1</v>
      </c>
      <c r="D268" s="28" t="inlineStr">
        <is>
          <t>Fandom product page (Making table)</t>
        </is>
      </c>
      <c r="E268" s="28" t="inlineStr">
        <is>
          <t>https://hayday.fandom.com/wiki/Dried_Fruit</t>
        </is>
      </c>
    </row>
    <row r="269">
      <c r="A269" s="28" t="inlineStr">
        <is>
          <t>Dried Fruit</t>
        </is>
      </c>
      <c r="B269" s="28" t="inlineStr">
        <is>
          <t>Raspberry</t>
        </is>
      </c>
      <c r="C269" s="28" t="n">
        <v>1</v>
      </c>
      <c r="D269" s="28" t="inlineStr">
        <is>
          <t>Fandom product page (Making table)</t>
        </is>
      </c>
      <c r="E269" s="28" t="inlineStr">
        <is>
          <t>https://hayday.fandom.com/wiki/Dried_Fruit</t>
        </is>
      </c>
    </row>
    <row r="270">
      <c r="A270" s="28" t="inlineStr">
        <is>
          <t>Dried Fruit</t>
        </is>
      </c>
      <c r="B270" s="28" t="inlineStr">
        <is>
          <t>Strawberry</t>
        </is>
      </c>
      <c r="C270" s="28" t="n">
        <v>1</v>
      </c>
      <c r="D270" s="28" t="inlineStr">
        <is>
          <t>Fandom product page (Making table)</t>
        </is>
      </c>
      <c r="E270" s="28" t="inlineStr">
        <is>
          <t>https://hayday.fandom.com/wiki/Dried_Fruit</t>
        </is>
      </c>
    </row>
    <row r="271">
      <c r="A271" s="28" t="inlineStr">
        <is>
          <t>Dried Fruit</t>
        </is>
      </c>
      <c r="B271" s="28" t="inlineStr">
        <is>
          <t>Orange</t>
        </is>
      </c>
      <c r="C271" s="28" t="n">
        <v>1</v>
      </c>
      <c r="D271" s="28" t="inlineStr">
        <is>
          <t>Fandom product page (Making table)</t>
        </is>
      </c>
      <c r="E271" s="28" t="inlineStr">
        <is>
          <t>https://hayday.fandom.com/wiki/Dried_Fruit</t>
        </is>
      </c>
    </row>
    <row r="272">
      <c r="A272" s="28" t="inlineStr">
        <is>
          <t>Egg Sandwich</t>
        </is>
      </c>
      <c r="B272" s="28" t="inlineStr">
        <is>
          <t>Bread</t>
        </is>
      </c>
      <c r="C272" s="28" t="n">
        <v>2</v>
      </c>
      <c r="D272" s="28" t="inlineStr">
        <is>
          <t>Fandom product page (Making table)</t>
        </is>
      </c>
      <c r="E272" s="28" t="inlineStr">
        <is>
          <t>https://hayday.fandom.com/wiki/Egg_Sandwich</t>
        </is>
      </c>
    </row>
    <row r="273">
      <c r="A273" s="28" t="inlineStr">
        <is>
          <t>Egg Sandwich</t>
        </is>
      </c>
      <c r="B273" s="28" t="inlineStr">
        <is>
          <t>Egg</t>
        </is>
      </c>
      <c r="C273" s="28" t="n">
        <v>2</v>
      </c>
      <c r="D273" s="28" t="inlineStr">
        <is>
          <t>Fandom product page (Making table)</t>
        </is>
      </c>
      <c r="E273" s="28" t="inlineStr">
        <is>
          <t>https://hayday.fandom.com/wiki/Egg_Sandwich</t>
        </is>
      </c>
    </row>
    <row r="274">
      <c r="A274" s="28" t="inlineStr">
        <is>
          <t>Egg Sandwich</t>
        </is>
      </c>
      <c r="B274" s="28" t="inlineStr">
        <is>
          <t>Lettuce</t>
        </is>
      </c>
      <c r="C274" s="28" t="n">
        <v>3</v>
      </c>
      <c r="D274" s="28" t="inlineStr">
        <is>
          <t>Fandom product page (Making table)</t>
        </is>
      </c>
      <c r="E274" s="28" t="inlineStr">
        <is>
          <t>https://hayday.fandom.com/wiki/Egg_Sandwich</t>
        </is>
      </c>
    </row>
    <row r="275">
      <c r="A275" s="28" t="inlineStr">
        <is>
          <t>Egg Sandwich</t>
        </is>
      </c>
      <c r="B275" s="28" t="inlineStr">
        <is>
          <t>Mayonnaise</t>
        </is>
      </c>
      <c r="C275" s="28" t="n">
        <v>1</v>
      </c>
      <c r="D275" s="28" t="inlineStr">
        <is>
          <t>Fandom product page (Making table)</t>
        </is>
      </c>
      <c r="E275" s="28" t="inlineStr">
        <is>
          <t>https://hayday.fandom.com/wiki/Egg_Sandwich</t>
        </is>
      </c>
    </row>
    <row r="276">
      <c r="A276" s="28" t="inlineStr">
        <is>
          <t>Egg Sushi</t>
        </is>
      </c>
      <c r="B276" s="28" t="inlineStr">
        <is>
          <t>Brown Sugar</t>
        </is>
      </c>
      <c r="C276" s="28" t="n">
        <v>1</v>
      </c>
      <c r="D276" s="28" t="inlineStr">
        <is>
          <t>Fandom product page (Making table)</t>
        </is>
      </c>
      <c r="E276" s="28" t="inlineStr">
        <is>
          <t>https://hayday.fandom.com/wiki/Egg_Sushi</t>
        </is>
      </c>
    </row>
    <row r="277">
      <c r="A277" s="28" t="inlineStr">
        <is>
          <t>Egg Sushi</t>
        </is>
      </c>
      <c r="B277" s="28" t="inlineStr">
        <is>
          <t>Egg</t>
        </is>
      </c>
      <c r="C277" s="28" t="n">
        <v>4</v>
      </c>
      <c r="D277" s="28" t="inlineStr">
        <is>
          <t>Fandom product page (Making table)</t>
        </is>
      </c>
      <c r="E277" s="28" t="inlineStr">
        <is>
          <t>https://hayday.fandom.com/wiki/Egg_Sushi</t>
        </is>
      </c>
    </row>
    <row r="278">
      <c r="A278" s="28" t="inlineStr">
        <is>
          <t>Egg Sushi</t>
        </is>
      </c>
      <c r="B278" s="28" t="inlineStr">
        <is>
          <t>Rice</t>
        </is>
      </c>
      <c r="C278" s="28" t="n">
        <v>15</v>
      </c>
      <c r="D278" s="28" t="inlineStr">
        <is>
          <t>Fandom product page (Making table)</t>
        </is>
      </c>
      <c r="E278" s="28" t="inlineStr">
        <is>
          <t>https://hayday.fandom.com/wiki/Egg_Sushi</t>
        </is>
      </c>
    </row>
    <row r="279">
      <c r="A279" s="28" t="inlineStr">
        <is>
          <t>Egg Sushi</t>
        </is>
      </c>
      <c r="B279" s="28" t="inlineStr">
        <is>
          <t>Soy Sauce</t>
        </is>
      </c>
      <c r="C279" s="28" t="n">
        <v>1</v>
      </c>
      <c r="D279" s="28" t="inlineStr">
        <is>
          <t>Fandom product page (Making table)</t>
        </is>
      </c>
      <c r="E279" s="28" t="inlineStr">
        <is>
          <t>https://hayday.fandom.com/wiki/Egg_Sushi</t>
        </is>
      </c>
    </row>
    <row r="280">
      <c r="A280" s="28" t="inlineStr">
        <is>
          <t>Eggplant Parmesan</t>
        </is>
      </c>
      <c r="B280" s="28" t="inlineStr">
        <is>
          <t>Eggplant</t>
        </is>
      </c>
      <c r="C280" s="28" t="n">
        <v>4</v>
      </c>
      <c r="D280" s="28" t="inlineStr">
        <is>
          <t>Fandom product page (Making table)</t>
        </is>
      </c>
      <c r="E280" s="28" t="inlineStr">
        <is>
          <t>https://hayday.fandom.com/wiki/Eggplant_Parmesan</t>
        </is>
      </c>
    </row>
    <row r="281">
      <c r="A281" s="28" t="inlineStr">
        <is>
          <t>Eggplant Parmesan</t>
        </is>
      </c>
      <c r="B281" s="28" t="inlineStr">
        <is>
          <t>Cheese</t>
        </is>
      </c>
      <c r="C281" s="28" t="n">
        <v>1</v>
      </c>
      <c r="D281" s="28" t="inlineStr">
        <is>
          <t>Fandom product page (Making table)</t>
        </is>
      </c>
      <c r="E281" s="28" t="inlineStr">
        <is>
          <t>https://hayday.fandom.com/wiki/Eggplant_Parmesan</t>
        </is>
      </c>
    </row>
    <row r="282">
      <c r="A282" s="28" t="inlineStr">
        <is>
          <t>Eggplant Parmesan</t>
        </is>
      </c>
      <c r="B282" s="28" t="inlineStr">
        <is>
          <t>Tomato Sauce</t>
        </is>
      </c>
      <c r="C282" s="28" t="n">
        <v>1</v>
      </c>
      <c r="D282" s="28" t="inlineStr">
        <is>
          <t>Fandom product page (Making table)</t>
        </is>
      </c>
      <c r="E282" s="28" t="inlineStr">
        <is>
          <t>https://hayday.fandom.com/wiki/Eggplant_Parmesan</t>
        </is>
      </c>
    </row>
    <row r="283">
      <c r="A283" s="28" t="inlineStr">
        <is>
          <t>Espresso</t>
        </is>
      </c>
      <c r="B283" s="28" t="inlineStr">
        <is>
          <t>Coffee Bean</t>
        </is>
      </c>
      <c r="C283" s="28" t="n">
        <v>3</v>
      </c>
      <c r="D283" s="28" t="inlineStr">
        <is>
          <t>Fandom product page (Making table)</t>
        </is>
      </c>
      <c r="E283" s="28" t="inlineStr">
        <is>
          <t>https://hayday.fandom.com/wiki/Espresso</t>
        </is>
      </c>
    </row>
    <row r="284">
      <c r="A284" s="28" t="inlineStr">
        <is>
          <t>Espresso</t>
        </is>
      </c>
      <c r="B284" s="28" t="inlineStr">
        <is>
          <t>White Sugar</t>
        </is>
      </c>
      <c r="C284" s="28" t="n">
        <v>1</v>
      </c>
      <c r="D284" s="28" t="inlineStr">
        <is>
          <t>Fandom product page (Making table)</t>
        </is>
      </c>
      <c r="E284" s="28" t="inlineStr">
        <is>
          <t>https://hayday.fandom.com/wiki/Espresso</t>
        </is>
      </c>
    </row>
    <row r="285">
      <c r="A285" s="28" t="inlineStr">
        <is>
          <t>Exfoliating Soap</t>
        </is>
      </c>
      <c r="B285" s="28" t="inlineStr">
        <is>
          <t>Cacao</t>
        </is>
      </c>
      <c r="C285" s="28" t="n">
        <v>2</v>
      </c>
      <c r="D285" s="28" t="inlineStr">
        <is>
          <t>Fandom product page (Making table)</t>
        </is>
      </c>
      <c r="E285" s="28" t="inlineStr">
        <is>
          <t>https://hayday.fandom.com/wiki/Exfoliating_Soap</t>
        </is>
      </c>
    </row>
    <row r="286">
      <c r="A286" s="28" t="inlineStr">
        <is>
          <t>Exfoliating Soap</t>
        </is>
      </c>
      <c r="B286" s="28" t="inlineStr">
        <is>
          <t>Coffee Bean</t>
        </is>
      </c>
      <c r="C286" s="28" t="n">
        <v>2</v>
      </c>
      <c r="D286" s="28" t="inlineStr">
        <is>
          <t>Fandom product page (Making table)</t>
        </is>
      </c>
      <c r="E286" s="28" t="inlineStr">
        <is>
          <t>https://hayday.fandom.com/wiki/Exfoliating_Soap</t>
        </is>
      </c>
    </row>
    <row r="287">
      <c r="A287" s="28" t="inlineStr">
        <is>
          <t>Exfoliating Soap</t>
        </is>
      </c>
      <c r="B287" s="28" t="inlineStr">
        <is>
          <t>Raspberry</t>
        </is>
      </c>
      <c r="C287" s="28" t="n">
        <v>1</v>
      </c>
      <c r="D287" s="28" t="inlineStr">
        <is>
          <t>Fandom product page (Making table)</t>
        </is>
      </c>
      <c r="E287" s="28" t="inlineStr">
        <is>
          <t>https://hayday.fandom.com/wiki/Exfoliating_Soap</t>
        </is>
      </c>
    </row>
    <row r="288">
      <c r="A288" s="28" t="inlineStr">
        <is>
          <t>Falafel</t>
        </is>
      </c>
      <c r="B288" s="28" t="inlineStr">
        <is>
          <t>Chickpea</t>
        </is>
      </c>
      <c r="C288" s="28" t="n">
        <v>3</v>
      </c>
      <c r="D288" s="28" t="inlineStr">
        <is>
          <t>Fandom product page (Making table)</t>
        </is>
      </c>
      <c r="E288" s="28" t="inlineStr">
        <is>
          <t>https://hayday.fandom.com/wiki/Falafel</t>
        </is>
      </c>
    </row>
    <row r="289">
      <c r="A289" s="28" t="inlineStr">
        <is>
          <t>Falafel</t>
        </is>
      </c>
      <c r="B289" s="28" t="inlineStr">
        <is>
          <t>Onion</t>
        </is>
      </c>
      <c r="C289" s="28" t="n">
        <v>2</v>
      </c>
      <c r="D289" s="28" t="inlineStr">
        <is>
          <t>Fandom product page (Making table)</t>
        </is>
      </c>
      <c r="E289" s="28" t="inlineStr">
        <is>
          <t>https://hayday.fandom.com/wiki/Falafel</t>
        </is>
      </c>
    </row>
    <row r="290">
      <c r="A290" s="28" t="inlineStr">
        <is>
          <t>Falafel</t>
        </is>
      </c>
      <c r="B290" s="28" t="inlineStr">
        <is>
          <t>Garlic</t>
        </is>
      </c>
      <c r="C290" s="28" t="n">
        <v>2</v>
      </c>
      <c r="D290" s="28" t="inlineStr">
        <is>
          <t>Fandom product page (Making table)</t>
        </is>
      </c>
      <c r="E290" s="28" t="inlineStr">
        <is>
          <t>https://hayday.fandom.com/wiki/Falafel</t>
        </is>
      </c>
    </row>
    <row r="291">
      <c r="A291" s="28" t="inlineStr">
        <is>
          <t>Falafel</t>
        </is>
      </c>
      <c r="B291" s="28" t="inlineStr">
        <is>
          <t>Chili Pepper</t>
        </is>
      </c>
      <c r="C291" s="28" t="n">
        <v>1</v>
      </c>
      <c r="D291" s="28" t="inlineStr">
        <is>
          <t>Fandom product page (Making table)</t>
        </is>
      </c>
      <c r="E291" s="28" t="inlineStr">
        <is>
          <t>https://hayday.fandom.com/wiki/Falafel</t>
        </is>
      </c>
    </row>
    <row r="292">
      <c r="A292" s="28" t="inlineStr">
        <is>
          <t>Fancy Cake</t>
        </is>
      </c>
      <c r="B292" s="28" t="inlineStr">
        <is>
          <t>Cream Cake</t>
        </is>
      </c>
      <c r="C292" s="28" t="n">
        <v>1</v>
      </c>
      <c r="D292" s="28" t="inlineStr">
        <is>
          <t>Fandom product page (Making table)</t>
        </is>
      </c>
      <c r="E292" s="28" t="inlineStr">
        <is>
          <t>https://hayday.fandom.com/wiki/Fancy_Cake</t>
        </is>
      </c>
    </row>
    <row r="293">
      <c r="A293" s="28" t="inlineStr">
        <is>
          <t>Fancy Cake</t>
        </is>
      </c>
      <c r="B293" s="28" t="inlineStr">
        <is>
          <t>Lily</t>
        </is>
      </c>
      <c r="C293" s="28" t="n">
        <v>3</v>
      </c>
      <c r="D293" s="28" t="inlineStr">
        <is>
          <t>Fandom product page (Making table)</t>
        </is>
      </c>
      <c r="E293" s="28" t="inlineStr">
        <is>
          <t>https://hayday.fandom.com/wiki/Fancy_Cake</t>
        </is>
      </c>
    </row>
    <row r="294">
      <c r="A294" s="28" t="inlineStr">
        <is>
          <t>Fancy Cake</t>
        </is>
      </c>
      <c r="B294" s="28" t="inlineStr">
        <is>
          <t>Raspberry</t>
        </is>
      </c>
      <c r="C294" s="28" t="n">
        <v>3</v>
      </c>
      <c r="D294" s="28" t="inlineStr">
        <is>
          <t>Fandom product page (Making table)</t>
        </is>
      </c>
      <c r="E294" s="28" t="inlineStr">
        <is>
          <t>https://hayday.fandom.com/wiki/Fancy_Cake</t>
        </is>
      </c>
    </row>
    <row r="295">
      <c r="A295" s="28" t="inlineStr">
        <is>
          <t>Fancy Cake</t>
        </is>
      </c>
      <c r="B295" s="28" t="inlineStr">
        <is>
          <t>Gold Ore</t>
        </is>
      </c>
      <c r="C295" s="28" t="n">
        <v>1</v>
      </c>
      <c r="D295" s="28" t="inlineStr">
        <is>
          <t>Fandom product page (Making table)</t>
        </is>
      </c>
      <c r="E295" s="28" t="inlineStr">
        <is>
          <t>https://hayday.fandom.com/wiki/Fancy_Cake</t>
        </is>
      </c>
    </row>
    <row r="296">
      <c r="A296" s="28" t="inlineStr">
        <is>
          <t>Feta Pie</t>
        </is>
      </c>
      <c r="B296" s="28" t="inlineStr">
        <is>
          <t>Goat Cheese</t>
        </is>
      </c>
      <c r="C296" s="28" t="n">
        <v>1</v>
      </c>
      <c r="D296" s="28" t="inlineStr">
        <is>
          <t>Fandom product page (Making table)</t>
        </is>
      </c>
      <c r="E296" s="28" t="inlineStr">
        <is>
          <t>https://hayday.fandom.com/wiki/Feta_Pie</t>
        </is>
      </c>
    </row>
    <row r="297">
      <c r="A297" s="28" t="inlineStr">
        <is>
          <t>Feta Pie</t>
        </is>
      </c>
      <c r="B297" s="28" t="inlineStr">
        <is>
          <t>Wheat</t>
        </is>
      </c>
      <c r="C297" s="28" t="n">
        <v>2</v>
      </c>
      <c r="D297" s="28" t="inlineStr">
        <is>
          <t>Fandom product page (Making table)</t>
        </is>
      </c>
      <c r="E297" s="28" t="inlineStr">
        <is>
          <t>https://hayday.fandom.com/wiki/Feta_Pie</t>
        </is>
      </c>
    </row>
    <row r="298">
      <c r="A298" s="28" t="inlineStr">
        <is>
          <t>Feta Pie</t>
        </is>
      </c>
      <c r="B298" s="28" t="inlineStr">
        <is>
          <t>Egg</t>
        </is>
      </c>
      <c r="C298" s="28" t="n">
        <v>1</v>
      </c>
      <c r="D298" s="28" t="inlineStr">
        <is>
          <t>Fandom product page (Making table)</t>
        </is>
      </c>
      <c r="E298" s="28" t="inlineStr">
        <is>
          <t>https://hayday.fandom.com/wiki/Feta_Pie</t>
        </is>
      </c>
    </row>
    <row r="299">
      <c r="A299" s="28" t="inlineStr">
        <is>
          <t>Feta Salad</t>
        </is>
      </c>
      <c r="B299" s="28" t="inlineStr">
        <is>
          <t>Lettuce</t>
        </is>
      </c>
      <c r="C299" s="28" t="n">
        <v>3</v>
      </c>
      <c r="D299" s="28" t="inlineStr">
        <is>
          <t>Fandom product page (Making table)</t>
        </is>
      </c>
      <c r="E299" s="28" t="inlineStr">
        <is>
          <t>https://hayday.fandom.com/wiki/Feta_Salad</t>
        </is>
      </c>
    </row>
    <row r="300">
      <c r="A300" s="28" t="inlineStr">
        <is>
          <t>Feta Salad</t>
        </is>
      </c>
      <c r="B300" s="28" t="inlineStr">
        <is>
          <t>Roasted Tomatoes</t>
        </is>
      </c>
      <c r="C300" s="28" t="n">
        <v>1</v>
      </c>
      <c r="D300" s="28" t="inlineStr">
        <is>
          <t>Fandom product page (Making table)</t>
        </is>
      </c>
      <c r="E300" s="28" t="inlineStr">
        <is>
          <t>https://hayday.fandom.com/wiki/Feta_Salad</t>
        </is>
      </c>
    </row>
    <row r="301">
      <c r="A301" s="28" t="inlineStr">
        <is>
          <t>Feta Salad</t>
        </is>
      </c>
      <c r="B301" s="28" t="inlineStr">
        <is>
          <t>Goat Cheese</t>
        </is>
      </c>
      <c r="C301" s="28" t="n">
        <v>2</v>
      </c>
      <c r="D301" s="28" t="inlineStr">
        <is>
          <t>Fandom product page (Making table)</t>
        </is>
      </c>
      <c r="E301" s="28" t="inlineStr">
        <is>
          <t>https://hayday.fandom.com/wiki/Feta_Salad</t>
        </is>
      </c>
    </row>
    <row r="302">
      <c r="A302" s="28" t="inlineStr">
        <is>
          <t>Feta Salad</t>
        </is>
      </c>
      <c r="B302" s="28" t="inlineStr">
        <is>
          <t>Olive</t>
        </is>
      </c>
      <c r="C302" s="28" t="n">
        <v>2</v>
      </c>
      <c r="D302" s="28" t="inlineStr">
        <is>
          <t>Fandom product page (Making table)</t>
        </is>
      </c>
      <c r="E302" s="28" t="inlineStr">
        <is>
          <t>https://hayday.fandom.com/wiki/Feta_Salad</t>
        </is>
      </c>
    </row>
    <row r="303">
      <c r="A303" s="28" t="inlineStr">
        <is>
          <t>Filled Donut</t>
        </is>
      </c>
      <c r="B303" s="28" t="inlineStr">
        <is>
          <t>Plain Donut</t>
        </is>
      </c>
      <c r="C303" s="28" t="n">
        <v>1</v>
      </c>
      <c r="D303" s="28" t="inlineStr">
        <is>
          <t>Fandom product page (Making table)</t>
        </is>
      </c>
      <c r="E303" s="28" t="inlineStr">
        <is>
          <t>https://hayday.fandom.com/wiki/Filled_Donut</t>
        </is>
      </c>
    </row>
    <row r="304">
      <c r="A304" s="28" t="inlineStr">
        <is>
          <t>Filled Donut</t>
        </is>
      </c>
      <c r="B304" s="28" t="inlineStr">
        <is>
          <t>Raspberry Jam</t>
        </is>
      </c>
      <c r="C304" s="28" t="n">
        <v>1</v>
      </c>
      <c r="D304" s="28" t="inlineStr">
        <is>
          <t>Fandom product page (Making table)</t>
        </is>
      </c>
      <c r="E304" s="28" t="inlineStr">
        <is>
          <t>https://hayday.fandom.com/wiki/Filled_Donut</t>
        </is>
      </c>
    </row>
    <row r="305">
      <c r="A305" s="28" t="inlineStr">
        <is>
          <t>Fish Burger</t>
        </is>
      </c>
      <c r="B305" s="28" t="inlineStr">
        <is>
          <t>Fish Fillet</t>
        </is>
      </c>
      <c r="C305" s="28" t="n">
        <v>2</v>
      </c>
      <c r="D305" s="28" t="inlineStr">
        <is>
          <t>Fandom product page (Making table)</t>
        </is>
      </c>
      <c r="E305" s="28" t="inlineStr">
        <is>
          <t>https://hayday.fandom.com/wiki/Fish_Burger</t>
        </is>
      </c>
    </row>
    <row r="306">
      <c r="A306" s="28" t="inlineStr">
        <is>
          <t>Fish Burger</t>
        </is>
      </c>
      <c r="B306" s="28" t="inlineStr">
        <is>
          <t>Chili Pepper</t>
        </is>
      </c>
      <c r="C306" s="28" t="n">
        <v>1</v>
      </c>
      <c r="D306" s="28" t="inlineStr">
        <is>
          <t>Fandom product page (Making table)</t>
        </is>
      </c>
      <c r="E306" s="28" t="inlineStr">
        <is>
          <t>https://hayday.fandom.com/wiki/Fish_Burger</t>
        </is>
      </c>
    </row>
    <row r="307">
      <c r="A307" s="28" t="inlineStr">
        <is>
          <t>Fish Burger</t>
        </is>
      </c>
      <c r="B307" s="28" t="inlineStr">
        <is>
          <t>Bread</t>
        </is>
      </c>
      <c r="C307" s="28" t="n">
        <v>2</v>
      </c>
      <c r="D307" s="28" t="inlineStr">
        <is>
          <t>Fandom product page (Making table)</t>
        </is>
      </c>
      <c r="E307" s="28" t="inlineStr">
        <is>
          <t>https://hayday.fandom.com/wiki/Fish_Burger</t>
        </is>
      </c>
    </row>
    <row r="308">
      <c r="A308" s="28" t="inlineStr">
        <is>
          <t>Fish Pie</t>
        </is>
      </c>
      <c r="B308" s="28" t="inlineStr">
        <is>
          <t>Fish Fillet</t>
        </is>
      </c>
      <c r="C308" s="28" t="n">
        <v>3</v>
      </c>
      <c r="D308" s="28" t="inlineStr">
        <is>
          <t>Fandom product page (Making table)</t>
        </is>
      </c>
      <c r="E308" s="28" t="inlineStr">
        <is>
          <t>https://hayday.fandom.com/wiki/Fish_Pie</t>
        </is>
      </c>
    </row>
    <row r="309">
      <c r="A309" s="28" t="inlineStr">
        <is>
          <t>Fish Pie</t>
        </is>
      </c>
      <c r="B309" s="28" t="inlineStr">
        <is>
          <t>Wheat</t>
        </is>
      </c>
      <c r="C309" s="28" t="n">
        <v>2</v>
      </c>
      <c r="D309" s="28" t="inlineStr">
        <is>
          <t>Fandom product page (Making table)</t>
        </is>
      </c>
      <c r="E309" s="28" t="inlineStr">
        <is>
          <t>https://hayday.fandom.com/wiki/Fish_Pie</t>
        </is>
      </c>
    </row>
    <row r="310">
      <c r="A310" s="28" t="inlineStr">
        <is>
          <t>Fish Pie</t>
        </is>
      </c>
      <c r="B310" s="28" t="inlineStr">
        <is>
          <t>Egg</t>
        </is>
      </c>
      <c r="C310" s="28" t="n">
        <v>1</v>
      </c>
      <c r="D310" s="28" t="inlineStr">
        <is>
          <t>Fandom product page (Making table)</t>
        </is>
      </c>
      <c r="E310" s="28" t="inlineStr">
        <is>
          <t>https://hayday.fandom.com/wiki/Fish_Pie</t>
        </is>
      </c>
    </row>
    <row r="311">
      <c r="A311" s="28" t="inlineStr">
        <is>
          <t>Fish Skewer</t>
        </is>
      </c>
      <c r="B311" s="28" t="inlineStr">
        <is>
          <t>Fish Fillet</t>
        </is>
      </c>
      <c r="C311" s="28" t="n">
        <v>1</v>
      </c>
      <c r="D311" s="28" t="inlineStr">
        <is>
          <t>Fandom product page (Making table)</t>
        </is>
      </c>
      <c r="E311" s="28" t="inlineStr">
        <is>
          <t>https://hayday.fandom.com/wiki/Fish_Skewer</t>
        </is>
      </c>
    </row>
    <row r="312">
      <c r="A312" s="28" t="inlineStr">
        <is>
          <t>Fish Skewer</t>
        </is>
      </c>
      <c r="B312" s="28" t="inlineStr">
        <is>
          <t>Mushroom</t>
        </is>
      </c>
      <c r="C312" s="28" t="n">
        <v>3</v>
      </c>
      <c r="D312" s="28" t="inlineStr">
        <is>
          <t>Fandom product page (Making table)</t>
        </is>
      </c>
      <c r="E312" s="28" t="inlineStr">
        <is>
          <t>https://hayday.fandom.com/wiki/Fish_Skewer</t>
        </is>
      </c>
    </row>
    <row r="313">
      <c r="A313" s="28" t="inlineStr">
        <is>
          <t>Fish Skewer</t>
        </is>
      </c>
      <c r="B313" s="28" t="inlineStr">
        <is>
          <t>Ginger</t>
        </is>
      </c>
      <c r="C313" s="28" t="n">
        <v>1</v>
      </c>
      <c r="D313" s="28" t="inlineStr">
        <is>
          <t>Fandom product page (Making table)</t>
        </is>
      </c>
      <c r="E313" s="28" t="inlineStr">
        <is>
          <t>https://hayday.fandom.com/wiki/Fish_Skewer</t>
        </is>
      </c>
    </row>
    <row r="314">
      <c r="A314" s="28" t="inlineStr">
        <is>
          <t>Fish Skewer</t>
        </is>
      </c>
      <c r="B314" s="28" t="inlineStr">
        <is>
          <t>Sesame</t>
        </is>
      </c>
      <c r="C314" s="28" t="n">
        <v>2</v>
      </c>
      <c r="D314" s="28" t="inlineStr">
        <is>
          <t>Fandom product page (Making table)</t>
        </is>
      </c>
      <c r="E314" s="28" t="inlineStr">
        <is>
          <t>https://hayday.fandom.com/wiki/Fish_Skewer</t>
        </is>
      </c>
    </row>
    <row r="315">
      <c r="A315" s="28" t="inlineStr">
        <is>
          <t>Fish Soup</t>
        </is>
      </c>
      <c r="B315" s="28" t="inlineStr">
        <is>
          <t>Potato</t>
        </is>
      </c>
      <c r="C315" s="28" t="n">
        <v>3</v>
      </c>
      <c r="D315" s="28" t="inlineStr">
        <is>
          <t>Fandom product page (Making table)</t>
        </is>
      </c>
      <c r="E315" s="28" t="inlineStr">
        <is>
          <t>https://hayday.fandom.com/wiki/Fish_Soup</t>
        </is>
      </c>
    </row>
    <row r="316">
      <c r="A316" s="28" t="inlineStr">
        <is>
          <t>Fish Soup</t>
        </is>
      </c>
      <c r="B316" s="28" t="inlineStr">
        <is>
          <t>Fish Fillet</t>
        </is>
      </c>
      <c r="C316" s="28" t="n">
        <v>2</v>
      </c>
      <c r="D316" s="28" t="inlineStr">
        <is>
          <t>Fandom product page (Making table)</t>
        </is>
      </c>
      <c r="E316" s="28" t="inlineStr">
        <is>
          <t>https://hayday.fandom.com/wiki/Fish_Soup</t>
        </is>
      </c>
    </row>
    <row r="317">
      <c r="A317" s="28" t="inlineStr">
        <is>
          <t>Fish Soup</t>
        </is>
      </c>
      <c r="B317" s="28" t="inlineStr">
        <is>
          <t>Milk</t>
        </is>
      </c>
      <c r="C317" s="28" t="n">
        <v>1</v>
      </c>
      <c r="D317" s="28" t="inlineStr">
        <is>
          <t>Fandom product page (Making table)</t>
        </is>
      </c>
      <c r="E317" s="28" t="inlineStr">
        <is>
          <t>https://hayday.fandom.com/wiki/Fish_Soup</t>
        </is>
      </c>
    </row>
    <row r="318">
      <c r="A318" s="28" t="inlineStr">
        <is>
          <t>Fish Soup</t>
        </is>
      </c>
      <c r="B318" s="28" t="inlineStr">
        <is>
          <t>Carrot</t>
        </is>
      </c>
      <c r="C318" s="28" t="n">
        <v>1</v>
      </c>
      <c r="D318" s="28" t="inlineStr">
        <is>
          <t>Fandom product page (Making table)</t>
        </is>
      </c>
      <c r="E318" s="28" t="inlineStr">
        <is>
          <t>https://hayday.fandom.com/wiki/Fish_Soup</t>
        </is>
      </c>
    </row>
    <row r="319">
      <c r="A319" s="28" t="inlineStr">
        <is>
          <t>Fish Taco</t>
        </is>
      </c>
      <c r="B319" s="28" t="inlineStr">
        <is>
          <t>Chili Pepper</t>
        </is>
      </c>
      <c r="C319" s="28" t="n">
        <v>2</v>
      </c>
      <c r="D319" s="28" t="inlineStr">
        <is>
          <t>Fandom product page (Making table)</t>
        </is>
      </c>
      <c r="E319" s="28" t="inlineStr">
        <is>
          <t>https://hayday.fandom.com/wiki/Fish_Taco</t>
        </is>
      </c>
    </row>
    <row r="320">
      <c r="A320" s="28" t="inlineStr">
        <is>
          <t>Fish Taco</t>
        </is>
      </c>
      <c r="B320" s="28" t="inlineStr">
        <is>
          <t>Corn Bread</t>
        </is>
      </c>
      <c r="C320" s="28" t="n">
        <v>2</v>
      </c>
      <c r="D320" s="28" t="inlineStr">
        <is>
          <t>Fandom product page (Making table)</t>
        </is>
      </c>
      <c r="E320" s="28" t="inlineStr">
        <is>
          <t>https://hayday.fandom.com/wiki/Fish_Taco</t>
        </is>
      </c>
    </row>
    <row r="321">
      <c r="A321" s="28" t="inlineStr">
        <is>
          <t>Fish Taco</t>
        </is>
      </c>
      <c r="B321" s="28" t="inlineStr">
        <is>
          <t>Fish Fillet</t>
        </is>
      </c>
      <c r="C321" s="28" t="n">
        <v>1</v>
      </c>
      <c r="D321" s="28" t="inlineStr">
        <is>
          <t>Fandom product page (Making table)</t>
        </is>
      </c>
      <c r="E321" s="28" t="inlineStr">
        <is>
          <t>https://hayday.fandom.com/wiki/Fish_Taco</t>
        </is>
      </c>
    </row>
    <row r="322">
      <c r="A322" s="28" t="inlineStr">
        <is>
          <t>Fish Taco</t>
        </is>
      </c>
      <c r="B322" s="28" t="inlineStr">
        <is>
          <t>Lemon</t>
        </is>
      </c>
      <c r="C322" s="28" t="n">
        <v>1</v>
      </c>
      <c r="D322" s="28" t="inlineStr">
        <is>
          <t>Fandom product page (Making table)</t>
        </is>
      </c>
      <c r="E322" s="28" t="inlineStr">
        <is>
          <t>https://hayday.fandom.com/wiki/Fish_Taco</t>
        </is>
      </c>
    </row>
    <row r="323">
      <c r="A323" s="28" t="inlineStr">
        <is>
          <t>Fish and Chips</t>
        </is>
      </c>
      <c r="B323" s="28" t="inlineStr">
        <is>
          <t>Fish Fillet</t>
        </is>
      </c>
      <c r="C323" s="28" t="n">
        <v>2</v>
      </c>
      <c r="D323" s="28" t="inlineStr">
        <is>
          <t>Fandom product page (Making table)</t>
        </is>
      </c>
      <c r="E323" s="28" t="inlineStr">
        <is>
          <t>https://hayday.fandom.com/wiki/Fish_and_Chips</t>
        </is>
      </c>
    </row>
    <row r="324">
      <c r="A324" s="28" t="inlineStr">
        <is>
          <t>Fish and Chips</t>
        </is>
      </c>
      <c r="B324" s="28" t="inlineStr">
        <is>
          <t>Potato</t>
        </is>
      </c>
      <c r="C324" s="28" t="n">
        <v>3</v>
      </c>
      <c r="D324" s="28" t="inlineStr">
        <is>
          <t>Fandom product page (Making table)</t>
        </is>
      </c>
      <c r="E324" s="28" t="inlineStr">
        <is>
          <t>https://hayday.fandom.com/wiki/Fish_and_Chips</t>
        </is>
      </c>
    </row>
    <row r="325">
      <c r="A325" s="28" t="inlineStr">
        <is>
          <t>Floral Candle</t>
        </is>
      </c>
      <c r="B325" s="28" t="inlineStr">
        <is>
          <t>Beeswax</t>
        </is>
      </c>
      <c r="C325" s="28" t="n">
        <v>1</v>
      </c>
      <c r="D325" s="28" t="inlineStr">
        <is>
          <t>Fandom product page (Making table)</t>
        </is>
      </c>
      <c r="E325" s="28" t="inlineStr">
        <is>
          <t>https://hayday.fandom.com/wiki/Floral_Candle</t>
        </is>
      </c>
    </row>
    <row r="326">
      <c r="A326" s="28" t="inlineStr">
        <is>
          <t>Floral Candle</t>
        </is>
      </c>
      <c r="B326" s="28" t="inlineStr">
        <is>
          <t>Peony</t>
        </is>
      </c>
      <c r="C326" s="28" t="n">
        <v>2</v>
      </c>
      <c r="D326" s="28" t="inlineStr">
        <is>
          <t>Fandom product page (Making table)</t>
        </is>
      </c>
      <c r="E326" s="28" t="inlineStr">
        <is>
          <t>https://hayday.fandom.com/wiki/Floral_Candle</t>
        </is>
      </c>
    </row>
    <row r="327">
      <c r="A327" s="28" t="inlineStr">
        <is>
          <t>Floral Candle</t>
        </is>
      </c>
      <c r="B327" s="28" t="inlineStr">
        <is>
          <t>Sunflower</t>
        </is>
      </c>
      <c r="C327" s="28" t="n">
        <v>2</v>
      </c>
      <c r="D327" s="28" t="inlineStr">
        <is>
          <t>Fandom product page (Making table)</t>
        </is>
      </c>
      <c r="E327" s="28" t="inlineStr">
        <is>
          <t>https://hayday.fandom.com/wiki/Floral_Candle</t>
        </is>
      </c>
    </row>
    <row r="328">
      <c r="A328" s="28" t="inlineStr">
        <is>
          <t>Floral Candle</t>
        </is>
      </c>
      <c r="B328" s="28" t="inlineStr">
        <is>
          <t>Indigo</t>
        </is>
      </c>
      <c r="C328" s="28" t="n">
        <v>2</v>
      </c>
      <c r="D328" s="28" t="inlineStr">
        <is>
          <t>Fandom product page (Making table)</t>
        </is>
      </c>
      <c r="E328" s="28" t="inlineStr">
        <is>
          <t>https://hayday.fandom.com/wiki/Floral_Candle</t>
        </is>
      </c>
    </row>
    <row r="329">
      <c r="A329" s="28" t="inlineStr">
        <is>
          <t>Flower Crown</t>
        </is>
      </c>
      <c r="B329" s="28" t="inlineStr">
        <is>
          <t>Peony</t>
        </is>
      </c>
      <c r="C329" s="28" t="n">
        <v>5</v>
      </c>
      <c r="D329" s="28" t="inlineStr">
        <is>
          <t>Fandom product page (Making table)</t>
        </is>
      </c>
      <c r="E329" s="28" t="inlineStr">
        <is>
          <t>https://hayday.fandom.com/wiki/Flower_Crown</t>
        </is>
      </c>
    </row>
    <row r="330">
      <c r="A330" s="28" t="inlineStr">
        <is>
          <t>Flower Crown</t>
        </is>
      </c>
      <c r="B330" s="28" t="inlineStr">
        <is>
          <t>Cotton</t>
        </is>
      </c>
      <c r="C330" s="28" t="n">
        <v>4</v>
      </c>
      <c r="D330" s="28" t="inlineStr">
        <is>
          <t>Fandom product page (Making table)</t>
        </is>
      </c>
      <c r="E330" s="28" t="inlineStr">
        <is>
          <t>https://hayday.fandom.com/wiki/Flower_Crown</t>
        </is>
      </c>
    </row>
    <row r="331">
      <c r="A331" s="28" t="inlineStr">
        <is>
          <t>Flower Pendant</t>
        </is>
      </c>
      <c r="B331" s="28" t="inlineStr">
        <is>
          <t>Peony</t>
        </is>
      </c>
      <c r="C331" s="28" t="n">
        <v>3</v>
      </c>
      <c r="D331" s="28" t="inlineStr">
        <is>
          <t>Fandom product page (Making table)</t>
        </is>
      </c>
      <c r="E331" s="28" t="inlineStr">
        <is>
          <t>https://hayday.fandom.com/wiki/Flower_Pendant</t>
        </is>
      </c>
    </row>
    <row r="332">
      <c r="A332" s="28" t="inlineStr">
        <is>
          <t>Flower Pendant</t>
        </is>
      </c>
      <c r="B332" s="28" t="inlineStr">
        <is>
          <t>Platinum Bar</t>
        </is>
      </c>
      <c r="C332" s="28" t="n">
        <v>1</v>
      </c>
      <c r="D332" s="28" t="inlineStr">
        <is>
          <t>Fandom product page (Making table)</t>
        </is>
      </c>
      <c r="E332" s="28" t="inlineStr">
        <is>
          <t>https://hayday.fandom.com/wiki/Flower_Pendant</t>
        </is>
      </c>
    </row>
    <row r="333">
      <c r="A333" s="28" t="inlineStr">
        <is>
          <t>Flower Pendant</t>
        </is>
      </c>
      <c r="B333" s="28" t="inlineStr">
        <is>
          <t>Gold Bar</t>
        </is>
      </c>
      <c r="C333" s="28" t="n">
        <v>2</v>
      </c>
      <c r="D333" s="28" t="inlineStr">
        <is>
          <t>Fandom product page (Making table)</t>
        </is>
      </c>
      <c r="E333" s="28" t="inlineStr">
        <is>
          <t>https://hayday.fandom.com/wiki/Flower_Pendant</t>
        </is>
      </c>
    </row>
    <row r="334">
      <c r="A334" s="28" t="inlineStr">
        <is>
          <t>Flower Shawl</t>
        </is>
      </c>
      <c r="B334" s="28" t="inlineStr">
        <is>
          <t>Wool</t>
        </is>
      </c>
      <c r="C334" s="28" t="n">
        <v>2</v>
      </c>
      <c r="D334" s="28" t="inlineStr">
        <is>
          <t>Fandom product page (Making table)</t>
        </is>
      </c>
      <c r="E334" s="28" t="inlineStr">
        <is>
          <t>https://hayday.fandom.com/wiki/Flower_Shawl</t>
        </is>
      </c>
    </row>
    <row r="335">
      <c r="A335" s="28" t="inlineStr">
        <is>
          <t>Flower Shawl</t>
        </is>
      </c>
      <c r="B335" s="28" t="inlineStr">
        <is>
          <t>Sunflower</t>
        </is>
      </c>
      <c r="C335" s="28" t="n">
        <v>3</v>
      </c>
      <c r="D335" s="28" t="inlineStr">
        <is>
          <t>Fandom product page (Making table)</t>
        </is>
      </c>
      <c r="E335" s="28" t="inlineStr">
        <is>
          <t>https://hayday.fandom.com/wiki/Flower_Shawl</t>
        </is>
      </c>
    </row>
    <row r="336">
      <c r="A336" s="28" t="inlineStr">
        <is>
          <t>Flower Shawl</t>
        </is>
      </c>
      <c r="B336" s="28" t="inlineStr">
        <is>
          <t>Blackberry</t>
        </is>
      </c>
      <c r="C336" s="28" t="n">
        <v>1</v>
      </c>
      <c r="D336" s="28" t="inlineStr">
        <is>
          <t>Fandom product page (Making table)</t>
        </is>
      </c>
      <c r="E336" s="28" t="inlineStr">
        <is>
          <t>https://hayday.fandom.com/wiki/Flower_Shawl</t>
        </is>
      </c>
    </row>
    <row r="337">
      <c r="A337" s="28" t="inlineStr">
        <is>
          <t>Fresh Pasta</t>
        </is>
      </c>
      <c r="B337" s="28" t="inlineStr">
        <is>
          <t>Egg</t>
        </is>
      </c>
      <c r="C337" s="28" t="n">
        <v>1</v>
      </c>
      <c r="D337" s="28" t="inlineStr">
        <is>
          <t>Fandom product page (Making table)</t>
        </is>
      </c>
      <c r="E337" s="28" t="inlineStr">
        <is>
          <t>https://hayday.fandom.com/wiki/Fresh_Pasta</t>
        </is>
      </c>
    </row>
    <row r="338">
      <c r="A338" s="28" t="inlineStr">
        <is>
          <t>Fresh Pasta</t>
        </is>
      </c>
      <c r="B338" s="28" t="inlineStr">
        <is>
          <t>Wheat</t>
        </is>
      </c>
      <c r="C338" s="28" t="n">
        <v>2</v>
      </c>
      <c r="D338" s="28" t="inlineStr">
        <is>
          <t>Fandom product page (Making table)</t>
        </is>
      </c>
      <c r="E338" s="28" t="inlineStr">
        <is>
          <t>https://hayday.fandom.com/wiki/Fresh_Pasta</t>
        </is>
      </c>
    </row>
    <row r="339">
      <c r="A339" s="28" t="inlineStr">
        <is>
          <t>Fried Candy Bar</t>
        </is>
      </c>
      <c r="B339" s="28" t="inlineStr">
        <is>
          <t>Cacao</t>
        </is>
      </c>
      <c r="C339" s="28" t="n">
        <v>3</v>
      </c>
      <c r="D339" s="28" t="inlineStr">
        <is>
          <t>Fandom product page (Making table)</t>
        </is>
      </c>
      <c r="E339" s="28" t="inlineStr">
        <is>
          <t>https://hayday.fandom.com/wiki/Fried_Candy_Bar</t>
        </is>
      </c>
    </row>
    <row r="340">
      <c r="A340" s="28" t="inlineStr">
        <is>
          <t>Fried Candy Bar</t>
        </is>
      </c>
      <c r="B340" s="28" t="inlineStr">
        <is>
          <t>Cookie</t>
        </is>
      </c>
      <c r="C340" s="28" t="n">
        <v>1</v>
      </c>
      <c r="D340" s="28" t="inlineStr">
        <is>
          <t>Fandom product page (Making table)</t>
        </is>
      </c>
      <c r="E340" s="28" t="inlineStr">
        <is>
          <t>https://hayday.fandom.com/wiki/Fried_Candy_Bar</t>
        </is>
      </c>
    </row>
    <row r="341">
      <c r="A341" s="28" t="inlineStr">
        <is>
          <t>Fried Candy Bar</t>
        </is>
      </c>
      <c r="B341" s="28" t="inlineStr">
        <is>
          <t>Peanuts</t>
        </is>
      </c>
      <c r="C341" s="28" t="n">
        <v>1</v>
      </c>
      <c r="D341" s="28" t="inlineStr">
        <is>
          <t>Fandom product page (Making table)</t>
        </is>
      </c>
      <c r="E341" s="28" t="inlineStr">
        <is>
          <t>https://hayday.fandom.com/wiki/Fried_Candy_Bar</t>
        </is>
      </c>
    </row>
    <row r="342">
      <c r="A342" s="28" t="inlineStr">
        <is>
          <t>Fried Rice</t>
        </is>
      </c>
      <c r="B342" s="28" t="inlineStr">
        <is>
          <t>Rice</t>
        </is>
      </c>
      <c r="C342" s="28" t="n">
        <v>5</v>
      </c>
      <c r="D342" s="28" t="inlineStr">
        <is>
          <t>Fandom product page (Making table)</t>
        </is>
      </c>
      <c r="E342" s="28" t="inlineStr">
        <is>
          <t>https://hayday.fandom.com/wiki/Fried_Rice</t>
        </is>
      </c>
    </row>
    <row r="343">
      <c r="A343" s="28" t="inlineStr">
        <is>
          <t>Fried Rice</t>
        </is>
      </c>
      <c r="B343" s="28" t="inlineStr">
        <is>
          <t>Egg</t>
        </is>
      </c>
      <c r="C343" s="28" t="n">
        <v>5</v>
      </c>
      <c r="D343" s="28" t="inlineStr">
        <is>
          <t>Fandom product page (Making table)</t>
        </is>
      </c>
      <c r="E343" s="28" t="inlineStr">
        <is>
          <t>https://hayday.fandom.com/wiki/Fried_Rice</t>
        </is>
      </c>
    </row>
    <row r="344">
      <c r="A344" s="28" t="inlineStr">
        <is>
          <t>Fruit Cake</t>
        </is>
      </c>
      <c r="B344" s="28" t="inlineStr">
        <is>
          <t>Grapes</t>
        </is>
      </c>
      <c r="C344" s="28" t="n">
        <v>2</v>
      </c>
      <c r="D344" s="28" t="inlineStr">
        <is>
          <t>Fandom product page (Making table)</t>
        </is>
      </c>
      <c r="E344" s="28" t="inlineStr">
        <is>
          <t>https://hayday.fandom.com/wiki/Fruit_Cake</t>
        </is>
      </c>
    </row>
    <row r="345">
      <c r="A345" s="28" t="inlineStr">
        <is>
          <t>Fruit Cake</t>
        </is>
      </c>
      <c r="B345" s="28" t="inlineStr">
        <is>
          <t>Orange</t>
        </is>
      </c>
      <c r="C345" s="28" t="n">
        <v>2</v>
      </c>
      <c r="D345" s="28" t="inlineStr">
        <is>
          <t>Fandom product page (Making table)</t>
        </is>
      </c>
      <c r="E345" s="28" t="inlineStr">
        <is>
          <t>https://hayday.fandom.com/wiki/Fruit_Cake</t>
        </is>
      </c>
    </row>
    <row r="346">
      <c r="A346" s="28" t="inlineStr">
        <is>
          <t>Fruit Cake</t>
        </is>
      </c>
      <c r="B346" s="28" t="inlineStr">
        <is>
          <t>Cherry</t>
        </is>
      </c>
      <c r="C346" s="28" t="n">
        <v>2</v>
      </c>
      <c r="D346" s="28" t="inlineStr">
        <is>
          <t>Fandom product page (Making table)</t>
        </is>
      </c>
      <c r="E346" s="28" t="inlineStr">
        <is>
          <t>https://hayday.fandom.com/wiki/Fruit_Cake</t>
        </is>
      </c>
    </row>
    <row r="347">
      <c r="A347" s="28" t="inlineStr">
        <is>
          <t>Fruit Cake</t>
        </is>
      </c>
      <c r="B347" s="28" t="inlineStr">
        <is>
          <t>Wheat</t>
        </is>
      </c>
      <c r="C347" s="28" t="n">
        <v>3</v>
      </c>
      <c r="D347" s="28" t="inlineStr">
        <is>
          <t>Fandom product page (Making table)</t>
        </is>
      </c>
      <c r="E347" s="28" t="inlineStr">
        <is>
          <t>https://hayday.fandom.com/wiki/Fruit_Cake</t>
        </is>
      </c>
    </row>
    <row r="348">
      <c r="A348" s="28" t="inlineStr">
        <is>
          <t>Fruit Salad</t>
        </is>
      </c>
      <c r="B348" s="28" t="inlineStr">
        <is>
          <t>Blackberry</t>
        </is>
      </c>
      <c r="C348" s="28" t="n">
        <v>2</v>
      </c>
      <c r="D348" s="28" t="inlineStr">
        <is>
          <t>Fandom product page (Making table)</t>
        </is>
      </c>
      <c r="E348" s="28" t="inlineStr">
        <is>
          <t>https://hayday.fandom.com/wiki/Fruit_Salad</t>
        </is>
      </c>
    </row>
    <row r="349">
      <c r="A349" s="28" t="inlineStr">
        <is>
          <t>Fruit Salad</t>
        </is>
      </c>
      <c r="B349" s="28" t="inlineStr">
        <is>
          <t>Honey</t>
        </is>
      </c>
      <c r="C349" s="28" t="n">
        <v>1</v>
      </c>
      <c r="D349" s="28" t="inlineStr">
        <is>
          <t>Fandom product page (Making table)</t>
        </is>
      </c>
      <c r="E349" s="28" t="inlineStr">
        <is>
          <t>https://hayday.fandom.com/wiki/Fruit_Salad</t>
        </is>
      </c>
    </row>
    <row r="350">
      <c r="A350" s="28" t="inlineStr">
        <is>
          <t>Fruit Salad</t>
        </is>
      </c>
      <c r="B350" s="28" t="inlineStr">
        <is>
          <t>Orange</t>
        </is>
      </c>
      <c r="C350" s="28" t="n">
        <v>1</v>
      </c>
      <c r="D350" s="28" t="inlineStr">
        <is>
          <t>Fandom product page (Making table)</t>
        </is>
      </c>
      <c r="E350" s="28" t="inlineStr">
        <is>
          <t>https://hayday.fandom.com/wiki/Fruit_Salad</t>
        </is>
      </c>
    </row>
    <row r="351">
      <c r="A351" s="28" t="inlineStr">
        <is>
          <t>Fruit Salad</t>
        </is>
      </c>
      <c r="B351" s="28" t="inlineStr">
        <is>
          <t>Strawberry</t>
        </is>
      </c>
      <c r="C351" s="28" t="n">
        <v>3</v>
      </c>
      <c r="D351" s="28" t="inlineStr">
        <is>
          <t>Fandom product page (Making table)</t>
        </is>
      </c>
      <c r="E351" s="28" t="inlineStr">
        <is>
          <t>https://hayday.fandom.com/wiki/Fruit_Salad</t>
        </is>
      </c>
    </row>
    <row r="352">
      <c r="A352" s="28" t="inlineStr">
        <is>
          <t>Fruit Sorbet</t>
        </is>
      </c>
      <c r="B352" s="28" t="inlineStr">
        <is>
          <t>Guava</t>
        </is>
      </c>
      <c r="C352" s="28" t="n">
        <v>1</v>
      </c>
      <c r="D352" s="28" t="inlineStr">
        <is>
          <t>Fandom product page (Making table)</t>
        </is>
      </c>
      <c r="E352" s="28" t="inlineStr">
        <is>
          <t>https://hayday.fandom.com/wiki/Fruit_Sorbet</t>
        </is>
      </c>
    </row>
    <row r="353">
      <c r="A353" s="28" t="inlineStr">
        <is>
          <t>Fruit Sorbet</t>
        </is>
      </c>
      <c r="B353" s="28" t="inlineStr">
        <is>
          <t>Passion Fruit</t>
        </is>
      </c>
      <c r="C353" s="28" t="n">
        <v>1</v>
      </c>
      <c r="D353" s="28" t="inlineStr">
        <is>
          <t>Fandom product page (Making table)</t>
        </is>
      </c>
      <c r="E353" s="28" t="inlineStr">
        <is>
          <t>https://hayday.fandom.com/wiki/Fruit_Sorbet</t>
        </is>
      </c>
    </row>
    <row r="354">
      <c r="A354" s="28" t="inlineStr">
        <is>
          <t>Fruit Sorbet</t>
        </is>
      </c>
      <c r="B354" s="28" t="inlineStr">
        <is>
          <t>Mango</t>
        </is>
      </c>
      <c r="C354" s="28" t="n">
        <v>2</v>
      </c>
      <c r="D354" s="28" t="inlineStr">
        <is>
          <t>Fandom product page (Making table)</t>
        </is>
      </c>
      <c r="E354" s="28" t="inlineStr">
        <is>
          <t>https://hayday.fandom.com/wiki/Fruit_Sorbet</t>
        </is>
      </c>
    </row>
    <row r="355">
      <c r="A355" s="28" t="inlineStr">
        <is>
          <t>Fruit Sorbet</t>
        </is>
      </c>
      <c r="B355" s="28" t="inlineStr">
        <is>
          <t>White Sugar</t>
        </is>
      </c>
      <c r="C355" s="28" t="n">
        <v>3</v>
      </c>
      <c r="D355" s="28" t="inlineStr">
        <is>
          <t>Fandom product page (Making table)</t>
        </is>
      </c>
      <c r="E355" s="28" t="inlineStr">
        <is>
          <t>https://hayday.fandom.com/wiki/Fruit_Sorbet</t>
        </is>
      </c>
    </row>
    <row r="356">
      <c r="A356" s="28" t="inlineStr">
        <is>
          <t>Frutti di Mare Pizza</t>
        </is>
      </c>
      <c r="B356" s="28" t="inlineStr">
        <is>
          <t>Wheat</t>
        </is>
      </c>
      <c r="C356" s="28" t="n">
        <v>2</v>
      </c>
      <c r="D356" s="28" t="inlineStr">
        <is>
          <t>Fandom product page (Making table)</t>
        </is>
      </c>
      <c r="E356" s="28" t="inlineStr">
        <is>
          <t>https://hayday.fandom.com/wiki/Frutti_di_Mare_Pizza</t>
        </is>
      </c>
    </row>
    <row r="357">
      <c r="A357" s="28" t="inlineStr">
        <is>
          <t>Frutti di Mare Pizza</t>
        </is>
      </c>
      <c r="B357" s="28" t="inlineStr">
        <is>
          <t>Fish Fillet</t>
        </is>
      </c>
      <c r="C357" s="28" t="n">
        <v>1</v>
      </c>
      <c r="D357" s="28" t="inlineStr">
        <is>
          <t>Fandom product page (Making table)</t>
        </is>
      </c>
      <c r="E357" s="28" t="inlineStr">
        <is>
          <t>https://hayday.fandom.com/wiki/Frutti_di_Mare_Pizza</t>
        </is>
      </c>
    </row>
    <row r="358">
      <c r="A358" s="28" t="inlineStr">
        <is>
          <t>Frutti di Mare Pizza</t>
        </is>
      </c>
      <c r="B358" s="28" t="inlineStr">
        <is>
          <t>Lobster Tail</t>
        </is>
      </c>
      <c r="C358" s="28" t="n">
        <v>1</v>
      </c>
      <c r="D358" s="28" t="inlineStr">
        <is>
          <t>Fandom product page (Making table)</t>
        </is>
      </c>
      <c r="E358" s="28" t="inlineStr">
        <is>
          <t>https://hayday.fandom.com/wiki/Frutti_di_Mare_Pizza</t>
        </is>
      </c>
    </row>
    <row r="359">
      <c r="A359" s="28" t="inlineStr">
        <is>
          <t>Frutti di Mare Pizza</t>
        </is>
      </c>
      <c r="B359" s="28" t="inlineStr">
        <is>
          <t>Cheese</t>
        </is>
      </c>
      <c r="C359" s="28" t="n">
        <v>1</v>
      </c>
      <c r="D359" s="28" t="inlineStr">
        <is>
          <t>Fandom product page (Making table)</t>
        </is>
      </c>
      <c r="E359" s="28" t="inlineStr">
        <is>
          <t>https://hayday.fandom.com/wiki/Frutti_di_Mare_Pizza</t>
        </is>
      </c>
    </row>
    <row r="360">
      <c r="A360" s="28" t="inlineStr">
        <is>
          <t>Garlic Bread</t>
        </is>
      </c>
      <c r="B360" s="28" t="inlineStr">
        <is>
          <t>Bread</t>
        </is>
      </c>
      <c r="C360" s="28" t="n">
        <v>2</v>
      </c>
      <c r="D360" s="28" t="inlineStr">
        <is>
          <t>Fandom product page (Making table)</t>
        </is>
      </c>
      <c r="E360" s="28" t="inlineStr">
        <is>
          <t>https://hayday.fandom.com/wiki/Garlic_Bread</t>
        </is>
      </c>
    </row>
    <row r="361">
      <c r="A361" s="28" t="inlineStr">
        <is>
          <t>Garlic Bread</t>
        </is>
      </c>
      <c r="B361" s="28" t="inlineStr">
        <is>
          <t>Butter</t>
        </is>
      </c>
      <c r="C361" s="28" t="n">
        <v>1</v>
      </c>
      <c r="D361" s="28" t="inlineStr">
        <is>
          <t>Fandom product page (Making table)</t>
        </is>
      </c>
      <c r="E361" s="28" t="inlineStr">
        <is>
          <t>https://hayday.fandom.com/wiki/Garlic_Bread</t>
        </is>
      </c>
    </row>
    <row r="362">
      <c r="A362" s="28" t="inlineStr">
        <is>
          <t>Garlic Bread</t>
        </is>
      </c>
      <c r="B362" s="28" t="inlineStr">
        <is>
          <t>Garlic</t>
        </is>
      </c>
      <c r="C362" s="28" t="n">
        <v>4</v>
      </c>
      <c r="D362" s="28" t="inlineStr">
        <is>
          <t>Fandom product page (Making table)</t>
        </is>
      </c>
      <c r="E362" s="28" t="inlineStr">
        <is>
          <t>https://hayday.fandom.com/wiki/Garlic_Bread</t>
        </is>
      </c>
    </row>
    <row r="363">
      <c r="A363" s="28" t="inlineStr">
        <is>
          <t>Gingerbread Cookie</t>
        </is>
      </c>
      <c r="B363" s="28" t="inlineStr">
        <is>
          <t>Wheat</t>
        </is>
      </c>
      <c r="C363" s="28" t="n">
        <v>5</v>
      </c>
      <c r="D363" s="28" t="inlineStr">
        <is>
          <t>Fandom product page (Making table)</t>
        </is>
      </c>
      <c r="E363" s="28" t="inlineStr">
        <is>
          <t>https://hayday.fandom.com/wiki/Gingerbread_Cookie</t>
        </is>
      </c>
    </row>
    <row r="364">
      <c r="A364" s="28" t="inlineStr">
        <is>
          <t>Gingerbread Cookie</t>
        </is>
      </c>
      <c r="B364" s="28" t="inlineStr">
        <is>
          <t>Butter</t>
        </is>
      </c>
      <c r="C364" s="28" t="n">
        <v>1</v>
      </c>
      <c r="D364" s="28" t="inlineStr">
        <is>
          <t>Fandom product page (Making table)</t>
        </is>
      </c>
      <c r="E364" s="28" t="inlineStr">
        <is>
          <t>https://hayday.fandom.com/wiki/Gingerbread_Cookie</t>
        </is>
      </c>
    </row>
    <row r="365">
      <c r="A365" s="28" t="inlineStr">
        <is>
          <t>Gingerbread Cookie</t>
        </is>
      </c>
      <c r="B365" s="28" t="inlineStr">
        <is>
          <t>Syrup</t>
        </is>
      </c>
      <c r="C365" s="28" t="n">
        <v>1</v>
      </c>
      <c r="D365" s="28" t="inlineStr">
        <is>
          <t>Fandom product page (Making table)</t>
        </is>
      </c>
      <c r="E365" s="28" t="inlineStr">
        <is>
          <t>https://hayday.fandom.com/wiki/Gingerbread_Cookie</t>
        </is>
      </c>
    </row>
    <row r="366">
      <c r="A366" s="28" t="inlineStr">
        <is>
          <t>Gingerbread Cookie</t>
        </is>
      </c>
      <c r="B366" s="28" t="inlineStr">
        <is>
          <t>Ginger</t>
        </is>
      </c>
      <c r="C366" s="28" t="n">
        <v>2</v>
      </c>
      <c r="D366" s="28" t="inlineStr">
        <is>
          <t>Fandom product page (Making table)</t>
        </is>
      </c>
      <c r="E366" s="28" t="inlineStr">
        <is>
          <t>https://hayday.fandom.com/wiki/Gingerbread_Cookie</t>
        </is>
      </c>
    </row>
    <row r="367">
      <c r="A367" s="28" t="inlineStr">
        <is>
          <t>Gnocchi</t>
        </is>
      </c>
      <c r="B367" s="28" t="inlineStr">
        <is>
          <t>Potato</t>
        </is>
      </c>
      <c r="C367" s="28" t="n">
        <v>4</v>
      </c>
      <c r="D367" s="28" t="inlineStr">
        <is>
          <t>Fandom product page (Making table)</t>
        </is>
      </c>
      <c r="E367" s="28" t="inlineStr">
        <is>
          <t>https://hayday.fandom.com/wiki/Gnocchi</t>
        </is>
      </c>
    </row>
    <row r="368">
      <c r="A368" s="28" t="inlineStr">
        <is>
          <t>Gnocchi</t>
        </is>
      </c>
      <c r="B368" s="28" t="inlineStr">
        <is>
          <t>Tomato</t>
        </is>
      </c>
      <c r="C368" s="28" t="n">
        <v>3</v>
      </c>
      <c r="D368" s="28" t="inlineStr">
        <is>
          <t>Fandom product page (Making table)</t>
        </is>
      </c>
      <c r="E368" s="28" t="inlineStr">
        <is>
          <t>https://hayday.fandom.com/wiki/Gnocchi</t>
        </is>
      </c>
    </row>
    <row r="369">
      <c r="A369" s="28" t="inlineStr">
        <is>
          <t>Gnocchi</t>
        </is>
      </c>
      <c r="B369" s="28" t="inlineStr">
        <is>
          <t>Wheat</t>
        </is>
      </c>
      <c r="C369" s="28" t="n">
        <v>2</v>
      </c>
      <c r="D369" s="28" t="inlineStr">
        <is>
          <t>Fandom product page (Making table)</t>
        </is>
      </c>
      <c r="E369" s="28" t="inlineStr">
        <is>
          <t>https://hayday.fandom.com/wiki/Gnocchi</t>
        </is>
      </c>
    </row>
    <row r="370">
      <c r="A370" s="28" t="inlineStr">
        <is>
          <t>Gnocchi</t>
        </is>
      </c>
      <c r="B370" s="28" t="inlineStr">
        <is>
          <t>Butter</t>
        </is>
      </c>
      <c r="C370" s="28" t="n">
        <v>2</v>
      </c>
      <c r="D370" s="28" t="inlineStr">
        <is>
          <t>Fandom product page (Making table)</t>
        </is>
      </c>
      <c r="E370" s="28" t="inlineStr">
        <is>
          <t>https://hayday.fandom.com/wiki/Gnocchi</t>
        </is>
      </c>
    </row>
    <row r="371">
      <c r="A371" s="28" t="inlineStr">
        <is>
          <t>Goat Cheese</t>
        </is>
      </c>
      <c r="B371" s="28" t="inlineStr">
        <is>
          <t>Goat Milk</t>
        </is>
      </c>
      <c r="C371" s="28" t="n">
        <v>2</v>
      </c>
      <c r="D371" s="28" t="inlineStr">
        <is>
          <t>Fandom product page (Making table)</t>
        </is>
      </c>
      <c r="E371" s="28" t="inlineStr">
        <is>
          <t>https://hayday.fandom.com/wiki/Goat_Cheese</t>
        </is>
      </c>
    </row>
    <row r="372">
      <c r="A372" s="28" t="inlineStr">
        <is>
          <t>Goat Cheese Toast</t>
        </is>
      </c>
      <c r="B372" s="28" t="inlineStr">
        <is>
          <t>Grapes</t>
        </is>
      </c>
      <c r="C372" s="28" t="n">
        <v>3</v>
      </c>
      <c r="D372" s="28" t="inlineStr">
        <is>
          <t>Fandom product page (Making table)</t>
        </is>
      </c>
      <c r="E372" s="28" t="inlineStr">
        <is>
          <t>https://hayday.fandom.com/wiki/Goat_Cheese_Toast</t>
        </is>
      </c>
    </row>
    <row r="373">
      <c r="A373" s="28" t="inlineStr">
        <is>
          <t>Goat Cheese Toast</t>
        </is>
      </c>
      <c r="B373" s="28" t="inlineStr">
        <is>
          <t>Goat Cheese</t>
        </is>
      </c>
      <c r="C373" s="28" t="n">
        <v>1</v>
      </c>
      <c r="D373" s="28" t="inlineStr">
        <is>
          <t>Fandom product page (Making table)</t>
        </is>
      </c>
      <c r="E373" s="28" t="inlineStr">
        <is>
          <t>https://hayday.fandom.com/wiki/Goat_Cheese_Toast</t>
        </is>
      </c>
    </row>
    <row r="374">
      <c r="A374" s="28" t="inlineStr">
        <is>
          <t>Goat Cheese Toast</t>
        </is>
      </c>
      <c r="B374" s="28" t="inlineStr">
        <is>
          <t>Bread</t>
        </is>
      </c>
      <c r="C374" s="28" t="n">
        <v>1</v>
      </c>
      <c r="D374" s="28" t="inlineStr">
        <is>
          <t>Fandom product page (Making table)</t>
        </is>
      </c>
      <c r="E374" s="28" t="inlineStr">
        <is>
          <t>https://hayday.fandom.com/wiki/Goat_Cheese_Toast</t>
        </is>
      </c>
    </row>
    <row r="375">
      <c r="A375" s="28" t="inlineStr">
        <is>
          <t>Goat Feed</t>
        </is>
      </c>
      <c r="B375" s="28" t="inlineStr">
        <is>
          <t>Wheat</t>
        </is>
      </c>
      <c r="C375" s="28" t="n">
        <v>1</v>
      </c>
      <c r="D375" s="28" t="inlineStr">
        <is>
          <t>Fandom product page (Making table)</t>
        </is>
      </c>
      <c r="E375" s="28" t="inlineStr">
        <is>
          <t>https://hayday.fandom.com/wiki/Goat_Feed</t>
        </is>
      </c>
    </row>
    <row r="376">
      <c r="A376" s="28" t="inlineStr">
        <is>
          <t>Goat Feed</t>
        </is>
      </c>
      <c r="B376" s="28" t="inlineStr">
        <is>
          <t>Corn</t>
        </is>
      </c>
      <c r="C376" s="28" t="n">
        <v>1</v>
      </c>
      <c r="D376" s="28" t="inlineStr">
        <is>
          <t>Fandom product page (Making table)</t>
        </is>
      </c>
      <c r="E376" s="28" t="inlineStr">
        <is>
          <t>https://hayday.fandom.com/wiki/Goat_Feed</t>
        </is>
      </c>
    </row>
    <row r="377">
      <c r="A377" s="28" t="inlineStr">
        <is>
          <t>Goat Feed</t>
        </is>
      </c>
      <c r="B377" s="28" t="inlineStr">
        <is>
          <t>Carrot</t>
        </is>
      </c>
      <c r="C377" s="28" t="n">
        <v>2</v>
      </c>
      <c r="D377" s="28" t="inlineStr">
        <is>
          <t>Fandom product page (Making table)</t>
        </is>
      </c>
      <c r="E377" s="28" t="inlineStr">
        <is>
          <t>https://hayday.fandom.com/wiki/Goat_Feed</t>
        </is>
      </c>
    </row>
    <row r="378">
      <c r="A378" s="28" t="inlineStr">
        <is>
          <t>Gold Bar</t>
        </is>
      </c>
      <c r="B378" s="28" t="inlineStr">
        <is>
          <t>Gold Ore</t>
        </is>
      </c>
      <c r="C378" s="28" t="n">
        <v>3</v>
      </c>
      <c r="D378" s="28" t="inlineStr">
        <is>
          <t>Fandom product page (Making table)</t>
        </is>
      </c>
      <c r="E378" s="28" t="inlineStr">
        <is>
          <t>https://hayday.fandom.com/wiki/Gold_Bar</t>
        </is>
      </c>
    </row>
    <row r="379">
      <c r="A379" s="28" t="inlineStr">
        <is>
          <t>Gracious Bouquet</t>
        </is>
      </c>
      <c r="B379" s="28" t="inlineStr">
        <is>
          <t>Cotton Fabric</t>
        </is>
      </c>
      <c r="C379" s="28" t="n">
        <v>1</v>
      </c>
      <c r="D379" s="28" t="inlineStr">
        <is>
          <t>Fandom product page (Making table)</t>
        </is>
      </c>
      <c r="E379" s="28" t="inlineStr">
        <is>
          <t>https://hayday.fandom.com/wiki/Gracious_Bouquet</t>
        </is>
      </c>
    </row>
    <row r="380">
      <c r="A380" s="28" t="inlineStr">
        <is>
          <t>Gracious Bouquet</t>
        </is>
      </c>
      <c r="B380" s="28" t="inlineStr">
        <is>
          <t>Lily</t>
        </is>
      </c>
      <c r="C380" s="28" t="n">
        <v>5</v>
      </c>
      <c r="D380" s="28" t="inlineStr">
        <is>
          <t>Fandom product page (Making table)</t>
        </is>
      </c>
      <c r="E380" s="28" t="inlineStr">
        <is>
          <t>https://hayday.fandom.com/wiki/Gracious_Bouquet</t>
        </is>
      </c>
    </row>
    <row r="381">
      <c r="A381" s="28" t="inlineStr">
        <is>
          <t>Gracious Bouquet</t>
        </is>
      </c>
      <c r="B381" s="28" t="inlineStr">
        <is>
          <t>Gold Ore</t>
        </is>
      </c>
      <c r="C381" s="28" t="n">
        <v>1</v>
      </c>
      <c r="D381" s="28" t="inlineStr">
        <is>
          <t>Fandom product page (Making table)</t>
        </is>
      </c>
      <c r="E381" s="28" t="inlineStr">
        <is>
          <t>https://hayday.fandom.com/wiki/Gracious_Bouquet</t>
        </is>
      </c>
    </row>
    <row r="382">
      <c r="A382" s="28" t="inlineStr">
        <is>
          <t>Gracious Bouquet</t>
        </is>
      </c>
      <c r="B382" s="28" t="inlineStr">
        <is>
          <t>Diamond</t>
        </is>
      </c>
      <c r="C382" s="28" t="n">
        <v>1</v>
      </c>
      <c r="D382" s="28" t="inlineStr">
        <is>
          <t>Fandom product page (Making table)</t>
        </is>
      </c>
      <c r="E382" s="28" t="inlineStr">
        <is>
          <t>https://hayday.fandom.com/wiki/Gracious_Bouquet</t>
        </is>
      </c>
    </row>
    <row r="383">
      <c r="A383" s="28" t="inlineStr">
        <is>
          <t>Grape Jam</t>
        </is>
      </c>
      <c r="B383" s="28" t="inlineStr">
        <is>
          <t>Grapes</t>
        </is>
      </c>
      <c r="C383" s="28" t="n">
        <v>3</v>
      </c>
      <c r="D383" s="28" t="inlineStr">
        <is>
          <t>Fandom product page (Making table)</t>
        </is>
      </c>
      <c r="E383" s="28" t="inlineStr">
        <is>
          <t>https://hayday.fandom.com/wiki/Grape_Jam</t>
        </is>
      </c>
    </row>
    <row r="384">
      <c r="A384" s="28" t="inlineStr">
        <is>
          <t>Grape Juice</t>
        </is>
      </c>
      <c r="B384" s="28" t="inlineStr">
        <is>
          <t>Grapes</t>
        </is>
      </c>
      <c r="C384" s="28" t="n">
        <v>2</v>
      </c>
      <c r="D384" s="28" t="inlineStr">
        <is>
          <t>Fandom product page (Making table)</t>
        </is>
      </c>
      <c r="E384" s="28" t="inlineStr">
        <is>
          <t>https://hayday.fandom.com/wiki/Grape_Juice</t>
        </is>
      </c>
    </row>
    <row r="385">
      <c r="A385" s="28" t="inlineStr">
        <is>
          <t>Green Smoothie</t>
        </is>
      </c>
      <c r="B385" s="28" t="inlineStr">
        <is>
          <t>Lettuce</t>
        </is>
      </c>
      <c r="C385" s="28" t="n">
        <v>5</v>
      </c>
      <c r="D385" s="28" t="inlineStr">
        <is>
          <t>Fandom product page (Making table)</t>
        </is>
      </c>
      <c r="E385" s="28" t="inlineStr">
        <is>
          <t>https://hayday.fandom.com/wiki/Green_Smoothie</t>
        </is>
      </c>
    </row>
    <row r="386">
      <c r="A386" s="28" t="inlineStr">
        <is>
          <t>Green Smoothie</t>
        </is>
      </c>
      <c r="B386" s="28" t="inlineStr">
        <is>
          <t>Lemon</t>
        </is>
      </c>
      <c r="C386" s="28" t="n">
        <v>1</v>
      </c>
      <c r="D386" s="28" t="inlineStr">
        <is>
          <t>Fandom product page (Making table)</t>
        </is>
      </c>
      <c r="E386" s="28" t="inlineStr">
        <is>
          <t>https://hayday.fandom.com/wiki/Green_Smoothie</t>
        </is>
      </c>
    </row>
    <row r="387">
      <c r="A387" s="28" t="inlineStr">
        <is>
          <t>Green Smoothie</t>
        </is>
      </c>
      <c r="B387" s="28" t="inlineStr">
        <is>
          <t>Apple</t>
        </is>
      </c>
      <c r="C387" s="28" t="n">
        <v>1</v>
      </c>
      <c r="D387" s="28" t="inlineStr">
        <is>
          <t>Fandom product page (Making table)</t>
        </is>
      </c>
      <c r="E387" s="28" t="inlineStr">
        <is>
          <t>https://hayday.fandom.com/wiki/Green_Smoothie</t>
        </is>
      </c>
    </row>
    <row r="388">
      <c r="A388" s="28" t="inlineStr">
        <is>
          <t>Green Tea</t>
        </is>
      </c>
      <c r="B388" s="28" t="inlineStr">
        <is>
          <t>Tea Leaf</t>
        </is>
      </c>
      <c r="C388" s="28" t="n">
        <v>5</v>
      </c>
      <c r="D388" s="28" t="inlineStr">
        <is>
          <t>Fandom product page (Making table)</t>
        </is>
      </c>
      <c r="E388" s="28" t="inlineStr">
        <is>
          <t>https://hayday.fandom.com/wiki/Green_Tea</t>
        </is>
      </c>
    </row>
    <row r="389">
      <c r="A389" s="28" t="inlineStr">
        <is>
          <t>Grilled Asparagus</t>
        </is>
      </c>
      <c r="B389" s="28" t="inlineStr">
        <is>
          <t>Asparagus</t>
        </is>
      </c>
      <c r="C389" s="28" t="n">
        <v>5</v>
      </c>
      <c r="D389" s="28" t="inlineStr">
        <is>
          <t>Fandom product page (Making table)</t>
        </is>
      </c>
      <c r="E389" s="28" t="inlineStr">
        <is>
          <t>https://hayday.fandom.com/wiki/Grilled_Asparagus</t>
        </is>
      </c>
    </row>
    <row r="390">
      <c r="A390" s="28" t="inlineStr">
        <is>
          <t>Grilled Asparagus</t>
        </is>
      </c>
      <c r="B390" s="28" t="inlineStr">
        <is>
          <t>Bacon</t>
        </is>
      </c>
      <c r="C390" s="28" t="n">
        <v>3</v>
      </c>
      <c r="D390" s="28" t="inlineStr">
        <is>
          <t>Fandom product page (Making table)</t>
        </is>
      </c>
      <c r="E390" s="28" t="inlineStr">
        <is>
          <t>https://hayday.fandom.com/wiki/Grilled_Asparagus</t>
        </is>
      </c>
    </row>
    <row r="391">
      <c r="A391" s="28" t="inlineStr">
        <is>
          <t>Grilled Asparagus</t>
        </is>
      </c>
      <c r="B391" s="28" t="inlineStr">
        <is>
          <t>Lemon</t>
        </is>
      </c>
      <c r="C391" s="28" t="n">
        <v>1</v>
      </c>
      <c r="D391" s="28" t="inlineStr">
        <is>
          <t>Fandom product page (Making table)</t>
        </is>
      </c>
      <c r="E391" s="28" t="inlineStr">
        <is>
          <t>https://hayday.fandom.com/wiki/Grilled_Asparagus</t>
        </is>
      </c>
    </row>
    <row r="392">
      <c r="A392" s="28" t="inlineStr">
        <is>
          <t>Grilled Eggplant</t>
        </is>
      </c>
      <c r="B392" s="28" t="inlineStr">
        <is>
          <t>Eggplant</t>
        </is>
      </c>
      <c r="C392" s="28" t="n">
        <v>3</v>
      </c>
      <c r="D392" s="28" t="inlineStr">
        <is>
          <t>Fandom product page (Making table)</t>
        </is>
      </c>
      <c r="E392" s="28" t="inlineStr">
        <is>
          <t>https://hayday.fandom.com/wiki/Grilled_Eggplant</t>
        </is>
      </c>
    </row>
    <row r="393">
      <c r="A393" s="28" t="inlineStr">
        <is>
          <t>Grilled Eggplant</t>
        </is>
      </c>
      <c r="B393" s="28" t="inlineStr">
        <is>
          <t>Salsa</t>
        </is>
      </c>
      <c r="C393" s="28" t="n">
        <v>1</v>
      </c>
      <c r="D393" s="28" t="inlineStr">
        <is>
          <t>Fandom product page (Making table)</t>
        </is>
      </c>
      <c r="E393" s="28" t="inlineStr">
        <is>
          <t>https://hayday.fandom.com/wiki/Grilled_Eggplant</t>
        </is>
      </c>
    </row>
    <row r="394">
      <c r="A394" s="28" t="inlineStr">
        <is>
          <t>Grilled Lamb Skewer</t>
        </is>
      </c>
      <c r="B394" s="28" t="inlineStr">
        <is>
          <t>Lamb Chop</t>
        </is>
      </c>
      <c r="C394" s="28" t="n">
        <v>2</v>
      </c>
      <c r="D394" s="28" t="inlineStr">
        <is>
          <t>Fandom product page (Making table)</t>
        </is>
      </c>
      <c r="E394" s="28" t="inlineStr">
        <is>
          <t>https://hayday.fandom.com/wiki/Grilled_Lamb_Skewer</t>
        </is>
      </c>
    </row>
    <row r="395">
      <c r="A395" s="28" t="inlineStr">
        <is>
          <t>Grilled Mussels</t>
        </is>
      </c>
      <c r="B395" s="28" t="inlineStr">
        <is>
          <t>Mussel Meat</t>
        </is>
      </c>
      <c r="C395" s="28" t="n">
        <v>3</v>
      </c>
      <c r="D395" s="28" t="inlineStr">
        <is>
          <t>Fandom product page (Making table)</t>
        </is>
      </c>
      <c r="E395" s="28" t="inlineStr">
        <is>
          <t>https://hayday.fandom.com/wiki/Grilled_Mussels</t>
        </is>
      </c>
    </row>
    <row r="396">
      <c r="A396" s="28" t="inlineStr">
        <is>
          <t>Grilled Mussels</t>
        </is>
      </c>
      <c r="B396" s="28" t="inlineStr">
        <is>
          <t>Butter</t>
        </is>
      </c>
      <c r="C396" s="28" t="n">
        <v>1</v>
      </c>
      <c r="D396" s="28" t="inlineStr">
        <is>
          <t>Fandom product page (Making table)</t>
        </is>
      </c>
      <c r="E396" s="28" t="inlineStr">
        <is>
          <t>https://hayday.fandom.com/wiki/Grilled_Mussels</t>
        </is>
      </c>
    </row>
    <row r="397">
      <c r="A397" s="28" t="inlineStr">
        <is>
          <t>Grilled Mussels</t>
        </is>
      </c>
      <c r="B397" s="28" t="inlineStr">
        <is>
          <t>Chili Pepper</t>
        </is>
      </c>
      <c r="C397" s="28" t="n">
        <v>3</v>
      </c>
      <c r="D397" s="28" t="inlineStr">
        <is>
          <t>Fandom product page (Making table)</t>
        </is>
      </c>
      <c r="E397" s="28" t="inlineStr">
        <is>
          <t>https://hayday.fandom.com/wiki/Grilled_Mussels</t>
        </is>
      </c>
    </row>
    <row r="398">
      <c r="A398" s="28" t="inlineStr">
        <is>
          <t>Grilled Mussels</t>
        </is>
      </c>
      <c r="B398" s="28" t="inlineStr">
        <is>
          <t>Corn Bread</t>
        </is>
      </c>
      <c r="C398" s="28" t="n">
        <v>1</v>
      </c>
      <c r="D398" s="28" t="inlineStr">
        <is>
          <t>Fandom product page (Making table)</t>
        </is>
      </c>
      <c r="E398" s="28" t="inlineStr">
        <is>
          <t>https://hayday.fandom.com/wiki/Grilled_Mussels</t>
        </is>
      </c>
    </row>
    <row r="399">
      <c r="A399" s="28" t="inlineStr">
        <is>
          <t>Grilled Onion</t>
        </is>
      </c>
      <c r="B399" s="28" t="inlineStr">
        <is>
          <t>Butter</t>
        </is>
      </c>
      <c r="C399" s="28" t="n">
        <v>1</v>
      </c>
      <c r="D399" s="28" t="inlineStr">
        <is>
          <t>Fandom product page (Making table)</t>
        </is>
      </c>
      <c r="E399" s="28" t="inlineStr">
        <is>
          <t>https://hayday.fandom.com/wiki/Grilled_Onion</t>
        </is>
      </c>
    </row>
    <row r="400">
      <c r="A400" s="28" t="inlineStr">
        <is>
          <t>Grilled Onion</t>
        </is>
      </c>
      <c r="B400" s="28" t="inlineStr">
        <is>
          <t>Onion</t>
        </is>
      </c>
      <c r="C400" s="28" t="n">
        <v>2</v>
      </c>
      <c r="D400" s="28" t="inlineStr">
        <is>
          <t>Fandom product page (Making table)</t>
        </is>
      </c>
      <c r="E400" s="28" t="inlineStr">
        <is>
          <t>https://hayday.fandom.com/wiki/Grilled_Onion</t>
        </is>
      </c>
    </row>
    <row r="401">
      <c r="A401" s="28" t="inlineStr">
        <is>
          <t>Guava Compote</t>
        </is>
      </c>
      <c r="B401" s="28" t="inlineStr">
        <is>
          <t>Guava</t>
        </is>
      </c>
      <c r="C401" s="28" t="n">
        <v>2</v>
      </c>
      <c r="D401" s="28" t="inlineStr">
        <is>
          <t>Fandom product page (Making table)</t>
        </is>
      </c>
      <c r="E401" s="28" t="inlineStr">
        <is>
          <t>https://hayday.fandom.com/wiki/Guava_Compote</t>
        </is>
      </c>
    </row>
    <row r="402">
      <c r="A402" s="28" t="inlineStr">
        <is>
          <t>Guava Compote</t>
        </is>
      </c>
      <c r="B402" s="28" t="inlineStr">
        <is>
          <t>Lemon</t>
        </is>
      </c>
      <c r="C402" s="28" t="n">
        <v>1</v>
      </c>
      <c r="D402" s="28" t="inlineStr">
        <is>
          <t>Fandom product page (Making table)</t>
        </is>
      </c>
      <c r="E402" s="28" t="inlineStr">
        <is>
          <t>https://hayday.fandom.com/wiki/Guava_Compote</t>
        </is>
      </c>
    </row>
    <row r="403">
      <c r="A403" s="28" t="inlineStr">
        <is>
          <t>Guava Compote</t>
        </is>
      </c>
      <c r="B403" s="28" t="inlineStr">
        <is>
          <t>White Sugar</t>
        </is>
      </c>
      <c r="C403" s="28" t="n">
        <v>1</v>
      </c>
      <c r="D403" s="28" t="inlineStr">
        <is>
          <t>Fandom product page (Making table)</t>
        </is>
      </c>
      <c r="E403" s="28" t="inlineStr">
        <is>
          <t>https://hayday.fandom.com/wiki/Guava_Compote</t>
        </is>
      </c>
    </row>
    <row r="404">
      <c r="A404" s="28" t="inlineStr">
        <is>
          <t>Guava Cupcake</t>
        </is>
      </c>
      <c r="B404" s="28" t="inlineStr">
        <is>
          <t>Plain Cupcake</t>
        </is>
      </c>
      <c r="C404" s="28" t="n">
        <v>1</v>
      </c>
      <c r="D404" s="28" t="inlineStr">
        <is>
          <t>Fandom product page (Making table)</t>
        </is>
      </c>
      <c r="E404" s="28" t="inlineStr">
        <is>
          <t>https://hayday.fandom.com/wiki/Guava_Cupcake</t>
        </is>
      </c>
    </row>
    <row r="405">
      <c r="A405" s="28" t="inlineStr">
        <is>
          <t>Guava Cupcake</t>
        </is>
      </c>
      <c r="B405" s="28" t="inlineStr">
        <is>
          <t>Guava</t>
        </is>
      </c>
      <c r="C405" s="28" t="n">
        <v>2</v>
      </c>
      <c r="D405" s="28" t="inlineStr">
        <is>
          <t>Fandom product page (Making table)</t>
        </is>
      </c>
      <c r="E405" s="28" t="inlineStr">
        <is>
          <t>https://hayday.fandom.com/wiki/Guava_Cupcake</t>
        </is>
      </c>
    </row>
    <row r="406">
      <c r="A406" s="28" t="inlineStr">
        <is>
          <t>Guava Cupcake</t>
        </is>
      </c>
      <c r="B406" s="28" t="inlineStr">
        <is>
          <t>Cream</t>
        </is>
      </c>
      <c r="C406" s="28" t="n">
        <v>1</v>
      </c>
      <c r="D406" s="28" t="inlineStr">
        <is>
          <t>Fandom product page (Making table)</t>
        </is>
      </c>
      <c r="E406" s="28" t="inlineStr">
        <is>
          <t>https://hayday.fandom.com/wiki/Guava_Cupcake</t>
        </is>
      </c>
    </row>
    <row r="407">
      <c r="A407" s="28" t="inlineStr">
        <is>
          <t>Guava Juice</t>
        </is>
      </c>
      <c r="B407" s="28" t="inlineStr">
        <is>
          <t>Guava</t>
        </is>
      </c>
      <c r="C407" s="28" t="n">
        <v>2</v>
      </c>
      <c r="D407" s="28" t="inlineStr">
        <is>
          <t>Fandom product page (Making table)</t>
        </is>
      </c>
      <c r="E407" s="28" t="inlineStr">
        <is>
          <t>https://hayday.fandom.com/wiki/Guava_Juice</t>
        </is>
      </c>
    </row>
    <row r="408">
      <c r="A408" s="28" t="inlineStr">
        <is>
          <t>Hamburger</t>
        </is>
      </c>
      <c r="B408" s="28" t="inlineStr">
        <is>
          <t>Bread</t>
        </is>
      </c>
      <c r="C408" s="28" t="n">
        <v>2</v>
      </c>
      <c r="D408" s="28" t="inlineStr">
        <is>
          <t>Fandom product page (Making table)</t>
        </is>
      </c>
      <c r="E408" s="28" t="inlineStr">
        <is>
          <t>https://hayday.fandom.com/wiki/Hamburger</t>
        </is>
      </c>
    </row>
    <row r="409">
      <c r="A409" s="28" t="inlineStr">
        <is>
          <t>Hamburger</t>
        </is>
      </c>
      <c r="B409" s="28" t="inlineStr">
        <is>
          <t>Bacon</t>
        </is>
      </c>
      <c r="C409" s="28" t="n">
        <v>2</v>
      </c>
      <c r="D409" s="28" t="inlineStr">
        <is>
          <t>Fandom product page (Making table)</t>
        </is>
      </c>
      <c r="E409" s="28" t="inlineStr">
        <is>
          <t>https://hayday.fandom.com/wiki/Hamburger</t>
        </is>
      </c>
    </row>
    <row r="410">
      <c r="A410" s="28" t="inlineStr">
        <is>
          <t>Hand Pies</t>
        </is>
      </c>
      <c r="B410" s="28" t="inlineStr">
        <is>
          <t>Apple Jam</t>
        </is>
      </c>
      <c r="C410" s="28" t="n">
        <v>1</v>
      </c>
      <c r="D410" s="28" t="inlineStr">
        <is>
          <t>Fandom product page (Making table)</t>
        </is>
      </c>
      <c r="E410" s="28" t="inlineStr">
        <is>
          <t>https://hayday.fandom.com/wiki/Hand_Pies</t>
        </is>
      </c>
    </row>
    <row r="411">
      <c r="A411" s="28" t="inlineStr">
        <is>
          <t>Hand Pies</t>
        </is>
      </c>
      <c r="B411" s="28" t="inlineStr">
        <is>
          <t>Egg</t>
        </is>
      </c>
      <c r="C411" s="28" t="n">
        <v>2</v>
      </c>
      <c r="D411" s="28" t="inlineStr">
        <is>
          <t>Fandom product page (Making table)</t>
        </is>
      </c>
      <c r="E411" s="28" t="inlineStr">
        <is>
          <t>https://hayday.fandom.com/wiki/Hand_Pies</t>
        </is>
      </c>
    </row>
    <row r="412">
      <c r="A412" s="28" t="inlineStr">
        <is>
          <t>Hand Pies</t>
        </is>
      </c>
      <c r="B412" s="28" t="inlineStr">
        <is>
          <t>Wheat</t>
        </is>
      </c>
      <c r="C412" s="28" t="n">
        <v>5</v>
      </c>
      <c r="D412" s="28" t="inlineStr">
        <is>
          <t>Fandom product page (Making table)</t>
        </is>
      </c>
      <c r="E412" s="28" t="inlineStr">
        <is>
          <t>https://hayday.fandom.com/wiki/Hand_Pies</t>
        </is>
      </c>
    </row>
    <row r="413">
      <c r="A413" s="28" t="inlineStr">
        <is>
          <t>Honey</t>
        </is>
      </c>
      <c r="B413" s="28" t="inlineStr">
        <is>
          <t>Honeycomb</t>
        </is>
      </c>
      <c r="C413" s="28" t="n">
        <v>2</v>
      </c>
      <c r="D413" s="28" t="inlineStr">
        <is>
          <t>Fandom product page (Making table)</t>
        </is>
      </c>
      <c r="E413" s="28" t="inlineStr">
        <is>
          <t>https://hayday.fandom.com/wiki/Honey</t>
        </is>
      </c>
    </row>
    <row r="414">
      <c r="A414" s="28" t="inlineStr">
        <is>
          <t>Honey Apple Cake</t>
        </is>
      </c>
      <c r="B414" s="28" t="inlineStr">
        <is>
          <t>Wheat</t>
        </is>
      </c>
      <c r="C414" s="28" t="n">
        <v>2</v>
      </c>
      <c r="D414" s="28" t="inlineStr">
        <is>
          <t>Fandom product page (Making table)</t>
        </is>
      </c>
      <c r="E414" s="28" t="inlineStr">
        <is>
          <t>https://hayday.fandom.com/wiki/Honey_Apple_Cake</t>
        </is>
      </c>
    </row>
    <row r="415">
      <c r="A415" s="28" t="inlineStr">
        <is>
          <t>Honey Apple Cake</t>
        </is>
      </c>
      <c r="B415" s="28" t="inlineStr">
        <is>
          <t>Egg</t>
        </is>
      </c>
      <c r="C415" s="28" t="n">
        <v>2</v>
      </c>
      <c r="D415" s="28" t="inlineStr">
        <is>
          <t>Fandom product page (Making table)</t>
        </is>
      </c>
      <c r="E415" s="28" t="inlineStr">
        <is>
          <t>https://hayday.fandom.com/wiki/Honey_Apple_Cake</t>
        </is>
      </c>
    </row>
    <row r="416">
      <c r="A416" s="28" t="inlineStr">
        <is>
          <t>Honey Apple Cake</t>
        </is>
      </c>
      <c r="B416" s="28" t="inlineStr">
        <is>
          <t>Apple</t>
        </is>
      </c>
      <c r="C416" s="28" t="n">
        <v>2</v>
      </c>
      <c r="D416" s="28" t="inlineStr">
        <is>
          <t>Fandom product page (Making table)</t>
        </is>
      </c>
      <c r="E416" s="28" t="inlineStr">
        <is>
          <t>https://hayday.fandom.com/wiki/Honey_Apple_Cake</t>
        </is>
      </c>
    </row>
    <row r="417">
      <c r="A417" s="28" t="inlineStr">
        <is>
          <t>Honey Apple Cake</t>
        </is>
      </c>
      <c r="B417" s="28" t="inlineStr">
        <is>
          <t>Honey</t>
        </is>
      </c>
      <c r="C417" s="28" t="n">
        <v>2</v>
      </c>
      <c r="D417" s="28" t="inlineStr">
        <is>
          <t>Fandom product page (Making table)</t>
        </is>
      </c>
      <c r="E417" s="28" t="inlineStr">
        <is>
          <t>https://hayday.fandom.com/wiki/Honey_Apple_Cake</t>
        </is>
      </c>
    </row>
    <row r="418">
      <c r="A418" s="28" t="inlineStr">
        <is>
          <t>Honey Face Mask</t>
        </is>
      </c>
      <c r="B418" s="28" t="inlineStr">
        <is>
          <t>Egg</t>
        </is>
      </c>
      <c r="C418" s="28" t="n">
        <v>2</v>
      </c>
      <c r="D418" s="28" t="inlineStr">
        <is>
          <t>Fandom product page (Making table)</t>
        </is>
      </c>
      <c r="E418" s="28" t="inlineStr">
        <is>
          <t>https://hayday.fandom.com/wiki/Honey_Face_Mask</t>
        </is>
      </c>
    </row>
    <row r="419">
      <c r="A419" s="28" t="inlineStr">
        <is>
          <t>Honey Face Mask</t>
        </is>
      </c>
      <c r="B419" s="28" t="inlineStr">
        <is>
          <t>Honey</t>
        </is>
      </c>
      <c r="C419" s="28" t="n">
        <v>1</v>
      </c>
      <c r="D419" s="28" t="inlineStr">
        <is>
          <t>Fandom product page (Making table)</t>
        </is>
      </c>
      <c r="E419" s="28" t="inlineStr">
        <is>
          <t>https://hayday.fandom.com/wiki/Honey_Face_Mask</t>
        </is>
      </c>
    </row>
    <row r="420">
      <c r="A420" s="28" t="inlineStr">
        <is>
          <t>Honey Face Mask</t>
        </is>
      </c>
      <c r="B420" s="28" t="inlineStr">
        <is>
          <t>Lemon</t>
        </is>
      </c>
      <c r="C420" s="28" t="n">
        <v>1</v>
      </c>
      <c r="D420" s="28" t="inlineStr">
        <is>
          <t>Fandom product page (Making table)</t>
        </is>
      </c>
      <c r="E420" s="28" t="inlineStr">
        <is>
          <t>https://hayday.fandom.com/wiki/Honey_Face_Mask</t>
        </is>
      </c>
    </row>
    <row r="421">
      <c r="A421" s="28" t="inlineStr">
        <is>
          <t>Honey Peanuts</t>
        </is>
      </c>
      <c r="B421" s="28" t="inlineStr">
        <is>
          <t>Honey</t>
        </is>
      </c>
      <c r="C421" s="28" t="n">
        <v>1</v>
      </c>
      <c r="D421" s="28" t="inlineStr">
        <is>
          <t>Fandom product page (Making table)</t>
        </is>
      </c>
      <c r="E421" s="28" t="inlineStr">
        <is>
          <t>https://hayday.fandom.com/wiki/Honey_Peanuts</t>
        </is>
      </c>
    </row>
    <row r="422">
      <c r="A422" s="28" t="inlineStr">
        <is>
          <t>Honey Peanuts</t>
        </is>
      </c>
      <c r="B422" s="28" t="inlineStr">
        <is>
          <t>Peanuts</t>
        </is>
      </c>
      <c r="C422" s="28" t="n">
        <v>1</v>
      </c>
      <c r="D422" s="28" t="inlineStr">
        <is>
          <t>Fandom product page (Making table)</t>
        </is>
      </c>
      <c r="E422" s="28" t="inlineStr">
        <is>
          <t>https://hayday.fandom.com/wiki/Honey_Peanuts</t>
        </is>
      </c>
    </row>
    <row r="423">
      <c r="A423" s="28" t="inlineStr">
        <is>
          <t>Honey Popcorn</t>
        </is>
      </c>
      <c r="B423" s="28" t="inlineStr">
        <is>
          <t>Corn</t>
        </is>
      </c>
      <c r="C423" s="28" t="n">
        <v>2</v>
      </c>
      <c r="D423" s="28" t="inlineStr">
        <is>
          <t>Fandom product page (Making table)</t>
        </is>
      </c>
      <c r="E423" s="28" t="inlineStr">
        <is>
          <t>https://hayday.fandom.com/wiki/Honey_Popcorn</t>
        </is>
      </c>
    </row>
    <row r="424">
      <c r="A424" s="28" t="inlineStr">
        <is>
          <t>Honey Popcorn</t>
        </is>
      </c>
      <c r="B424" s="28" t="inlineStr">
        <is>
          <t>Honey</t>
        </is>
      </c>
      <c r="C424" s="28" t="n">
        <v>2</v>
      </c>
      <c r="D424" s="28" t="inlineStr">
        <is>
          <t>Fandom product page (Making table)</t>
        </is>
      </c>
      <c r="E424" s="28" t="inlineStr">
        <is>
          <t>https://hayday.fandom.com/wiki/Honey_Popcorn</t>
        </is>
      </c>
    </row>
    <row r="425">
      <c r="A425" s="28" t="inlineStr">
        <is>
          <t>Honey Soap</t>
        </is>
      </c>
      <c r="B425" s="28" t="inlineStr">
        <is>
          <t>Goat Milk</t>
        </is>
      </c>
      <c r="C425" s="28" t="n">
        <v>1</v>
      </c>
      <c r="D425" s="28" t="inlineStr">
        <is>
          <t>Fandom product page (Making table)</t>
        </is>
      </c>
      <c r="E425" s="28" t="inlineStr">
        <is>
          <t>https://hayday.fandom.com/wiki/Honey_Soap</t>
        </is>
      </c>
    </row>
    <row r="426">
      <c r="A426" s="28" t="inlineStr">
        <is>
          <t>Honey Soap</t>
        </is>
      </c>
      <c r="B426" s="28" t="inlineStr">
        <is>
          <t>Cacao</t>
        </is>
      </c>
      <c r="C426" s="28" t="n">
        <v>2</v>
      </c>
      <c r="D426" s="28" t="inlineStr">
        <is>
          <t>Fandom product page (Making table)</t>
        </is>
      </c>
      <c r="E426" s="28" t="inlineStr">
        <is>
          <t>https://hayday.fandom.com/wiki/Honey_Soap</t>
        </is>
      </c>
    </row>
    <row r="427">
      <c r="A427" s="28" t="inlineStr">
        <is>
          <t>Honey Soap</t>
        </is>
      </c>
      <c r="B427" s="28" t="inlineStr">
        <is>
          <t>Honeycomb</t>
        </is>
      </c>
      <c r="C427" s="28" t="n">
        <v>1</v>
      </c>
      <c r="D427" s="28" t="inlineStr">
        <is>
          <t>Fandom product page (Making table)</t>
        </is>
      </c>
      <c r="E427" s="28" t="inlineStr">
        <is>
          <t>https://hayday.fandom.com/wiki/Honey_Soap</t>
        </is>
      </c>
    </row>
    <row r="428">
      <c r="A428" s="28" t="inlineStr">
        <is>
          <t>Honey Tea</t>
        </is>
      </c>
      <c r="B428" s="28" t="inlineStr">
        <is>
          <t>Honey</t>
        </is>
      </c>
      <c r="C428" s="28" t="n">
        <v>1</v>
      </c>
      <c r="D428" s="28" t="inlineStr">
        <is>
          <t>Fandom product page (Making table)</t>
        </is>
      </c>
      <c r="E428" s="28" t="inlineStr">
        <is>
          <t>https://hayday.fandom.com/wiki/Honey_Tea</t>
        </is>
      </c>
    </row>
    <row r="429">
      <c r="A429" s="28" t="inlineStr">
        <is>
          <t>Honey Tea</t>
        </is>
      </c>
      <c r="B429" s="28" t="inlineStr">
        <is>
          <t>Tea Leaf</t>
        </is>
      </c>
      <c r="C429" s="28" t="n">
        <v>3</v>
      </c>
      <c r="D429" s="28" t="inlineStr">
        <is>
          <t>Fandom product page (Making table)</t>
        </is>
      </c>
      <c r="E429" s="28" t="inlineStr">
        <is>
          <t>https://hayday.fandom.com/wiki/Honey_Tea</t>
        </is>
      </c>
    </row>
    <row r="430">
      <c r="A430" s="28" t="inlineStr">
        <is>
          <t>Honey Toast</t>
        </is>
      </c>
      <c r="B430" s="28" t="inlineStr">
        <is>
          <t>Bread</t>
        </is>
      </c>
      <c r="C430" s="28" t="n">
        <v>1</v>
      </c>
      <c r="D430" s="28" t="inlineStr">
        <is>
          <t>Fandom product page (Making table)</t>
        </is>
      </c>
      <c r="E430" s="28" t="inlineStr">
        <is>
          <t>https://hayday.fandom.com/wiki/Honey_Toast</t>
        </is>
      </c>
    </row>
    <row r="431">
      <c r="A431" s="28" t="inlineStr">
        <is>
          <t>Honey Toast</t>
        </is>
      </c>
      <c r="B431" s="28" t="inlineStr">
        <is>
          <t>Egg</t>
        </is>
      </c>
      <c r="C431" s="28" t="n">
        <v>1</v>
      </c>
      <c r="D431" s="28" t="inlineStr">
        <is>
          <t>Fandom product page (Making table)</t>
        </is>
      </c>
      <c r="E431" s="28" t="inlineStr">
        <is>
          <t>https://hayday.fandom.com/wiki/Honey_Toast</t>
        </is>
      </c>
    </row>
    <row r="432">
      <c r="A432" s="28" t="inlineStr">
        <is>
          <t>Honey Toast</t>
        </is>
      </c>
      <c r="B432" s="28" t="inlineStr">
        <is>
          <t>Milk</t>
        </is>
      </c>
      <c r="C432" s="28" t="n">
        <v>1</v>
      </c>
      <c r="D432" s="28" t="inlineStr">
        <is>
          <t>Fandom product page (Making table)</t>
        </is>
      </c>
      <c r="E432" s="28" t="inlineStr">
        <is>
          <t>https://hayday.fandom.com/wiki/Honey_Toast</t>
        </is>
      </c>
    </row>
    <row r="433">
      <c r="A433" s="28" t="inlineStr">
        <is>
          <t>Honey Toast</t>
        </is>
      </c>
      <c r="B433" s="28" t="inlineStr">
        <is>
          <t>Honey</t>
        </is>
      </c>
      <c r="C433" s="28" t="n">
        <v>1</v>
      </c>
      <c r="D433" s="28" t="inlineStr">
        <is>
          <t>Fandom product page (Making table)</t>
        </is>
      </c>
      <c r="E433" s="28" t="inlineStr">
        <is>
          <t>https://hayday.fandom.com/wiki/Honey_Toast</t>
        </is>
      </c>
    </row>
    <row r="434">
      <c r="A434" s="28" t="inlineStr">
        <is>
          <t>Hot Chocolate</t>
        </is>
      </c>
      <c r="B434" s="28" t="inlineStr">
        <is>
          <t>Cacao</t>
        </is>
      </c>
      <c r="C434" s="28" t="n">
        <v>2</v>
      </c>
      <c r="D434" s="28" t="inlineStr">
        <is>
          <t>Fandom product page (Making table)</t>
        </is>
      </c>
      <c r="E434" s="28" t="inlineStr">
        <is>
          <t>https://hayday.fandom.com/wiki/Hot_Chocolate</t>
        </is>
      </c>
    </row>
    <row r="435">
      <c r="A435" s="28" t="inlineStr">
        <is>
          <t>Hot Chocolate</t>
        </is>
      </c>
      <c r="B435" s="28" t="inlineStr">
        <is>
          <t>Cream</t>
        </is>
      </c>
      <c r="C435" s="28" t="n">
        <v>1</v>
      </c>
      <c r="D435" s="28" t="inlineStr">
        <is>
          <t>Fandom product page (Making table)</t>
        </is>
      </c>
      <c r="E435" s="28" t="inlineStr">
        <is>
          <t>https://hayday.fandom.com/wiki/Hot_Chocolate</t>
        </is>
      </c>
    </row>
    <row r="436">
      <c r="A436" s="28" t="inlineStr">
        <is>
          <t>Hot Chocolate</t>
        </is>
      </c>
      <c r="B436" s="28" t="inlineStr">
        <is>
          <t>Milk</t>
        </is>
      </c>
      <c r="C436" s="28" t="n">
        <v>1</v>
      </c>
      <c r="D436" s="28" t="inlineStr">
        <is>
          <t>Fandom product page (Making table)</t>
        </is>
      </c>
      <c r="E436" s="28" t="inlineStr">
        <is>
          <t>https://hayday.fandom.com/wiki/Hot_Chocolate</t>
        </is>
      </c>
    </row>
    <row r="437">
      <c r="A437" s="28" t="inlineStr">
        <is>
          <t>Hot Chocolate</t>
        </is>
      </c>
      <c r="B437" s="28" t="inlineStr">
        <is>
          <t>White Sugar</t>
        </is>
      </c>
      <c r="C437" s="28" t="n">
        <v>1</v>
      </c>
      <c r="D437" s="28" t="inlineStr">
        <is>
          <t>Fandom product page (Making table)</t>
        </is>
      </c>
      <c r="E437" s="28" t="inlineStr">
        <is>
          <t>https://hayday.fandom.com/wiki/Hot_Chocolate</t>
        </is>
      </c>
    </row>
    <row r="438">
      <c r="A438" s="28" t="inlineStr">
        <is>
          <t>Hot Dog</t>
        </is>
      </c>
      <c r="B438" s="28" t="inlineStr">
        <is>
          <t>Bacon</t>
        </is>
      </c>
      <c r="C438" s="28" t="n">
        <v>2</v>
      </c>
      <c r="D438" s="28" t="inlineStr">
        <is>
          <t>Fandom product page (Making table)</t>
        </is>
      </c>
      <c r="E438" s="28" t="inlineStr">
        <is>
          <t>https://hayday.fandom.com/wiki/Hot_Dog</t>
        </is>
      </c>
    </row>
    <row r="439">
      <c r="A439" s="28" t="inlineStr">
        <is>
          <t>Hot Dog</t>
        </is>
      </c>
      <c r="B439" s="28" t="inlineStr">
        <is>
          <t>Bread</t>
        </is>
      </c>
      <c r="C439" s="28" t="n">
        <v>1</v>
      </c>
      <c r="D439" s="28" t="inlineStr">
        <is>
          <t>Fandom product page (Making table)</t>
        </is>
      </c>
      <c r="E439" s="28" t="inlineStr">
        <is>
          <t>https://hayday.fandom.com/wiki/Hot_Dog</t>
        </is>
      </c>
    </row>
    <row r="440">
      <c r="A440" s="28" t="inlineStr">
        <is>
          <t>Hot Dog</t>
        </is>
      </c>
      <c r="B440" s="28" t="inlineStr">
        <is>
          <t>Tomato Sauce</t>
        </is>
      </c>
      <c r="C440" s="28" t="n">
        <v>1</v>
      </c>
      <c r="D440" s="28" t="inlineStr">
        <is>
          <t>Fandom product page (Making table)</t>
        </is>
      </c>
      <c r="E440" s="28" t="inlineStr">
        <is>
          <t>https://hayday.fandom.com/wiki/Hot_Dog</t>
        </is>
      </c>
    </row>
    <row r="441">
      <c r="A441" s="28" t="inlineStr">
        <is>
          <t>Hummus</t>
        </is>
      </c>
      <c r="B441" s="28" t="inlineStr">
        <is>
          <t>Chickpea</t>
        </is>
      </c>
      <c r="C441" s="28" t="n">
        <v>3</v>
      </c>
      <c r="D441" s="28" t="inlineStr">
        <is>
          <t>Fandom product page (Making table)</t>
        </is>
      </c>
      <c r="E441" s="28" t="inlineStr">
        <is>
          <t>https://hayday.fandom.com/wiki/Hummus</t>
        </is>
      </c>
    </row>
    <row r="442">
      <c r="A442" s="28" t="inlineStr">
        <is>
          <t>Hummus</t>
        </is>
      </c>
      <c r="B442" s="28" t="inlineStr">
        <is>
          <t>Lemon</t>
        </is>
      </c>
      <c r="C442" s="28" t="n">
        <v>2</v>
      </c>
      <c r="D442" s="28" t="inlineStr">
        <is>
          <t>Fandom product page (Making table)</t>
        </is>
      </c>
      <c r="E442" s="28" t="inlineStr">
        <is>
          <t>https://hayday.fandom.com/wiki/Hummus</t>
        </is>
      </c>
    </row>
    <row r="443">
      <c r="A443" s="28" t="inlineStr">
        <is>
          <t>Hummus</t>
        </is>
      </c>
      <c r="B443" s="28" t="inlineStr">
        <is>
          <t>Garlic</t>
        </is>
      </c>
      <c r="C443" s="28" t="n">
        <v>1</v>
      </c>
      <c r="D443" s="28" t="inlineStr">
        <is>
          <t>Fandom product page (Making table)</t>
        </is>
      </c>
      <c r="E443" s="28" t="inlineStr">
        <is>
          <t>https://hayday.fandom.com/wiki/Hummus</t>
        </is>
      </c>
    </row>
    <row r="444">
      <c r="A444" s="28" t="inlineStr">
        <is>
          <t>Hummus Wrap</t>
        </is>
      </c>
      <c r="B444" s="28" t="inlineStr">
        <is>
          <t>Hummus</t>
        </is>
      </c>
      <c r="C444" s="28" t="n">
        <v>1</v>
      </c>
      <c r="D444" s="28" t="inlineStr">
        <is>
          <t>Fandom product page (Making table)</t>
        </is>
      </c>
      <c r="E444" s="28" t="inlineStr">
        <is>
          <t>https://hayday.fandom.com/wiki/Hummus_Wrap</t>
        </is>
      </c>
    </row>
    <row r="445">
      <c r="A445" s="28" t="inlineStr">
        <is>
          <t>Hummus Wrap</t>
        </is>
      </c>
      <c r="B445" s="28" t="inlineStr">
        <is>
          <t>Bread</t>
        </is>
      </c>
      <c r="C445" s="28" t="n">
        <v>2</v>
      </c>
      <c r="D445" s="28" t="inlineStr">
        <is>
          <t>Fandom product page (Making table)</t>
        </is>
      </c>
      <c r="E445" s="28" t="inlineStr">
        <is>
          <t>https://hayday.fandom.com/wiki/Hummus_Wrap</t>
        </is>
      </c>
    </row>
    <row r="446">
      <c r="A446" s="28" t="inlineStr">
        <is>
          <t>Hummus Wrap</t>
        </is>
      </c>
      <c r="B446" s="28" t="inlineStr">
        <is>
          <t>Lettuce</t>
        </is>
      </c>
      <c r="C446" s="28" t="n">
        <v>1</v>
      </c>
      <c r="D446" s="28" t="inlineStr">
        <is>
          <t>Fandom product page (Making table)</t>
        </is>
      </c>
      <c r="E446" s="28" t="inlineStr">
        <is>
          <t>https://hayday.fandom.com/wiki/Hummus_Wrap</t>
        </is>
      </c>
    </row>
    <row r="447">
      <c r="A447" s="28" t="inlineStr">
        <is>
          <t>Iced Banana Latte</t>
        </is>
      </c>
      <c r="B447" s="28" t="inlineStr">
        <is>
          <t>Banana</t>
        </is>
      </c>
      <c r="C447" s="28" t="n">
        <v>1</v>
      </c>
      <c r="D447" s="28" t="inlineStr">
        <is>
          <t>Fandom product page (Making table)</t>
        </is>
      </c>
      <c r="E447" s="28" t="inlineStr">
        <is>
          <t>https://hayday.fandom.com/wiki/Iced_Banana_Latte</t>
        </is>
      </c>
    </row>
    <row r="448">
      <c r="A448" s="28" t="inlineStr">
        <is>
          <t>Iced Banana Latte</t>
        </is>
      </c>
      <c r="B448" s="28" t="inlineStr">
        <is>
          <t>Coffee Bean</t>
        </is>
      </c>
      <c r="C448" s="28" t="n">
        <v>2</v>
      </c>
      <c r="D448" s="28" t="inlineStr">
        <is>
          <t>Fandom product page (Making table)</t>
        </is>
      </c>
      <c r="E448" s="28" t="inlineStr">
        <is>
          <t>https://hayday.fandom.com/wiki/Iced_Banana_Latte</t>
        </is>
      </c>
    </row>
    <row r="449">
      <c r="A449" s="28" t="inlineStr">
        <is>
          <t>Iced Banana Latte</t>
        </is>
      </c>
      <c r="B449" s="28" t="inlineStr">
        <is>
          <t>Milk</t>
        </is>
      </c>
      <c r="C449" s="28" t="n">
        <v>1</v>
      </c>
      <c r="D449" s="28" t="inlineStr">
        <is>
          <t>Fandom product page (Making table)</t>
        </is>
      </c>
      <c r="E449" s="28" t="inlineStr">
        <is>
          <t>https://hayday.fandom.com/wiki/Iced_Banana_Latte</t>
        </is>
      </c>
    </row>
    <row r="450">
      <c r="A450" s="28" t="inlineStr">
        <is>
          <t>Iced Tea</t>
        </is>
      </c>
      <c r="B450" s="28" t="inlineStr">
        <is>
          <t>Peach</t>
        </is>
      </c>
      <c r="C450" s="28" t="n">
        <v>1</v>
      </c>
      <c r="D450" s="28" t="inlineStr">
        <is>
          <t>Fandom product page (Making table)</t>
        </is>
      </c>
      <c r="E450" s="28" t="inlineStr">
        <is>
          <t>https://hayday.fandom.com/wiki/Iced_Tea</t>
        </is>
      </c>
    </row>
    <row r="451">
      <c r="A451" s="28" t="inlineStr">
        <is>
          <t>Iced Tea</t>
        </is>
      </c>
      <c r="B451" s="28" t="inlineStr">
        <is>
          <t>Tea Leaf</t>
        </is>
      </c>
      <c r="C451" s="28" t="n">
        <v>3</v>
      </c>
      <c r="D451" s="28" t="inlineStr">
        <is>
          <t>Fandom product page (Making table)</t>
        </is>
      </c>
      <c r="E451" s="28" t="inlineStr">
        <is>
          <t>https://hayday.fandom.com/wiki/Iced_Tea</t>
        </is>
      </c>
    </row>
    <row r="452">
      <c r="A452" s="28" t="inlineStr">
        <is>
          <t>Iron Bar</t>
        </is>
      </c>
      <c r="B452" s="28" t="inlineStr">
        <is>
          <t>Iron Ore</t>
        </is>
      </c>
      <c r="C452" s="28" t="n">
        <v>3</v>
      </c>
      <c r="D452" s="28" t="inlineStr">
        <is>
          <t>Fandom product page (Making table)</t>
        </is>
      </c>
      <c r="E452" s="28" t="inlineStr">
        <is>
          <t>https://hayday.fandom.com/wiki/Iron_Bar</t>
        </is>
      </c>
    </row>
    <row r="453">
      <c r="A453" s="28" t="inlineStr">
        <is>
          <t>Iron Bracelet</t>
        </is>
      </c>
      <c r="B453" s="28" t="inlineStr">
        <is>
          <t>Silver Bar</t>
        </is>
      </c>
      <c r="C453" s="28" t="n">
        <v>1</v>
      </c>
      <c r="D453" s="28" t="inlineStr">
        <is>
          <t>Fandom product page (Making table)</t>
        </is>
      </c>
      <c r="E453" s="28" t="inlineStr">
        <is>
          <t>https://hayday.fandom.com/wiki/Iron_Bracelet</t>
        </is>
      </c>
    </row>
    <row r="454">
      <c r="A454" s="28" t="inlineStr">
        <is>
          <t>Iron Bracelet</t>
        </is>
      </c>
      <c r="B454" s="28" t="inlineStr">
        <is>
          <t>Refined Coal</t>
        </is>
      </c>
      <c r="C454" s="28" t="n">
        <v>2</v>
      </c>
      <c r="D454" s="28" t="inlineStr">
        <is>
          <t>Fandom product page (Making table)</t>
        </is>
      </c>
      <c r="E454" s="28" t="inlineStr">
        <is>
          <t>https://hayday.fandom.com/wiki/Iron_Bracelet</t>
        </is>
      </c>
    </row>
    <row r="455">
      <c r="A455" s="28" t="inlineStr">
        <is>
          <t>Iron Bracelet</t>
        </is>
      </c>
      <c r="B455" s="28" t="inlineStr">
        <is>
          <t>Iron Bar</t>
        </is>
      </c>
      <c r="C455" s="28" t="n">
        <v>2</v>
      </c>
      <c r="D455" s="28" t="inlineStr">
        <is>
          <t>Fandom product page (Making table)</t>
        </is>
      </c>
      <c r="E455" s="28" t="inlineStr">
        <is>
          <t>https://hayday.fandom.com/wiki/Iron_Bracelet</t>
        </is>
      </c>
    </row>
    <row r="456">
      <c r="A456" s="28" t="inlineStr">
        <is>
          <t>Jelly Beans</t>
        </is>
      </c>
      <c r="B456" s="28" t="inlineStr">
        <is>
          <t>Blackberry Jam</t>
        </is>
      </c>
      <c r="C456" s="28" t="n">
        <v>1</v>
      </c>
      <c r="D456" s="28" t="inlineStr">
        <is>
          <t>Fandom product page (Making table)</t>
        </is>
      </c>
      <c r="E456" s="28" t="inlineStr">
        <is>
          <t>https://hayday.fandom.com/wiki/Jelly_Beans</t>
        </is>
      </c>
    </row>
    <row r="457">
      <c r="A457" s="28" t="inlineStr">
        <is>
          <t>Jelly Beans</t>
        </is>
      </c>
      <c r="B457" s="28" t="inlineStr">
        <is>
          <t>Raspberry Jam</t>
        </is>
      </c>
      <c r="C457" s="28" t="n">
        <v>1</v>
      </c>
      <c r="D457" s="28" t="inlineStr">
        <is>
          <t>Fandom product page (Making table)</t>
        </is>
      </c>
      <c r="E457" s="28" t="inlineStr">
        <is>
          <t>https://hayday.fandom.com/wiki/Jelly_Beans</t>
        </is>
      </c>
    </row>
    <row r="458">
      <c r="A458" s="28" t="inlineStr">
        <is>
          <t>Jelly Beans</t>
        </is>
      </c>
      <c r="B458" s="28" t="inlineStr">
        <is>
          <t>White Sugar</t>
        </is>
      </c>
      <c r="C458" s="28" t="n">
        <v>1</v>
      </c>
      <c r="D458" s="28" t="inlineStr">
        <is>
          <t>Fandom product page (Making table)</t>
        </is>
      </c>
      <c r="E458" s="28" t="inlineStr">
        <is>
          <t>https://hayday.fandom.com/wiki/Jelly_Beans</t>
        </is>
      </c>
    </row>
    <row r="459">
      <c r="A459" s="28" t="inlineStr">
        <is>
          <t>Kimchi</t>
        </is>
      </c>
      <c r="B459" s="28" t="inlineStr">
        <is>
          <t>Cabbage</t>
        </is>
      </c>
      <c r="C459" s="28" t="n">
        <v>5</v>
      </c>
      <c r="D459" s="28" t="inlineStr">
        <is>
          <t>Fandom product page (Making table)</t>
        </is>
      </c>
      <c r="E459" s="28" t="inlineStr">
        <is>
          <t>https://hayday.fandom.com/wiki/Kimchi</t>
        </is>
      </c>
    </row>
    <row r="460">
      <c r="A460" s="28" t="inlineStr">
        <is>
          <t>Kimchi</t>
        </is>
      </c>
      <c r="B460" s="28" t="inlineStr">
        <is>
          <t>Ginger</t>
        </is>
      </c>
      <c r="C460" s="28" t="n">
        <v>1</v>
      </c>
      <c r="D460" s="28" t="inlineStr">
        <is>
          <t>Fandom product page (Making table)</t>
        </is>
      </c>
      <c r="E460" s="28" t="inlineStr">
        <is>
          <t>https://hayday.fandom.com/wiki/Kimchi</t>
        </is>
      </c>
    </row>
    <row r="461">
      <c r="A461" s="28" t="inlineStr">
        <is>
          <t>Kimchi</t>
        </is>
      </c>
      <c r="B461" s="28" t="inlineStr">
        <is>
          <t>Chili Pepper</t>
        </is>
      </c>
      <c r="C461" s="28" t="n">
        <v>1</v>
      </c>
      <c r="D461" s="28" t="inlineStr">
        <is>
          <t>Fandom product page (Making table)</t>
        </is>
      </c>
      <c r="E461" s="28" t="inlineStr">
        <is>
          <t>https://hayday.fandom.com/wiki/Kimchi</t>
        </is>
      </c>
    </row>
    <row r="462">
      <c r="A462" s="28" t="inlineStr">
        <is>
          <t>Kimchi</t>
        </is>
      </c>
      <c r="B462" s="28" t="inlineStr">
        <is>
          <t>Garlic</t>
        </is>
      </c>
      <c r="C462" s="28" t="n">
        <v>1</v>
      </c>
      <c r="D462" s="28" t="inlineStr">
        <is>
          <t>Fandom product page (Making table)</t>
        </is>
      </c>
      <c r="E462" s="28" t="inlineStr">
        <is>
          <t>https://hayday.fandom.com/wiki/Kimchi</t>
        </is>
      </c>
    </row>
    <row r="463">
      <c r="A463" s="28" t="inlineStr">
        <is>
          <t>Lamb Feed</t>
        </is>
      </c>
      <c r="B463" s="28" t="inlineStr">
        <is>
          <t>Black Bean</t>
        </is>
      </c>
      <c r="C463" s="28" t="n">
        <v>4</v>
      </c>
      <c r="D463" s="28" t="inlineStr">
        <is>
          <t>Fandom product page (Making table)</t>
        </is>
      </c>
      <c r="E463" s="28" t="inlineStr">
        <is>
          <t>https://hayday.fandom.com/wiki/Lamb_Feed</t>
        </is>
      </c>
    </row>
    <row r="464">
      <c r="A464" s="28" t="inlineStr">
        <is>
          <t>Lamb Feed</t>
        </is>
      </c>
      <c r="B464" s="28" t="inlineStr">
        <is>
          <t>Soybean</t>
        </is>
      </c>
      <c r="C464" s="28" t="n">
        <v>2</v>
      </c>
      <c r="D464" s="28" t="inlineStr">
        <is>
          <t>Fandom product page (Making table)</t>
        </is>
      </c>
      <c r="E464" s="28" t="inlineStr">
        <is>
          <t>https://hayday.fandom.com/wiki/Lamb_Feed</t>
        </is>
      </c>
    </row>
    <row r="465">
      <c r="A465" s="28" t="inlineStr">
        <is>
          <t>Lamb Soup</t>
        </is>
      </c>
      <c r="B465" s="28" t="inlineStr">
        <is>
          <t>Grilled Lamb Skewer</t>
        </is>
      </c>
      <c r="C465" s="28" t="n">
        <v>1</v>
      </c>
      <c r="D465" s="28" t="inlineStr">
        <is>
          <t>Fandom product page (Making table)</t>
        </is>
      </c>
      <c r="E465" s="28" t="inlineStr">
        <is>
          <t>https://hayday.fandom.com/wiki/Lamb_Soup</t>
        </is>
      </c>
    </row>
    <row r="466">
      <c r="A466" s="28" t="inlineStr">
        <is>
          <t>Lamb Soup</t>
        </is>
      </c>
      <c r="B466" s="28" t="inlineStr">
        <is>
          <t>Potato</t>
        </is>
      </c>
      <c r="C466" s="28" t="n">
        <v>1</v>
      </c>
      <c r="D466" s="28" t="inlineStr">
        <is>
          <t>Fandom product page (Making table)</t>
        </is>
      </c>
      <c r="E466" s="28" t="inlineStr">
        <is>
          <t>https://hayday.fandom.com/wiki/Lamb_Soup</t>
        </is>
      </c>
    </row>
    <row r="467">
      <c r="A467" s="28" t="inlineStr">
        <is>
          <t>Lamb Soup</t>
        </is>
      </c>
      <c r="B467" s="28" t="inlineStr">
        <is>
          <t>Carrot</t>
        </is>
      </c>
      <c r="C467" s="28" t="n">
        <v>2</v>
      </c>
      <c r="D467" s="28" t="inlineStr">
        <is>
          <t>Fandom product page (Making table)</t>
        </is>
      </c>
      <c r="E467" s="28" t="inlineStr">
        <is>
          <t>https://hayday.fandom.com/wiki/Lamb_Soup</t>
        </is>
      </c>
    </row>
    <row r="468">
      <c r="A468" s="28" t="inlineStr">
        <is>
          <t>Lamb Stir Fry</t>
        </is>
      </c>
      <c r="B468" s="28" t="inlineStr">
        <is>
          <t>Rice</t>
        </is>
      </c>
      <c r="C468" s="28" t="n">
        <v>3</v>
      </c>
      <c r="D468" s="28" t="inlineStr">
        <is>
          <t>Fandom product page (Making table)</t>
        </is>
      </c>
      <c r="E468" s="28" t="inlineStr">
        <is>
          <t>https://hayday.fandom.com/wiki/Lamb_Stir_Fry</t>
        </is>
      </c>
    </row>
    <row r="469">
      <c r="A469" s="28" t="inlineStr">
        <is>
          <t>Lamb Stir Fry</t>
        </is>
      </c>
      <c r="B469" s="28" t="inlineStr">
        <is>
          <t>Grilled Lamb Skewer</t>
        </is>
      </c>
      <c r="C469" s="28" t="n">
        <v>1</v>
      </c>
      <c r="D469" s="28" t="inlineStr">
        <is>
          <t>Fandom product page (Making table)</t>
        </is>
      </c>
      <c r="E469" s="28" t="inlineStr">
        <is>
          <t>https://hayday.fandom.com/wiki/Lamb_Stir_Fry</t>
        </is>
      </c>
    </row>
    <row r="470">
      <c r="A470" s="28" t="inlineStr">
        <is>
          <t>Lamb Stir Fry</t>
        </is>
      </c>
      <c r="B470" s="28" t="inlineStr">
        <is>
          <t>Chili Pepper</t>
        </is>
      </c>
      <c r="C470" s="28" t="n">
        <v>2</v>
      </c>
      <c r="D470" s="28" t="inlineStr">
        <is>
          <t>Fandom product page (Making table)</t>
        </is>
      </c>
      <c r="E470" s="28" t="inlineStr">
        <is>
          <t>https://hayday.fandom.com/wiki/Lamb_Stir_Fry</t>
        </is>
      </c>
    </row>
    <row r="471">
      <c r="A471" s="28" t="inlineStr">
        <is>
          <t>Lamb Stir Fry</t>
        </is>
      </c>
      <c r="B471" s="28" t="inlineStr">
        <is>
          <t>Sesame</t>
        </is>
      </c>
      <c r="C471" s="28" t="n">
        <v>1</v>
      </c>
      <c r="D471" s="28" t="inlineStr">
        <is>
          <t>Fandom product page (Making table)</t>
        </is>
      </c>
      <c r="E471" s="28" t="inlineStr">
        <is>
          <t>https://hayday.fandom.com/wiki/Lamb_Stir_Fry</t>
        </is>
      </c>
    </row>
    <row r="472">
      <c r="A472" s="28" t="inlineStr">
        <is>
          <t>Lemon Cake</t>
        </is>
      </c>
      <c r="B472" s="28" t="inlineStr">
        <is>
          <t>Lemon Curd</t>
        </is>
      </c>
      <c r="C472" s="28" t="n">
        <v>2</v>
      </c>
      <c r="D472" s="28" t="inlineStr">
        <is>
          <t>Fandom product page (Making table)</t>
        </is>
      </c>
      <c r="E472" s="28" t="inlineStr">
        <is>
          <t>https://hayday.fandom.com/wiki/Lemon_Cake</t>
        </is>
      </c>
    </row>
    <row r="473">
      <c r="A473" s="28" t="inlineStr">
        <is>
          <t>Lemon Cake</t>
        </is>
      </c>
      <c r="B473" s="28" t="inlineStr">
        <is>
          <t>Egg</t>
        </is>
      </c>
      <c r="C473" s="28" t="n">
        <v>2</v>
      </c>
      <c r="D473" s="28" t="inlineStr">
        <is>
          <t>Fandom product page (Making table)</t>
        </is>
      </c>
      <c r="E473" s="28" t="inlineStr">
        <is>
          <t>https://hayday.fandom.com/wiki/Lemon_Cake</t>
        </is>
      </c>
    </row>
    <row r="474">
      <c r="A474" s="28" t="inlineStr">
        <is>
          <t>Lemon Cake</t>
        </is>
      </c>
      <c r="B474" s="28" t="inlineStr">
        <is>
          <t>Cream</t>
        </is>
      </c>
      <c r="C474" s="28" t="n">
        <v>1</v>
      </c>
      <c r="D474" s="28" t="inlineStr">
        <is>
          <t>Fandom product page (Making table)</t>
        </is>
      </c>
      <c r="E474" s="28" t="inlineStr">
        <is>
          <t>https://hayday.fandom.com/wiki/Lemon_Cake</t>
        </is>
      </c>
    </row>
    <row r="475">
      <c r="A475" s="28" t="inlineStr">
        <is>
          <t>Lemon Cake</t>
        </is>
      </c>
      <c r="B475" s="28" t="inlineStr">
        <is>
          <t>Wheat</t>
        </is>
      </c>
      <c r="C475" s="28" t="n">
        <v>3</v>
      </c>
      <c r="D475" s="28" t="inlineStr">
        <is>
          <t>Fandom product page (Making table)</t>
        </is>
      </c>
      <c r="E475" s="28" t="inlineStr">
        <is>
          <t>https://hayday.fandom.com/wiki/Lemon_Cake</t>
        </is>
      </c>
    </row>
    <row r="476">
      <c r="A476" s="28" t="inlineStr">
        <is>
          <t>Lemon Candle</t>
        </is>
      </c>
      <c r="B476" s="28" t="inlineStr">
        <is>
          <t>Beeswax</t>
        </is>
      </c>
      <c r="C476" s="28" t="n">
        <v>1</v>
      </c>
      <c r="D476" s="28" t="inlineStr">
        <is>
          <t>Fandom product page (Making table)</t>
        </is>
      </c>
      <c r="E476" s="28" t="inlineStr">
        <is>
          <t>https://hayday.fandom.com/wiki/Lemon_Candle</t>
        </is>
      </c>
    </row>
    <row r="477">
      <c r="A477" s="28" t="inlineStr">
        <is>
          <t>Lemon Candle</t>
        </is>
      </c>
      <c r="B477" s="28" t="inlineStr">
        <is>
          <t>Lemon</t>
        </is>
      </c>
      <c r="C477" s="28" t="n">
        <v>2</v>
      </c>
      <c r="D477" s="28" t="inlineStr">
        <is>
          <t>Fandom product page (Making table)</t>
        </is>
      </c>
      <c r="E477" s="28" t="inlineStr">
        <is>
          <t>https://hayday.fandom.com/wiki/Lemon_Candle</t>
        </is>
      </c>
    </row>
    <row r="478">
      <c r="A478" s="28" t="inlineStr">
        <is>
          <t>Lemon Curd</t>
        </is>
      </c>
      <c r="B478" s="28" t="inlineStr">
        <is>
          <t>Lemon</t>
        </is>
      </c>
      <c r="C478" s="28" t="n">
        <v>2</v>
      </c>
      <c r="D478" s="28" t="inlineStr">
        <is>
          <t>Fandom product page (Making table)</t>
        </is>
      </c>
      <c r="E478" s="28" t="inlineStr">
        <is>
          <t>https://hayday.fandom.com/wiki/Lemon_Curd</t>
        </is>
      </c>
    </row>
    <row r="479">
      <c r="A479" s="28" t="inlineStr">
        <is>
          <t>Lemon Curd</t>
        </is>
      </c>
      <c r="B479" s="28" t="inlineStr">
        <is>
          <t>Butter</t>
        </is>
      </c>
      <c r="C479" s="28" t="n">
        <v>1</v>
      </c>
      <c r="D479" s="28" t="inlineStr">
        <is>
          <t>Fandom product page (Making table)</t>
        </is>
      </c>
      <c r="E479" s="28" t="inlineStr">
        <is>
          <t>https://hayday.fandom.com/wiki/Lemon_Curd</t>
        </is>
      </c>
    </row>
    <row r="480">
      <c r="A480" s="28" t="inlineStr">
        <is>
          <t>Lemon Curd</t>
        </is>
      </c>
      <c r="B480" s="28" t="inlineStr">
        <is>
          <t>Egg</t>
        </is>
      </c>
      <c r="C480" s="28" t="n">
        <v>2</v>
      </c>
      <c r="D480" s="28" t="inlineStr">
        <is>
          <t>Fandom product page (Making table)</t>
        </is>
      </c>
      <c r="E480" s="28" t="inlineStr">
        <is>
          <t>https://hayday.fandom.com/wiki/Lemon_Curd</t>
        </is>
      </c>
    </row>
    <row r="481">
      <c r="A481" s="28" t="inlineStr">
        <is>
          <t>Lemon Curd</t>
        </is>
      </c>
      <c r="B481" s="28" t="inlineStr">
        <is>
          <t>White Sugar</t>
        </is>
      </c>
      <c r="C481" s="28" t="n">
        <v>1</v>
      </c>
      <c r="D481" s="28" t="inlineStr">
        <is>
          <t>Fandom product page (Making table)</t>
        </is>
      </c>
      <c r="E481" s="28" t="inlineStr">
        <is>
          <t>https://hayday.fandom.com/wiki/Lemon_Curd</t>
        </is>
      </c>
    </row>
    <row r="482">
      <c r="A482" s="28" t="inlineStr">
        <is>
          <t>Lemon Fudge</t>
        </is>
      </c>
      <c r="B482" s="28" t="inlineStr">
        <is>
          <t>Butter</t>
        </is>
      </c>
      <c r="C482" s="28" t="n">
        <v>2</v>
      </c>
      <c r="D482" s="28" t="inlineStr">
        <is>
          <t>Fandom product page (Making table)</t>
        </is>
      </c>
      <c r="E482" s="28" t="inlineStr">
        <is>
          <t>https://hayday.fandom.com/wiki/Lemon_Fudge</t>
        </is>
      </c>
    </row>
    <row r="483">
      <c r="A483" s="28" t="inlineStr">
        <is>
          <t>Lemon Fudge</t>
        </is>
      </c>
      <c r="B483" s="28" t="inlineStr">
        <is>
          <t>White Sugar</t>
        </is>
      </c>
      <c r="C483" s="28" t="n">
        <v>2</v>
      </c>
      <c r="D483" s="28" t="inlineStr">
        <is>
          <t>Fandom product page (Making table)</t>
        </is>
      </c>
      <c r="E483" s="28" t="inlineStr">
        <is>
          <t>https://hayday.fandom.com/wiki/Lemon_Fudge</t>
        </is>
      </c>
    </row>
    <row r="484">
      <c r="A484" s="28" t="inlineStr">
        <is>
          <t>Lemon Fudge</t>
        </is>
      </c>
      <c r="B484" s="28" t="inlineStr">
        <is>
          <t>Milk</t>
        </is>
      </c>
      <c r="C484" s="28" t="n">
        <v>3</v>
      </c>
      <c r="D484" s="28" t="inlineStr">
        <is>
          <t>Fandom product page (Making table)</t>
        </is>
      </c>
      <c r="E484" s="28" t="inlineStr">
        <is>
          <t>https://hayday.fandom.com/wiki/Lemon_Fudge</t>
        </is>
      </c>
    </row>
    <row r="485">
      <c r="A485" s="28" t="inlineStr">
        <is>
          <t>Lemon Fudge</t>
        </is>
      </c>
      <c r="B485" s="28" t="inlineStr">
        <is>
          <t>Lemon</t>
        </is>
      </c>
      <c r="C485" s="28" t="n">
        <v>2</v>
      </c>
      <c r="D485" s="28" t="inlineStr">
        <is>
          <t>Fandom product page (Making table)</t>
        </is>
      </c>
      <c r="E485" s="28" t="inlineStr">
        <is>
          <t>https://hayday.fandom.com/wiki/Lemon_Fudge</t>
        </is>
      </c>
    </row>
    <row r="486">
      <c r="A486" s="28" t="inlineStr">
        <is>
          <t>Lemon Lotion</t>
        </is>
      </c>
      <c r="B486" s="28" t="inlineStr">
        <is>
          <t>Olive Oil</t>
        </is>
      </c>
      <c r="C486" s="28" t="n">
        <v>1</v>
      </c>
      <c r="D486" s="28" t="inlineStr">
        <is>
          <t>Fandom product page (Making table)</t>
        </is>
      </c>
      <c r="E486" s="28" t="inlineStr">
        <is>
          <t>https://hayday.fandom.com/wiki/Lemon_Lotion</t>
        </is>
      </c>
    </row>
    <row r="487">
      <c r="A487" s="28" t="inlineStr">
        <is>
          <t>Lemon Lotion</t>
        </is>
      </c>
      <c r="B487" s="28" t="inlineStr">
        <is>
          <t>Lemon</t>
        </is>
      </c>
      <c r="C487" s="28" t="n">
        <v>1</v>
      </c>
      <c r="D487" s="28" t="inlineStr">
        <is>
          <t>Fandom product page (Making table)</t>
        </is>
      </c>
      <c r="E487" s="28" t="inlineStr">
        <is>
          <t>https://hayday.fandom.com/wiki/Lemon_Lotion</t>
        </is>
      </c>
    </row>
    <row r="488">
      <c r="A488" s="28" t="inlineStr">
        <is>
          <t>Lemon Pie</t>
        </is>
      </c>
      <c r="B488" s="28" t="inlineStr">
        <is>
          <t>Lemon Curd</t>
        </is>
      </c>
      <c r="C488" s="28" t="n">
        <v>1</v>
      </c>
      <c r="D488" s="28" t="inlineStr">
        <is>
          <t>Fandom product page (Making table)</t>
        </is>
      </c>
      <c r="E488" s="28" t="inlineStr">
        <is>
          <t>https://hayday.fandom.com/wiki/Lemon_Pie</t>
        </is>
      </c>
    </row>
    <row r="489">
      <c r="A489" s="28" t="inlineStr">
        <is>
          <t>Lemon Pie</t>
        </is>
      </c>
      <c r="B489" s="28" t="inlineStr">
        <is>
          <t>Wheat</t>
        </is>
      </c>
      <c r="C489" s="28" t="n">
        <v>2</v>
      </c>
      <c r="D489" s="28" t="inlineStr">
        <is>
          <t>Fandom product page (Making table)</t>
        </is>
      </c>
      <c r="E489" s="28" t="inlineStr">
        <is>
          <t>https://hayday.fandom.com/wiki/Lemon_Pie</t>
        </is>
      </c>
    </row>
    <row r="490">
      <c r="A490" s="28" t="inlineStr">
        <is>
          <t>Lemon Pie</t>
        </is>
      </c>
      <c r="B490" s="28" t="inlineStr">
        <is>
          <t>Egg</t>
        </is>
      </c>
      <c r="C490" s="28" t="n">
        <v>1</v>
      </c>
      <c r="D490" s="28" t="inlineStr">
        <is>
          <t>Fandom product page (Making table)</t>
        </is>
      </c>
      <c r="E490" s="28" t="inlineStr">
        <is>
          <t>https://hayday.fandom.com/wiki/Lemon_Pie</t>
        </is>
      </c>
    </row>
    <row r="491">
      <c r="A491" s="28" t="inlineStr">
        <is>
          <t>Lemon Tea</t>
        </is>
      </c>
      <c r="B491" s="28" t="inlineStr">
        <is>
          <t>Lemon</t>
        </is>
      </c>
      <c r="C491" s="28" t="n">
        <v>1</v>
      </c>
      <c r="D491" s="28" t="inlineStr">
        <is>
          <t>Fandom product page (Making table)</t>
        </is>
      </c>
      <c r="E491" s="28" t="inlineStr">
        <is>
          <t>https://hayday.fandom.com/wiki/Lemon_Tea</t>
        </is>
      </c>
    </row>
    <row r="492">
      <c r="A492" s="28" t="inlineStr">
        <is>
          <t>Lemon Tea</t>
        </is>
      </c>
      <c r="B492" s="28" t="inlineStr">
        <is>
          <t>Tea Leaf</t>
        </is>
      </c>
      <c r="C492" s="28" t="n">
        <v>3</v>
      </c>
      <c r="D492" s="28" t="inlineStr">
        <is>
          <t>Fandom product page (Making table)</t>
        </is>
      </c>
      <c r="E492" s="28" t="inlineStr">
        <is>
          <t>https://hayday.fandom.com/wiki/Lemon_Tea</t>
        </is>
      </c>
    </row>
    <row r="493">
      <c r="A493" s="28" t="inlineStr">
        <is>
          <t>Lobster Pasta</t>
        </is>
      </c>
      <c r="B493" s="28" t="inlineStr">
        <is>
          <t>Lobster Tail</t>
        </is>
      </c>
      <c r="C493" s="28" t="n">
        <v>1</v>
      </c>
      <c r="D493" s="28" t="inlineStr">
        <is>
          <t>Fandom product page (Making table)</t>
        </is>
      </c>
      <c r="E493" s="28" t="inlineStr">
        <is>
          <t>https://hayday.fandom.com/wiki/Lobster_Pasta</t>
        </is>
      </c>
    </row>
    <row r="494">
      <c r="A494" s="28" t="inlineStr">
        <is>
          <t>Lobster Pasta</t>
        </is>
      </c>
      <c r="B494" s="28" t="inlineStr">
        <is>
          <t>Cream</t>
        </is>
      </c>
      <c r="C494" s="28" t="n">
        <v>2</v>
      </c>
      <c r="D494" s="28" t="inlineStr">
        <is>
          <t>Fandom product page (Making table)</t>
        </is>
      </c>
      <c r="E494" s="28" t="inlineStr">
        <is>
          <t>https://hayday.fandom.com/wiki/Lobster_Pasta</t>
        </is>
      </c>
    </row>
    <row r="495">
      <c r="A495" s="28" t="inlineStr">
        <is>
          <t>Lobster Pasta</t>
        </is>
      </c>
      <c r="B495" s="28" t="inlineStr">
        <is>
          <t>Fresh Pasta</t>
        </is>
      </c>
      <c r="C495" s="28" t="n">
        <v>3</v>
      </c>
      <c r="D495" s="28" t="inlineStr">
        <is>
          <t>Fandom product page (Making table)</t>
        </is>
      </c>
      <c r="E495" s="28" t="inlineStr">
        <is>
          <t>https://hayday.fandom.com/wiki/Lobster_Pasta</t>
        </is>
      </c>
    </row>
    <row r="496">
      <c r="A496" s="28" t="inlineStr">
        <is>
          <t>Lobster Pasta</t>
        </is>
      </c>
      <c r="B496" s="28" t="inlineStr">
        <is>
          <t>Tomato</t>
        </is>
      </c>
      <c r="C496" s="28" t="n">
        <v>4</v>
      </c>
      <c r="D496" s="28" t="inlineStr">
        <is>
          <t>Fandom product page (Making table)</t>
        </is>
      </c>
      <c r="E496" s="28" t="inlineStr">
        <is>
          <t>https://hayday.fandom.com/wiki/Lobster_Pasta</t>
        </is>
      </c>
    </row>
    <row r="497">
      <c r="A497" s="28" t="inlineStr">
        <is>
          <t>Lobster Skewer</t>
        </is>
      </c>
      <c r="B497" s="28" t="inlineStr">
        <is>
          <t>Lobster Tail</t>
        </is>
      </c>
      <c r="C497" s="28" t="n">
        <v>1</v>
      </c>
      <c r="D497" s="28" t="inlineStr">
        <is>
          <t>Fandom product page (Making table)</t>
        </is>
      </c>
      <c r="E497" s="28" t="inlineStr">
        <is>
          <t>https://hayday.fandom.com/wiki/Lobster_Skewer</t>
        </is>
      </c>
    </row>
    <row r="498">
      <c r="A498" s="28" t="inlineStr">
        <is>
          <t>Lobster Skewer</t>
        </is>
      </c>
      <c r="B498" s="28" t="inlineStr">
        <is>
          <t>Chili Pepper</t>
        </is>
      </c>
      <c r="C498" s="28" t="n">
        <v>1</v>
      </c>
      <c r="D498" s="28" t="inlineStr">
        <is>
          <t>Fandom product page (Making table)</t>
        </is>
      </c>
      <c r="E498" s="28" t="inlineStr">
        <is>
          <t>https://hayday.fandom.com/wiki/Lobster_Skewer</t>
        </is>
      </c>
    </row>
    <row r="499">
      <c r="A499" s="28" t="inlineStr">
        <is>
          <t>Lobster Skewer</t>
        </is>
      </c>
      <c r="B499" s="28" t="inlineStr">
        <is>
          <t>Honey</t>
        </is>
      </c>
      <c r="C499" s="28" t="n">
        <v>1</v>
      </c>
      <c r="D499" s="28" t="inlineStr">
        <is>
          <t>Fandom product page (Making table)</t>
        </is>
      </c>
      <c r="E499" s="28" t="inlineStr">
        <is>
          <t>https://hayday.fandom.com/wiki/Lobster_Skewer</t>
        </is>
      </c>
    </row>
    <row r="500">
      <c r="A500" s="28" t="inlineStr">
        <is>
          <t>Lobster Soup</t>
        </is>
      </c>
      <c r="B500" s="28" t="inlineStr">
        <is>
          <t>Lobster Tail</t>
        </is>
      </c>
      <c r="C500" s="28" t="n">
        <v>2</v>
      </c>
      <c r="D500" s="28" t="inlineStr">
        <is>
          <t>Fandom product page (Making table)</t>
        </is>
      </c>
      <c r="E500" s="28" t="inlineStr">
        <is>
          <t>https://hayday.fandom.com/wiki/Lobster_Soup</t>
        </is>
      </c>
    </row>
    <row r="501">
      <c r="A501" s="28" t="inlineStr">
        <is>
          <t>Lobster Soup</t>
        </is>
      </c>
      <c r="B501" s="28" t="inlineStr">
        <is>
          <t>Tomato</t>
        </is>
      </c>
      <c r="C501" s="28" t="n">
        <v>1</v>
      </c>
      <c r="D501" s="28" t="inlineStr">
        <is>
          <t>Fandom product page (Making table)</t>
        </is>
      </c>
      <c r="E501" s="28" t="inlineStr">
        <is>
          <t>https://hayday.fandom.com/wiki/Lobster_Soup</t>
        </is>
      </c>
    </row>
    <row r="502">
      <c r="A502" s="28" t="inlineStr">
        <is>
          <t>Lobster Soup</t>
        </is>
      </c>
      <c r="B502" s="28" t="inlineStr">
        <is>
          <t>Chili Pepper</t>
        </is>
      </c>
      <c r="C502" s="28" t="n">
        <v>2</v>
      </c>
      <c r="D502" s="28" t="inlineStr">
        <is>
          <t>Fandom product page (Making table)</t>
        </is>
      </c>
      <c r="E502" s="28" t="inlineStr">
        <is>
          <t>https://hayday.fandom.com/wiki/Lobster_Soup</t>
        </is>
      </c>
    </row>
    <row r="503">
      <c r="A503" s="28" t="inlineStr">
        <is>
          <t>Lobster Soup</t>
        </is>
      </c>
      <c r="B503" s="28" t="inlineStr">
        <is>
          <t>Cream</t>
        </is>
      </c>
      <c r="C503" s="28" t="n">
        <v>1</v>
      </c>
      <c r="D503" s="28" t="inlineStr">
        <is>
          <t>Fandom product page (Making table)</t>
        </is>
      </c>
      <c r="E503" s="28" t="inlineStr">
        <is>
          <t>https://hayday.fandom.com/wiki/Lobster_Soup</t>
        </is>
      </c>
    </row>
    <row r="504">
      <c r="A504" s="28" t="inlineStr">
        <is>
          <t>Lobster Sushi</t>
        </is>
      </c>
      <c r="B504" s="28" t="inlineStr">
        <is>
          <t>Lobster Tail</t>
        </is>
      </c>
      <c r="C504" s="28" t="n">
        <v>1</v>
      </c>
      <c r="D504" s="28" t="inlineStr">
        <is>
          <t>Fandom product page (Making table)</t>
        </is>
      </c>
      <c r="E504" s="28" t="inlineStr">
        <is>
          <t>https://hayday.fandom.com/wiki/Lobster_Sushi</t>
        </is>
      </c>
    </row>
    <row r="505">
      <c r="A505" s="28" t="inlineStr">
        <is>
          <t>Lobster Sushi</t>
        </is>
      </c>
      <c r="B505" s="28" t="inlineStr">
        <is>
          <t>Rice</t>
        </is>
      </c>
      <c r="C505" s="28" t="n">
        <v>15</v>
      </c>
      <c r="D505" s="28" t="inlineStr">
        <is>
          <t>Fandom product page (Making table)</t>
        </is>
      </c>
      <c r="E505" s="28" t="inlineStr">
        <is>
          <t>https://hayday.fandom.com/wiki/Lobster_Sushi</t>
        </is>
      </c>
    </row>
    <row r="506">
      <c r="A506" s="28" t="inlineStr">
        <is>
          <t>Lobster Sushi</t>
        </is>
      </c>
      <c r="B506" s="28" t="inlineStr">
        <is>
          <t>Soy Sauce</t>
        </is>
      </c>
      <c r="C506" s="28" t="n">
        <v>1</v>
      </c>
      <c r="D506" s="28" t="inlineStr">
        <is>
          <t>Fandom product page (Making table)</t>
        </is>
      </c>
      <c r="E506" s="28" t="inlineStr">
        <is>
          <t>https://hayday.fandom.com/wiki/Lobster_Sushi</t>
        </is>
      </c>
    </row>
    <row r="507">
      <c r="A507" s="28" t="inlineStr">
        <is>
          <t>Lollipop</t>
        </is>
      </c>
      <c r="B507" s="28" t="inlineStr">
        <is>
          <t>Syrup</t>
        </is>
      </c>
      <c r="C507" s="28" t="n">
        <v>1</v>
      </c>
      <c r="D507" s="28" t="inlineStr">
        <is>
          <t>Fandom product page (Making table)</t>
        </is>
      </c>
      <c r="E507" s="28" t="inlineStr">
        <is>
          <t>https://hayday.fandom.com/wiki/Lollipop</t>
        </is>
      </c>
    </row>
    <row r="508">
      <c r="A508" s="28" t="inlineStr">
        <is>
          <t>Lollipop</t>
        </is>
      </c>
      <c r="B508" s="28" t="inlineStr">
        <is>
          <t>Cherry</t>
        </is>
      </c>
      <c r="C508" s="28" t="n">
        <v>1</v>
      </c>
      <c r="D508" s="28" t="inlineStr">
        <is>
          <t>Fandom product page (Making table)</t>
        </is>
      </c>
      <c r="E508" s="28" t="inlineStr">
        <is>
          <t>https://hayday.fandom.com/wiki/Lollipop</t>
        </is>
      </c>
    </row>
    <row r="509">
      <c r="A509" s="28" t="inlineStr">
        <is>
          <t>Lollipop</t>
        </is>
      </c>
      <c r="B509" s="28" t="inlineStr">
        <is>
          <t>Strawberry</t>
        </is>
      </c>
      <c r="C509" s="28" t="n">
        <v>2</v>
      </c>
      <c r="D509" s="28" t="inlineStr">
        <is>
          <t>Fandom product page (Making table)</t>
        </is>
      </c>
      <c r="E509" s="28" t="inlineStr">
        <is>
          <t>https://hayday.fandom.com/wiki/Lollipop</t>
        </is>
      </c>
    </row>
    <row r="510">
      <c r="A510" s="28" t="inlineStr">
        <is>
          <t>Macaroon</t>
        </is>
      </c>
      <c r="B510" s="28" t="inlineStr">
        <is>
          <t>Cacao</t>
        </is>
      </c>
      <c r="C510" s="28" t="n">
        <v>1</v>
      </c>
      <c r="D510" s="28" t="inlineStr">
        <is>
          <t>Fandom product page (Making table)</t>
        </is>
      </c>
      <c r="E510" s="28" t="inlineStr">
        <is>
          <t>https://hayday.fandom.com/wiki/Macaroon</t>
        </is>
      </c>
    </row>
    <row r="511">
      <c r="A511" s="28" t="inlineStr">
        <is>
          <t>Macaroon</t>
        </is>
      </c>
      <c r="B511" s="28" t="inlineStr">
        <is>
          <t>Coconut</t>
        </is>
      </c>
      <c r="C511" s="28" t="n">
        <v>2</v>
      </c>
      <c r="D511" s="28" t="inlineStr">
        <is>
          <t>Fandom product page (Making table)</t>
        </is>
      </c>
      <c r="E511" s="28" t="inlineStr">
        <is>
          <t>https://hayday.fandom.com/wiki/Macaroon</t>
        </is>
      </c>
    </row>
    <row r="512">
      <c r="A512" s="28" t="inlineStr">
        <is>
          <t>Macaroon</t>
        </is>
      </c>
      <c r="B512" s="28" t="inlineStr">
        <is>
          <t>White Sugar</t>
        </is>
      </c>
      <c r="C512" s="28" t="n">
        <v>2</v>
      </c>
      <c r="D512" s="28" t="inlineStr">
        <is>
          <t>Fandom product page (Making table)</t>
        </is>
      </c>
      <c r="E512" s="28" t="inlineStr">
        <is>
          <t>https://hayday.fandom.com/wiki/Macaroon</t>
        </is>
      </c>
    </row>
    <row r="513">
      <c r="A513" s="28" t="inlineStr">
        <is>
          <t>Mango Juice</t>
        </is>
      </c>
      <c r="B513" s="28" t="inlineStr">
        <is>
          <t>Mango</t>
        </is>
      </c>
      <c r="C513" s="28" t="n">
        <v>2</v>
      </c>
      <c r="D513" s="28" t="inlineStr">
        <is>
          <t>Fandom product page (Making table)</t>
        </is>
      </c>
      <c r="E513" s="28" t="inlineStr">
        <is>
          <t>https://hayday.fandom.com/wiki/Mango_Juice</t>
        </is>
      </c>
    </row>
    <row r="514">
      <c r="A514" s="28" t="inlineStr">
        <is>
          <t>Marmalade</t>
        </is>
      </c>
      <c r="B514" s="28" t="inlineStr">
        <is>
          <t>Orange</t>
        </is>
      </c>
      <c r="C514" s="28" t="n">
        <v>3</v>
      </c>
      <c r="D514" s="28" t="inlineStr">
        <is>
          <t>Fandom product page (Making table)</t>
        </is>
      </c>
      <c r="E514" s="28" t="inlineStr">
        <is>
          <t>https://hayday.fandom.com/wiki/Marmalade</t>
        </is>
      </c>
    </row>
    <row r="515">
      <c r="A515" s="28" t="inlineStr">
        <is>
          <t>Mayonnaise</t>
        </is>
      </c>
      <c r="B515" s="28" t="inlineStr">
        <is>
          <t>Egg</t>
        </is>
      </c>
      <c r="C515" s="28" t="n">
        <v>4</v>
      </c>
      <c r="D515" s="28" t="inlineStr">
        <is>
          <t>Fandom product page (Making table)</t>
        </is>
      </c>
      <c r="E515" s="28" t="inlineStr">
        <is>
          <t>https://hayday.fandom.com/wiki/Mayonnaise</t>
        </is>
      </c>
    </row>
    <row r="516">
      <c r="A516" s="28" t="inlineStr">
        <is>
          <t>Mayonnaise</t>
        </is>
      </c>
      <c r="B516" s="28" t="inlineStr">
        <is>
          <t>Olive Oil</t>
        </is>
      </c>
      <c r="C516" s="28" t="n">
        <v>1</v>
      </c>
      <c r="D516" s="28" t="inlineStr">
        <is>
          <t>Fandom product page (Making table)</t>
        </is>
      </c>
      <c r="E516" s="28" t="inlineStr">
        <is>
          <t>https://hayday.fandom.com/wiki/Mayonnaise</t>
        </is>
      </c>
    </row>
    <row r="517">
      <c r="A517" s="28" t="inlineStr">
        <is>
          <t>Meat Bucket</t>
        </is>
      </c>
      <c r="B517" s="28" t="inlineStr">
        <is>
          <t>Fish Fillet</t>
        </is>
      </c>
      <c r="C517" s="28" t="n">
        <v>3</v>
      </c>
      <c r="D517" s="28" t="inlineStr">
        <is>
          <t>Fandom product page (Making table)</t>
        </is>
      </c>
      <c r="E517" s="28" t="inlineStr">
        <is>
          <t>https://hayday.fandom.com/wiki/Meat_Bucket</t>
        </is>
      </c>
    </row>
    <row r="518">
      <c r="A518" s="28" t="inlineStr">
        <is>
          <t>Meat Bucket</t>
        </is>
      </c>
      <c r="B518" s="28" t="inlineStr">
        <is>
          <t>Carrot</t>
        </is>
      </c>
      <c r="C518" s="28" t="n">
        <v>5</v>
      </c>
      <c r="D518" s="28" t="inlineStr">
        <is>
          <t>Fandom product page (Making table)</t>
        </is>
      </c>
      <c r="E518" s="28" t="inlineStr">
        <is>
          <t>https://hayday.fandom.com/wiki/Meat_Bucket</t>
        </is>
      </c>
    </row>
    <row r="519">
      <c r="A519" s="28" t="inlineStr">
        <is>
          <t>Milk Tea</t>
        </is>
      </c>
      <c r="B519" s="28" t="inlineStr">
        <is>
          <t>Milk</t>
        </is>
      </c>
      <c r="C519" s="28" t="n">
        <v>1</v>
      </c>
      <c r="D519" s="28" t="inlineStr">
        <is>
          <t>Fandom product page (Making table)</t>
        </is>
      </c>
      <c r="E519" s="28" t="inlineStr">
        <is>
          <t>https://hayday.fandom.com/wiki/Milk_Tea</t>
        </is>
      </c>
    </row>
    <row r="520">
      <c r="A520" s="28" t="inlineStr">
        <is>
          <t>Milk Tea</t>
        </is>
      </c>
      <c r="B520" s="28" t="inlineStr">
        <is>
          <t>Tea Leaf</t>
        </is>
      </c>
      <c r="C520" s="28" t="n">
        <v>3</v>
      </c>
      <c r="D520" s="28" t="inlineStr">
        <is>
          <t>Fandom product page (Making table)</t>
        </is>
      </c>
      <c r="E520" s="28" t="inlineStr">
        <is>
          <t>https://hayday.fandom.com/wiki/Milk_Tea</t>
        </is>
      </c>
    </row>
    <row r="521">
      <c r="A521" s="28" t="inlineStr">
        <is>
          <t>Mint Fudge</t>
        </is>
      </c>
      <c r="B521" s="28" t="inlineStr">
        <is>
          <t>Cabbage</t>
        </is>
      </c>
      <c r="C521" s="28" t="n">
        <v>2</v>
      </c>
      <c r="D521" s="28" t="inlineStr">
        <is>
          <t>Fandom product page (Making table)</t>
        </is>
      </c>
      <c r="E521" s="28" t="inlineStr">
        <is>
          <t>https://hayday.fandom.com/wiki/Mint_Fudge</t>
        </is>
      </c>
    </row>
    <row r="522">
      <c r="A522" s="28" t="inlineStr">
        <is>
          <t>Mint Fudge</t>
        </is>
      </c>
      <c r="B522" s="28" t="inlineStr">
        <is>
          <t>Cacao</t>
        </is>
      </c>
      <c r="C522" s="28" t="n">
        <v>2</v>
      </c>
      <c r="D522" s="28" t="inlineStr">
        <is>
          <t>Fandom product page (Making table)</t>
        </is>
      </c>
      <c r="E522" s="28" t="inlineStr">
        <is>
          <t>https://hayday.fandom.com/wiki/Mint_Fudge</t>
        </is>
      </c>
    </row>
    <row r="523">
      <c r="A523" s="28" t="inlineStr">
        <is>
          <t>Mint Fudge</t>
        </is>
      </c>
      <c r="B523" s="28" t="inlineStr">
        <is>
          <t>White Sugar</t>
        </is>
      </c>
      <c r="C523" s="28" t="n">
        <v>1</v>
      </c>
      <c r="D523" s="28" t="inlineStr">
        <is>
          <t>Fandom product page (Making table)</t>
        </is>
      </c>
      <c r="E523" s="28" t="inlineStr">
        <is>
          <t>https://hayday.fandom.com/wiki/Mint_Fudge</t>
        </is>
      </c>
    </row>
    <row r="524">
      <c r="A524" s="28" t="inlineStr">
        <is>
          <t>Mint Fudge</t>
        </is>
      </c>
      <c r="B524" s="28" t="inlineStr">
        <is>
          <t>Mint</t>
        </is>
      </c>
      <c r="C524" s="28" t="n">
        <v>3</v>
      </c>
      <c r="D524" s="28" t="inlineStr">
        <is>
          <t>Fandom product page (Making table)</t>
        </is>
      </c>
      <c r="E524" s="28" t="inlineStr">
        <is>
          <t>https://hayday.fandom.com/wiki/Mint_Fudge</t>
        </is>
      </c>
    </row>
    <row r="525">
      <c r="A525" s="28" t="inlineStr">
        <is>
          <t>Mint Ice Cream</t>
        </is>
      </c>
      <c r="B525" s="28" t="inlineStr">
        <is>
          <t>Cream</t>
        </is>
      </c>
      <c r="C525" s="28" t="n">
        <v>1</v>
      </c>
      <c r="D525" s="28" t="inlineStr">
        <is>
          <t>Fandom product page (Making table)</t>
        </is>
      </c>
      <c r="E525" s="28" t="inlineStr">
        <is>
          <t>https://hayday.fandom.com/wiki/Mint_Ice_Cream</t>
        </is>
      </c>
    </row>
    <row r="526">
      <c r="A526" s="28" t="inlineStr">
        <is>
          <t>Mint Ice Cream</t>
        </is>
      </c>
      <c r="B526" s="28" t="inlineStr">
        <is>
          <t>White Sugar</t>
        </is>
      </c>
      <c r="C526" s="28" t="n">
        <v>1</v>
      </c>
      <c r="D526" s="28" t="inlineStr">
        <is>
          <t>Fandom product page (Making table)</t>
        </is>
      </c>
      <c r="E526" s="28" t="inlineStr">
        <is>
          <t>https://hayday.fandom.com/wiki/Mint_Ice_Cream</t>
        </is>
      </c>
    </row>
    <row r="527">
      <c r="A527" s="28" t="inlineStr">
        <is>
          <t>Mint Ice Cream</t>
        </is>
      </c>
      <c r="B527" s="28" t="inlineStr">
        <is>
          <t>Mint</t>
        </is>
      </c>
      <c r="C527" s="28" t="n">
        <v>2</v>
      </c>
      <c r="D527" s="28" t="inlineStr">
        <is>
          <t>Fandom product page (Making table)</t>
        </is>
      </c>
      <c r="E527" s="28" t="inlineStr">
        <is>
          <t>https://hayday.fandom.com/wiki/Mint_Ice_Cream</t>
        </is>
      </c>
    </row>
    <row r="528">
      <c r="A528" s="28" t="inlineStr">
        <is>
          <t>Mint Ice Cream</t>
        </is>
      </c>
      <c r="B528" s="28" t="inlineStr">
        <is>
          <t>Cacao</t>
        </is>
      </c>
      <c r="C528" s="28" t="n">
        <v>1</v>
      </c>
      <c r="D528" s="28" t="inlineStr">
        <is>
          <t>Fandom product page (Making table)</t>
        </is>
      </c>
      <c r="E528" s="28" t="inlineStr">
        <is>
          <t>https://hayday.fandom.com/wiki/Mint_Ice_Cream</t>
        </is>
      </c>
    </row>
    <row r="529">
      <c r="A529" s="28" t="inlineStr">
        <is>
          <t>Mint Tea</t>
        </is>
      </c>
      <c r="B529" s="28" t="inlineStr">
        <is>
          <t>Tea Leaf</t>
        </is>
      </c>
      <c r="C529" s="28" t="n">
        <v>3</v>
      </c>
      <c r="D529" s="28" t="inlineStr">
        <is>
          <t>Fandom product page (Making table)</t>
        </is>
      </c>
      <c r="E529" s="28" t="inlineStr">
        <is>
          <t>https://hayday.fandom.com/wiki/Mint_Tea</t>
        </is>
      </c>
    </row>
    <row r="530">
      <c r="A530" s="28" t="inlineStr">
        <is>
          <t>Mint Tea</t>
        </is>
      </c>
      <c r="B530" s="28" t="inlineStr">
        <is>
          <t>Watermelon</t>
        </is>
      </c>
      <c r="C530" s="28" t="n">
        <v>1</v>
      </c>
      <c r="D530" s="28" t="inlineStr">
        <is>
          <t>Fandom product page (Making table)</t>
        </is>
      </c>
      <c r="E530" s="28" t="inlineStr">
        <is>
          <t>https://hayday.fandom.com/wiki/Mint_Tea</t>
        </is>
      </c>
    </row>
    <row r="531">
      <c r="A531" s="28" t="inlineStr">
        <is>
          <t>Mint Tea</t>
        </is>
      </c>
      <c r="B531" s="28" t="inlineStr">
        <is>
          <t>Mint</t>
        </is>
      </c>
      <c r="C531" s="28" t="n">
        <v>2</v>
      </c>
      <c r="D531" s="28" t="inlineStr">
        <is>
          <t>Fandom product page (Making table)</t>
        </is>
      </c>
      <c r="E531" s="28" t="inlineStr">
        <is>
          <t>https://hayday.fandom.com/wiki/Mint_Tea</t>
        </is>
      </c>
    </row>
    <row r="532">
      <c r="A532" s="28" t="inlineStr">
        <is>
          <t>Mixed Smoothie</t>
        </is>
      </c>
      <c r="B532" s="28" t="inlineStr">
        <is>
          <t>Lemon</t>
        </is>
      </c>
      <c r="C532" s="28" t="n">
        <v>1</v>
      </c>
      <c r="D532" s="28" t="inlineStr">
        <is>
          <t>Fandom product page (Making table)</t>
        </is>
      </c>
      <c r="E532" s="28" t="inlineStr">
        <is>
          <t>https://hayday.fandom.com/wiki/Mixed_Smoothie</t>
        </is>
      </c>
    </row>
    <row r="533">
      <c r="A533" s="28" t="inlineStr">
        <is>
          <t>Mixed Smoothie</t>
        </is>
      </c>
      <c r="B533" s="28" t="inlineStr">
        <is>
          <t>Orange</t>
        </is>
      </c>
      <c r="C533" s="28" t="n">
        <v>2</v>
      </c>
      <c r="D533" s="28" t="inlineStr">
        <is>
          <t>Fandom product page (Making table)</t>
        </is>
      </c>
      <c r="E533" s="28" t="inlineStr">
        <is>
          <t>https://hayday.fandom.com/wiki/Mixed_Smoothie</t>
        </is>
      </c>
    </row>
    <row r="534">
      <c r="A534" s="28" t="inlineStr">
        <is>
          <t>Mixed Smoothie</t>
        </is>
      </c>
      <c r="B534" s="28" t="inlineStr">
        <is>
          <t>Peach</t>
        </is>
      </c>
      <c r="C534" s="28" t="n">
        <v>2</v>
      </c>
      <c r="D534" s="28" t="inlineStr">
        <is>
          <t>Fandom product page (Making table)</t>
        </is>
      </c>
      <c r="E534" s="28" t="inlineStr">
        <is>
          <t>https://hayday.fandom.com/wiki/Mixed_Smoothie</t>
        </is>
      </c>
    </row>
    <row r="535">
      <c r="A535" s="28" t="inlineStr">
        <is>
          <t>Mushroom Pasta</t>
        </is>
      </c>
      <c r="B535" s="28" t="inlineStr">
        <is>
          <t>Mushroom</t>
        </is>
      </c>
      <c r="C535" s="28" t="n">
        <v>5</v>
      </c>
      <c r="D535" s="28" t="inlineStr">
        <is>
          <t>Fandom product page (Making table)</t>
        </is>
      </c>
      <c r="E535" s="28" t="inlineStr">
        <is>
          <t>https://hayday.fandom.com/wiki/Mushroom_Pasta</t>
        </is>
      </c>
    </row>
    <row r="536">
      <c r="A536" s="28" t="inlineStr">
        <is>
          <t>Mushroom Pasta</t>
        </is>
      </c>
      <c r="B536" s="28" t="inlineStr">
        <is>
          <t>Fresh Pasta</t>
        </is>
      </c>
      <c r="C536" s="28" t="n">
        <v>3</v>
      </c>
      <c r="D536" s="28" t="inlineStr">
        <is>
          <t>Fandom product page (Making table)</t>
        </is>
      </c>
      <c r="E536" s="28" t="inlineStr">
        <is>
          <t>https://hayday.fandom.com/wiki/Mushroom_Pasta</t>
        </is>
      </c>
    </row>
    <row r="537">
      <c r="A537" s="28" t="inlineStr">
        <is>
          <t>Mushroom Pasta</t>
        </is>
      </c>
      <c r="B537" s="28" t="inlineStr">
        <is>
          <t>Goat Milk</t>
        </is>
      </c>
      <c r="C537" s="28" t="n">
        <v>1</v>
      </c>
      <c r="D537" s="28" t="inlineStr">
        <is>
          <t>Fandom product page (Making table)</t>
        </is>
      </c>
      <c r="E537" s="28" t="inlineStr">
        <is>
          <t>https://hayday.fandom.com/wiki/Mushroom_Pasta</t>
        </is>
      </c>
    </row>
    <row r="538">
      <c r="A538" s="28" t="inlineStr">
        <is>
          <t>Mushroom Pot Pie</t>
        </is>
      </c>
      <c r="B538" s="28" t="inlineStr">
        <is>
          <t>Mushroom</t>
        </is>
      </c>
      <c r="C538" s="28" t="n">
        <v>3</v>
      </c>
      <c r="D538" s="28" t="inlineStr">
        <is>
          <t>Fandom product page (Making table)</t>
        </is>
      </c>
      <c r="E538" s="28" t="inlineStr">
        <is>
          <t>https://hayday.fandom.com/wiki/Mushroom_Pot_Pie</t>
        </is>
      </c>
    </row>
    <row r="539">
      <c r="A539" s="28" t="inlineStr">
        <is>
          <t>Mushroom Pot Pie</t>
        </is>
      </c>
      <c r="B539" s="28" t="inlineStr">
        <is>
          <t>Cabbage</t>
        </is>
      </c>
      <c r="C539" s="28" t="n">
        <v>3</v>
      </c>
      <c r="D539" s="28" t="inlineStr">
        <is>
          <t>Fandom product page (Making table)</t>
        </is>
      </c>
      <c r="E539" s="28" t="inlineStr">
        <is>
          <t>https://hayday.fandom.com/wiki/Mushroom_Pot_Pie</t>
        </is>
      </c>
    </row>
    <row r="540">
      <c r="A540" s="28" t="inlineStr">
        <is>
          <t>Mushroom Pot Pie</t>
        </is>
      </c>
      <c r="B540" s="28" t="inlineStr">
        <is>
          <t>Wheat</t>
        </is>
      </c>
      <c r="C540" s="28" t="n">
        <v>3</v>
      </c>
      <c r="D540" s="28" t="inlineStr">
        <is>
          <t>Fandom product page (Making table)</t>
        </is>
      </c>
      <c r="E540" s="28" t="inlineStr">
        <is>
          <t>https://hayday.fandom.com/wiki/Mushroom_Pot_Pie</t>
        </is>
      </c>
    </row>
    <row r="541">
      <c r="A541" s="28" t="inlineStr">
        <is>
          <t>Mushroom Pot Pie</t>
        </is>
      </c>
      <c r="B541" s="28" t="inlineStr">
        <is>
          <t>Egg</t>
        </is>
      </c>
      <c r="C541" s="28" t="n">
        <v>2</v>
      </c>
      <c r="D541" s="28" t="inlineStr">
        <is>
          <t>Fandom product page (Making table)</t>
        </is>
      </c>
      <c r="E541" s="28" t="inlineStr">
        <is>
          <t>https://hayday.fandom.com/wiki/Mushroom_Pot_Pie</t>
        </is>
      </c>
    </row>
    <row r="542">
      <c r="A542" s="28" t="inlineStr">
        <is>
          <t>Mushroom Salad</t>
        </is>
      </c>
      <c r="B542" s="28" t="inlineStr">
        <is>
          <t>Mushroom</t>
        </is>
      </c>
      <c r="C542" s="28" t="n">
        <v>3</v>
      </c>
      <c r="D542" s="28" t="inlineStr">
        <is>
          <t>Fandom product page (Making table)</t>
        </is>
      </c>
      <c r="E542" s="28" t="inlineStr">
        <is>
          <t>https://hayday.fandom.com/wiki/Mushroom_Salad</t>
        </is>
      </c>
    </row>
    <row r="543">
      <c r="A543" s="28" t="inlineStr">
        <is>
          <t>Mushroom Salad</t>
        </is>
      </c>
      <c r="B543" s="28" t="inlineStr">
        <is>
          <t>Lettuce</t>
        </is>
      </c>
      <c r="C543" s="28" t="n">
        <v>1</v>
      </c>
      <c r="D543" s="28" t="inlineStr">
        <is>
          <t>Fandom product page (Making table)</t>
        </is>
      </c>
      <c r="E543" s="28" t="inlineStr">
        <is>
          <t>https://hayday.fandom.com/wiki/Mushroom_Salad</t>
        </is>
      </c>
    </row>
    <row r="544">
      <c r="A544" s="28" t="inlineStr">
        <is>
          <t>Mushroom Salad</t>
        </is>
      </c>
      <c r="B544" s="28" t="inlineStr">
        <is>
          <t>Potato</t>
        </is>
      </c>
      <c r="C544" s="28" t="n">
        <v>2</v>
      </c>
      <c r="D544" s="28" t="inlineStr">
        <is>
          <t>Fandom product page (Making table)</t>
        </is>
      </c>
      <c r="E544" s="28" t="inlineStr">
        <is>
          <t>https://hayday.fandom.com/wiki/Mushroom_Salad</t>
        </is>
      </c>
    </row>
    <row r="545">
      <c r="A545" s="28" t="inlineStr">
        <is>
          <t>Mushroom Salad</t>
        </is>
      </c>
      <c r="B545" s="28" t="inlineStr">
        <is>
          <t>Bacon</t>
        </is>
      </c>
      <c r="C545" s="28" t="n">
        <v>1</v>
      </c>
      <c r="D545" s="28" t="inlineStr">
        <is>
          <t>Fandom product page (Making table)</t>
        </is>
      </c>
      <c r="E545" s="28" t="inlineStr">
        <is>
          <t>https://hayday.fandom.com/wiki/Mushroom_Salad</t>
        </is>
      </c>
    </row>
    <row r="546">
      <c r="A546" s="28" t="inlineStr">
        <is>
          <t>Mushroom Soup</t>
        </is>
      </c>
      <c r="B546" s="28" t="inlineStr">
        <is>
          <t>Mushroom</t>
        </is>
      </c>
      <c r="C546" s="28" t="n">
        <v>3</v>
      </c>
      <c r="D546" s="28" t="inlineStr">
        <is>
          <t>Fandom product page (Making table)</t>
        </is>
      </c>
      <c r="E546" s="28" t="inlineStr">
        <is>
          <t>https://hayday.fandom.com/wiki/Mushroom_Soup</t>
        </is>
      </c>
    </row>
    <row r="547">
      <c r="A547" s="28" t="inlineStr">
        <is>
          <t>Mushroom Soup</t>
        </is>
      </c>
      <c r="B547" s="28" t="inlineStr">
        <is>
          <t>Milk</t>
        </is>
      </c>
      <c r="C547" s="28" t="n">
        <v>1</v>
      </c>
      <c r="D547" s="28" t="inlineStr">
        <is>
          <t>Fandom product page (Making table)</t>
        </is>
      </c>
      <c r="E547" s="28" t="inlineStr">
        <is>
          <t>https://hayday.fandom.com/wiki/Mushroom_Soup</t>
        </is>
      </c>
    </row>
    <row r="548">
      <c r="A548" s="28" t="inlineStr">
        <is>
          <t>Mushroom Soup</t>
        </is>
      </c>
      <c r="B548" s="28" t="inlineStr">
        <is>
          <t>Onion</t>
        </is>
      </c>
      <c r="C548" s="28" t="n">
        <v>2</v>
      </c>
      <c r="D548" s="28" t="inlineStr">
        <is>
          <t>Fandom product page (Making table)</t>
        </is>
      </c>
      <c r="E548" s="28" t="inlineStr">
        <is>
          <t>https://hayday.fandom.com/wiki/Mushroom_Soup</t>
        </is>
      </c>
    </row>
    <row r="549">
      <c r="A549" s="28" t="inlineStr">
        <is>
          <t>Mussel Chowder</t>
        </is>
      </c>
      <c r="B549" s="28" t="inlineStr">
        <is>
          <t>Mussel Meat</t>
        </is>
      </c>
      <c r="C549" s="28" t="n">
        <v>4</v>
      </c>
      <c r="D549" s="28" t="inlineStr">
        <is>
          <t>Fandom product page (Making table)</t>
        </is>
      </c>
      <c r="E549" s="28" t="inlineStr">
        <is>
          <t>https://hayday.fandom.com/wiki/Mussel_Chowder</t>
        </is>
      </c>
    </row>
    <row r="550">
      <c r="A550" s="28" t="inlineStr">
        <is>
          <t>Mussel Chowder</t>
        </is>
      </c>
      <c r="B550" s="28" t="inlineStr">
        <is>
          <t>Bacon</t>
        </is>
      </c>
      <c r="C550" s="28" t="n">
        <v>3</v>
      </c>
      <c r="D550" s="28" t="inlineStr">
        <is>
          <t>Fandom product page (Making table)</t>
        </is>
      </c>
      <c r="E550" s="28" t="inlineStr">
        <is>
          <t>https://hayday.fandom.com/wiki/Mussel_Chowder</t>
        </is>
      </c>
    </row>
    <row r="551">
      <c r="A551" s="28" t="inlineStr">
        <is>
          <t>Mussel Chowder</t>
        </is>
      </c>
      <c r="B551" s="28" t="inlineStr">
        <is>
          <t>Milk</t>
        </is>
      </c>
      <c r="C551" s="28" t="n">
        <v>1</v>
      </c>
      <c r="D551" s="28" t="inlineStr">
        <is>
          <t>Fandom product page (Making table)</t>
        </is>
      </c>
      <c r="E551" s="28" t="inlineStr">
        <is>
          <t>https://hayday.fandom.com/wiki/Mussel_Chowder</t>
        </is>
      </c>
    </row>
    <row r="552">
      <c r="A552" s="28" t="inlineStr">
        <is>
          <t>Mussel Chowder</t>
        </is>
      </c>
      <c r="B552" s="28" t="inlineStr">
        <is>
          <t>Baked Potato</t>
        </is>
      </c>
      <c r="C552" s="28" t="n">
        <v>1</v>
      </c>
      <c r="D552" s="28" t="inlineStr">
        <is>
          <t>Fandom product page (Making table)</t>
        </is>
      </c>
      <c r="E552" s="28" t="inlineStr">
        <is>
          <t>https://hayday.fandom.com/wiki/Mussel_Chowder</t>
        </is>
      </c>
    </row>
    <row r="553">
      <c r="A553" s="28" t="inlineStr">
        <is>
          <t>Mussel Linguine</t>
        </is>
      </c>
      <c r="B553" s="28" t="inlineStr">
        <is>
          <t>Fresh Pasta</t>
        </is>
      </c>
      <c r="C553" s="28" t="n">
        <v>3</v>
      </c>
      <c r="D553" s="28" t="inlineStr">
        <is>
          <t>Fandom product page (Making table)</t>
        </is>
      </c>
      <c r="E553" s="28" t="inlineStr">
        <is>
          <t>https://hayday.fandom.com/wiki/Mussel_Linguine</t>
        </is>
      </c>
    </row>
    <row r="554">
      <c r="A554" s="28" t="inlineStr">
        <is>
          <t>Mussel Linguine</t>
        </is>
      </c>
      <c r="B554" s="28" t="inlineStr">
        <is>
          <t>Mussel Meat</t>
        </is>
      </c>
      <c r="C554" s="28" t="n">
        <v>4</v>
      </c>
      <c r="D554" s="28" t="inlineStr">
        <is>
          <t>Fandom product page (Making table)</t>
        </is>
      </c>
      <c r="E554" s="28" t="inlineStr">
        <is>
          <t>https://hayday.fandom.com/wiki/Mussel_Linguine</t>
        </is>
      </c>
    </row>
    <row r="555">
      <c r="A555" s="28" t="inlineStr">
        <is>
          <t>Mussel Linguine</t>
        </is>
      </c>
      <c r="B555" s="28" t="inlineStr">
        <is>
          <t>Garlic</t>
        </is>
      </c>
      <c r="C555" s="28" t="n">
        <v>3</v>
      </c>
      <c r="D555" s="28" t="inlineStr">
        <is>
          <t>Fandom product page (Making table)</t>
        </is>
      </c>
      <c r="E555" s="28" t="inlineStr">
        <is>
          <t>https://hayday.fandom.com/wiki/Mussel_Linguine</t>
        </is>
      </c>
    </row>
    <row r="556">
      <c r="A556" s="28" t="inlineStr">
        <is>
          <t>Mussel Linguine</t>
        </is>
      </c>
      <c r="B556" s="28" t="inlineStr">
        <is>
          <t>Olive Oil</t>
        </is>
      </c>
      <c r="C556" s="28" t="n">
        <v>1</v>
      </c>
      <c r="D556" s="28" t="inlineStr">
        <is>
          <t>Fandom product page (Making table)</t>
        </is>
      </c>
      <c r="E556" s="28" t="inlineStr">
        <is>
          <t>https://hayday.fandom.com/wiki/Mussel_Linguine</t>
        </is>
      </c>
    </row>
    <row r="557">
      <c r="A557" s="28" t="inlineStr">
        <is>
          <t>Mussel Nigiri</t>
        </is>
      </c>
      <c r="B557" s="28" t="inlineStr">
        <is>
          <t>Rice</t>
        </is>
      </c>
      <c r="C557" s="28" t="n">
        <v>15</v>
      </c>
      <c r="D557" s="28" t="inlineStr">
        <is>
          <t>Fandom product page (Making table)</t>
        </is>
      </c>
      <c r="E557" s="28" t="inlineStr">
        <is>
          <t>https://hayday.fandom.com/wiki/Mussel_Nigiri</t>
        </is>
      </c>
    </row>
    <row r="558">
      <c r="A558" s="28" t="inlineStr">
        <is>
          <t>Mussel Nigiri</t>
        </is>
      </c>
      <c r="B558" s="28" t="inlineStr">
        <is>
          <t>Mussel Meat</t>
        </is>
      </c>
      <c r="C558" s="28" t="n">
        <v>4</v>
      </c>
      <c r="D558" s="28" t="inlineStr">
        <is>
          <t>Fandom product page (Making table)</t>
        </is>
      </c>
      <c r="E558" s="28" t="inlineStr">
        <is>
          <t>https://hayday.fandom.com/wiki/Mussel_Nigiri</t>
        </is>
      </c>
    </row>
    <row r="559">
      <c r="A559" s="28" t="inlineStr">
        <is>
          <t>Mussel Nigiri</t>
        </is>
      </c>
      <c r="B559" s="28" t="inlineStr">
        <is>
          <t>Soy Sauce</t>
        </is>
      </c>
      <c r="C559" s="28" t="n">
        <v>1</v>
      </c>
      <c r="D559" s="28" t="inlineStr">
        <is>
          <t>Fandom product page (Making table)</t>
        </is>
      </c>
      <c r="E559" s="28" t="inlineStr">
        <is>
          <t>https://hayday.fandom.com/wiki/Mussel_Nigiri</t>
        </is>
      </c>
    </row>
    <row r="560">
      <c r="A560" s="28" t="inlineStr">
        <is>
          <t>Nachos</t>
        </is>
      </c>
      <c r="B560" s="28" t="inlineStr">
        <is>
          <t>Cheese</t>
        </is>
      </c>
      <c r="C560" s="28" t="n">
        <v>1</v>
      </c>
      <c r="D560" s="28" t="inlineStr">
        <is>
          <t>Fandom product page (Making table)</t>
        </is>
      </c>
      <c r="E560" s="28" t="inlineStr">
        <is>
          <t>https://hayday.fandom.com/wiki/Nachos</t>
        </is>
      </c>
    </row>
    <row r="561">
      <c r="A561" s="28" t="inlineStr">
        <is>
          <t>Nachos</t>
        </is>
      </c>
      <c r="B561" s="28" t="inlineStr">
        <is>
          <t>Corn</t>
        </is>
      </c>
      <c r="C561" s="28" t="n">
        <v>4</v>
      </c>
      <c r="D561" s="28" t="inlineStr">
        <is>
          <t>Fandom product page (Making table)</t>
        </is>
      </c>
      <c r="E561" s="28" t="inlineStr">
        <is>
          <t>https://hayday.fandom.com/wiki/Nachos</t>
        </is>
      </c>
    </row>
    <row r="562">
      <c r="A562" s="28" t="inlineStr">
        <is>
          <t>Nachos</t>
        </is>
      </c>
      <c r="B562" s="28" t="inlineStr">
        <is>
          <t>Salsa</t>
        </is>
      </c>
      <c r="C562" s="28" t="n">
        <v>1</v>
      </c>
      <c r="D562" s="28" t="inlineStr">
        <is>
          <t>Fandom product page (Making table)</t>
        </is>
      </c>
      <c r="E562" s="28" t="inlineStr">
        <is>
          <t>https://hayday.fandom.com/wiki/Nachos</t>
        </is>
      </c>
    </row>
    <row r="563">
      <c r="A563" s="28" t="inlineStr">
        <is>
          <t>Necklace</t>
        </is>
      </c>
      <c r="B563" s="28" t="inlineStr">
        <is>
          <t>Silver Bar</t>
        </is>
      </c>
      <c r="C563" s="28" t="n">
        <v>2</v>
      </c>
      <c r="D563" s="28" t="inlineStr">
        <is>
          <t>Fandom product page (Making table)</t>
        </is>
      </c>
      <c r="E563" s="28" t="inlineStr">
        <is>
          <t>https://hayday.fandom.com/wiki/Necklace</t>
        </is>
      </c>
    </row>
    <row r="564">
      <c r="A564" s="28" t="inlineStr">
        <is>
          <t>Necklace</t>
        </is>
      </c>
      <c r="B564" s="28" t="inlineStr">
        <is>
          <t>Gold Bar</t>
        </is>
      </c>
      <c r="C564" s="28" t="n">
        <v>1</v>
      </c>
      <c r="D564" s="28" t="inlineStr">
        <is>
          <t>Fandom product page (Making table)</t>
        </is>
      </c>
      <c r="E564" s="28" t="inlineStr">
        <is>
          <t>https://hayday.fandom.com/wiki/Necklace</t>
        </is>
      </c>
    </row>
    <row r="565">
      <c r="A565" s="28" t="inlineStr">
        <is>
          <t>Necklace</t>
        </is>
      </c>
      <c r="B565" s="28" t="inlineStr">
        <is>
          <t>Platinum Bar</t>
        </is>
      </c>
      <c r="C565" s="28" t="n">
        <v>1</v>
      </c>
      <c r="D565" s="28" t="inlineStr">
        <is>
          <t>Fandom product page (Making table)</t>
        </is>
      </c>
      <c r="E565" s="28" t="inlineStr">
        <is>
          <t>https://hayday.fandom.com/wiki/Necklace</t>
        </is>
      </c>
    </row>
    <row r="566">
      <c r="A566" s="28" t="inlineStr">
        <is>
          <t>Noodle Soup</t>
        </is>
      </c>
      <c r="B566" s="28" t="inlineStr">
        <is>
          <t>Carrot</t>
        </is>
      </c>
      <c r="C566" s="28" t="n">
        <v>2</v>
      </c>
      <c r="D566" s="28" t="inlineStr">
        <is>
          <t>Fandom product page (Making table)</t>
        </is>
      </c>
      <c r="E566" s="28" t="inlineStr">
        <is>
          <t>https://hayday.fandom.com/wiki/Noodle_Soup</t>
        </is>
      </c>
    </row>
    <row r="567">
      <c r="A567" s="28" t="inlineStr">
        <is>
          <t>Noodle Soup</t>
        </is>
      </c>
      <c r="B567" s="28" t="inlineStr">
        <is>
          <t>Chili Pepper</t>
        </is>
      </c>
      <c r="C567" s="28" t="n">
        <v>1</v>
      </c>
      <c r="D567" s="28" t="inlineStr">
        <is>
          <t>Fandom product page (Making table)</t>
        </is>
      </c>
      <c r="E567" s="28" t="inlineStr">
        <is>
          <t>https://hayday.fandom.com/wiki/Noodle_Soup</t>
        </is>
      </c>
    </row>
    <row r="568">
      <c r="A568" s="28" t="inlineStr">
        <is>
          <t>Noodle Soup</t>
        </is>
      </c>
      <c r="B568" s="28" t="inlineStr">
        <is>
          <t>Egg</t>
        </is>
      </c>
      <c r="C568" s="28" t="n">
        <v>2</v>
      </c>
      <c r="D568" s="28" t="inlineStr">
        <is>
          <t>Fandom product page (Making table)</t>
        </is>
      </c>
      <c r="E568" s="28" t="inlineStr">
        <is>
          <t>https://hayday.fandom.com/wiki/Noodle_Soup</t>
        </is>
      </c>
    </row>
    <row r="569">
      <c r="A569" s="28" t="inlineStr">
        <is>
          <t>Noodle Soup</t>
        </is>
      </c>
      <c r="B569" s="28" t="inlineStr">
        <is>
          <t>Rice Noodles</t>
        </is>
      </c>
      <c r="C569" s="28" t="n">
        <v>3</v>
      </c>
      <c r="D569" s="28" t="inlineStr">
        <is>
          <t>Fandom product page (Making table)</t>
        </is>
      </c>
      <c r="E569" s="28" t="inlineStr">
        <is>
          <t>https://hayday.fandom.com/wiki/Noodle_Soup</t>
        </is>
      </c>
    </row>
    <row r="570">
      <c r="A570" s="28" t="inlineStr">
        <is>
          <t>Olive Dip</t>
        </is>
      </c>
      <c r="B570" s="28" t="inlineStr">
        <is>
          <t>Olive</t>
        </is>
      </c>
      <c r="C570" s="28" t="n">
        <v>3</v>
      </c>
      <c r="D570" s="28" t="inlineStr">
        <is>
          <t>Fandom product page (Making table)</t>
        </is>
      </c>
      <c r="E570" s="28" t="inlineStr">
        <is>
          <t>https://hayday.fandom.com/wiki/Olive_Dip</t>
        </is>
      </c>
    </row>
    <row r="571">
      <c r="A571" s="28" t="inlineStr">
        <is>
          <t>Olive Dip</t>
        </is>
      </c>
      <c r="B571" s="28" t="inlineStr">
        <is>
          <t>Bread</t>
        </is>
      </c>
      <c r="C571" s="28" t="n">
        <v>2</v>
      </c>
      <c r="D571" s="28" t="inlineStr">
        <is>
          <t>Fandom product page (Making table)</t>
        </is>
      </c>
      <c r="E571" s="28" t="inlineStr">
        <is>
          <t>https://hayday.fandom.com/wiki/Olive_Dip</t>
        </is>
      </c>
    </row>
    <row r="572">
      <c r="A572" s="28" t="inlineStr">
        <is>
          <t>Olive Dip</t>
        </is>
      </c>
      <c r="B572" s="28" t="inlineStr">
        <is>
          <t>Fish Fillet</t>
        </is>
      </c>
      <c r="C572" s="28" t="n">
        <v>1</v>
      </c>
      <c r="D572" s="28" t="inlineStr">
        <is>
          <t>Fandom product page (Making table)</t>
        </is>
      </c>
      <c r="E572" s="28" t="inlineStr">
        <is>
          <t>https://hayday.fandom.com/wiki/Olive_Dip</t>
        </is>
      </c>
    </row>
    <row r="573">
      <c r="A573" s="28" t="inlineStr">
        <is>
          <t>Olive Dip</t>
        </is>
      </c>
      <c r="B573" s="28" t="inlineStr">
        <is>
          <t>Lemon</t>
        </is>
      </c>
      <c r="C573" s="28" t="n">
        <v>1</v>
      </c>
      <c r="D573" s="28" t="inlineStr">
        <is>
          <t>Fandom product page (Making table)</t>
        </is>
      </c>
      <c r="E573" s="28" t="inlineStr">
        <is>
          <t>https://hayday.fandom.com/wiki/Olive_Dip</t>
        </is>
      </c>
    </row>
    <row r="574">
      <c r="A574" s="28" t="inlineStr">
        <is>
          <t>Olive Oil</t>
        </is>
      </c>
      <c r="B574" s="28" t="inlineStr">
        <is>
          <t>Olive</t>
        </is>
      </c>
      <c r="C574" s="28" t="n">
        <v>3</v>
      </c>
      <c r="D574" s="28" t="inlineStr">
        <is>
          <t>Fandom product page (Making table)</t>
        </is>
      </c>
      <c r="E574" s="28" t="inlineStr">
        <is>
          <t>https://hayday.fandom.com/wiki/Olive_Oil</t>
        </is>
      </c>
    </row>
    <row r="575">
      <c r="A575" s="28" t="inlineStr">
        <is>
          <t>Onion Dog</t>
        </is>
      </c>
      <c r="B575" s="28" t="inlineStr">
        <is>
          <t>Bacon</t>
        </is>
      </c>
      <c r="C575" s="28" t="n">
        <v>2</v>
      </c>
      <c r="D575" s="28" t="inlineStr">
        <is>
          <t>Fandom product page (Making table)</t>
        </is>
      </c>
      <c r="E575" s="28" t="inlineStr">
        <is>
          <t>https://hayday.fandom.com/wiki/Onion_Dog</t>
        </is>
      </c>
    </row>
    <row r="576">
      <c r="A576" s="28" t="inlineStr">
        <is>
          <t>Onion Dog</t>
        </is>
      </c>
      <c r="B576" s="28" t="inlineStr">
        <is>
          <t>Bread</t>
        </is>
      </c>
      <c r="C576" s="28" t="n">
        <v>1</v>
      </c>
      <c r="D576" s="28" t="inlineStr">
        <is>
          <t>Fandom product page (Making table)</t>
        </is>
      </c>
      <c r="E576" s="28" t="inlineStr">
        <is>
          <t>https://hayday.fandom.com/wiki/Onion_Dog</t>
        </is>
      </c>
    </row>
    <row r="577">
      <c r="A577" s="28" t="inlineStr">
        <is>
          <t>Onion Dog</t>
        </is>
      </c>
      <c r="B577" s="28" t="inlineStr">
        <is>
          <t>Chili Pepper</t>
        </is>
      </c>
      <c r="C577" s="28" t="n">
        <v>1</v>
      </c>
      <c r="D577" s="28" t="inlineStr">
        <is>
          <t>Fandom product page (Making table)</t>
        </is>
      </c>
      <c r="E577" s="28" t="inlineStr">
        <is>
          <t>https://hayday.fandom.com/wiki/Onion_Dog</t>
        </is>
      </c>
    </row>
    <row r="578">
      <c r="A578" s="28" t="inlineStr">
        <is>
          <t>Onion Dog</t>
        </is>
      </c>
      <c r="B578" s="28" t="inlineStr">
        <is>
          <t>Onion</t>
        </is>
      </c>
      <c r="C578" s="28" t="n">
        <v>3</v>
      </c>
      <c r="D578" s="28" t="inlineStr">
        <is>
          <t>Fandom product page (Making table)</t>
        </is>
      </c>
      <c r="E578" s="28" t="inlineStr">
        <is>
          <t>https://hayday.fandom.com/wiki/Onion_Dog</t>
        </is>
      </c>
    </row>
    <row r="579">
      <c r="A579" s="28" t="inlineStr">
        <is>
          <t>Onion Melt</t>
        </is>
      </c>
      <c r="B579" s="28" t="inlineStr">
        <is>
          <t>Corn Bread</t>
        </is>
      </c>
      <c r="C579" s="28" t="n">
        <v>2</v>
      </c>
      <c r="D579" s="28" t="inlineStr">
        <is>
          <t>Fandom product page (Making table)</t>
        </is>
      </c>
      <c r="E579" s="28" t="inlineStr">
        <is>
          <t>https://hayday.fandom.com/wiki/Onion_Melt</t>
        </is>
      </c>
    </row>
    <row r="580">
      <c r="A580" s="28" t="inlineStr">
        <is>
          <t>Onion Melt</t>
        </is>
      </c>
      <c r="B580" s="28" t="inlineStr">
        <is>
          <t>Onion</t>
        </is>
      </c>
      <c r="C580" s="28" t="n">
        <v>3</v>
      </c>
      <c r="D580" s="28" t="inlineStr">
        <is>
          <t>Fandom product page (Making table)</t>
        </is>
      </c>
      <c r="E580" s="28" t="inlineStr">
        <is>
          <t>https://hayday.fandom.com/wiki/Onion_Melt</t>
        </is>
      </c>
    </row>
    <row r="581">
      <c r="A581" s="28" t="inlineStr">
        <is>
          <t>Onion Melt</t>
        </is>
      </c>
      <c r="B581" s="28" t="inlineStr">
        <is>
          <t>Cheese</t>
        </is>
      </c>
      <c r="C581" s="28" t="n">
        <v>1</v>
      </c>
      <c r="D581" s="28" t="inlineStr">
        <is>
          <t>Fandom product page (Making table)</t>
        </is>
      </c>
      <c r="E581" s="28" t="inlineStr">
        <is>
          <t>https://hayday.fandom.com/wiki/Onion_Melt</t>
        </is>
      </c>
    </row>
    <row r="582">
      <c r="A582" s="28" t="inlineStr">
        <is>
          <t>Onion Soup</t>
        </is>
      </c>
      <c r="B582" s="28" t="inlineStr">
        <is>
          <t>Bread</t>
        </is>
      </c>
      <c r="C582" s="28" t="n">
        <v>2</v>
      </c>
      <c r="D582" s="28" t="inlineStr">
        <is>
          <t>Fandom product page (Making table)</t>
        </is>
      </c>
      <c r="E582" s="28" t="inlineStr">
        <is>
          <t>https://hayday.fandom.com/wiki/Onion_Soup</t>
        </is>
      </c>
    </row>
    <row r="583">
      <c r="A583" s="28" t="inlineStr">
        <is>
          <t>Onion Soup</t>
        </is>
      </c>
      <c r="B583" s="28" t="inlineStr">
        <is>
          <t>Cheese</t>
        </is>
      </c>
      <c r="C583" s="28" t="n">
        <v>1</v>
      </c>
      <c r="D583" s="28" t="inlineStr">
        <is>
          <t>Fandom product page (Making table)</t>
        </is>
      </c>
      <c r="E583" s="28" t="inlineStr">
        <is>
          <t>https://hayday.fandom.com/wiki/Onion_Soup</t>
        </is>
      </c>
    </row>
    <row r="584">
      <c r="A584" s="28" t="inlineStr">
        <is>
          <t>Onion Soup</t>
        </is>
      </c>
      <c r="B584" s="28" t="inlineStr">
        <is>
          <t>Onion</t>
        </is>
      </c>
      <c r="C584" s="28" t="n">
        <v>3</v>
      </c>
      <c r="D584" s="28" t="inlineStr">
        <is>
          <t>Fandom product page (Making table)</t>
        </is>
      </c>
      <c r="E584" s="28" t="inlineStr">
        <is>
          <t>https://hayday.fandom.com/wiki/Onion_Soup</t>
        </is>
      </c>
    </row>
    <row r="585">
      <c r="A585" s="28" t="inlineStr">
        <is>
          <t>Orange Juice</t>
        </is>
      </c>
      <c r="B585" s="28" t="inlineStr">
        <is>
          <t>Orange</t>
        </is>
      </c>
      <c r="C585" s="28" t="n">
        <v>2</v>
      </c>
      <c r="D585" s="28" t="inlineStr">
        <is>
          <t>Fandom product page (Making table)</t>
        </is>
      </c>
      <c r="E585" s="28" t="inlineStr">
        <is>
          <t>https://hayday.fandom.com/wiki/Orange_Juice</t>
        </is>
      </c>
    </row>
    <row r="586">
      <c r="A586" s="28" t="inlineStr">
        <is>
          <t>Orange Salad</t>
        </is>
      </c>
      <c r="B586" s="28" t="inlineStr">
        <is>
          <t>Cheese</t>
        </is>
      </c>
      <c r="C586" s="28" t="n">
        <v>1</v>
      </c>
      <c r="D586" s="28" t="inlineStr">
        <is>
          <t>Fandom product page (Making table)</t>
        </is>
      </c>
      <c r="E586" s="28" t="inlineStr">
        <is>
          <t>https://hayday.fandom.com/wiki/Orange_Salad</t>
        </is>
      </c>
    </row>
    <row r="587">
      <c r="A587" s="28" t="inlineStr">
        <is>
          <t>Orange Salad</t>
        </is>
      </c>
      <c r="B587" s="28" t="inlineStr">
        <is>
          <t>Lettuce</t>
        </is>
      </c>
      <c r="C587" s="28" t="n">
        <v>3</v>
      </c>
      <c r="D587" s="28" t="inlineStr">
        <is>
          <t>Fandom product page (Making table)</t>
        </is>
      </c>
      <c r="E587" s="28" t="inlineStr">
        <is>
          <t>https://hayday.fandom.com/wiki/Orange_Salad</t>
        </is>
      </c>
    </row>
    <row r="588">
      <c r="A588" s="28" t="inlineStr">
        <is>
          <t>Orange Salad</t>
        </is>
      </c>
      <c r="B588" s="28" t="inlineStr">
        <is>
          <t>Pomegranate</t>
        </is>
      </c>
      <c r="C588" s="28" t="n">
        <v>1</v>
      </c>
      <c r="D588" s="28" t="inlineStr">
        <is>
          <t>Fandom product page (Making table)</t>
        </is>
      </c>
      <c r="E588" s="28" t="inlineStr">
        <is>
          <t>https://hayday.fandom.com/wiki/Orange_Salad</t>
        </is>
      </c>
    </row>
    <row r="589">
      <c r="A589" s="28" t="inlineStr">
        <is>
          <t>Orange Salad</t>
        </is>
      </c>
      <c r="B589" s="28" t="inlineStr">
        <is>
          <t>Orange</t>
        </is>
      </c>
      <c r="C589" s="28" t="n">
        <v>2</v>
      </c>
      <c r="D589" s="28" t="inlineStr">
        <is>
          <t>Fandom product page (Making table)</t>
        </is>
      </c>
      <c r="E589" s="28" t="inlineStr">
        <is>
          <t>https://hayday.fandom.com/wiki/Orange_Salad</t>
        </is>
      </c>
    </row>
    <row r="590">
      <c r="A590" s="28" t="inlineStr">
        <is>
          <t>Orange Sorbet</t>
        </is>
      </c>
      <c r="B590" s="28" t="inlineStr">
        <is>
          <t>Honey</t>
        </is>
      </c>
      <c r="C590" s="28" t="n">
        <v>1</v>
      </c>
      <c r="D590" s="28" t="inlineStr">
        <is>
          <t>Fandom product page (Making table)</t>
        </is>
      </c>
      <c r="E590" s="28" t="inlineStr">
        <is>
          <t>https://hayday.fandom.com/wiki/Orange_Sorbet</t>
        </is>
      </c>
    </row>
    <row r="591">
      <c r="A591" s="28" t="inlineStr">
        <is>
          <t>Orange Sorbet</t>
        </is>
      </c>
      <c r="B591" s="28" t="inlineStr">
        <is>
          <t>Orange</t>
        </is>
      </c>
      <c r="C591" s="28" t="n">
        <v>2</v>
      </c>
      <c r="D591" s="28" t="inlineStr">
        <is>
          <t>Fandom product page (Making table)</t>
        </is>
      </c>
      <c r="E591" s="28" t="inlineStr">
        <is>
          <t>https://hayday.fandom.com/wiki/Orange_Sorbet</t>
        </is>
      </c>
    </row>
    <row r="592">
      <c r="A592" s="28" t="inlineStr">
        <is>
          <t>Orange Tea</t>
        </is>
      </c>
      <c r="B592" s="28" t="inlineStr">
        <is>
          <t>Orange</t>
        </is>
      </c>
      <c r="C592" s="28" t="n">
        <v>1</v>
      </c>
      <c r="D592" s="28" t="inlineStr">
        <is>
          <t>Fandom product page (Making table)</t>
        </is>
      </c>
      <c r="E592" s="28" t="inlineStr">
        <is>
          <t>https://hayday.fandom.com/wiki/Orange_Tea</t>
        </is>
      </c>
    </row>
    <row r="593">
      <c r="A593" s="28" t="inlineStr">
        <is>
          <t>Orange Tea</t>
        </is>
      </c>
      <c r="B593" s="28" t="inlineStr">
        <is>
          <t>Tea Leaf</t>
        </is>
      </c>
      <c r="C593" s="28" t="n">
        <v>3</v>
      </c>
      <c r="D593" s="28" t="inlineStr">
        <is>
          <t>Fandom product page (Making table)</t>
        </is>
      </c>
      <c r="E593" s="28" t="inlineStr">
        <is>
          <t>https://hayday.fandom.com/wiki/Orange_Tea</t>
        </is>
      </c>
    </row>
    <row r="594">
      <c r="A594" s="28" t="inlineStr">
        <is>
          <t>Pancake</t>
        </is>
      </c>
      <c r="B594" s="28" t="inlineStr">
        <is>
          <t>Egg</t>
        </is>
      </c>
      <c r="C594" s="28" t="n">
        <v>3</v>
      </c>
      <c r="D594" s="28" t="inlineStr">
        <is>
          <t>Fandom product page (Making table)</t>
        </is>
      </c>
      <c r="E594" s="28" t="inlineStr">
        <is>
          <t>https://hayday.fandom.com/wiki/Pancake</t>
        </is>
      </c>
    </row>
    <row r="595">
      <c r="A595" s="28" t="inlineStr">
        <is>
          <t>Pancake</t>
        </is>
      </c>
      <c r="B595" s="28" t="inlineStr">
        <is>
          <t>Brown Sugar</t>
        </is>
      </c>
      <c r="C595" s="28" t="n">
        <v>1</v>
      </c>
      <c r="D595" s="28" t="inlineStr">
        <is>
          <t>Fandom product page (Making table)</t>
        </is>
      </c>
      <c r="E595" s="28" t="inlineStr">
        <is>
          <t>https://hayday.fandom.com/wiki/Pancake</t>
        </is>
      </c>
    </row>
    <row r="596">
      <c r="A596" s="28" t="inlineStr">
        <is>
          <t>Passion Fruit Jam</t>
        </is>
      </c>
      <c r="B596" s="28" t="inlineStr">
        <is>
          <t>Passion Fruit</t>
        </is>
      </c>
      <c r="C596" s="28" t="n">
        <v>3</v>
      </c>
      <c r="D596" s="28" t="inlineStr">
        <is>
          <t>Fandom product page (Making table)</t>
        </is>
      </c>
      <c r="E596" s="28" t="inlineStr">
        <is>
          <t>https://hayday.fandom.com/wiki/Passion_Fruit_Jam</t>
        </is>
      </c>
    </row>
    <row r="597">
      <c r="A597" s="28" t="inlineStr">
        <is>
          <t>Passion Fruit Juice</t>
        </is>
      </c>
      <c r="B597" s="28" t="inlineStr">
        <is>
          <t>Passion Fruit</t>
        </is>
      </c>
      <c r="C597" s="28" t="n">
        <v>2</v>
      </c>
      <c r="D597" s="28" t="inlineStr">
        <is>
          <t>Fandom product page (Making table)</t>
        </is>
      </c>
      <c r="E597" s="28" t="inlineStr">
        <is>
          <t>https://hayday.fandom.com/wiki/Passion_Fruit_Juice</t>
        </is>
      </c>
    </row>
    <row r="598">
      <c r="A598" s="28" t="inlineStr">
        <is>
          <t>Passion Fruit Pie</t>
        </is>
      </c>
      <c r="B598" s="28" t="inlineStr">
        <is>
          <t>Passion Fruit</t>
        </is>
      </c>
      <c r="C598" s="28" t="n">
        <v>3</v>
      </c>
      <c r="D598" s="28" t="inlineStr">
        <is>
          <t>Fandom product page (Making table)</t>
        </is>
      </c>
      <c r="E598" s="28" t="inlineStr">
        <is>
          <t>https://hayday.fandom.com/wiki/Passion_Fruit_Pie</t>
        </is>
      </c>
    </row>
    <row r="599">
      <c r="A599" s="28" t="inlineStr">
        <is>
          <t>Passion Fruit Pie</t>
        </is>
      </c>
      <c r="B599" s="28" t="inlineStr">
        <is>
          <t>Wheat</t>
        </is>
      </c>
      <c r="C599" s="28" t="n">
        <v>2</v>
      </c>
      <c r="D599" s="28" t="inlineStr">
        <is>
          <t>Fandom product page (Making table)</t>
        </is>
      </c>
      <c r="E599" s="28" t="inlineStr">
        <is>
          <t>https://hayday.fandom.com/wiki/Passion_Fruit_Pie</t>
        </is>
      </c>
    </row>
    <row r="600">
      <c r="A600" s="28" t="inlineStr">
        <is>
          <t>Passion Fruit Pie</t>
        </is>
      </c>
      <c r="B600" s="28" t="inlineStr">
        <is>
          <t>Egg</t>
        </is>
      </c>
      <c r="C600" s="28" t="n">
        <v>1</v>
      </c>
      <c r="D600" s="28" t="inlineStr">
        <is>
          <t>Fandom product page (Making table)</t>
        </is>
      </c>
      <c r="E600" s="28" t="inlineStr">
        <is>
          <t>https://hayday.fandom.com/wiki/Passion_Fruit_Pie</t>
        </is>
      </c>
    </row>
    <row r="601">
      <c r="A601" s="28" t="inlineStr">
        <is>
          <t>Pasta Carbonara</t>
        </is>
      </c>
      <c r="B601" s="28" t="inlineStr">
        <is>
          <t>Fresh Pasta</t>
        </is>
      </c>
      <c r="C601" s="28" t="n">
        <v>3</v>
      </c>
      <c r="D601" s="28" t="inlineStr">
        <is>
          <t>Fandom product page (Making table)</t>
        </is>
      </c>
      <c r="E601" s="28" t="inlineStr">
        <is>
          <t>https://hayday.fandom.com/wiki/Pasta_Carbonara</t>
        </is>
      </c>
    </row>
    <row r="602">
      <c r="A602" s="28" t="inlineStr">
        <is>
          <t>Pasta Carbonara</t>
        </is>
      </c>
      <c r="B602" s="28" t="inlineStr">
        <is>
          <t>Bacon</t>
        </is>
      </c>
      <c r="C602" s="28" t="n">
        <v>2</v>
      </c>
      <c r="D602" s="28" t="inlineStr">
        <is>
          <t>Fandom product page (Making table)</t>
        </is>
      </c>
      <c r="E602" s="28" t="inlineStr">
        <is>
          <t>https://hayday.fandom.com/wiki/Pasta_Carbonara</t>
        </is>
      </c>
    </row>
    <row r="603">
      <c r="A603" s="28" t="inlineStr">
        <is>
          <t>Pasta Carbonara</t>
        </is>
      </c>
      <c r="B603" s="28" t="inlineStr">
        <is>
          <t>Egg</t>
        </is>
      </c>
      <c r="C603" s="28" t="n">
        <v>1</v>
      </c>
      <c r="D603" s="28" t="inlineStr">
        <is>
          <t>Fandom product page (Making table)</t>
        </is>
      </c>
      <c r="E603" s="28" t="inlineStr">
        <is>
          <t>https://hayday.fandom.com/wiki/Pasta_Carbonara</t>
        </is>
      </c>
    </row>
    <row r="604">
      <c r="A604" s="28" t="inlineStr">
        <is>
          <t>Pasta Carbonara</t>
        </is>
      </c>
      <c r="B604" s="28" t="inlineStr">
        <is>
          <t>Cheese</t>
        </is>
      </c>
      <c r="C604" s="28" t="n">
        <v>1</v>
      </c>
      <c r="D604" s="28" t="inlineStr">
        <is>
          <t>Fandom product page (Making table)</t>
        </is>
      </c>
      <c r="E604" s="28" t="inlineStr">
        <is>
          <t>https://hayday.fandom.com/wiki/Pasta_Carbonara</t>
        </is>
      </c>
    </row>
    <row r="605">
      <c r="A605" s="28" t="inlineStr">
        <is>
          <t>Pasta Salad</t>
        </is>
      </c>
      <c r="B605" s="28" t="inlineStr">
        <is>
          <t>Fresh Pasta</t>
        </is>
      </c>
      <c r="C605" s="28" t="n">
        <v>4</v>
      </c>
      <c r="D605" s="28" t="inlineStr">
        <is>
          <t>Fandom product page (Making table)</t>
        </is>
      </c>
      <c r="E605" s="28" t="inlineStr">
        <is>
          <t>https://hayday.fandom.com/wiki/Pasta_Salad</t>
        </is>
      </c>
    </row>
    <row r="606">
      <c r="A606" s="28" t="inlineStr">
        <is>
          <t>Pasta Salad</t>
        </is>
      </c>
      <c r="B606" s="28" t="inlineStr">
        <is>
          <t>Lemon</t>
        </is>
      </c>
      <c r="C606" s="28" t="n">
        <v>2</v>
      </c>
      <c r="D606" s="28" t="inlineStr">
        <is>
          <t>Fandom product page (Making table)</t>
        </is>
      </c>
      <c r="E606" s="28" t="inlineStr">
        <is>
          <t>https://hayday.fandom.com/wiki/Pasta_Salad</t>
        </is>
      </c>
    </row>
    <row r="607">
      <c r="A607" s="28" t="inlineStr">
        <is>
          <t>Pasta Salad</t>
        </is>
      </c>
      <c r="B607" s="28" t="inlineStr">
        <is>
          <t>Olive Oil</t>
        </is>
      </c>
      <c r="C607" s="28" t="n">
        <v>1</v>
      </c>
      <c r="D607" s="28" t="inlineStr">
        <is>
          <t>Fandom product page (Making table)</t>
        </is>
      </c>
      <c r="E607" s="28" t="inlineStr">
        <is>
          <t>https://hayday.fandom.com/wiki/Pasta_Salad</t>
        </is>
      </c>
    </row>
    <row r="608">
      <c r="A608" s="28" t="inlineStr">
        <is>
          <t>Pasta Salad</t>
        </is>
      </c>
      <c r="B608" s="28" t="inlineStr">
        <is>
          <t>Tomato</t>
        </is>
      </c>
      <c r="C608" s="28" t="n">
        <v>2</v>
      </c>
      <c r="D608" s="28" t="inlineStr">
        <is>
          <t>Fandom product page (Making table)</t>
        </is>
      </c>
      <c r="E608" s="28" t="inlineStr">
        <is>
          <t>https://hayday.fandom.com/wiki/Pasta_Salad</t>
        </is>
      </c>
    </row>
    <row r="609">
      <c r="A609" s="28" t="inlineStr">
        <is>
          <t>Peach Ice Cream</t>
        </is>
      </c>
      <c r="B609" s="28" t="inlineStr">
        <is>
          <t>Cream</t>
        </is>
      </c>
      <c r="C609" s="28" t="n">
        <v>1</v>
      </c>
      <c r="D609" s="28" t="inlineStr">
        <is>
          <t>Fandom product page (Making table)</t>
        </is>
      </c>
      <c r="E609" s="28" t="inlineStr">
        <is>
          <t>https://hayday.fandom.com/wiki/Peach_Ice_Cream</t>
        </is>
      </c>
    </row>
    <row r="610">
      <c r="A610" s="28" t="inlineStr">
        <is>
          <t>Peach Ice Cream</t>
        </is>
      </c>
      <c r="B610" s="28" t="inlineStr">
        <is>
          <t>Honey</t>
        </is>
      </c>
      <c r="C610" s="28" t="n">
        <v>1</v>
      </c>
      <c r="D610" s="28" t="inlineStr">
        <is>
          <t>Fandom product page (Making table)</t>
        </is>
      </c>
      <c r="E610" s="28" t="inlineStr">
        <is>
          <t>https://hayday.fandom.com/wiki/Peach_Ice_Cream</t>
        </is>
      </c>
    </row>
    <row r="611">
      <c r="A611" s="28" t="inlineStr">
        <is>
          <t>Peach Ice Cream</t>
        </is>
      </c>
      <c r="B611" s="28" t="inlineStr">
        <is>
          <t>Peach</t>
        </is>
      </c>
      <c r="C611" s="28" t="n">
        <v>2</v>
      </c>
      <c r="D611" s="28" t="inlineStr">
        <is>
          <t>Fandom product page (Making table)</t>
        </is>
      </c>
      <c r="E611" s="28" t="inlineStr">
        <is>
          <t>https://hayday.fandom.com/wiki/Peach_Ice_Cream</t>
        </is>
      </c>
    </row>
    <row r="612">
      <c r="A612" s="28" t="inlineStr">
        <is>
          <t>Peach Jam</t>
        </is>
      </c>
      <c r="B612" s="28" t="inlineStr">
        <is>
          <t>Peach</t>
        </is>
      </c>
      <c r="C612" s="28" t="n">
        <v>3</v>
      </c>
      <c r="D612" s="28" t="inlineStr">
        <is>
          <t>Fandom product page (Making table)</t>
        </is>
      </c>
      <c r="E612" s="28" t="inlineStr">
        <is>
          <t>https://hayday.fandom.com/wiki/Peach_Jam</t>
        </is>
      </c>
    </row>
    <row r="613">
      <c r="A613" s="28" t="inlineStr">
        <is>
          <t>Peach Tart</t>
        </is>
      </c>
      <c r="B613" s="28" t="inlineStr">
        <is>
          <t>Cream</t>
        </is>
      </c>
      <c r="C613" s="28" t="n">
        <v>1</v>
      </c>
      <c r="D613" s="28" t="inlineStr">
        <is>
          <t>Fandom product page (Making table)</t>
        </is>
      </c>
      <c r="E613" s="28" t="inlineStr">
        <is>
          <t>https://hayday.fandom.com/wiki/Peach_Tart</t>
        </is>
      </c>
    </row>
    <row r="614">
      <c r="A614" s="28" t="inlineStr">
        <is>
          <t>Peach Tart</t>
        </is>
      </c>
      <c r="B614" s="28" t="inlineStr">
        <is>
          <t>Egg</t>
        </is>
      </c>
      <c r="C614" s="28" t="n">
        <v>2</v>
      </c>
      <c r="D614" s="28" t="inlineStr">
        <is>
          <t>Fandom product page (Making table)</t>
        </is>
      </c>
      <c r="E614" s="28" t="inlineStr">
        <is>
          <t>https://hayday.fandom.com/wiki/Peach_Tart</t>
        </is>
      </c>
    </row>
    <row r="615">
      <c r="A615" s="28" t="inlineStr">
        <is>
          <t>Peach Tart</t>
        </is>
      </c>
      <c r="B615" s="28" t="inlineStr">
        <is>
          <t>Peach</t>
        </is>
      </c>
      <c r="C615" s="28" t="n">
        <v>3</v>
      </c>
      <c r="D615" s="28" t="inlineStr">
        <is>
          <t>Fandom product page (Making table)</t>
        </is>
      </c>
      <c r="E615" s="28" t="inlineStr">
        <is>
          <t>https://hayday.fandom.com/wiki/Peach_Tart</t>
        </is>
      </c>
    </row>
    <row r="616">
      <c r="A616" s="28" t="inlineStr">
        <is>
          <t>Peach Tart</t>
        </is>
      </c>
      <c r="B616" s="28" t="inlineStr">
        <is>
          <t>Wheat</t>
        </is>
      </c>
      <c r="C616" s="28" t="n">
        <v>2</v>
      </c>
      <c r="D616" s="28" t="inlineStr">
        <is>
          <t>Fandom product page (Making table)</t>
        </is>
      </c>
      <c r="E616" s="28" t="inlineStr">
        <is>
          <t>https://hayday.fandom.com/wiki/Peach_Tart</t>
        </is>
      </c>
    </row>
    <row r="617">
      <c r="A617" s="28" t="inlineStr">
        <is>
          <t>Peanut Butter Milkshake</t>
        </is>
      </c>
      <c r="B617" s="28" t="inlineStr">
        <is>
          <t>Peanuts</t>
        </is>
      </c>
      <c r="C617" s="28" t="n">
        <v>1</v>
      </c>
      <c r="D617" s="28" t="inlineStr">
        <is>
          <t>Fandom product page (Making table)</t>
        </is>
      </c>
      <c r="E617" s="28" t="inlineStr">
        <is>
          <t>https://hayday.fandom.com/wiki/Peanut_Butter_Milkshake</t>
        </is>
      </c>
    </row>
    <row r="618">
      <c r="A618" s="28" t="inlineStr">
        <is>
          <t>Peanut Butter Milkshake</t>
        </is>
      </c>
      <c r="B618" s="28" t="inlineStr">
        <is>
          <t>Milk</t>
        </is>
      </c>
      <c r="C618" s="28" t="n">
        <v>1</v>
      </c>
      <c r="D618" s="28" t="inlineStr">
        <is>
          <t>Fandom product page (Making table)</t>
        </is>
      </c>
      <c r="E618" s="28" t="inlineStr">
        <is>
          <t>https://hayday.fandom.com/wiki/Peanut_Butter_Milkshake</t>
        </is>
      </c>
    </row>
    <row r="619">
      <c r="A619" s="28" t="inlineStr">
        <is>
          <t>Peanut Butter Milkshake</t>
        </is>
      </c>
      <c r="B619" s="28" t="inlineStr">
        <is>
          <t>Cream</t>
        </is>
      </c>
      <c r="C619" s="28" t="n">
        <v>1</v>
      </c>
      <c r="D619" s="28" t="inlineStr">
        <is>
          <t>Fandom product page (Making table)</t>
        </is>
      </c>
      <c r="E619" s="28" t="inlineStr">
        <is>
          <t>https://hayday.fandom.com/wiki/Peanut_Butter_Milkshake</t>
        </is>
      </c>
    </row>
    <row r="620">
      <c r="A620" s="28" t="inlineStr">
        <is>
          <t>Peanut Butter Milkshake</t>
        </is>
      </c>
      <c r="B620" s="28" t="inlineStr">
        <is>
          <t>Cacao</t>
        </is>
      </c>
      <c r="C620" s="28" t="n">
        <v>3</v>
      </c>
      <c r="D620" s="28" t="inlineStr">
        <is>
          <t>Fandom product page (Making table)</t>
        </is>
      </c>
      <c r="E620" s="28" t="inlineStr">
        <is>
          <t>https://hayday.fandom.com/wiki/Peanut_Butter_Milkshake</t>
        </is>
      </c>
    </row>
    <row r="621">
      <c r="A621" s="28" t="inlineStr">
        <is>
          <t>Peanut Butter and Jelly Sandwich</t>
        </is>
      </c>
      <c r="B621" s="28" t="inlineStr">
        <is>
          <t>Bread</t>
        </is>
      </c>
      <c r="C621" s="28" t="n">
        <v>2</v>
      </c>
      <c r="D621" s="28" t="inlineStr">
        <is>
          <t>Fandom product page (Making table)</t>
        </is>
      </c>
      <c r="E621" s="28" t="inlineStr">
        <is>
          <t>https://hayday.fandom.com/wiki/Peanut_Butter_and_Jelly_Sandwich</t>
        </is>
      </c>
    </row>
    <row r="622">
      <c r="A622" s="28" t="inlineStr">
        <is>
          <t>Peanut Butter and Jelly Sandwich</t>
        </is>
      </c>
      <c r="B622" s="28" t="inlineStr">
        <is>
          <t>Raspberry Jam</t>
        </is>
      </c>
      <c r="C622" s="28" t="n">
        <v>1</v>
      </c>
      <c r="D622" s="28" t="inlineStr">
        <is>
          <t>Fandom product page (Making table)</t>
        </is>
      </c>
      <c r="E622" s="28" t="inlineStr">
        <is>
          <t>https://hayday.fandom.com/wiki/Peanut_Butter_and_Jelly_Sandwich</t>
        </is>
      </c>
    </row>
    <row r="623">
      <c r="A623" s="28" t="inlineStr">
        <is>
          <t>Peanut Butter and Jelly Sandwich</t>
        </is>
      </c>
      <c r="B623" s="28" t="inlineStr">
        <is>
          <t>Peanuts</t>
        </is>
      </c>
      <c r="C623" s="28" t="n">
        <v>1</v>
      </c>
      <c r="D623" s="28" t="inlineStr">
        <is>
          <t>Fandom product page (Making table)</t>
        </is>
      </c>
      <c r="E623" s="28" t="inlineStr">
        <is>
          <t>https://hayday.fandom.com/wiki/Peanut_Butter_and_Jelly_Sandwich</t>
        </is>
      </c>
    </row>
    <row r="624">
      <c r="A624" s="28" t="inlineStr">
        <is>
          <t>Peanut Fudge</t>
        </is>
      </c>
      <c r="B624" s="28" t="inlineStr">
        <is>
          <t>Butter</t>
        </is>
      </c>
      <c r="C624" s="28" t="n">
        <v>2</v>
      </c>
      <c r="D624" s="28" t="inlineStr">
        <is>
          <t>Fandom product page (Making table)</t>
        </is>
      </c>
      <c r="E624" s="28" t="inlineStr">
        <is>
          <t>https://hayday.fandom.com/wiki/Peanut_Fudge</t>
        </is>
      </c>
    </row>
    <row r="625">
      <c r="A625" s="28" t="inlineStr">
        <is>
          <t>Peanut Fudge</t>
        </is>
      </c>
      <c r="B625" s="28" t="inlineStr">
        <is>
          <t>Cacao</t>
        </is>
      </c>
      <c r="C625" s="28" t="n">
        <v>2</v>
      </c>
      <c r="D625" s="28" t="inlineStr">
        <is>
          <t>Fandom product page (Making table)</t>
        </is>
      </c>
      <c r="E625" s="28" t="inlineStr">
        <is>
          <t>https://hayday.fandom.com/wiki/Peanut_Fudge</t>
        </is>
      </c>
    </row>
    <row r="626">
      <c r="A626" s="28" t="inlineStr">
        <is>
          <t>Peanut Fudge</t>
        </is>
      </c>
      <c r="B626" s="28" t="inlineStr">
        <is>
          <t>White Sugar</t>
        </is>
      </c>
      <c r="C626" s="28" t="n">
        <v>1</v>
      </c>
      <c r="D626" s="28" t="inlineStr">
        <is>
          <t>Fandom product page (Making table)</t>
        </is>
      </c>
      <c r="E626" s="28" t="inlineStr">
        <is>
          <t>https://hayday.fandom.com/wiki/Peanut_Fudge</t>
        </is>
      </c>
    </row>
    <row r="627">
      <c r="A627" s="28" t="inlineStr">
        <is>
          <t>Peanut Fudge</t>
        </is>
      </c>
      <c r="B627" s="28" t="inlineStr">
        <is>
          <t>Peanuts</t>
        </is>
      </c>
      <c r="C627" s="28" t="n">
        <v>2</v>
      </c>
      <c r="D627" s="28" t="inlineStr">
        <is>
          <t>Fandom product page (Making table)</t>
        </is>
      </c>
      <c r="E627" s="28" t="inlineStr">
        <is>
          <t>https://hayday.fandom.com/wiki/Peanut_Fudge</t>
        </is>
      </c>
    </row>
    <row r="628">
      <c r="A628" s="28" t="inlineStr">
        <is>
          <t>Peanut Noodles</t>
        </is>
      </c>
      <c r="B628" s="28" t="inlineStr">
        <is>
          <t>Ginger</t>
        </is>
      </c>
      <c r="C628" s="28" t="n">
        <v>1</v>
      </c>
      <c r="D628" s="28" t="inlineStr">
        <is>
          <t>Fandom product page (Making table)</t>
        </is>
      </c>
      <c r="E628" s="28" t="inlineStr">
        <is>
          <t>https://hayday.fandom.com/wiki/Peanut_Noodles</t>
        </is>
      </c>
    </row>
    <row r="629">
      <c r="A629" s="28" t="inlineStr">
        <is>
          <t>Peanut Noodles</t>
        </is>
      </c>
      <c r="B629" s="28" t="inlineStr">
        <is>
          <t>Rice Noodles</t>
        </is>
      </c>
      <c r="C629" s="28" t="n">
        <v>1</v>
      </c>
      <c r="D629" s="28" t="inlineStr">
        <is>
          <t>Fandom product page (Making table)</t>
        </is>
      </c>
      <c r="E629" s="28" t="inlineStr">
        <is>
          <t>https://hayday.fandom.com/wiki/Peanut_Noodles</t>
        </is>
      </c>
    </row>
    <row r="630">
      <c r="A630" s="28" t="inlineStr">
        <is>
          <t>Peanut Noodles</t>
        </is>
      </c>
      <c r="B630" s="28" t="inlineStr">
        <is>
          <t>Soy Sauce</t>
        </is>
      </c>
      <c r="C630" s="28" t="n">
        <v>1</v>
      </c>
      <c r="D630" s="28" t="inlineStr">
        <is>
          <t>Fandom product page (Making table)</t>
        </is>
      </c>
      <c r="E630" s="28" t="inlineStr">
        <is>
          <t>https://hayday.fandom.com/wiki/Peanut_Noodles</t>
        </is>
      </c>
    </row>
    <row r="631">
      <c r="A631" s="28" t="inlineStr">
        <is>
          <t>Peanut Noodles</t>
        </is>
      </c>
      <c r="B631" s="28" t="inlineStr">
        <is>
          <t>Peanuts</t>
        </is>
      </c>
      <c r="C631" s="28" t="n">
        <v>1</v>
      </c>
      <c r="D631" s="28" t="inlineStr">
        <is>
          <t>Fandom product page (Making table)</t>
        </is>
      </c>
      <c r="E631" s="28" t="inlineStr">
        <is>
          <t>https://hayday.fandom.com/wiki/Peanut_Noodles</t>
        </is>
      </c>
    </row>
    <row r="632">
      <c r="A632" s="28" t="inlineStr">
        <is>
          <t>Pickles</t>
        </is>
      </c>
      <c r="B632" s="28" t="inlineStr">
        <is>
          <t>Cucumber</t>
        </is>
      </c>
      <c r="C632" s="28" t="n">
        <v>3</v>
      </c>
      <c r="D632" s="28" t="inlineStr">
        <is>
          <t>Fandom product page (Making table)</t>
        </is>
      </c>
      <c r="E632" s="28" t="inlineStr">
        <is>
          <t>https://hayday.fandom.com/wiki/Pickles</t>
        </is>
      </c>
    </row>
    <row r="633">
      <c r="A633" s="28" t="inlineStr">
        <is>
          <t>Pickles</t>
        </is>
      </c>
      <c r="B633" s="28" t="inlineStr">
        <is>
          <t>Onion</t>
        </is>
      </c>
      <c r="C633" s="28" t="n">
        <v>2</v>
      </c>
      <c r="D633" s="28" t="inlineStr">
        <is>
          <t>Fandom product page (Making table)</t>
        </is>
      </c>
      <c r="E633" s="28" t="inlineStr">
        <is>
          <t>https://hayday.fandom.com/wiki/Pickles</t>
        </is>
      </c>
    </row>
    <row r="634">
      <c r="A634" s="28" t="inlineStr">
        <is>
          <t>Pickles</t>
        </is>
      </c>
      <c r="B634" s="28" t="inlineStr">
        <is>
          <t>Lemon</t>
        </is>
      </c>
      <c r="C634" s="28" t="n">
        <v>1</v>
      </c>
      <c r="D634" s="28" t="inlineStr">
        <is>
          <t>Fandom product page (Making table)</t>
        </is>
      </c>
      <c r="E634" s="28" t="inlineStr">
        <is>
          <t>https://hayday.fandom.com/wiki/Pickles</t>
        </is>
      </c>
    </row>
    <row r="635">
      <c r="A635" s="28" t="inlineStr">
        <is>
          <t>Pig Feed</t>
        </is>
      </c>
      <c r="B635" s="28" t="inlineStr">
        <is>
          <t>Carrot</t>
        </is>
      </c>
      <c r="C635" s="28" t="n">
        <v>2</v>
      </c>
      <c r="D635" s="28" t="inlineStr">
        <is>
          <t>Fandom product page (Making table)</t>
        </is>
      </c>
      <c r="E635" s="28" t="inlineStr">
        <is>
          <t>https://hayday.fandom.com/wiki/Pig_Feed</t>
        </is>
      </c>
    </row>
    <row r="636">
      <c r="A636" s="28" t="inlineStr">
        <is>
          <t>Pig Feed</t>
        </is>
      </c>
      <c r="B636" s="28" t="inlineStr">
        <is>
          <t>Soybean</t>
        </is>
      </c>
      <c r="C636" s="28" t="n">
        <v>1</v>
      </c>
      <c r="D636" s="28" t="inlineStr">
        <is>
          <t>Fandom product page (Making table)</t>
        </is>
      </c>
      <c r="E636" s="28" t="inlineStr">
        <is>
          <t>https://hayday.fandom.com/wiki/Pig_Feed</t>
        </is>
      </c>
    </row>
    <row r="637">
      <c r="A637" s="28" t="inlineStr">
        <is>
          <t>Pillow</t>
        </is>
      </c>
      <c r="B637" s="28" t="inlineStr">
        <is>
          <t>Cotton Fabric</t>
        </is>
      </c>
      <c r="C637" s="28" t="n">
        <v>2</v>
      </c>
      <c r="D637" s="28" t="inlineStr">
        <is>
          <t>Fandom product page (Making table)</t>
        </is>
      </c>
      <c r="E637" s="28" t="inlineStr">
        <is>
          <t>https://hayday.fandom.com/wiki/Pillow</t>
        </is>
      </c>
    </row>
    <row r="638">
      <c r="A638" s="28" t="inlineStr">
        <is>
          <t>Pillow</t>
        </is>
      </c>
      <c r="B638" s="28" t="inlineStr">
        <is>
          <t>Duck Feather</t>
        </is>
      </c>
      <c r="C638" s="28" t="n">
        <v>3</v>
      </c>
      <c r="D638" s="28" t="inlineStr">
        <is>
          <t>Fandom product page (Making table)</t>
        </is>
      </c>
      <c r="E638" s="28" t="inlineStr">
        <is>
          <t>https://hayday.fandom.com/wiki/Pillow</t>
        </is>
      </c>
    </row>
    <row r="639">
      <c r="A639" s="28" t="inlineStr">
        <is>
          <t>Pineapple Cake</t>
        </is>
      </c>
      <c r="B639" s="28" t="inlineStr">
        <is>
          <t>Pineapple</t>
        </is>
      </c>
      <c r="C639" s="28" t="n">
        <v>3</v>
      </c>
      <c r="D639" s="28" t="inlineStr">
        <is>
          <t>Fandom product page (Making table)</t>
        </is>
      </c>
      <c r="E639" s="28" t="inlineStr">
        <is>
          <t>https://hayday.fandom.com/wiki/Pineapple_Cake</t>
        </is>
      </c>
    </row>
    <row r="640">
      <c r="A640" s="28" t="inlineStr">
        <is>
          <t>Pineapple Cake</t>
        </is>
      </c>
      <c r="B640" s="28" t="inlineStr">
        <is>
          <t>Egg</t>
        </is>
      </c>
      <c r="C640" s="28" t="n">
        <v>2</v>
      </c>
      <c r="D640" s="28" t="inlineStr">
        <is>
          <t>Fandom product page (Making table)</t>
        </is>
      </c>
      <c r="E640" s="28" t="inlineStr">
        <is>
          <t>https://hayday.fandom.com/wiki/Pineapple_Cake</t>
        </is>
      </c>
    </row>
    <row r="641">
      <c r="A641" s="28" t="inlineStr">
        <is>
          <t>Pineapple Cake</t>
        </is>
      </c>
      <c r="B641" s="28" t="inlineStr">
        <is>
          <t>Cherry</t>
        </is>
      </c>
      <c r="C641" s="28" t="n">
        <v>2</v>
      </c>
      <c r="D641" s="28" t="inlineStr">
        <is>
          <t>Fandom product page (Making table)</t>
        </is>
      </c>
      <c r="E641" s="28" t="inlineStr">
        <is>
          <t>https://hayday.fandom.com/wiki/Pineapple_Cake</t>
        </is>
      </c>
    </row>
    <row r="642">
      <c r="A642" s="28" t="inlineStr">
        <is>
          <t>Pineapple Cake</t>
        </is>
      </c>
      <c r="B642" s="28" t="inlineStr">
        <is>
          <t>Wheat</t>
        </is>
      </c>
      <c r="C642" s="28" t="n">
        <v>4</v>
      </c>
      <c r="D642" s="28" t="inlineStr">
        <is>
          <t>Fandom product page (Making table)</t>
        </is>
      </c>
      <c r="E642" s="28" t="inlineStr">
        <is>
          <t>https://hayday.fandom.com/wiki/Pineapple_Cake</t>
        </is>
      </c>
    </row>
    <row r="643">
      <c r="A643" s="28" t="inlineStr">
        <is>
          <t>Pineapple Coconut Bars</t>
        </is>
      </c>
      <c r="B643" s="28" t="inlineStr">
        <is>
          <t>Coconut</t>
        </is>
      </c>
      <c r="C643" s="28" t="n">
        <v>1</v>
      </c>
      <c r="D643" s="28" t="inlineStr">
        <is>
          <t>Fandom product page (Making table)</t>
        </is>
      </c>
      <c r="E643" s="28" t="inlineStr">
        <is>
          <t>https://hayday.fandom.com/wiki/Pineapple_Coconut_Bars</t>
        </is>
      </c>
    </row>
    <row r="644">
      <c r="A644" s="28" t="inlineStr">
        <is>
          <t>Pineapple Coconut Bars</t>
        </is>
      </c>
      <c r="B644" s="28" t="inlineStr">
        <is>
          <t>White Sugar</t>
        </is>
      </c>
      <c r="C644" s="28" t="n">
        <v>2</v>
      </c>
      <c r="D644" s="28" t="inlineStr">
        <is>
          <t>Fandom product page (Making table)</t>
        </is>
      </c>
      <c r="E644" s="28" t="inlineStr">
        <is>
          <t>https://hayday.fandom.com/wiki/Pineapple_Coconut_Bars</t>
        </is>
      </c>
    </row>
    <row r="645">
      <c r="A645" s="28" t="inlineStr">
        <is>
          <t>Pineapple Coconut Bars</t>
        </is>
      </c>
      <c r="B645" s="28" t="inlineStr">
        <is>
          <t>Oats</t>
        </is>
      </c>
      <c r="C645" s="28" t="n">
        <v>3</v>
      </c>
      <c r="D645" s="28" t="inlineStr">
        <is>
          <t>Fandom product page (Making table)</t>
        </is>
      </c>
      <c r="E645" s="28" t="inlineStr">
        <is>
          <t>https://hayday.fandom.com/wiki/Pineapple_Coconut_Bars</t>
        </is>
      </c>
    </row>
    <row r="646">
      <c r="A646" s="28" t="inlineStr">
        <is>
          <t>Pineapple Coconut Bars</t>
        </is>
      </c>
      <c r="B646" s="28" t="inlineStr">
        <is>
          <t>Pineapple</t>
        </is>
      </c>
      <c r="C646" s="28" t="n">
        <v>2</v>
      </c>
      <c r="D646" s="28" t="inlineStr">
        <is>
          <t>Fandom product page (Making table)</t>
        </is>
      </c>
      <c r="E646" s="28" t="inlineStr">
        <is>
          <t>https://hayday.fandom.com/wiki/Pineapple_Coconut_Bars</t>
        </is>
      </c>
    </row>
    <row r="647">
      <c r="A647" s="28" t="inlineStr">
        <is>
          <t>Pineapple Juice</t>
        </is>
      </c>
      <c r="B647" s="28" t="inlineStr">
        <is>
          <t>Pineapple</t>
        </is>
      </c>
      <c r="C647" s="28" t="n">
        <v>3</v>
      </c>
      <c r="D647" s="28" t="inlineStr">
        <is>
          <t>Fandom product page (Making table)</t>
        </is>
      </c>
      <c r="E647" s="28" t="inlineStr">
        <is>
          <t>https://hayday.fandom.com/wiki/Pineapple_Juice</t>
        </is>
      </c>
    </row>
    <row r="648">
      <c r="A648" s="28" t="inlineStr">
        <is>
          <t>Pizza</t>
        </is>
      </c>
      <c r="B648" s="28" t="inlineStr">
        <is>
          <t>Wheat</t>
        </is>
      </c>
      <c r="C648" s="28" t="n">
        <v>2</v>
      </c>
      <c r="D648" s="28" t="inlineStr">
        <is>
          <t>Fandom product page (Making table)</t>
        </is>
      </c>
      <c r="E648" s="28" t="inlineStr">
        <is>
          <t>https://hayday.fandom.com/wiki/Pizza</t>
        </is>
      </c>
    </row>
    <row r="649">
      <c r="A649" s="28" t="inlineStr">
        <is>
          <t>Pizza</t>
        </is>
      </c>
      <c r="B649" s="28" t="inlineStr">
        <is>
          <t>Tomato</t>
        </is>
      </c>
      <c r="C649" s="28" t="n">
        <v>1</v>
      </c>
      <c r="D649" s="28" t="inlineStr">
        <is>
          <t>Fandom product page (Making table)</t>
        </is>
      </c>
      <c r="E649" s="28" t="inlineStr">
        <is>
          <t>https://hayday.fandom.com/wiki/Pizza</t>
        </is>
      </c>
    </row>
    <row r="650">
      <c r="A650" s="28" t="inlineStr">
        <is>
          <t>Pizza</t>
        </is>
      </c>
      <c r="B650" s="28" t="inlineStr">
        <is>
          <t>Cheese</t>
        </is>
      </c>
      <c r="C650" s="28" t="n">
        <v>1</v>
      </c>
      <c r="D650" s="28" t="inlineStr">
        <is>
          <t>Fandom product page (Making table)</t>
        </is>
      </c>
      <c r="E650" s="28" t="inlineStr">
        <is>
          <t>https://hayday.fandom.com/wiki/Pizza</t>
        </is>
      </c>
    </row>
    <row r="651">
      <c r="A651" s="28" t="inlineStr">
        <is>
          <t>Plain Cupcake</t>
        </is>
      </c>
      <c r="B651" s="28" t="inlineStr">
        <is>
          <t>Milk</t>
        </is>
      </c>
      <c r="C651" s="28" t="n">
        <v>2</v>
      </c>
      <c r="D651" s="28" t="inlineStr">
        <is>
          <t>Fandom product page (Making table)</t>
        </is>
      </c>
      <c r="E651" s="28" t="inlineStr">
        <is>
          <t>https://hayday.fandom.com/wiki/Plain_Cupcake</t>
        </is>
      </c>
    </row>
    <row r="652">
      <c r="A652" s="28" t="inlineStr">
        <is>
          <t>Plain Cupcake</t>
        </is>
      </c>
      <c r="B652" s="28" t="inlineStr">
        <is>
          <t>White Sugar</t>
        </is>
      </c>
      <c r="C652" s="28" t="n">
        <v>3</v>
      </c>
      <c r="D652" s="28" t="inlineStr">
        <is>
          <t>Fandom product page (Making table)</t>
        </is>
      </c>
      <c r="E652" s="28" t="inlineStr">
        <is>
          <t>https://hayday.fandom.com/wiki/Plain_Cupcake</t>
        </is>
      </c>
    </row>
    <row r="653">
      <c r="A653" s="28" t="inlineStr">
        <is>
          <t>Plain Cupcake</t>
        </is>
      </c>
      <c r="B653" s="28" t="inlineStr">
        <is>
          <t>Egg</t>
        </is>
      </c>
      <c r="C653" s="28" t="n">
        <v>1</v>
      </c>
      <c r="D653" s="28" t="inlineStr">
        <is>
          <t>Fandom product page (Making table)</t>
        </is>
      </c>
      <c r="E653" s="28" t="inlineStr">
        <is>
          <t>https://hayday.fandom.com/wiki/Plain_Cupcake</t>
        </is>
      </c>
    </row>
    <row r="654">
      <c r="A654" s="28" t="inlineStr">
        <is>
          <t>Plain Cupcake</t>
        </is>
      </c>
      <c r="B654" s="28" t="inlineStr">
        <is>
          <t>Wheat</t>
        </is>
      </c>
      <c r="C654" s="28" t="n">
        <v>5</v>
      </c>
      <c r="D654" s="28" t="inlineStr">
        <is>
          <t>Fandom product page (Making table)</t>
        </is>
      </c>
      <c r="E654" s="28" t="inlineStr">
        <is>
          <t>https://hayday.fandom.com/wiki/Plain_Cupcake</t>
        </is>
      </c>
    </row>
    <row r="655">
      <c r="A655" s="28" t="inlineStr">
        <is>
          <t>Plain Donut</t>
        </is>
      </c>
      <c r="B655" s="28" t="inlineStr">
        <is>
          <t>Milk</t>
        </is>
      </c>
      <c r="C655" s="28" t="n">
        <v>1</v>
      </c>
      <c r="D655" s="28" t="inlineStr">
        <is>
          <t>Fandom product page (Making table)</t>
        </is>
      </c>
      <c r="E655" s="28" t="inlineStr">
        <is>
          <t>https://hayday.fandom.com/wiki/Plain_Donut</t>
        </is>
      </c>
    </row>
    <row r="656">
      <c r="A656" s="28" t="inlineStr">
        <is>
          <t>Plain Donut</t>
        </is>
      </c>
      <c r="B656" s="28" t="inlineStr">
        <is>
          <t>White Sugar</t>
        </is>
      </c>
      <c r="C656" s="28" t="n">
        <v>1</v>
      </c>
      <c r="D656" s="28" t="inlineStr">
        <is>
          <t>Fandom product page (Making table)</t>
        </is>
      </c>
      <c r="E656" s="28" t="inlineStr">
        <is>
          <t>https://hayday.fandom.com/wiki/Plain_Donut</t>
        </is>
      </c>
    </row>
    <row r="657">
      <c r="A657" s="28" t="inlineStr">
        <is>
          <t>Plain Donut</t>
        </is>
      </c>
      <c r="B657" s="28" t="inlineStr">
        <is>
          <t>Egg</t>
        </is>
      </c>
      <c r="C657" s="28" t="n">
        <v>1</v>
      </c>
      <c r="D657" s="28" t="inlineStr">
        <is>
          <t>Fandom product page (Making table)</t>
        </is>
      </c>
      <c r="E657" s="28" t="inlineStr">
        <is>
          <t>https://hayday.fandom.com/wiki/Plain_Donut</t>
        </is>
      </c>
    </row>
    <row r="658">
      <c r="A658" s="28" t="inlineStr">
        <is>
          <t>Plain Donut</t>
        </is>
      </c>
      <c r="B658" s="28" t="inlineStr">
        <is>
          <t>Wheat</t>
        </is>
      </c>
      <c r="C658" s="28" t="n">
        <v>3</v>
      </c>
      <c r="D658" s="28" t="inlineStr">
        <is>
          <t>Fandom product page (Making table)</t>
        </is>
      </c>
      <c r="E658" s="28" t="inlineStr">
        <is>
          <t>https://hayday.fandom.com/wiki/Plain_Donut</t>
        </is>
      </c>
    </row>
    <row r="659">
      <c r="A659" s="28" t="inlineStr">
        <is>
          <t>Plain Yogurt</t>
        </is>
      </c>
      <c r="B659" s="28" t="inlineStr">
        <is>
          <t>Milk</t>
        </is>
      </c>
      <c r="C659" s="28" t="n">
        <v>3</v>
      </c>
      <c r="D659" s="28" t="inlineStr">
        <is>
          <t>Fandom product page (Making table)</t>
        </is>
      </c>
      <c r="E659" s="28" t="inlineStr">
        <is>
          <t>https://hayday.fandom.com/wiki/Plain_Yogurt</t>
        </is>
      </c>
    </row>
    <row r="660">
      <c r="A660" s="28" t="inlineStr">
        <is>
          <t>Plain Yogurt</t>
        </is>
      </c>
      <c r="B660" s="28" t="inlineStr">
        <is>
          <t>Cream</t>
        </is>
      </c>
      <c r="C660" s="28" t="n">
        <v>2</v>
      </c>
      <c r="D660" s="28" t="inlineStr">
        <is>
          <t>Fandom product page (Making table)</t>
        </is>
      </c>
      <c r="E660" s="28" t="inlineStr">
        <is>
          <t>https://hayday.fandom.com/wiki/Plain_Yogurt</t>
        </is>
      </c>
    </row>
    <row r="661">
      <c r="A661" s="28" t="inlineStr">
        <is>
          <t>Platinum Bar</t>
        </is>
      </c>
      <c r="B661" s="28" t="inlineStr">
        <is>
          <t>Platinum Ore</t>
        </is>
      </c>
      <c r="C661" s="28" t="n">
        <v>3</v>
      </c>
      <c r="D661" s="28" t="inlineStr">
        <is>
          <t>Fandom product page (Making table)</t>
        </is>
      </c>
      <c r="E661" s="28" t="inlineStr">
        <is>
          <t>https://hayday.fandom.com/wiki/Platinum_Bar</t>
        </is>
      </c>
    </row>
    <row r="662">
      <c r="A662" s="28" t="inlineStr">
        <is>
          <t>Plum Jam</t>
        </is>
      </c>
      <c r="B662" s="28" t="inlineStr">
        <is>
          <t>Plum</t>
        </is>
      </c>
      <c r="C662" s="28" t="n">
        <v>3</v>
      </c>
      <c r="D662" s="28" t="inlineStr">
        <is>
          <t>Fandom product page (Making table)</t>
        </is>
      </c>
      <c r="E662" s="28" t="inlineStr">
        <is>
          <t>https://hayday.fandom.com/wiki/Plum_Jam</t>
        </is>
      </c>
    </row>
    <row r="663">
      <c r="A663" s="28" t="inlineStr">
        <is>
          <t>Plum Smoothie</t>
        </is>
      </c>
      <c r="B663" s="28" t="inlineStr">
        <is>
          <t>Plum</t>
        </is>
      </c>
      <c r="C663" s="28" t="n">
        <v>3</v>
      </c>
      <c r="D663" s="28" t="inlineStr">
        <is>
          <t>Fandom product page (Making table)</t>
        </is>
      </c>
      <c r="E663" s="28" t="inlineStr">
        <is>
          <t>https://hayday.fandom.com/wiki/Plum_Smoothie</t>
        </is>
      </c>
    </row>
    <row r="664">
      <c r="A664" s="28" t="inlineStr">
        <is>
          <t>Plum Smoothie</t>
        </is>
      </c>
      <c r="B664" s="28" t="inlineStr">
        <is>
          <t>Grapes</t>
        </is>
      </c>
      <c r="C664" s="28" t="n">
        <v>2</v>
      </c>
      <c r="D664" s="28" t="inlineStr">
        <is>
          <t>Fandom product page (Making table)</t>
        </is>
      </c>
      <c r="E664" s="28" t="inlineStr">
        <is>
          <t>https://hayday.fandom.com/wiki/Plum_Smoothie</t>
        </is>
      </c>
    </row>
    <row r="665">
      <c r="A665" s="28" t="inlineStr">
        <is>
          <t>Plum Smoothie</t>
        </is>
      </c>
      <c r="B665" s="28" t="inlineStr">
        <is>
          <t>Mint</t>
        </is>
      </c>
      <c r="C665" s="28" t="n">
        <v>1</v>
      </c>
      <c r="D665" s="28" t="inlineStr">
        <is>
          <t>Fandom product page (Making table)</t>
        </is>
      </c>
      <c r="E665" s="28" t="inlineStr">
        <is>
          <t>https://hayday.fandom.com/wiki/Plum_Smoothie</t>
        </is>
      </c>
    </row>
    <row r="666">
      <c r="A666" s="28" t="inlineStr">
        <is>
          <t>Plum Smoothie</t>
        </is>
      </c>
      <c r="B666" s="28" t="inlineStr">
        <is>
          <t>Honey</t>
        </is>
      </c>
      <c r="C666" s="28" t="n">
        <v>1</v>
      </c>
      <c r="D666" s="28" t="inlineStr">
        <is>
          <t>Fandom product page (Making table)</t>
        </is>
      </c>
      <c r="E666" s="28" t="inlineStr">
        <is>
          <t>https://hayday.fandom.com/wiki/Plum_Smoothie</t>
        </is>
      </c>
    </row>
    <row r="667">
      <c r="A667" s="28" t="inlineStr">
        <is>
          <t>Pomegranate Cake</t>
        </is>
      </c>
      <c r="B667" s="28" t="inlineStr">
        <is>
          <t>Pomegranate</t>
        </is>
      </c>
      <c r="C667" s="28" t="n">
        <v>1</v>
      </c>
      <c r="D667" s="28" t="inlineStr">
        <is>
          <t>Fandom product page (Making table)</t>
        </is>
      </c>
      <c r="E667" s="28" t="inlineStr">
        <is>
          <t>https://hayday.fandom.com/wiki/Pomegranate_Cake</t>
        </is>
      </c>
    </row>
    <row r="668">
      <c r="A668" s="28" t="inlineStr">
        <is>
          <t>Pomegranate Cake</t>
        </is>
      </c>
      <c r="B668" s="28" t="inlineStr">
        <is>
          <t>Egg</t>
        </is>
      </c>
      <c r="C668" s="28" t="n">
        <v>2</v>
      </c>
      <c r="D668" s="28" t="inlineStr">
        <is>
          <t>Fandom product page (Making table)</t>
        </is>
      </c>
      <c r="E668" s="28" t="inlineStr">
        <is>
          <t>https://hayday.fandom.com/wiki/Pomegranate_Cake</t>
        </is>
      </c>
    </row>
    <row r="669">
      <c r="A669" s="28" t="inlineStr">
        <is>
          <t>Pomegranate Cake</t>
        </is>
      </c>
      <c r="B669" s="28" t="inlineStr">
        <is>
          <t>Cream</t>
        </is>
      </c>
      <c r="C669" s="28" t="n">
        <v>2</v>
      </c>
      <c r="D669" s="28" t="inlineStr">
        <is>
          <t>Fandom product page (Making table)</t>
        </is>
      </c>
      <c r="E669" s="28" t="inlineStr">
        <is>
          <t>https://hayday.fandom.com/wiki/Pomegranate_Cake</t>
        </is>
      </c>
    </row>
    <row r="670">
      <c r="A670" s="28" t="inlineStr">
        <is>
          <t>Pomegranate Cake</t>
        </is>
      </c>
      <c r="B670" s="28" t="inlineStr">
        <is>
          <t>Wheat</t>
        </is>
      </c>
      <c r="C670" s="28" t="n">
        <v>6</v>
      </c>
      <c r="D670" s="28" t="inlineStr">
        <is>
          <t>Fandom product page (Making table)</t>
        </is>
      </c>
      <c r="E670" s="28" t="inlineStr">
        <is>
          <t>https://hayday.fandom.com/wiki/Pomegranate_Cake</t>
        </is>
      </c>
    </row>
    <row r="671">
      <c r="A671" s="28" t="inlineStr">
        <is>
          <t>Pomegranate Tea</t>
        </is>
      </c>
      <c r="B671" s="28" t="inlineStr">
        <is>
          <t>Pomegranate</t>
        </is>
      </c>
      <c r="C671" s="28" t="n">
        <v>1</v>
      </c>
      <c r="D671" s="28" t="inlineStr">
        <is>
          <t>Fandom product page (Making table)</t>
        </is>
      </c>
      <c r="E671" s="28" t="inlineStr">
        <is>
          <t>https://hayday.fandom.com/wiki/Pomegranate_Tea</t>
        </is>
      </c>
    </row>
    <row r="672">
      <c r="A672" s="28" t="inlineStr">
        <is>
          <t>Pomegranate Tea</t>
        </is>
      </c>
      <c r="B672" s="28" t="inlineStr">
        <is>
          <t>Tea Leaf</t>
        </is>
      </c>
      <c r="C672" s="28" t="n">
        <v>4</v>
      </c>
      <c r="D672" s="28" t="inlineStr">
        <is>
          <t>Fandom product page (Making table)</t>
        </is>
      </c>
      <c r="E672" s="28" t="inlineStr">
        <is>
          <t>https://hayday.fandom.com/wiki/Pomegranate_Tea</t>
        </is>
      </c>
    </row>
    <row r="673">
      <c r="A673" s="28" t="inlineStr">
        <is>
          <t>Popcorn</t>
        </is>
      </c>
      <c r="B673" s="28" t="inlineStr">
        <is>
          <t>Corn</t>
        </is>
      </c>
      <c r="C673" s="28" t="n">
        <v>2</v>
      </c>
      <c r="D673" s="28" t="inlineStr">
        <is>
          <t>Fandom product page (Making table)</t>
        </is>
      </c>
      <c r="E673" s="28" t="inlineStr">
        <is>
          <t>https://hayday.fandom.com/wiki/Popcorn</t>
        </is>
      </c>
    </row>
    <row r="674">
      <c r="A674" s="28" t="inlineStr">
        <is>
          <t>Potato Bread</t>
        </is>
      </c>
      <c r="B674" s="28" t="inlineStr">
        <is>
          <t>Potato</t>
        </is>
      </c>
      <c r="C674" s="28" t="n">
        <v>2</v>
      </c>
      <c r="D674" s="28" t="inlineStr">
        <is>
          <t>Fandom product page (Making table)</t>
        </is>
      </c>
      <c r="E674" s="28" t="inlineStr">
        <is>
          <t>https://hayday.fandom.com/wiki/Potato_Bread</t>
        </is>
      </c>
    </row>
    <row r="675">
      <c r="A675" s="28" t="inlineStr">
        <is>
          <t>Potato Bread</t>
        </is>
      </c>
      <c r="B675" s="28" t="inlineStr">
        <is>
          <t>White Sugar</t>
        </is>
      </c>
      <c r="C675" s="28" t="n">
        <v>1</v>
      </c>
      <c r="D675" s="28" t="inlineStr">
        <is>
          <t>Fandom product page (Making table)</t>
        </is>
      </c>
      <c r="E675" s="28" t="inlineStr">
        <is>
          <t>https://hayday.fandom.com/wiki/Potato_Bread</t>
        </is>
      </c>
    </row>
    <row r="676">
      <c r="A676" s="28" t="inlineStr">
        <is>
          <t>Potato Bread</t>
        </is>
      </c>
      <c r="B676" s="28" t="inlineStr">
        <is>
          <t>Egg</t>
        </is>
      </c>
      <c r="C676" s="28" t="n">
        <v>3</v>
      </c>
      <c r="D676" s="28" t="inlineStr">
        <is>
          <t>Fandom product page (Making table)</t>
        </is>
      </c>
      <c r="E676" s="28" t="inlineStr">
        <is>
          <t>https://hayday.fandom.com/wiki/Potato_Bread</t>
        </is>
      </c>
    </row>
    <row r="677">
      <c r="A677" s="28" t="inlineStr">
        <is>
          <t>Potato Bread</t>
        </is>
      </c>
      <c r="B677" s="28" t="inlineStr">
        <is>
          <t>Butter</t>
        </is>
      </c>
      <c r="C677" s="28" t="n">
        <v>1</v>
      </c>
      <c r="D677" s="28" t="inlineStr">
        <is>
          <t>Fandom product page (Making table)</t>
        </is>
      </c>
      <c r="E677" s="28" t="inlineStr">
        <is>
          <t>https://hayday.fandom.com/wiki/Potato_Bread</t>
        </is>
      </c>
    </row>
    <row r="678">
      <c r="A678" s="28" t="inlineStr">
        <is>
          <t>Potato Feta Cake</t>
        </is>
      </c>
      <c r="B678" s="28" t="inlineStr">
        <is>
          <t>Potato</t>
        </is>
      </c>
      <c r="C678" s="28" t="n">
        <v>1</v>
      </c>
      <c r="D678" s="28" t="inlineStr">
        <is>
          <t>Fandom product page (Making table)</t>
        </is>
      </c>
      <c r="E678" s="28" t="inlineStr">
        <is>
          <t>https://hayday.fandom.com/wiki/Potato_Feta_Cake</t>
        </is>
      </c>
    </row>
    <row r="679">
      <c r="A679" s="28" t="inlineStr">
        <is>
          <t>Potato Feta Cake</t>
        </is>
      </c>
      <c r="B679" s="28" t="inlineStr">
        <is>
          <t>Egg</t>
        </is>
      </c>
      <c r="C679" s="28" t="n">
        <v>4</v>
      </c>
      <c r="D679" s="28" t="inlineStr">
        <is>
          <t>Fandom product page (Making table)</t>
        </is>
      </c>
      <c r="E679" s="28" t="inlineStr">
        <is>
          <t>https://hayday.fandom.com/wiki/Potato_Feta_Cake</t>
        </is>
      </c>
    </row>
    <row r="680">
      <c r="A680" s="28" t="inlineStr">
        <is>
          <t>Potato Feta Cake</t>
        </is>
      </c>
      <c r="B680" s="28" t="inlineStr">
        <is>
          <t>Goat Cheese</t>
        </is>
      </c>
      <c r="C680" s="28" t="n">
        <v>1</v>
      </c>
      <c r="D680" s="28" t="inlineStr">
        <is>
          <t>Fandom product page (Making table)</t>
        </is>
      </c>
      <c r="E680" s="28" t="inlineStr">
        <is>
          <t>https://hayday.fandom.com/wiki/Potato_Feta_Cake</t>
        </is>
      </c>
    </row>
    <row r="681">
      <c r="A681" s="28" t="inlineStr">
        <is>
          <t>Potato Soup</t>
        </is>
      </c>
      <c r="B681" s="28" t="inlineStr">
        <is>
          <t>Potato</t>
        </is>
      </c>
      <c r="C681" s="28" t="n">
        <v>3</v>
      </c>
      <c r="D681" s="28" t="inlineStr">
        <is>
          <t>Fandom product page (Making table)</t>
        </is>
      </c>
      <c r="E681" s="28" t="inlineStr">
        <is>
          <t>https://hayday.fandom.com/wiki/Potato_Soup</t>
        </is>
      </c>
    </row>
    <row r="682">
      <c r="A682" s="28" t="inlineStr">
        <is>
          <t>Potato Soup</t>
        </is>
      </c>
      <c r="B682" s="28" t="inlineStr">
        <is>
          <t>Onion</t>
        </is>
      </c>
      <c r="C682" s="28" t="n">
        <v>2</v>
      </c>
      <c r="D682" s="28" t="inlineStr">
        <is>
          <t>Fandom product page (Making table)</t>
        </is>
      </c>
      <c r="E682" s="28" t="inlineStr">
        <is>
          <t>https://hayday.fandom.com/wiki/Potato_Soup</t>
        </is>
      </c>
    </row>
    <row r="683">
      <c r="A683" s="28" t="inlineStr">
        <is>
          <t>Potato Soup</t>
        </is>
      </c>
      <c r="B683" s="28" t="inlineStr">
        <is>
          <t>Milk</t>
        </is>
      </c>
      <c r="C683" s="28" t="n">
        <v>1</v>
      </c>
      <c r="D683" s="28" t="inlineStr">
        <is>
          <t>Fandom product page (Making table)</t>
        </is>
      </c>
      <c r="E683" s="28" t="inlineStr">
        <is>
          <t>https://hayday.fandom.com/wiki/Potato_Soup</t>
        </is>
      </c>
    </row>
    <row r="684">
      <c r="A684" s="28" t="inlineStr">
        <is>
          <t>Potted Plant</t>
        </is>
      </c>
      <c r="B684" s="28" t="inlineStr">
        <is>
          <t>Clay</t>
        </is>
      </c>
      <c r="C684" s="28" t="n">
        <v>3</v>
      </c>
      <c r="D684" s="28" t="inlineStr">
        <is>
          <t>Fandom product page (Making table)</t>
        </is>
      </c>
      <c r="E684" s="28" t="inlineStr">
        <is>
          <t>https://hayday.fandom.com/wiki/Potted_Plant</t>
        </is>
      </c>
    </row>
    <row r="685">
      <c r="A685" s="28" t="inlineStr">
        <is>
          <t>Potted Plant</t>
        </is>
      </c>
      <c r="B685" s="28" t="inlineStr">
        <is>
          <t>Sunflower</t>
        </is>
      </c>
      <c r="C685" s="28" t="n">
        <v>1</v>
      </c>
      <c r="D685" s="28" t="inlineStr">
        <is>
          <t>Fandom product page (Making table)</t>
        </is>
      </c>
      <c r="E685" s="28" t="inlineStr">
        <is>
          <t>https://hayday.fandom.com/wiki/Potted_Plant</t>
        </is>
      </c>
    </row>
    <row r="686">
      <c r="A686" s="28" t="inlineStr">
        <is>
          <t>Pumpkin Pie</t>
        </is>
      </c>
      <c r="B686" s="28" t="inlineStr">
        <is>
          <t>Pumpkin</t>
        </is>
      </c>
      <c r="C686" s="28" t="n">
        <v>3</v>
      </c>
      <c r="D686" s="28" t="inlineStr">
        <is>
          <t>Fandom product page (Making table)</t>
        </is>
      </c>
      <c r="E686" s="28" t="inlineStr">
        <is>
          <t>https://hayday.fandom.com/wiki/Pumpkin_Pie</t>
        </is>
      </c>
    </row>
    <row r="687">
      <c r="A687" s="28" t="inlineStr">
        <is>
          <t>Pumpkin Pie</t>
        </is>
      </c>
      <c r="B687" s="28" t="inlineStr">
        <is>
          <t>Wheat</t>
        </is>
      </c>
      <c r="C687" s="28" t="n">
        <v>2</v>
      </c>
      <c r="D687" s="28" t="inlineStr">
        <is>
          <t>Fandom product page (Making table)</t>
        </is>
      </c>
      <c r="E687" s="28" t="inlineStr">
        <is>
          <t>https://hayday.fandom.com/wiki/Pumpkin_Pie</t>
        </is>
      </c>
    </row>
    <row r="688">
      <c r="A688" s="28" t="inlineStr">
        <is>
          <t>Pumpkin Pie</t>
        </is>
      </c>
      <c r="B688" s="28" t="inlineStr">
        <is>
          <t>Egg</t>
        </is>
      </c>
      <c r="C688" s="28" t="n">
        <v>1</v>
      </c>
      <c r="D688" s="28" t="inlineStr">
        <is>
          <t>Fandom product page (Making table)</t>
        </is>
      </c>
      <c r="E688" s="28" t="inlineStr">
        <is>
          <t>https://hayday.fandom.com/wiki/Pumpkin_Pie</t>
        </is>
      </c>
    </row>
    <row r="689">
      <c r="A689" s="28" t="inlineStr">
        <is>
          <t>Pumpkin Soup</t>
        </is>
      </c>
      <c r="B689" s="28" t="inlineStr">
        <is>
          <t>Pumpkin</t>
        </is>
      </c>
      <c r="C689" s="28" t="n">
        <v>3</v>
      </c>
      <c r="D689" s="28" t="inlineStr">
        <is>
          <t>Fandom product page (Making table)</t>
        </is>
      </c>
      <c r="E689" s="28" t="inlineStr">
        <is>
          <t>https://hayday.fandom.com/wiki/Pumpkin_Soup</t>
        </is>
      </c>
    </row>
    <row r="690">
      <c r="A690" s="28" t="inlineStr">
        <is>
          <t>Pumpkin Soup</t>
        </is>
      </c>
      <c r="B690" s="28" t="inlineStr">
        <is>
          <t>Butter</t>
        </is>
      </c>
      <c r="C690" s="28" t="n">
        <v>1</v>
      </c>
      <c r="D690" s="28" t="inlineStr">
        <is>
          <t>Fandom product page (Making table)</t>
        </is>
      </c>
      <c r="E690" s="28" t="inlineStr">
        <is>
          <t>https://hayday.fandom.com/wiki/Pumpkin_Soup</t>
        </is>
      </c>
    </row>
    <row r="691">
      <c r="A691" s="28" t="inlineStr">
        <is>
          <t>Pumpkin Soup</t>
        </is>
      </c>
      <c r="B691" s="28" t="inlineStr">
        <is>
          <t>Honey</t>
        </is>
      </c>
      <c r="C691" s="28" t="n">
        <v>1</v>
      </c>
      <c r="D691" s="28" t="inlineStr">
        <is>
          <t>Fandom product page (Making table)</t>
        </is>
      </c>
      <c r="E691" s="28" t="inlineStr">
        <is>
          <t>https://hayday.fandom.com/wiki/Pumpkin_Soup</t>
        </is>
      </c>
    </row>
    <row r="692">
      <c r="A692" s="28" t="inlineStr">
        <is>
          <t>Pumpkin Soup</t>
        </is>
      </c>
      <c r="B692" s="28" t="inlineStr">
        <is>
          <t>Carrot</t>
        </is>
      </c>
      <c r="C692" s="28" t="n">
        <v>2</v>
      </c>
      <c r="D692" s="28" t="inlineStr">
        <is>
          <t>Fandom product page (Making table)</t>
        </is>
      </c>
      <c r="E692" s="28" t="inlineStr">
        <is>
          <t>https://hayday.fandom.com/wiki/Pumpkin_Soup</t>
        </is>
      </c>
    </row>
    <row r="693">
      <c r="A693" s="28" t="inlineStr">
        <is>
          <t>Quesadilla</t>
        </is>
      </c>
      <c r="B693" s="28" t="inlineStr">
        <is>
          <t>Cheese</t>
        </is>
      </c>
      <c r="C693" s="28" t="n">
        <v>1</v>
      </c>
      <c r="D693" s="28" t="inlineStr">
        <is>
          <t>Fandom product page (Making table)</t>
        </is>
      </c>
      <c r="E693" s="28" t="inlineStr">
        <is>
          <t>https://hayday.fandom.com/wiki/Quesadilla</t>
        </is>
      </c>
    </row>
    <row r="694">
      <c r="A694" s="28" t="inlineStr">
        <is>
          <t>Quesadilla</t>
        </is>
      </c>
      <c r="B694" s="28" t="inlineStr">
        <is>
          <t>Chili Pepper</t>
        </is>
      </c>
      <c r="C694" s="28" t="n">
        <v>2</v>
      </c>
      <c r="D694" s="28" t="inlineStr">
        <is>
          <t>Fandom product page (Making table)</t>
        </is>
      </c>
      <c r="E694" s="28" t="inlineStr">
        <is>
          <t>https://hayday.fandom.com/wiki/Quesadilla</t>
        </is>
      </c>
    </row>
    <row r="695">
      <c r="A695" s="28" t="inlineStr">
        <is>
          <t>Quesadilla</t>
        </is>
      </c>
      <c r="B695" s="28" t="inlineStr">
        <is>
          <t>Wheat</t>
        </is>
      </c>
      <c r="C695" s="28" t="n">
        <v>4</v>
      </c>
      <c r="D695" s="28" t="inlineStr">
        <is>
          <t>Fandom product page (Making table)</t>
        </is>
      </c>
      <c r="E695" s="28" t="inlineStr">
        <is>
          <t>https://hayday.fandom.com/wiki/Quesadilla</t>
        </is>
      </c>
    </row>
    <row r="696">
      <c r="A696" s="28" t="inlineStr">
        <is>
          <t>Raspberry Candle</t>
        </is>
      </c>
      <c r="B696" s="28" t="inlineStr">
        <is>
          <t>Beeswax</t>
        </is>
      </c>
      <c r="C696" s="28" t="n">
        <v>1</v>
      </c>
      <c r="D696" s="28" t="inlineStr">
        <is>
          <t>Fandom product page (Making table)</t>
        </is>
      </c>
      <c r="E696" s="28" t="inlineStr">
        <is>
          <t>https://hayday.fandom.com/wiki/Raspberry_Candle</t>
        </is>
      </c>
    </row>
    <row r="697">
      <c r="A697" s="28" t="inlineStr">
        <is>
          <t>Raspberry Candle</t>
        </is>
      </c>
      <c r="B697" s="28" t="inlineStr">
        <is>
          <t>Raspberry</t>
        </is>
      </c>
      <c r="C697" s="28" t="n">
        <v>2</v>
      </c>
      <c r="D697" s="28" t="inlineStr">
        <is>
          <t>Fandom product page (Making table)</t>
        </is>
      </c>
      <c r="E697" s="28" t="inlineStr">
        <is>
          <t>https://hayday.fandom.com/wiki/Raspberry_Candle</t>
        </is>
      </c>
    </row>
    <row r="698">
      <c r="A698" s="28" t="inlineStr">
        <is>
          <t>Raspberry Jam</t>
        </is>
      </c>
      <c r="B698" s="28" t="inlineStr">
        <is>
          <t>Raspberry</t>
        </is>
      </c>
      <c r="C698" s="28" t="n">
        <v>3</v>
      </c>
      <c r="D698" s="28" t="inlineStr">
        <is>
          <t>Fandom product page (Making table)</t>
        </is>
      </c>
      <c r="E698" s="28" t="inlineStr">
        <is>
          <t>https://hayday.fandom.com/wiki/Raspberry_Jam</t>
        </is>
      </c>
    </row>
    <row r="699">
      <c r="A699" s="28" t="inlineStr">
        <is>
          <t>Raspberry Mocha</t>
        </is>
      </c>
      <c r="B699" s="28" t="inlineStr">
        <is>
          <t>Coffee Bean</t>
        </is>
      </c>
      <c r="C699" s="28" t="n">
        <v>1</v>
      </c>
      <c r="D699" s="28" t="inlineStr">
        <is>
          <t>Fandom product page (Making table)</t>
        </is>
      </c>
      <c r="E699" s="28" t="inlineStr">
        <is>
          <t>https://hayday.fandom.com/wiki/Raspberry_Mocha</t>
        </is>
      </c>
    </row>
    <row r="700">
      <c r="A700" s="28" t="inlineStr">
        <is>
          <t>Raspberry Mocha</t>
        </is>
      </c>
      <c r="B700" s="28" t="inlineStr">
        <is>
          <t>Cream</t>
        </is>
      </c>
      <c r="C700" s="28" t="n">
        <v>1</v>
      </c>
      <c r="D700" s="28" t="inlineStr">
        <is>
          <t>Fandom product page (Making table)</t>
        </is>
      </c>
      <c r="E700" s="28" t="inlineStr">
        <is>
          <t>https://hayday.fandom.com/wiki/Raspberry_Mocha</t>
        </is>
      </c>
    </row>
    <row r="701">
      <c r="A701" s="28" t="inlineStr">
        <is>
          <t>Raspberry Mocha</t>
        </is>
      </c>
      <c r="B701" s="28" t="inlineStr">
        <is>
          <t>Cacao</t>
        </is>
      </c>
      <c r="C701" s="28" t="n">
        <v>1</v>
      </c>
      <c r="D701" s="28" t="inlineStr">
        <is>
          <t>Fandom product page (Making table)</t>
        </is>
      </c>
      <c r="E701" s="28" t="inlineStr">
        <is>
          <t>https://hayday.fandom.com/wiki/Raspberry_Mocha</t>
        </is>
      </c>
    </row>
    <row r="702">
      <c r="A702" s="28" t="inlineStr">
        <is>
          <t>Raspberry Mocha</t>
        </is>
      </c>
      <c r="B702" s="28" t="inlineStr">
        <is>
          <t>Raspberry</t>
        </is>
      </c>
      <c r="C702" s="28" t="n">
        <v>1</v>
      </c>
      <c r="D702" s="28" t="inlineStr">
        <is>
          <t>Fandom product page (Making table)</t>
        </is>
      </c>
      <c r="E702" s="28" t="inlineStr">
        <is>
          <t>https://hayday.fandom.com/wiki/Raspberry_Mocha</t>
        </is>
      </c>
    </row>
    <row r="703">
      <c r="A703" s="28" t="inlineStr">
        <is>
          <t>Raspberry Muffin</t>
        </is>
      </c>
      <c r="B703" s="28" t="inlineStr">
        <is>
          <t>Wheat</t>
        </is>
      </c>
      <c r="C703" s="28" t="n">
        <v>2</v>
      </c>
      <c r="D703" s="28" t="inlineStr">
        <is>
          <t>Fandom product page (Making table)</t>
        </is>
      </c>
      <c r="E703" s="28" t="inlineStr">
        <is>
          <t>https://hayday.fandom.com/wiki/Raspberry_Muffin</t>
        </is>
      </c>
    </row>
    <row r="704">
      <c r="A704" s="28" t="inlineStr">
        <is>
          <t>Raspberry Muffin</t>
        </is>
      </c>
      <c r="B704" s="28" t="inlineStr">
        <is>
          <t>Egg</t>
        </is>
      </c>
      <c r="C704" s="28" t="n">
        <v>1</v>
      </c>
      <c r="D704" s="28" t="inlineStr">
        <is>
          <t>Fandom product page (Making table)</t>
        </is>
      </c>
      <c r="E704" s="28" t="inlineStr">
        <is>
          <t>https://hayday.fandom.com/wiki/Raspberry_Muffin</t>
        </is>
      </c>
    </row>
    <row r="705">
      <c r="A705" s="28" t="inlineStr">
        <is>
          <t>Raspberry Muffin</t>
        </is>
      </c>
      <c r="B705" s="28" t="inlineStr">
        <is>
          <t>Raspberry</t>
        </is>
      </c>
      <c r="C705" s="28" t="n">
        <v>2</v>
      </c>
      <c r="D705" s="28" t="inlineStr">
        <is>
          <t>Fandom product page (Making table)</t>
        </is>
      </c>
      <c r="E705" s="28" t="inlineStr">
        <is>
          <t>https://hayday.fandom.com/wiki/Raspberry_Muffin</t>
        </is>
      </c>
    </row>
    <row r="706">
      <c r="A706" s="28" t="inlineStr">
        <is>
          <t>Red Berry Cake</t>
        </is>
      </c>
      <c r="B706" s="28" t="inlineStr">
        <is>
          <t>Raspberry</t>
        </is>
      </c>
      <c r="C706" s="28" t="n">
        <v>1</v>
      </c>
      <c r="D706" s="28" t="inlineStr">
        <is>
          <t>Fandom product page (Making table)</t>
        </is>
      </c>
      <c r="E706" s="28" t="inlineStr">
        <is>
          <t>https://hayday.fandom.com/wiki/Red_Berry_Cake</t>
        </is>
      </c>
    </row>
    <row r="707">
      <c r="A707" s="28" t="inlineStr">
        <is>
          <t>Red Berry Cake</t>
        </is>
      </c>
      <c r="B707" s="28" t="inlineStr">
        <is>
          <t>Cherry</t>
        </is>
      </c>
      <c r="C707" s="28" t="n">
        <v>2</v>
      </c>
      <c r="D707" s="28" t="inlineStr">
        <is>
          <t>Fandom product page (Making table)</t>
        </is>
      </c>
      <c r="E707" s="28" t="inlineStr">
        <is>
          <t>https://hayday.fandom.com/wiki/Red_Berry_Cake</t>
        </is>
      </c>
    </row>
    <row r="708">
      <c r="A708" s="28" t="inlineStr">
        <is>
          <t>Red Berry Cake</t>
        </is>
      </c>
      <c r="B708" s="28" t="inlineStr">
        <is>
          <t>Milk</t>
        </is>
      </c>
      <c r="C708" s="28" t="n">
        <v>1</v>
      </c>
      <c r="D708" s="28" t="inlineStr">
        <is>
          <t>Fandom product page (Making table)</t>
        </is>
      </c>
      <c r="E708" s="28" t="inlineStr">
        <is>
          <t>https://hayday.fandom.com/wiki/Red_Berry_Cake</t>
        </is>
      </c>
    </row>
    <row r="709">
      <c r="A709" s="28" t="inlineStr">
        <is>
          <t>Red Berry Cake</t>
        </is>
      </c>
      <c r="B709" s="28" t="inlineStr">
        <is>
          <t>Egg</t>
        </is>
      </c>
      <c r="C709" s="28" t="n">
        <v>1</v>
      </c>
      <c r="D709" s="28" t="inlineStr">
        <is>
          <t>Fandom product page (Making table)</t>
        </is>
      </c>
      <c r="E709" s="28" t="inlineStr">
        <is>
          <t>https://hayday.fandom.com/wiki/Red_Berry_Cake</t>
        </is>
      </c>
    </row>
    <row r="710">
      <c r="A710" s="28" t="inlineStr">
        <is>
          <t>Red Scarf</t>
        </is>
      </c>
      <c r="B710" s="28" t="inlineStr">
        <is>
          <t>Wool</t>
        </is>
      </c>
      <c r="C710" s="28" t="n">
        <v>2</v>
      </c>
      <c r="D710" s="28" t="inlineStr">
        <is>
          <t>Fandom product page (Making table)</t>
        </is>
      </c>
      <c r="E710" s="28" t="inlineStr">
        <is>
          <t>https://hayday.fandom.com/wiki/Red_Scarf</t>
        </is>
      </c>
    </row>
    <row r="711">
      <c r="A711" s="28" t="inlineStr">
        <is>
          <t>Red Scarf</t>
        </is>
      </c>
      <c r="B711" s="28" t="inlineStr">
        <is>
          <t>Strawberry</t>
        </is>
      </c>
      <c r="C711" s="28" t="n">
        <v>2</v>
      </c>
      <c r="D711" s="28" t="inlineStr">
        <is>
          <t>Fandom product page (Making table)</t>
        </is>
      </c>
      <c r="E711" s="28" t="inlineStr">
        <is>
          <t>https://hayday.fandom.com/wiki/Red_Scarf</t>
        </is>
      </c>
    </row>
    <row r="712">
      <c r="A712" s="28" t="inlineStr">
        <is>
          <t>Refined Coal</t>
        </is>
      </c>
      <c r="B712" s="28" t="inlineStr">
        <is>
          <t>Coal</t>
        </is>
      </c>
      <c r="C712" s="28" t="n">
        <v>3</v>
      </c>
      <c r="D712" s="28" t="inlineStr">
        <is>
          <t>Fandom product page (Making table)</t>
        </is>
      </c>
      <c r="E712" s="28" t="inlineStr">
        <is>
          <t>https://hayday.fandom.com/wiki/Refined_Coal</t>
        </is>
      </c>
    </row>
    <row r="713">
      <c r="A713" s="28" t="inlineStr">
        <is>
          <t>Rice Ball</t>
        </is>
      </c>
      <c r="B713" s="28" t="inlineStr">
        <is>
          <t>Rice</t>
        </is>
      </c>
      <c r="C713" s="28" t="n">
        <v>20</v>
      </c>
      <c r="D713" s="28" t="inlineStr">
        <is>
          <t>Fandom product page (Making table)</t>
        </is>
      </c>
      <c r="E713" s="28" t="inlineStr">
        <is>
          <t>https://hayday.fandom.com/wiki/Rice_Ball</t>
        </is>
      </c>
    </row>
    <row r="714">
      <c r="A714" s="28" t="inlineStr">
        <is>
          <t>Rice Ball</t>
        </is>
      </c>
      <c r="B714" s="28" t="inlineStr">
        <is>
          <t>Sesame</t>
        </is>
      </c>
      <c r="C714" s="28" t="n">
        <v>1</v>
      </c>
      <c r="D714" s="28" t="inlineStr">
        <is>
          <t>Fandom product page (Making table)</t>
        </is>
      </c>
      <c r="E714" s="28" t="inlineStr">
        <is>
          <t>https://hayday.fandom.com/wiki/Rice_Ball</t>
        </is>
      </c>
    </row>
    <row r="715">
      <c r="A715" s="28" t="inlineStr">
        <is>
          <t>Rice Ball</t>
        </is>
      </c>
      <c r="B715" s="28" t="inlineStr">
        <is>
          <t>Plum</t>
        </is>
      </c>
      <c r="C715" s="28" t="n">
        <v>1</v>
      </c>
      <c r="D715" s="28" t="inlineStr">
        <is>
          <t>Fandom product page (Making table)</t>
        </is>
      </c>
      <c r="E715" s="28" t="inlineStr">
        <is>
          <t>https://hayday.fandom.com/wiki/Rice_Ball</t>
        </is>
      </c>
    </row>
    <row r="716">
      <c r="A716" s="28" t="inlineStr">
        <is>
          <t>Rice Noodles</t>
        </is>
      </c>
      <c r="B716" s="28" t="inlineStr">
        <is>
          <t>Rice</t>
        </is>
      </c>
      <c r="C716" s="28" t="n">
        <v>5</v>
      </c>
      <c r="D716" s="28" t="inlineStr">
        <is>
          <t>Fandom product page (Making table)</t>
        </is>
      </c>
      <c r="E716" s="28" t="inlineStr">
        <is>
          <t>https://hayday.fandom.com/wiki/Rice_Noodles</t>
        </is>
      </c>
    </row>
    <row r="717">
      <c r="A717" s="28" t="inlineStr">
        <is>
          <t>Rich Fudge</t>
        </is>
      </c>
      <c r="B717" s="28" t="inlineStr">
        <is>
          <t>Butter</t>
        </is>
      </c>
      <c r="C717" s="28" t="n">
        <v>3</v>
      </c>
      <c r="D717" s="28" t="inlineStr">
        <is>
          <t>Fandom product page (Making table)</t>
        </is>
      </c>
      <c r="E717" s="28" t="inlineStr">
        <is>
          <t>https://hayday.fandom.com/wiki/Rich_Fudge</t>
        </is>
      </c>
    </row>
    <row r="718">
      <c r="A718" s="28" t="inlineStr">
        <is>
          <t>Rich Fudge</t>
        </is>
      </c>
      <c r="B718" s="28" t="inlineStr">
        <is>
          <t>Cacao</t>
        </is>
      </c>
      <c r="C718" s="28" t="n">
        <v>3</v>
      </c>
      <c r="D718" s="28" t="inlineStr">
        <is>
          <t>Fandom product page (Making table)</t>
        </is>
      </c>
      <c r="E718" s="28" t="inlineStr">
        <is>
          <t>https://hayday.fandom.com/wiki/Rich_Fudge</t>
        </is>
      </c>
    </row>
    <row r="719">
      <c r="A719" s="28" t="inlineStr">
        <is>
          <t>Rich Fudge</t>
        </is>
      </c>
      <c r="B719" s="28" t="inlineStr">
        <is>
          <t>White Sugar</t>
        </is>
      </c>
      <c r="C719" s="28" t="n">
        <v>2</v>
      </c>
      <c r="D719" s="28" t="inlineStr">
        <is>
          <t>Fandom product page (Making table)</t>
        </is>
      </c>
      <c r="E719" s="28" t="inlineStr">
        <is>
          <t>https://hayday.fandom.com/wiki/Rich_Fudge</t>
        </is>
      </c>
    </row>
    <row r="720">
      <c r="A720" s="28" t="inlineStr">
        <is>
          <t>Rich Soap</t>
        </is>
      </c>
      <c r="B720" s="28" t="inlineStr">
        <is>
          <t>Oats</t>
        </is>
      </c>
      <c r="C720" s="28" t="n">
        <v>2</v>
      </c>
      <c r="D720" s="28" t="inlineStr">
        <is>
          <t>Fandom product page (Making table)</t>
        </is>
      </c>
      <c r="E720" s="28" t="inlineStr">
        <is>
          <t>https://hayday.fandom.com/wiki/Rich_Soap</t>
        </is>
      </c>
    </row>
    <row r="721">
      <c r="A721" s="28" t="inlineStr">
        <is>
          <t>Rich Soap</t>
        </is>
      </c>
      <c r="B721" s="28" t="inlineStr">
        <is>
          <t>Pomegranate</t>
        </is>
      </c>
      <c r="C721" s="28" t="n">
        <v>1</v>
      </c>
      <c r="D721" s="28" t="inlineStr">
        <is>
          <t>Fandom product page (Making table)</t>
        </is>
      </c>
      <c r="E721" s="28" t="inlineStr">
        <is>
          <t>https://hayday.fandom.com/wiki/Rich_Soap</t>
        </is>
      </c>
    </row>
    <row r="722">
      <c r="A722" s="28" t="inlineStr">
        <is>
          <t>Rich Soap</t>
        </is>
      </c>
      <c r="B722" s="28" t="inlineStr">
        <is>
          <t>Coconut</t>
        </is>
      </c>
      <c r="C722" s="28" t="n">
        <v>1</v>
      </c>
      <c r="D722" s="28" t="inlineStr">
        <is>
          <t>Fandom product page (Making table)</t>
        </is>
      </c>
      <c r="E722" s="28" t="inlineStr">
        <is>
          <t>https://hayday.fandom.com/wiki/Rich_Soap</t>
        </is>
      </c>
    </row>
    <row r="723">
      <c r="A723" s="28" t="inlineStr">
        <is>
          <t>Roasted Tomatoes</t>
        </is>
      </c>
      <c r="B723" s="28" t="inlineStr">
        <is>
          <t>Tomato</t>
        </is>
      </c>
      <c r="C723" s="28" t="n">
        <v>2</v>
      </c>
      <c r="D723" s="28" t="inlineStr">
        <is>
          <t>Fandom product page (Making table)</t>
        </is>
      </c>
      <c r="E723" s="28" t="inlineStr">
        <is>
          <t>https://hayday.fandom.com/wiki/Roasted_Tomatoes</t>
        </is>
      </c>
    </row>
    <row r="724">
      <c r="A724" s="28" t="inlineStr">
        <is>
          <t>Rustic Bouquet</t>
        </is>
      </c>
      <c r="B724" s="28" t="inlineStr">
        <is>
          <t>Wheat</t>
        </is>
      </c>
      <c r="C724" s="28" t="n">
        <v>5</v>
      </c>
      <c r="D724" s="28" t="inlineStr">
        <is>
          <t>Fandom product page (Making table)</t>
        </is>
      </c>
      <c r="E724" s="28" t="inlineStr">
        <is>
          <t>https://hayday.fandom.com/wiki/Rustic_Bouquet</t>
        </is>
      </c>
    </row>
    <row r="725">
      <c r="A725" s="28" t="inlineStr">
        <is>
          <t>Rustic Bouquet</t>
        </is>
      </c>
      <c r="B725" s="28" t="inlineStr">
        <is>
          <t>Indigo</t>
        </is>
      </c>
      <c r="C725" s="28" t="n">
        <v>3</v>
      </c>
      <c r="D725" s="28" t="inlineStr">
        <is>
          <t>Fandom product page (Making table)</t>
        </is>
      </c>
      <c r="E725" s="28" t="inlineStr">
        <is>
          <t>https://hayday.fandom.com/wiki/Rustic_Bouquet</t>
        </is>
      </c>
    </row>
    <row r="726">
      <c r="A726" s="28" t="inlineStr">
        <is>
          <t>Rustic Bouquet</t>
        </is>
      </c>
      <c r="B726" s="28" t="inlineStr">
        <is>
          <t>Cotton</t>
        </is>
      </c>
      <c r="C726" s="28" t="n">
        <v>3</v>
      </c>
      <c r="D726" s="28" t="inlineStr">
        <is>
          <t>Fandom product page (Making table)</t>
        </is>
      </c>
      <c r="E726" s="28" t="inlineStr">
        <is>
          <t>https://hayday.fandom.com/wiki/Rustic_Bouquet</t>
        </is>
      </c>
    </row>
    <row r="727">
      <c r="A727" s="28" t="inlineStr">
        <is>
          <t>Salsa</t>
        </is>
      </c>
      <c r="B727" s="28" t="inlineStr">
        <is>
          <t>Chili Pepper</t>
        </is>
      </c>
      <c r="C727" s="28" t="n">
        <v>2</v>
      </c>
      <c r="D727" s="28" t="inlineStr">
        <is>
          <t>Fandom product page (Making table)</t>
        </is>
      </c>
      <c r="E727" s="28" t="inlineStr">
        <is>
          <t>https://hayday.fandom.com/wiki/Salsa</t>
        </is>
      </c>
    </row>
    <row r="728">
      <c r="A728" s="28" t="inlineStr">
        <is>
          <t>Salsa</t>
        </is>
      </c>
      <c r="B728" s="28" t="inlineStr">
        <is>
          <t>Onion</t>
        </is>
      </c>
      <c r="C728" s="28" t="n">
        <v>2</v>
      </c>
      <c r="D728" s="28" t="inlineStr">
        <is>
          <t>Fandom product page (Making table)</t>
        </is>
      </c>
      <c r="E728" s="28" t="inlineStr">
        <is>
          <t>https://hayday.fandom.com/wiki/Salsa</t>
        </is>
      </c>
    </row>
    <row r="729">
      <c r="A729" s="28" t="inlineStr">
        <is>
          <t>Salsa</t>
        </is>
      </c>
      <c r="B729" s="28" t="inlineStr">
        <is>
          <t>Tomato</t>
        </is>
      </c>
      <c r="C729" s="28" t="n">
        <v>2</v>
      </c>
      <c r="D729" s="28" t="inlineStr">
        <is>
          <t>Fandom product page (Making table)</t>
        </is>
      </c>
      <c r="E729" s="28" t="inlineStr">
        <is>
          <t>https://hayday.fandom.com/wiki/Salsa</t>
        </is>
      </c>
    </row>
    <row r="730">
      <c r="A730" s="28" t="inlineStr">
        <is>
          <t>Samosa</t>
        </is>
      </c>
      <c r="B730" s="28" t="inlineStr">
        <is>
          <t>Chickpea</t>
        </is>
      </c>
      <c r="C730" s="28" t="n">
        <v>2</v>
      </c>
      <c r="D730" s="28" t="inlineStr">
        <is>
          <t>Fandom product page (Making table)</t>
        </is>
      </c>
      <c r="E730" s="28" t="inlineStr">
        <is>
          <t>https://hayday.fandom.com/wiki/Samosa</t>
        </is>
      </c>
    </row>
    <row r="731">
      <c r="A731" s="28" t="inlineStr">
        <is>
          <t>Samosa</t>
        </is>
      </c>
      <c r="B731" s="28" t="inlineStr">
        <is>
          <t>Wheat</t>
        </is>
      </c>
      <c r="C731" s="28" t="n">
        <v>4</v>
      </c>
      <c r="D731" s="28" t="inlineStr">
        <is>
          <t>Fandom product page (Making table)</t>
        </is>
      </c>
      <c r="E731" s="28" t="inlineStr">
        <is>
          <t>https://hayday.fandom.com/wiki/Samosa</t>
        </is>
      </c>
    </row>
    <row r="732">
      <c r="A732" s="28" t="inlineStr">
        <is>
          <t>Samosa</t>
        </is>
      </c>
      <c r="B732" s="28" t="inlineStr">
        <is>
          <t>Potato</t>
        </is>
      </c>
      <c r="C732" s="28" t="n">
        <v>3</v>
      </c>
      <c r="D732" s="28" t="inlineStr">
        <is>
          <t>Fandom product page (Making table)</t>
        </is>
      </c>
      <c r="E732" s="28" t="inlineStr">
        <is>
          <t>https://hayday.fandom.com/wiki/Samosa</t>
        </is>
      </c>
    </row>
    <row r="733">
      <c r="A733" s="28" t="inlineStr">
        <is>
          <t>Samosa</t>
        </is>
      </c>
      <c r="B733" s="28" t="inlineStr">
        <is>
          <t>Chili Pepper</t>
        </is>
      </c>
      <c r="C733" s="28" t="n">
        <v>1</v>
      </c>
      <c r="D733" s="28" t="inlineStr">
        <is>
          <t>Fandom product page (Making table)</t>
        </is>
      </c>
      <c r="E733" s="28" t="inlineStr">
        <is>
          <t>https://hayday.fandom.com/wiki/Samosa</t>
        </is>
      </c>
    </row>
    <row r="734">
      <c r="A734" s="28" t="inlineStr">
        <is>
          <t>Seafood Salad</t>
        </is>
      </c>
      <c r="B734" s="28" t="inlineStr">
        <is>
          <t>Lettuce</t>
        </is>
      </c>
      <c r="C734" s="28" t="n">
        <v>3</v>
      </c>
      <c r="D734" s="28" t="inlineStr">
        <is>
          <t>Fandom product page (Making table)</t>
        </is>
      </c>
      <c r="E734" s="28" t="inlineStr">
        <is>
          <t>https://hayday.fandom.com/wiki/Seafood_Salad</t>
        </is>
      </c>
    </row>
    <row r="735">
      <c r="A735" s="28" t="inlineStr">
        <is>
          <t>Seafood Salad</t>
        </is>
      </c>
      <c r="B735" s="28" t="inlineStr">
        <is>
          <t>Fish Fillet</t>
        </is>
      </c>
      <c r="C735" s="28" t="n">
        <v>1</v>
      </c>
      <c r="D735" s="28" t="inlineStr">
        <is>
          <t>Fandom product page (Making table)</t>
        </is>
      </c>
      <c r="E735" s="28" t="inlineStr">
        <is>
          <t>https://hayday.fandom.com/wiki/Seafood_Salad</t>
        </is>
      </c>
    </row>
    <row r="736">
      <c r="A736" s="28" t="inlineStr">
        <is>
          <t>Seafood Salad</t>
        </is>
      </c>
      <c r="B736" s="28" t="inlineStr">
        <is>
          <t>Lobster Tail</t>
        </is>
      </c>
      <c r="C736" s="28" t="n">
        <v>1</v>
      </c>
      <c r="D736" s="28" t="inlineStr">
        <is>
          <t>Fandom product page (Making table)</t>
        </is>
      </c>
      <c r="E736" s="28" t="inlineStr">
        <is>
          <t>https://hayday.fandom.com/wiki/Seafood_Salad</t>
        </is>
      </c>
    </row>
    <row r="737">
      <c r="A737" s="28" t="inlineStr">
        <is>
          <t>Seafood Salad</t>
        </is>
      </c>
      <c r="B737" s="28" t="inlineStr">
        <is>
          <t>Mayonnaise</t>
        </is>
      </c>
      <c r="C737" s="28" t="n">
        <v>1</v>
      </c>
      <c r="D737" s="28" t="inlineStr">
        <is>
          <t>Fandom product page (Making table)</t>
        </is>
      </c>
      <c r="E737" s="28" t="inlineStr">
        <is>
          <t>https://hayday.fandom.com/wiki/Seafood_Salad</t>
        </is>
      </c>
    </row>
    <row r="738">
      <c r="A738" s="28" t="inlineStr">
        <is>
          <t>Sesame Brittle</t>
        </is>
      </c>
      <c r="B738" s="28" t="inlineStr">
        <is>
          <t>Sesame</t>
        </is>
      </c>
      <c r="C738" s="28" t="n">
        <v>3</v>
      </c>
      <c r="D738" s="28" t="inlineStr">
        <is>
          <t>Fandom product page (Making table)</t>
        </is>
      </c>
      <c r="E738" s="28" t="inlineStr">
        <is>
          <t>https://hayday.fandom.com/wiki/Sesame_Brittle</t>
        </is>
      </c>
    </row>
    <row r="739">
      <c r="A739" s="28" t="inlineStr">
        <is>
          <t>Sesame Brittle</t>
        </is>
      </c>
      <c r="B739" s="28" t="inlineStr">
        <is>
          <t>Ginger</t>
        </is>
      </c>
      <c r="C739" s="28" t="n">
        <v>1</v>
      </c>
      <c r="D739" s="28" t="inlineStr">
        <is>
          <t>Fandom product page (Making table)</t>
        </is>
      </c>
      <c r="E739" s="28" t="inlineStr">
        <is>
          <t>https://hayday.fandom.com/wiki/Sesame_Brittle</t>
        </is>
      </c>
    </row>
    <row r="740">
      <c r="A740" s="28" t="inlineStr">
        <is>
          <t>Sesame Brittle</t>
        </is>
      </c>
      <c r="B740" s="28" t="inlineStr">
        <is>
          <t>Honey</t>
        </is>
      </c>
      <c r="C740" s="28" t="n">
        <v>1</v>
      </c>
      <c r="D740" s="28" t="inlineStr">
        <is>
          <t>Fandom product page (Making table)</t>
        </is>
      </c>
      <c r="E740" s="28" t="inlineStr">
        <is>
          <t>https://hayday.fandom.com/wiki/Sesame_Brittle</t>
        </is>
      </c>
    </row>
    <row r="741">
      <c r="A741" s="28" t="inlineStr">
        <is>
          <t>Sesame Ice Cream</t>
        </is>
      </c>
      <c r="B741" s="28" t="inlineStr">
        <is>
          <t>Cream</t>
        </is>
      </c>
      <c r="C741" s="28" t="n">
        <v>1</v>
      </c>
      <c r="D741" s="28" t="inlineStr">
        <is>
          <t>Fandom product page (Making table)</t>
        </is>
      </c>
      <c r="E741" s="28" t="inlineStr">
        <is>
          <t>https://hayday.fandom.com/wiki/Sesame_Ice_Cream</t>
        </is>
      </c>
    </row>
    <row r="742">
      <c r="A742" s="28" t="inlineStr">
        <is>
          <t>Sesame Ice Cream</t>
        </is>
      </c>
      <c r="B742" s="28" t="inlineStr">
        <is>
          <t>Sesame</t>
        </is>
      </c>
      <c r="C742" s="28" t="n">
        <v>3</v>
      </c>
      <c r="D742" s="28" t="inlineStr">
        <is>
          <t>Fandom product page (Making table)</t>
        </is>
      </c>
      <c r="E742" s="28" t="inlineStr">
        <is>
          <t>https://hayday.fandom.com/wiki/Sesame_Ice_Cream</t>
        </is>
      </c>
    </row>
    <row r="743">
      <c r="A743" s="28" t="inlineStr">
        <is>
          <t>Sesame Ice Cream</t>
        </is>
      </c>
      <c r="B743" s="28" t="inlineStr">
        <is>
          <t>Brown Sugar</t>
        </is>
      </c>
      <c r="C743" s="28" t="n">
        <v>1</v>
      </c>
      <c r="D743" s="28" t="inlineStr">
        <is>
          <t>Fandom product page (Making table)</t>
        </is>
      </c>
      <c r="E743" s="28" t="inlineStr">
        <is>
          <t>https://hayday.fandom.com/wiki/Sesame_Ice_Cream</t>
        </is>
      </c>
    </row>
    <row r="744">
      <c r="A744" s="28" t="inlineStr">
        <is>
          <t>Sheep Feed</t>
        </is>
      </c>
      <c r="B744" s="28" t="inlineStr">
        <is>
          <t>Wheat</t>
        </is>
      </c>
      <c r="C744" s="28" t="n">
        <v>3</v>
      </c>
      <c r="D744" s="28" t="inlineStr">
        <is>
          <t>Fandom product page (Making table)</t>
        </is>
      </c>
      <c r="E744" s="28" t="inlineStr">
        <is>
          <t>https://hayday.fandom.com/wiki/Sheep_Feed</t>
        </is>
      </c>
    </row>
    <row r="745">
      <c r="A745" s="28" t="inlineStr">
        <is>
          <t>Sheep Feed</t>
        </is>
      </c>
      <c r="B745" s="28" t="inlineStr">
        <is>
          <t>Soybean</t>
        </is>
      </c>
      <c r="C745" s="28" t="n">
        <v>1</v>
      </c>
      <c r="D745" s="28" t="inlineStr">
        <is>
          <t>Fandom product page (Making table)</t>
        </is>
      </c>
      <c r="E745" s="28" t="inlineStr">
        <is>
          <t>https://hayday.fandom.com/wiki/Sheep_Feed</t>
        </is>
      </c>
    </row>
    <row r="746">
      <c r="A746" s="28" t="inlineStr">
        <is>
          <t>Shepherd's Pie</t>
        </is>
      </c>
      <c r="B746" s="28" t="inlineStr">
        <is>
          <t>Potato</t>
        </is>
      </c>
      <c r="C746" s="28" t="n">
        <v>2</v>
      </c>
      <c r="D746" s="28" t="inlineStr">
        <is>
          <t>Fandom product page (Making table)</t>
        </is>
      </c>
      <c r="E746" s="28" t="inlineStr">
        <is>
          <t>https://hayday.fandom.com/wiki/Shepherd's_Pie</t>
        </is>
      </c>
    </row>
    <row r="747">
      <c r="A747" s="28" t="inlineStr">
        <is>
          <t>Shepherd's Pie</t>
        </is>
      </c>
      <c r="B747" s="28" t="inlineStr">
        <is>
          <t>Bacon</t>
        </is>
      </c>
      <c r="C747" s="28" t="n">
        <v>2</v>
      </c>
      <c r="D747" s="28" t="inlineStr">
        <is>
          <t>Fandom product page (Making table)</t>
        </is>
      </c>
      <c r="E747" s="28" t="inlineStr">
        <is>
          <t>https://hayday.fandom.com/wiki/Shepherd's_Pie</t>
        </is>
      </c>
    </row>
    <row r="748">
      <c r="A748" s="28" t="inlineStr">
        <is>
          <t>Shepherd's Pie</t>
        </is>
      </c>
      <c r="B748" s="28" t="inlineStr">
        <is>
          <t>Carrot</t>
        </is>
      </c>
      <c r="C748" s="28" t="n">
        <v>2</v>
      </c>
      <c r="D748" s="28" t="inlineStr">
        <is>
          <t>Fandom product page (Making table)</t>
        </is>
      </c>
      <c r="E748" s="28" t="inlineStr">
        <is>
          <t>https://hayday.fandom.com/wiki/Shepherd's_Pie</t>
        </is>
      </c>
    </row>
    <row r="749">
      <c r="A749" s="28" t="inlineStr">
        <is>
          <t>Shepherd's Pie</t>
        </is>
      </c>
      <c r="B749" s="28" t="inlineStr">
        <is>
          <t>Pumpkin</t>
        </is>
      </c>
      <c r="C749" s="28" t="n">
        <v>2</v>
      </c>
      <c r="D749" s="28" t="inlineStr">
        <is>
          <t>Fandom product page (Making table)</t>
        </is>
      </c>
      <c r="E749" s="28" t="inlineStr">
        <is>
          <t>https://hayday.fandom.com/wiki/Shepherd's_Pie</t>
        </is>
      </c>
    </row>
    <row r="750">
      <c r="A750" s="28" t="inlineStr">
        <is>
          <t>Silver Bar</t>
        </is>
      </c>
      <c r="B750" s="28" t="inlineStr">
        <is>
          <t>Silver Ore</t>
        </is>
      </c>
      <c r="C750" s="28" t="n">
        <v>3</v>
      </c>
      <c r="D750" s="28" t="inlineStr">
        <is>
          <t>Fandom product page (Making table)</t>
        </is>
      </c>
      <c r="E750" s="28" t="inlineStr">
        <is>
          <t>https://hayday.fandom.com/wiki/Silver_Bar</t>
        </is>
      </c>
    </row>
    <row r="751">
      <c r="A751" s="28" t="inlineStr">
        <is>
          <t>Snack Mix</t>
        </is>
      </c>
      <c r="B751" s="28" t="inlineStr">
        <is>
          <t>Corn</t>
        </is>
      </c>
      <c r="C751" s="28" t="n">
        <v>2</v>
      </c>
      <c r="D751" s="28" t="inlineStr">
        <is>
          <t>Fandom product page (Making table)</t>
        </is>
      </c>
      <c r="E751" s="28" t="inlineStr">
        <is>
          <t>https://hayday.fandom.com/wiki/Snack_Mix</t>
        </is>
      </c>
    </row>
    <row r="752">
      <c r="A752" s="28" t="inlineStr">
        <is>
          <t>Snack Mix</t>
        </is>
      </c>
      <c r="B752" s="28" t="inlineStr">
        <is>
          <t>Sesame</t>
        </is>
      </c>
      <c r="C752" s="28" t="n">
        <v>1</v>
      </c>
      <c r="D752" s="28" t="inlineStr">
        <is>
          <t>Fandom product page (Making table)</t>
        </is>
      </c>
      <c r="E752" s="28" t="inlineStr">
        <is>
          <t>https://hayday.fandom.com/wiki/Snack_Mix</t>
        </is>
      </c>
    </row>
    <row r="753">
      <c r="A753" s="28" t="inlineStr">
        <is>
          <t>Snack Mix</t>
        </is>
      </c>
      <c r="B753" s="28" t="inlineStr">
        <is>
          <t>Peanuts</t>
        </is>
      </c>
      <c r="C753" s="28" t="n">
        <v>1</v>
      </c>
      <c r="D753" s="28" t="inlineStr">
        <is>
          <t>Fandom product page (Making table)</t>
        </is>
      </c>
      <c r="E753" s="28" t="inlineStr">
        <is>
          <t>https://hayday.fandom.com/wiki/Snack_Mix</t>
        </is>
      </c>
    </row>
    <row r="754">
      <c r="A754" s="28" t="inlineStr">
        <is>
          <t>Soft Bouquet</t>
        </is>
      </c>
      <c r="B754" s="28" t="inlineStr">
        <is>
          <t>Peony</t>
        </is>
      </c>
      <c r="C754" s="28" t="n">
        <v>4</v>
      </c>
      <c r="D754" s="28" t="inlineStr">
        <is>
          <t>Fandom product page (Making table)</t>
        </is>
      </c>
      <c r="E754" s="28" t="inlineStr">
        <is>
          <t>https://hayday.fandom.com/wiki/Soft_Bouquet</t>
        </is>
      </c>
    </row>
    <row r="755">
      <c r="A755" s="28" t="inlineStr">
        <is>
          <t>Soft Bouquet</t>
        </is>
      </c>
      <c r="B755" s="28" t="inlineStr">
        <is>
          <t>Cotton</t>
        </is>
      </c>
      <c r="C755" s="28" t="n">
        <v>1</v>
      </c>
      <c r="D755" s="28" t="inlineStr">
        <is>
          <t>Fandom product page (Making table)</t>
        </is>
      </c>
      <c r="E755" s="28" t="inlineStr">
        <is>
          <t>https://hayday.fandom.com/wiki/Soft_Bouquet</t>
        </is>
      </c>
    </row>
    <row r="756">
      <c r="A756" s="28" t="inlineStr">
        <is>
          <t>Soft Bouquet</t>
        </is>
      </c>
      <c r="B756" s="28" t="inlineStr">
        <is>
          <t>Cotton Fabric</t>
        </is>
      </c>
      <c r="C756" s="28" t="n">
        <v>1</v>
      </c>
      <c r="D756" s="28" t="inlineStr">
        <is>
          <t>Fandom product page (Making table)</t>
        </is>
      </c>
      <c r="E756" s="28" t="inlineStr">
        <is>
          <t>https://hayday.fandom.com/wiki/Soft_Bouquet</t>
        </is>
      </c>
    </row>
    <row r="757">
      <c r="A757" s="28" t="inlineStr">
        <is>
          <t>Soothing Pad</t>
        </is>
      </c>
      <c r="B757" s="28" t="inlineStr">
        <is>
          <t>Cotton Fabric</t>
        </is>
      </c>
      <c r="C757" s="28" t="n">
        <v>2</v>
      </c>
      <c r="D757" s="28" t="inlineStr">
        <is>
          <t>Fandom product page (Making table)</t>
        </is>
      </c>
      <c r="E757" s="28" t="inlineStr">
        <is>
          <t>https://hayday.fandom.com/wiki/Soothing_Pad</t>
        </is>
      </c>
    </row>
    <row r="758">
      <c r="A758" s="28" t="inlineStr">
        <is>
          <t>Soothing Pad</t>
        </is>
      </c>
      <c r="B758" s="28" t="inlineStr">
        <is>
          <t>Wheat</t>
        </is>
      </c>
      <c r="C758" s="28" t="n">
        <v>5</v>
      </c>
      <c r="D758" s="28" t="inlineStr">
        <is>
          <t>Fandom product page (Making table)</t>
        </is>
      </c>
      <c r="E758" s="28" t="inlineStr">
        <is>
          <t>https://hayday.fandom.com/wiki/Soothing_Pad</t>
        </is>
      </c>
    </row>
    <row r="759">
      <c r="A759" s="28" t="inlineStr">
        <is>
          <t>Soothing Pad</t>
        </is>
      </c>
      <c r="B759" s="28" t="inlineStr">
        <is>
          <t>Chamomile</t>
        </is>
      </c>
      <c r="C759" s="28" t="n">
        <v>5</v>
      </c>
      <c r="D759" s="28" t="inlineStr">
        <is>
          <t>Fandom product page (Making table)</t>
        </is>
      </c>
      <c r="E759" s="28" t="inlineStr">
        <is>
          <t>https://hayday.fandom.com/wiki/Soothing_Pad</t>
        </is>
      </c>
    </row>
    <row r="760">
      <c r="A760" s="28" t="inlineStr">
        <is>
          <t>Soy Sauce</t>
        </is>
      </c>
      <c r="B760" s="28" t="inlineStr">
        <is>
          <t>Soybean</t>
        </is>
      </c>
      <c r="C760" s="28" t="n">
        <v>9</v>
      </c>
      <c r="D760" s="28" t="inlineStr">
        <is>
          <t>Fandom product page (Making table)</t>
        </is>
      </c>
      <c r="E760" s="28" t="inlineStr">
        <is>
          <t>https://hayday.fandom.com/wiki/Soy_Sauce</t>
        </is>
      </c>
    </row>
    <row r="761">
      <c r="A761" s="28" t="inlineStr">
        <is>
          <t>Soy Sauce</t>
        </is>
      </c>
      <c r="B761" s="28" t="inlineStr">
        <is>
          <t>Wheat</t>
        </is>
      </c>
      <c r="C761" s="28" t="n">
        <v>1</v>
      </c>
      <c r="D761" s="28" t="inlineStr">
        <is>
          <t>Fandom product page (Making table)</t>
        </is>
      </c>
      <c r="E761" s="28" t="inlineStr">
        <is>
          <t>https://hayday.fandom.com/wiki/Soy_Sauce</t>
        </is>
      </c>
    </row>
    <row r="762">
      <c r="A762" s="28" t="inlineStr">
        <is>
          <t>Spicy Bean Taco</t>
        </is>
      </c>
      <c r="B762" s="28" t="inlineStr">
        <is>
          <t>Taco</t>
        </is>
      </c>
      <c r="C762" s="28" t="n">
        <v>1</v>
      </c>
      <c r="D762" s="28" t="inlineStr">
        <is>
          <t>Fandom product page (Making table)</t>
        </is>
      </c>
      <c r="E762" s="28" t="inlineStr">
        <is>
          <t>https://hayday.fandom.com/wiki/Spicy_Bean_Taco</t>
        </is>
      </c>
    </row>
    <row r="763">
      <c r="A763" s="28" t="inlineStr">
        <is>
          <t>Spicy Bean Taco</t>
        </is>
      </c>
      <c r="B763" s="28" t="inlineStr">
        <is>
          <t>Black Bean</t>
        </is>
      </c>
      <c r="C763" s="28" t="n">
        <v>2</v>
      </c>
      <c r="D763" s="28" t="inlineStr">
        <is>
          <t>Fandom product page (Making table)</t>
        </is>
      </c>
      <c r="E763" s="28" t="inlineStr">
        <is>
          <t>https://hayday.fandom.com/wiki/Spicy_Bean_Taco</t>
        </is>
      </c>
    </row>
    <row r="764">
      <c r="A764" s="28" t="inlineStr">
        <is>
          <t>Spicy Fish</t>
        </is>
      </c>
      <c r="B764" s="28" t="inlineStr">
        <is>
          <t>Fish Fillet</t>
        </is>
      </c>
      <c r="C764" s="28" t="n">
        <v>1</v>
      </c>
      <c r="D764" s="28" t="inlineStr">
        <is>
          <t>Fandom product page (Making table)</t>
        </is>
      </c>
      <c r="E764" s="28" t="inlineStr">
        <is>
          <t>https://hayday.fandom.com/wiki/Spicy_Fish</t>
        </is>
      </c>
    </row>
    <row r="765">
      <c r="A765" s="28" t="inlineStr">
        <is>
          <t>Spicy Fish</t>
        </is>
      </c>
      <c r="B765" s="28" t="inlineStr">
        <is>
          <t>Chili Pepper</t>
        </is>
      </c>
      <c r="C765" s="28" t="n">
        <v>3</v>
      </c>
      <c r="D765" s="28" t="inlineStr">
        <is>
          <t>Fandom product page (Making table)</t>
        </is>
      </c>
      <c r="E765" s="28" t="inlineStr">
        <is>
          <t>https://hayday.fandom.com/wiki/Spicy_Fish</t>
        </is>
      </c>
    </row>
    <row r="766">
      <c r="A766" s="28" t="inlineStr">
        <is>
          <t>Spicy Fish</t>
        </is>
      </c>
      <c r="B766" s="28" t="inlineStr">
        <is>
          <t>Garlic</t>
        </is>
      </c>
      <c r="C766" s="28" t="n">
        <v>5</v>
      </c>
      <c r="D766" s="28" t="inlineStr">
        <is>
          <t>Fandom product page (Making table)</t>
        </is>
      </c>
      <c r="E766" s="28" t="inlineStr">
        <is>
          <t>https://hayday.fandom.com/wiki/Spicy_Fish</t>
        </is>
      </c>
    </row>
    <row r="767">
      <c r="A767" s="28" t="inlineStr">
        <is>
          <t>Spicy Fish</t>
        </is>
      </c>
      <c r="B767" s="28" t="inlineStr">
        <is>
          <t>Olive Oil</t>
        </is>
      </c>
      <c r="C767" s="28" t="n">
        <v>1</v>
      </c>
      <c r="D767" s="28" t="inlineStr">
        <is>
          <t>Fandom product page (Making table)</t>
        </is>
      </c>
      <c r="E767" s="28" t="inlineStr">
        <is>
          <t>https://hayday.fandom.com/wiki/Spicy_Fish</t>
        </is>
      </c>
    </row>
    <row r="768">
      <c r="A768" s="28" t="inlineStr">
        <is>
          <t>Spicy Pasta</t>
        </is>
      </c>
      <c r="B768" s="28" t="inlineStr">
        <is>
          <t>Fresh Pasta</t>
        </is>
      </c>
      <c r="C768" s="28" t="n">
        <v>3</v>
      </c>
      <c r="D768" s="28" t="inlineStr">
        <is>
          <t>Fandom product page (Making table)</t>
        </is>
      </c>
      <c r="E768" s="28" t="inlineStr">
        <is>
          <t>https://hayday.fandom.com/wiki/Spicy_Pasta</t>
        </is>
      </c>
    </row>
    <row r="769">
      <c r="A769" s="28" t="inlineStr">
        <is>
          <t>Spicy Pasta</t>
        </is>
      </c>
      <c r="B769" s="28" t="inlineStr">
        <is>
          <t>Tomato Sauce</t>
        </is>
      </c>
      <c r="C769" s="28" t="n">
        <v>1</v>
      </c>
      <c r="D769" s="28" t="inlineStr">
        <is>
          <t>Fandom product page (Making table)</t>
        </is>
      </c>
      <c r="E769" s="28" t="inlineStr">
        <is>
          <t>https://hayday.fandom.com/wiki/Spicy_Pasta</t>
        </is>
      </c>
    </row>
    <row r="770">
      <c r="A770" s="28" t="inlineStr">
        <is>
          <t>Spicy Pasta</t>
        </is>
      </c>
      <c r="B770" s="28" t="inlineStr">
        <is>
          <t>Chili Pepper</t>
        </is>
      </c>
      <c r="C770" s="28" t="n">
        <v>3</v>
      </c>
      <c r="D770" s="28" t="inlineStr">
        <is>
          <t>Fandom product page (Making table)</t>
        </is>
      </c>
      <c r="E770" s="28" t="inlineStr">
        <is>
          <t>https://hayday.fandom.com/wiki/Spicy_Pasta</t>
        </is>
      </c>
    </row>
    <row r="771">
      <c r="A771" s="28" t="inlineStr">
        <is>
          <t>Spicy Pasta</t>
        </is>
      </c>
      <c r="B771" s="28" t="inlineStr">
        <is>
          <t>Onion</t>
        </is>
      </c>
      <c r="C771" s="28" t="n">
        <v>2</v>
      </c>
      <c r="D771" s="28" t="inlineStr">
        <is>
          <t>Fandom product page (Making table)</t>
        </is>
      </c>
      <c r="E771" s="28" t="inlineStr">
        <is>
          <t>https://hayday.fandom.com/wiki/Spicy_Pasta</t>
        </is>
      </c>
    </row>
    <row r="772">
      <c r="A772" s="28" t="inlineStr">
        <is>
          <t>Spicy Pizza</t>
        </is>
      </c>
      <c r="B772" s="28" t="inlineStr">
        <is>
          <t>Wheat</t>
        </is>
      </c>
      <c r="C772" s="28" t="n">
        <v>2</v>
      </c>
      <c r="D772" s="28" t="inlineStr">
        <is>
          <t>Fandom product page (Making table)</t>
        </is>
      </c>
      <c r="E772" s="28" t="inlineStr">
        <is>
          <t>https://hayday.fandom.com/wiki/Spicy_Pizza</t>
        </is>
      </c>
    </row>
    <row r="773">
      <c r="A773" s="28" t="inlineStr">
        <is>
          <t>Spicy Pizza</t>
        </is>
      </c>
      <c r="B773" s="28" t="inlineStr">
        <is>
          <t>Tomato</t>
        </is>
      </c>
      <c r="C773" s="28" t="n">
        <v>1</v>
      </c>
      <c r="D773" s="28" t="inlineStr">
        <is>
          <t>Fandom product page (Making table)</t>
        </is>
      </c>
      <c r="E773" s="28" t="inlineStr">
        <is>
          <t>https://hayday.fandom.com/wiki/Spicy_Pizza</t>
        </is>
      </c>
    </row>
    <row r="774">
      <c r="A774" s="28" t="inlineStr">
        <is>
          <t>Spicy Pizza</t>
        </is>
      </c>
      <c r="B774" s="28" t="inlineStr">
        <is>
          <t>Cheese</t>
        </is>
      </c>
      <c r="C774" s="28" t="n">
        <v>1</v>
      </c>
      <c r="D774" s="28" t="inlineStr">
        <is>
          <t>Fandom product page (Making table)</t>
        </is>
      </c>
      <c r="E774" s="28" t="inlineStr">
        <is>
          <t>https://hayday.fandom.com/wiki/Spicy_Pizza</t>
        </is>
      </c>
    </row>
    <row r="775">
      <c r="A775" s="28" t="inlineStr">
        <is>
          <t>Spicy Pizza</t>
        </is>
      </c>
      <c r="B775" s="28" t="inlineStr">
        <is>
          <t>Chili Pepper</t>
        </is>
      </c>
      <c r="C775" s="28" t="n">
        <v>1</v>
      </c>
      <c r="D775" s="28" t="inlineStr">
        <is>
          <t>Fandom product page (Making table)</t>
        </is>
      </c>
      <c r="E775" s="28" t="inlineStr">
        <is>
          <t>https://hayday.fandom.com/wiki/Spicy_Pizza</t>
        </is>
      </c>
    </row>
    <row r="776">
      <c r="A776" s="28" t="inlineStr">
        <is>
          <t>Sprinkled Donut</t>
        </is>
      </c>
      <c r="B776" s="28" t="inlineStr">
        <is>
          <t>Plain Donut</t>
        </is>
      </c>
      <c r="C776" s="28" t="n">
        <v>1</v>
      </c>
      <c r="D776" s="28" t="inlineStr">
        <is>
          <t>Fandom product page (Making table)</t>
        </is>
      </c>
      <c r="E776" s="28" t="inlineStr">
        <is>
          <t>https://hayday.fandom.com/wiki/Sprinkled_Donut</t>
        </is>
      </c>
    </row>
    <row r="777">
      <c r="A777" s="28" t="inlineStr">
        <is>
          <t>Sprinkled Donut</t>
        </is>
      </c>
      <c r="B777" s="28" t="inlineStr">
        <is>
          <t>Cacao</t>
        </is>
      </c>
      <c r="C777" s="28" t="n">
        <v>2</v>
      </c>
      <c r="D777" s="28" t="inlineStr">
        <is>
          <t>Fandom product page (Making table)</t>
        </is>
      </c>
      <c r="E777" s="28" t="inlineStr">
        <is>
          <t>https://hayday.fandom.com/wiki/Sprinkled_Donut</t>
        </is>
      </c>
    </row>
    <row r="778">
      <c r="A778" s="28" t="inlineStr">
        <is>
          <t>Steamed Mussels</t>
        </is>
      </c>
      <c r="B778" s="28" t="inlineStr">
        <is>
          <t>Mussel Meat</t>
        </is>
      </c>
      <c r="C778" s="28" t="n">
        <v>4</v>
      </c>
      <c r="D778" s="28" t="inlineStr">
        <is>
          <t>Fandom product page (Making table)</t>
        </is>
      </c>
      <c r="E778" s="28" t="inlineStr">
        <is>
          <t>https://hayday.fandom.com/wiki/Steamed_Mussels</t>
        </is>
      </c>
    </row>
    <row r="779">
      <c r="A779" s="28" t="inlineStr">
        <is>
          <t>Steamed Mussels</t>
        </is>
      </c>
      <c r="B779" s="28" t="inlineStr">
        <is>
          <t>Butter</t>
        </is>
      </c>
      <c r="C779" s="28" t="n">
        <v>2</v>
      </c>
      <c r="D779" s="28" t="inlineStr">
        <is>
          <t>Fandom product page (Making table)</t>
        </is>
      </c>
      <c r="E779" s="28" t="inlineStr">
        <is>
          <t>https://hayday.fandom.com/wiki/Steamed_Mussels</t>
        </is>
      </c>
    </row>
    <row r="780">
      <c r="A780" s="28" t="inlineStr">
        <is>
          <t>Strawberry Cake</t>
        </is>
      </c>
      <c r="B780" s="28" t="inlineStr">
        <is>
          <t>Wheat</t>
        </is>
      </c>
      <c r="C780" s="28" t="n">
        <v>3</v>
      </c>
      <c r="D780" s="28" t="inlineStr">
        <is>
          <t>Fandom product page (Making table)</t>
        </is>
      </c>
      <c r="E780" s="28" t="inlineStr">
        <is>
          <t>https://hayday.fandom.com/wiki/Strawberry_Cake</t>
        </is>
      </c>
    </row>
    <row r="781">
      <c r="A781" s="28" t="inlineStr">
        <is>
          <t>Strawberry Cake</t>
        </is>
      </c>
      <c r="B781" s="28" t="inlineStr">
        <is>
          <t>Strawberry</t>
        </is>
      </c>
      <c r="C781" s="28" t="n">
        <v>2</v>
      </c>
      <c r="D781" s="28" t="inlineStr">
        <is>
          <t>Fandom product page (Making table)</t>
        </is>
      </c>
      <c r="E781" s="28" t="inlineStr">
        <is>
          <t>https://hayday.fandom.com/wiki/Strawberry_Cake</t>
        </is>
      </c>
    </row>
    <row r="782">
      <c r="A782" s="28" t="inlineStr">
        <is>
          <t>Strawberry Cake</t>
        </is>
      </c>
      <c r="B782" s="28" t="inlineStr">
        <is>
          <t>Cream</t>
        </is>
      </c>
      <c r="C782" s="28" t="n">
        <v>1</v>
      </c>
      <c r="D782" s="28" t="inlineStr">
        <is>
          <t>Fandom product page (Making table)</t>
        </is>
      </c>
      <c r="E782" s="28" t="inlineStr">
        <is>
          <t>https://hayday.fandom.com/wiki/Strawberry_Cake</t>
        </is>
      </c>
    </row>
    <row r="783">
      <c r="A783" s="28" t="inlineStr">
        <is>
          <t>Strawberry Cake</t>
        </is>
      </c>
      <c r="B783" s="28" t="inlineStr">
        <is>
          <t>White Sugar</t>
        </is>
      </c>
      <c r="C783" s="28" t="n">
        <v>1</v>
      </c>
      <c r="D783" s="28" t="inlineStr">
        <is>
          <t>Fandom product page (Making table)</t>
        </is>
      </c>
      <c r="E783" s="28" t="inlineStr">
        <is>
          <t>https://hayday.fandom.com/wiki/Strawberry_Cake</t>
        </is>
      </c>
    </row>
    <row r="784">
      <c r="A784" s="28" t="inlineStr">
        <is>
          <t>Strawberry Candle</t>
        </is>
      </c>
      <c r="B784" s="28" t="inlineStr">
        <is>
          <t>Beeswax</t>
        </is>
      </c>
      <c r="C784" s="28" t="n">
        <v>1</v>
      </c>
      <c r="D784" s="28" t="inlineStr">
        <is>
          <t>Fandom product page (Making table)</t>
        </is>
      </c>
      <c r="E784" s="28" t="inlineStr">
        <is>
          <t>https://hayday.fandom.com/wiki/Strawberry_Candle</t>
        </is>
      </c>
    </row>
    <row r="785">
      <c r="A785" s="28" t="inlineStr">
        <is>
          <t>Strawberry Candle</t>
        </is>
      </c>
      <c r="B785" s="28" t="inlineStr">
        <is>
          <t>Strawberry</t>
        </is>
      </c>
      <c r="C785" s="28" t="n">
        <v>2</v>
      </c>
      <c r="D785" s="28" t="inlineStr">
        <is>
          <t>Fandom product page (Making table)</t>
        </is>
      </c>
      <c r="E785" s="28" t="inlineStr">
        <is>
          <t>https://hayday.fandom.com/wiki/Strawberry_Candle</t>
        </is>
      </c>
    </row>
    <row r="786">
      <c r="A786" s="28" t="inlineStr">
        <is>
          <t>Strawberry Ice Cream</t>
        </is>
      </c>
      <c r="B786" s="28" t="inlineStr">
        <is>
          <t>Cream</t>
        </is>
      </c>
      <c r="C786" s="28" t="n">
        <v>1</v>
      </c>
      <c r="D786" s="28" t="inlineStr">
        <is>
          <t>Fandom product page (Making table)</t>
        </is>
      </c>
      <c r="E786" s="28" t="inlineStr">
        <is>
          <t>https://hayday.fandom.com/wiki/Strawberry_Ice_Cream</t>
        </is>
      </c>
    </row>
    <row r="787">
      <c r="A787" s="28" t="inlineStr">
        <is>
          <t>Strawberry Ice Cream</t>
        </is>
      </c>
      <c r="B787" s="28" t="inlineStr">
        <is>
          <t>White Sugar</t>
        </is>
      </c>
      <c r="C787" s="28" t="n">
        <v>1</v>
      </c>
      <c r="D787" s="28" t="inlineStr">
        <is>
          <t>Fandom product page (Making table)</t>
        </is>
      </c>
      <c r="E787" s="28" t="inlineStr">
        <is>
          <t>https://hayday.fandom.com/wiki/Strawberry_Ice_Cream</t>
        </is>
      </c>
    </row>
    <row r="788">
      <c r="A788" s="28" t="inlineStr">
        <is>
          <t>Strawberry Ice Cream</t>
        </is>
      </c>
      <c r="B788" s="28" t="inlineStr">
        <is>
          <t>Strawberry</t>
        </is>
      </c>
      <c r="C788" s="28" t="n">
        <v>3</v>
      </c>
      <c r="D788" s="28" t="inlineStr">
        <is>
          <t>Fandom product page (Making table)</t>
        </is>
      </c>
      <c r="E788" s="28" t="inlineStr">
        <is>
          <t>https://hayday.fandom.com/wiki/Strawberry_Ice_Cream</t>
        </is>
      </c>
    </row>
    <row r="789">
      <c r="A789" s="28" t="inlineStr">
        <is>
          <t>Strawberry Ice Cream</t>
        </is>
      </c>
      <c r="B789" s="28" t="inlineStr">
        <is>
          <t>Milk</t>
        </is>
      </c>
      <c r="C789" s="28" t="n">
        <v>1</v>
      </c>
      <c r="D789" s="28" t="inlineStr">
        <is>
          <t>Fandom product page (Making table)</t>
        </is>
      </c>
      <c r="E789" s="28" t="inlineStr">
        <is>
          <t>https://hayday.fandom.com/wiki/Strawberry_Ice_Cream</t>
        </is>
      </c>
    </row>
    <row r="790">
      <c r="A790" s="28" t="inlineStr">
        <is>
          <t>Strawberry Jam</t>
        </is>
      </c>
      <c r="B790" s="28" t="inlineStr">
        <is>
          <t>Strawberry</t>
        </is>
      </c>
      <c r="C790" s="28" t="n">
        <v>3</v>
      </c>
      <c r="D790" s="28" t="inlineStr">
        <is>
          <t>Fandom product page (Making table)</t>
        </is>
      </c>
      <c r="E790" s="28" t="inlineStr">
        <is>
          <t>https://hayday.fandom.com/wiki/Strawberry_Jam</t>
        </is>
      </c>
    </row>
    <row r="791">
      <c r="A791" s="28" t="inlineStr">
        <is>
          <t>Strawberry Yogurt</t>
        </is>
      </c>
      <c r="B791" s="28" t="inlineStr">
        <is>
          <t>Plain Yogurt</t>
        </is>
      </c>
      <c r="C791" s="28" t="n">
        <v>1</v>
      </c>
      <c r="D791" s="28" t="inlineStr">
        <is>
          <t>Fandom product page (Making table)</t>
        </is>
      </c>
      <c r="E791" s="28" t="inlineStr">
        <is>
          <t>https://hayday.fandom.com/wiki/Strawberry_Yogurt</t>
        </is>
      </c>
    </row>
    <row r="792">
      <c r="A792" s="28" t="inlineStr">
        <is>
          <t>Strawberry Yogurt</t>
        </is>
      </c>
      <c r="B792" s="28" t="inlineStr">
        <is>
          <t>Strawberry Jam</t>
        </is>
      </c>
      <c r="C792" s="28" t="n">
        <v>1</v>
      </c>
      <c r="D792" s="28" t="inlineStr">
        <is>
          <t>Fandom product page (Making table)</t>
        </is>
      </c>
      <c r="E792" s="28" t="inlineStr">
        <is>
          <t>https://hayday.fandom.com/wiki/Strawberry_Yogurt</t>
        </is>
      </c>
    </row>
    <row r="793">
      <c r="A793" s="28" t="inlineStr">
        <is>
          <t>Stuffed Peppers</t>
        </is>
      </c>
      <c r="B793" s="28" t="inlineStr">
        <is>
          <t>Bell Pepper</t>
        </is>
      </c>
      <c r="C793" s="28" t="n">
        <v>3</v>
      </c>
      <c r="D793" s="28" t="inlineStr">
        <is>
          <t>Fandom product page (Making table)</t>
        </is>
      </c>
      <c r="E793" s="28" t="inlineStr">
        <is>
          <t>https://hayday.fandom.com/wiki/Stuffed_Peppers</t>
        </is>
      </c>
    </row>
    <row r="794">
      <c r="A794" s="28" t="inlineStr">
        <is>
          <t>Stuffed Peppers</t>
        </is>
      </c>
      <c r="B794" s="28" t="inlineStr">
        <is>
          <t>Bacon</t>
        </is>
      </c>
      <c r="C794" s="28" t="n">
        <v>1</v>
      </c>
      <c r="D794" s="28" t="inlineStr">
        <is>
          <t>Fandom product page (Making table)</t>
        </is>
      </c>
      <c r="E794" s="28" t="inlineStr">
        <is>
          <t>https://hayday.fandom.com/wiki/Stuffed_Peppers</t>
        </is>
      </c>
    </row>
    <row r="795">
      <c r="A795" s="28" t="inlineStr">
        <is>
          <t>Stuffed Peppers</t>
        </is>
      </c>
      <c r="B795" s="28" t="inlineStr">
        <is>
          <t>Rice</t>
        </is>
      </c>
      <c r="C795" s="28" t="n">
        <v>3</v>
      </c>
      <c r="D795" s="28" t="inlineStr">
        <is>
          <t>Fandom product page (Making table)</t>
        </is>
      </c>
      <c r="E795" s="28" t="inlineStr">
        <is>
          <t>https://hayday.fandom.com/wiki/Stuffed_Peppers</t>
        </is>
      </c>
    </row>
    <row r="796">
      <c r="A796" s="28" t="inlineStr">
        <is>
          <t>Stuffed Peppers</t>
        </is>
      </c>
      <c r="B796" s="28" t="inlineStr">
        <is>
          <t>Cheese</t>
        </is>
      </c>
      <c r="C796" s="28" t="n">
        <v>1</v>
      </c>
      <c r="D796" s="28" t="inlineStr">
        <is>
          <t>Fandom product page (Making table)</t>
        </is>
      </c>
      <c r="E796" s="28" t="inlineStr">
        <is>
          <t>https://hayday.fandom.com/wiki/Stuffed_Peppers</t>
        </is>
      </c>
    </row>
    <row r="797">
      <c r="A797" s="28" t="inlineStr">
        <is>
          <t>Summer Rolls</t>
        </is>
      </c>
      <c r="B797" s="28" t="inlineStr">
        <is>
          <t>Rice Noodles</t>
        </is>
      </c>
      <c r="C797" s="28" t="n">
        <v>2</v>
      </c>
      <c r="D797" s="28" t="inlineStr">
        <is>
          <t>Fandom product page (Making table)</t>
        </is>
      </c>
      <c r="E797" s="28" t="inlineStr">
        <is>
          <t>https://hayday.fandom.com/wiki/Summer_Rolls</t>
        </is>
      </c>
    </row>
    <row r="798">
      <c r="A798" s="28" t="inlineStr">
        <is>
          <t>Summer Rolls</t>
        </is>
      </c>
      <c r="B798" s="28" t="inlineStr">
        <is>
          <t>Carrot</t>
        </is>
      </c>
      <c r="C798" s="28" t="n">
        <v>2</v>
      </c>
      <c r="D798" s="28" t="inlineStr">
        <is>
          <t>Fandom product page (Making table)</t>
        </is>
      </c>
      <c r="E798" s="28" t="inlineStr">
        <is>
          <t>https://hayday.fandom.com/wiki/Summer_Rolls</t>
        </is>
      </c>
    </row>
    <row r="799">
      <c r="A799" s="28" t="inlineStr">
        <is>
          <t>Summer Rolls</t>
        </is>
      </c>
      <c r="B799" s="28" t="inlineStr">
        <is>
          <t>Lettuce</t>
        </is>
      </c>
      <c r="C799" s="28" t="n">
        <v>1</v>
      </c>
      <c r="D799" s="28" t="inlineStr">
        <is>
          <t>Fandom product page (Making table)</t>
        </is>
      </c>
      <c r="E799" s="28" t="inlineStr">
        <is>
          <t>https://hayday.fandom.com/wiki/Summer_Rolls</t>
        </is>
      </c>
    </row>
    <row r="800">
      <c r="A800" s="28" t="inlineStr">
        <is>
          <t>Summer Rolls</t>
        </is>
      </c>
      <c r="B800" s="28" t="inlineStr">
        <is>
          <t>Chili Pepper</t>
        </is>
      </c>
      <c r="C800" s="28" t="n">
        <v>1</v>
      </c>
      <c r="D800" s="28" t="inlineStr">
        <is>
          <t>Fandom product page (Making table)</t>
        </is>
      </c>
      <c r="E800" s="28" t="inlineStr">
        <is>
          <t>https://hayday.fandom.com/wiki/Summer_Rolls</t>
        </is>
      </c>
    </row>
    <row r="801">
      <c r="A801" s="28" t="inlineStr">
        <is>
          <t>Summer Salad</t>
        </is>
      </c>
      <c r="B801" s="28" t="inlineStr">
        <is>
          <t>Goat Cheese</t>
        </is>
      </c>
      <c r="C801" s="28" t="n">
        <v>1</v>
      </c>
      <c r="D801" s="28" t="inlineStr">
        <is>
          <t>Fandom product page (Making table)</t>
        </is>
      </c>
      <c r="E801" s="28" t="inlineStr">
        <is>
          <t>https://hayday.fandom.com/wiki/Summer_Salad</t>
        </is>
      </c>
    </row>
    <row r="802">
      <c r="A802" s="28" t="inlineStr">
        <is>
          <t>Summer Salad</t>
        </is>
      </c>
      <c r="B802" s="28" t="inlineStr">
        <is>
          <t>Onion</t>
        </is>
      </c>
      <c r="C802" s="28" t="n">
        <v>3</v>
      </c>
      <c r="D802" s="28" t="inlineStr">
        <is>
          <t>Fandom product page (Making table)</t>
        </is>
      </c>
      <c r="E802" s="28" t="inlineStr">
        <is>
          <t>https://hayday.fandom.com/wiki/Summer_Salad</t>
        </is>
      </c>
    </row>
    <row r="803">
      <c r="A803" s="28" t="inlineStr">
        <is>
          <t>Summer Salad</t>
        </is>
      </c>
      <c r="B803" s="28" t="inlineStr">
        <is>
          <t>Peach</t>
        </is>
      </c>
      <c r="C803" s="28" t="n">
        <v>1</v>
      </c>
      <c r="D803" s="28" t="inlineStr">
        <is>
          <t>Fandom product page (Making table)</t>
        </is>
      </c>
      <c r="E803" s="28" t="inlineStr">
        <is>
          <t>https://hayday.fandom.com/wiki/Summer_Salad</t>
        </is>
      </c>
    </row>
    <row r="804">
      <c r="A804" s="28" t="inlineStr">
        <is>
          <t>Summer Salad</t>
        </is>
      </c>
      <c r="B804" s="28" t="inlineStr">
        <is>
          <t>Tomato</t>
        </is>
      </c>
      <c r="C804" s="28" t="n">
        <v>3</v>
      </c>
      <c r="D804" s="28" t="inlineStr">
        <is>
          <t>Fandom product page (Making table)</t>
        </is>
      </c>
      <c r="E804" s="28" t="inlineStr">
        <is>
          <t>https://hayday.fandom.com/wiki/Summer_Salad</t>
        </is>
      </c>
    </row>
    <row r="805">
      <c r="A805" s="28" t="inlineStr">
        <is>
          <t>Sun Hat</t>
        </is>
      </c>
      <c r="B805" s="28" t="inlineStr">
        <is>
          <t>Wool</t>
        </is>
      </c>
      <c r="C805" s="28" t="n">
        <v>3</v>
      </c>
      <c r="D805" s="28" t="inlineStr">
        <is>
          <t>Fandom product page (Making table)</t>
        </is>
      </c>
      <c r="E805" s="28" t="inlineStr">
        <is>
          <t>https://hayday.fandom.com/wiki/Sun_Hat</t>
        </is>
      </c>
    </row>
    <row r="806">
      <c r="A806" s="28" t="inlineStr">
        <is>
          <t>Sun Hat</t>
        </is>
      </c>
      <c r="B806" s="28" t="inlineStr">
        <is>
          <t>Indigo</t>
        </is>
      </c>
      <c r="C806" s="28" t="n">
        <v>1</v>
      </c>
      <c r="D806" s="28" t="inlineStr">
        <is>
          <t>Fandom product page (Making table)</t>
        </is>
      </c>
      <c r="E806" s="28" t="inlineStr">
        <is>
          <t>https://hayday.fandom.com/wiki/Sun_Hat</t>
        </is>
      </c>
    </row>
    <row r="807">
      <c r="A807" s="28" t="inlineStr">
        <is>
          <t>Sun Hat</t>
        </is>
      </c>
      <c r="B807" s="28" t="inlineStr">
        <is>
          <t>Duck Feather</t>
        </is>
      </c>
      <c r="C807" s="28" t="n">
        <v>2</v>
      </c>
      <c r="D807" s="28" t="inlineStr">
        <is>
          <t>Fandom product page (Making table)</t>
        </is>
      </c>
      <c r="E807" s="28" t="inlineStr">
        <is>
          <t>https://hayday.fandom.com/wiki/Sun_Hat</t>
        </is>
      </c>
    </row>
    <row r="808">
      <c r="A808" s="28" t="inlineStr">
        <is>
          <t>Sun Hat</t>
        </is>
      </c>
      <c r="B808" s="28" t="inlineStr">
        <is>
          <t>Raspberry</t>
        </is>
      </c>
      <c r="C808" s="28" t="n">
        <v>1</v>
      </c>
      <c r="D808" s="28" t="inlineStr">
        <is>
          <t>Fandom product page (Making table)</t>
        </is>
      </c>
      <c r="E808" s="28" t="inlineStr">
        <is>
          <t>https://hayday.fandom.com/wiki/Sun_Hat</t>
        </is>
      </c>
    </row>
    <row r="809">
      <c r="A809" s="28" t="inlineStr">
        <is>
          <t>Sushi Roll</t>
        </is>
      </c>
      <c r="B809" s="28" t="inlineStr">
        <is>
          <t>Fish Fillet</t>
        </is>
      </c>
      <c r="C809" s="28" t="n">
        <v>1</v>
      </c>
      <c r="D809" s="28" t="inlineStr">
        <is>
          <t>Fandom product page (Making table)</t>
        </is>
      </c>
      <c r="E809" s="28" t="inlineStr">
        <is>
          <t>https://hayday.fandom.com/wiki/Sushi_Roll</t>
        </is>
      </c>
    </row>
    <row r="810">
      <c r="A810" s="28" t="inlineStr">
        <is>
          <t>Sushi Roll</t>
        </is>
      </c>
      <c r="B810" s="28" t="inlineStr">
        <is>
          <t>Rice</t>
        </is>
      </c>
      <c r="C810" s="28" t="n">
        <v>15</v>
      </c>
      <c r="D810" s="28" t="inlineStr">
        <is>
          <t>Fandom product page (Making table)</t>
        </is>
      </c>
      <c r="E810" s="28" t="inlineStr">
        <is>
          <t>https://hayday.fandom.com/wiki/Sushi_Roll</t>
        </is>
      </c>
    </row>
    <row r="811">
      <c r="A811" s="28" t="inlineStr">
        <is>
          <t>Sushi Roll</t>
        </is>
      </c>
      <c r="B811" s="28" t="inlineStr">
        <is>
          <t>Soy Sauce</t>
        </is>
      </c>
      <c r="C811" s="28" t="n">
        <v>1</v>
      </c>
      <c r="D811" s="28" t="inlineStr">
        <is>
          <t>Fandom product page (Making table)</t>
        </is>
      </c>
      <c r="E811" s="28" t="inlineStr">
        <is>
          <t>https://hayday.fandom.com/wiki/Sushi_Roll</t>
        </is>
      </c>
    </row>
    <row r="812">
      <c r="A812" s="28" t="inlineStr">
        <is>
          <t>Sweater</t>
        </is>
      </c>
      <c r="B812" s="28" t="inlineStr">
        <is>
          <t>Wool</t>
        </is>
      </c>
      <c r="C812" s="28" t="n">
        <v>2</v>
      </c>
      <c r="D812" s="28" t="inlineStr">
        <is>
          <t>Fandom product page (Making table)</t>
        </is>
      </c>
      <c r="E812" s="28" t="inlineStr">
        <is>
          <t>https://hayday.fandom.com/wiki/Sweater</t>
        </is>
      </c>
    </row>
    <row r="813">
      <c r="A813" s="28" t="inlineStr">
        <is>
          <t>Syrup</t>
        </is>
      </c>
      <c r="B813" s="28" t="inlineStr">
        <is>
          <t>Sugarcane</t>
        </is>
      </c>
      <c r="C813" s="28" t="n">
        <v>4</v>
      </c>
      <c r="D813" s="28" t="inlineStr">
        <is>
          <t>Fandom product page (Making table)</t>
        </is>
      </c>
      <c r="E813" s="28" t="inlineStr">
        <is>
          <t>https://hayday.fandom.com/wiki/Syrup</t>
        </is>
      </c>
    </row>
    <row r="814">
      <c r="A814" s="28" t="inlineStr">
        <is>
          <t>Taco</t>
        </is>
      </c>
      <c r="B814" s="28" t="inlineStr">
        <is>
          <t>Corn Bread</t>
        </is>
      </c>
      <c r="C814" s="28" t="n">
        <v>1</v>
      </c>
      <c r="D814" s="28" t="inlineStr">
        <is>
          <t>Fandom product page (Making table)</t>
        </is>
      </c>
      <c r="E814" s="28" t="inlineStr">
        <is>
          <t>https://hayday.fandom.com/wiki/Taco</t>
        </is>
      </c>
    </row>
    <row r="815">
      <c r="A815" s="28" t="inlineStr">
        <is>
          <t>Taco</t>
        </is>
      </c>
      <c r="B815" s="28" t="inlineStr">
        <is>
          <t>Bacon</t>
        </is>
      </c>
      <c r="C815" s="28" t="n">
        <v>1</v>
      </c>
      <c r="D815" s="28" t="inlineStr">
        <is>
          <t>Fandom product page (Making table)</t>
        </is>
      </c>
      <c r="E815" s="28" t="inlineStr">
        <is>
          <t>https://hayday.fandom.com/wiki/Taco</t>
        </is>
      </c>
    </row>
    <row r="816">
      <c r="A816" s="28" t="inlineStr">
        <is>
          <t>Taco</t>
        </is>
      </c>
      <c r="B816" s="28" t="inlineStr">
        <is>
          <t>Salsa</t>
        </is>
      </c>
      <c r="C816" s="28" t="n">
        <v>1</v>
      </c>
      <c r="D816" s="28" t="inlineStr">
        <is>
          <t>Fandom product page (Making table)</t>
        </is>
      </c>
      <c r="E816" s="28" t="inlineStr">
        <is>
          <t>https://hayday.fandom.com/wiki/Taco</t>
        </is>
      </c>
    </row>
    <row r="817">
      <c r="A817" s="28" t="inlineStr">
        <is>
          <t>Tart Dressing</t>
        </is>
      </c>
      <c r="B817" s="28" t="inlineStr">
        <is>
          <t>Passion Fruit</t>
        </is>
      </c>
      <c r="C817" s="28" t="n">
        <v>2</v>
      </c>
      <c r="D817" s="28" t="inlineStr">
        <is>
          <t>Fandom product page (Making table)</t>
        </is>
      </c>
      <c r="E817" s="28" t="inlineStr">
        <is>
          <t>https://hayday.fandom.com/wiki/Tart_Dressing</t>
        </is>
      </c>
    </row>
    <row r="818">
      <c r="A818" s="28" t="inlineStr">
        <is>
          <t>Tart Dressing</t>
        </is>
      </c>
      <c r="B818" s="28" t="inlineStr">
        <is>
          <t>Chili Pepper</t>
        </is>
      </c>
      <c r="C818" s="28" t="n">
        <v>2</v>
      </c>
      <c r="D818" s="28" t="inlineStr">
        <is>
          <t>Fandom product page (Making table)</t>
        </is>
      </c>
      <c r="E818" s="28" t="inlineStr">
        <is>
          <t>https://hayday.fandom.com/wiki/Tart_Dressing</t>
        </is>
      </c>
    </row>
    <row r="819">
      <c r="A819" s="28" t="inlineStr">
        <is>
          <t>Tart Dressing</t>
        </is>
      </c>
      <c r="B819" s="28" t="inlineStr">
        <is>
          <t>Honey</t>
        </is>
      </c>
      <c r="C819" s="28" t="n">
        <v>1</v>
      </c>
      <c r="D819" s="28" t="inlineStr">
        <is>
          <t>Fandom product page (Making table)</t>
        </is>
      </c>
      <c r="E819" s="28" t="inlineStr">
        <is>
          <t>https://hayday.fandom.com/wiki/Tart_Dressing</t>
        </is>
      </c>
    </row>
    <row r="820">
      <c r="A820" s="28" t="inlineStr">
        <is>
          <t>Tea Pot</t>
        </is>
      </c>
      <c r="B820" s="28" t="inlineStr">
        <is>
          <t>Clay</t>
        </is>
      </c>
      <c r="C820" s="28" t="n">
        <v>3</v>
      </c>
      <c r="D820" s="28" t="inlineStr">
        <is>
          <t>Fandom product page (Making table)</t>
        </is>
      </c>
      <c r="E820" s="28" t="inlineStr">
        <is>
          <t>https://hayday.fandom.com/wiki/Tea_Pot</t>
        </is>
      </c>
    </row>
    <row r="821">
      <c r="A821" s="28" t="inlineStr">
        <is>
          <t>Tea Pot</t>
        </is>
      </c>
      <c r="B821" s="28" t="inlineStr">
        <is>
          <t>Coffee Bean</t>
        </is>
      </c>
      <c r="C821" s="28" t="n">
        <v>1</v>
      </c>
      <c r="D821" s="28" t="inlineStr">
        <is>
          <t>Fandom product page (Making table)</t>
        </is>
      </c>
      <c r="E821" s="28" t="inlineStr">
        <is>
          <t>https://hayday.fandom.com/wiki/Tea_Pot</t>
        </is>
      </c>
    </row>
    <row r="822">
      <c r="A822" s="28" t="inlineStr">
        <is>
          <t>Tea Pot</t>
        </is>
      </c>
      <c r="B822" s="28" t="inlineStr">
        <is>
          <t>Gold Ore</t>
        </is>
      </c>
      <c r="C822" s="28" t="n">
        <v>1</v>
      </c>
      <c r="D822" s="28" t="inlineStr">
        <is>
          <t>Fandom product page (Making table)</t>
        </is>
      </c>
      <c r="E822" s="28" t="inlineStr">
        <is>
          <t>https://hayday.fandom.com/wiki/Tea_Pot</t>
        </is>
      </c>
    </row>
    <row r="823">
      <c r="A823" s="28" t="inlineStr">
        <is>
          <t>Toffee</t>
        </is>
      </c>
      <c r="B823" s="28" t="inlineStr">
        <is>
          <t>Butter</t>
        </is>
      </c>
      <c r="C823" s="28" t="n">
        <v>1</v>
      </c>
      <c r="D823" s="28" t="inlineStr">
        <is>
          <t>Fandom product page (Making table)</t>
        </is>
      </c>
      <c r="E823" s="28" t="inlineStr">
        <is>
          <t>https://hayday.fandom.com/wiki/Toffee</t>
        </is>
      </c>
    </row>
    <row r="824">
      <c r="A824" s="28" t="inlineStr">
        <is>
          <t>Toffee</t>
        </is>
      </c>
      <c r="B824" s="28" t="inlineStr">
        <is>
          <t>Wheat</t>
        </is>
      </c>
      <c r="C824" s="28" t="n">
        <v>1</v>
      </c>
      <c r="D824" s="28" t="inlineStr">
        <is>
          <t>Fandom product page (Making table)</t>
        </is>
      </c>
      <c r="E824" s="28" t="inlineStr">
        <is>
          <t>https://hayday.fandom.com/wiki/Toffee</t>
        </is>
      </c>
    </row>
    <row r="825">
      <c r="A825" s="28" t="inlineStr">
        <is>
          <t>Toffee</t>
        </is>
      </c>
      <c r="B825" s="28" t="inlineStr">
        <is>
          <t>White Sugar</t>
        </is>
      </c>
      <c r="C825" s="28" t="n">
        <v>1</v>
      </c>
      <c r="D825" s="28" t="inlineStr">
        <is>
          <t>Fandom product page (Making table)</t>
        </is>
      </c>
      <c r="E825" s="28" t="inlineStr">
        <is>
          <t>https://hayday.fandom.com/wiki/Toffee</t>
        </is>
      </c>
    </row>
    <row r="826">
      <c r="A826" s="28" t="inlineStr">
        <is>
          <t>Tofu Dog</t>
        </is>
      </c>
      <c r="B826" s="28" t="inlineStr">
        <is>
          <t>Lettuce</t>
        </is>
      </c>
      <c r="C826" s="28" t="n">
        <v>3</v>
      </c>
      <c r="D826" s="28" t="inlineStr">
        <is>
          <t>Fandom product page (Making table)</t>
        </is>
      </c>
      <c r="E826" s="28" t="inlineStr">
        <is>
          <t>https://hayday.fandom.com/wiki/Tofu_Dog</t>
        </is>
      </c>
    </row>
    <row r="827">
      <c r="A827" s="28" t="inlineStr">
        <is>
          <t>Tofu Dog</t>
        </is>
      </c>
      <c r="B827" s="28" t="inlineStr">
        <is>
          <t>Soybean</t>
        </is>
      </c>
      <c r="C827" s="28" t="n">
        <v>6</v>
      </c>
      <c r="D827" s="28" t="inlineStr">
        <is>
          <t>Fandom product page (Making table)</t>
        </is>
      </c>
      <c r="E827" s="28" t="inlineStr">
        <is>
          <t>https://hayday.fandom.com/wiki/Tofu_Dog</t>
        </is>
      </c>
    </row>
    <row r="828">
      <c r="A828" s="28" t="inlineStr">
        <is>
          <t>Tofu Dog</t>
        </is>
      </c>
      <c r="B828" s="28" t="inlineStr">
        <is>
          <t>Tomato</t>
        </is>
      </c>
      <c r="C828" s="28" t="n">
        <v>4</v>
      </c>
      <c r="D828" s="28" t="inlineStr">
        <is>
          <t>Fandom product page (Making table)</t>
        </is>
      </c>
      <c r="E828" s="28" t="inlineStr">
        <is>
          <t>https://hayday.fandom.com/wiki/Tofu_Dog</t>
        </is>
      </c>
    </row>
    <row r="829">
      <c r="A829" s="28" t="inlineStr">
        <is>
          <t>Tofu Stir Fry</t>
        </is>
      </c>
      <c r="B829" s="28" t="inlineStr">
        <is>
          <t>Soybean</t>
        </is>
      </c>
      <c r="C829" s="28" t="n">
        <v>3</v>
      </c>
      <c r="D829" s="28" t="inlineStr">
        <is>
          <t>Fandom product page (Making table)</t>
        </is>
      </c>
      <c r="E829" s="28" t="inlineStr">
        <is>
          <t>https://hayday.fandom.com/wiki/Tofu_Stir_Fry</t>
        </is>
      </c>
    </row>
    <row r="830">
      <c r="A830" s="28" t="inlineStr">
        <is>
          <t>Tofu Stir Fry</t>
        </is>
      </c>
      <c r="B830" s="28" t="inlineStr">
        <is>
          <t>Onion</t>
        </is>
      </c>
      <c r="C830" s="28" t="n">
        <v>3</v>
      </c>
      <c r="D830" s="28" t="inlineStr">
        <is>
          <t>Fandom product page (Making table)</t>
        </is>
      </c>
      <c r="E830" s="28" t="inlineStr">
        <is>
          <t>https://hayday.fandom.com/wiki/Tofu_Stir_Fry</t>
        </is>
      </c>
    </row>
    <row r="831">
      <c r="A831" s="28" t="inlineStr">
        <is>
          <t>Tofu Stir Fry</t>
        </is>
      </c>
      <c r="B831" s="28" t="inlineStr">
        <is>
          <t>Broccoli</t>
        </is>
      </c>
      <c r="C831" s="28" t="n">
        <v>3</v>
      </c>
      <c r="D831" s="28" t="inlineStr">
        <is>
          <t>Fandom product page (Making table)</t>
        </is>
      </c>
      <c r="E831" s="28" t="inlineStr">
        <is>
          <t>https://hayday.fandom.com/wiki/Tofu_Stir_Fry</t>
        </is>
      </c>
    </row>
    <row r="832">
      <c r="A832" s="28" t="inlineStr">
        <is>
          <t>Tofu Stir Fry</t>
        </is>
      </c>
      <c r="B832" s="28" t="inlineStr">
        <is>
          <t>Sesame</t>
        </is>
      </c>
      <c r="C832" s="28" t="n">
        <v>3</v>
      </c>
      <c r="D832" s="28" t="inlineStr">
        <is>
          <t>Fandom product page (Making table)</t>
        </is>
      </c>
      <c r="E832" s="28" t="inlineStr">
        <is>
          <t>https://hayday.fandom.com/wiki/Tofu_Stir_Fry</t>
        </is>
      </c>
    </row>
    <row r="833">
      <c r="A833" s="28" t="inlineStr">
        <is>
          <t>Tomato Juice</t>
        </is>
      </c>
      <c r="B833" s="28" t="inlineStr">
        <is>
          <t>Tomato</t>
        </is>
      </c>
      <c r="C833" s="28" t="n">
        <v>3</v>
      </c>
      <c r="D833" s="28" t="inlineStr">
        <is>
          <t>Fandom product page (Making table)</t>
        </is>
      </c>
      <c r="E833" s="28" t="inlineStr">
        <is>
          <t>https://hayday.fandom.com/wiki/Tomato_Juice</t>
        </is>
      </c>
    </row>
    <row r="834">
      <c r="A834" s="28" t="inlineStr">
        <is>
          <t>Tomato Sauce</t>
        </is>
      </c>
      <c r="B834" s="28" t="inlineStr">
        <is>
          <t>Brown Sugar</t>
        </is>
      </c>
      <c r="C834" s="28" t="n">
        <v>1</v>
      </c>
      <c r="D834" s="28" t="inlineStr">
        <is>
          <t>Fandom product page (Making table)</t>
        </is>
      </c>
      <c r="E834" s="28" t="inlineStr">
        <is>
          <t>https://hayday.fandom.com/wiki/Tomato_Sauce</t>
        </is>
      </c>
    </row>
    <row r="835">
      <c r="A835" s="28" t="inlineStr">
        <is>
          <t>Tomato Sauce</t>
        </is>
      </c>
      <c r="B835" s="28" t="inlineStr">
        <is>
          <t>Lemon</t>
        </is>
      </c>
      <c r="C835" s="28" t="n">
        <v>1</v>
      </c>
      <c r="D835" s="28" t="inlineStr">
        <is>
          <t>Fandom product page (Making table)</t>
        </is>
      </c>
      <c r="E835" s="28" t="inlineStr">
        <is>
          <t>https://hayday.fandom.com/wiki/Tomato_Sauce</t>
        </is>
      </c>
    </row>
    <row r="836">
      <c r="A836" s="28" t="inlineStr">
        <is>
          <t>Tomato Sauce</t>
        </is>
      </c>
      <c r="B836" s="28" t="inlineStr">
        <is>
          <t>Tomato</t>
        </is>
      </c>
      <c r="C836" s="28" t="n">
        <v>2</v>
      </c>
      <c r="D836" s="28" t="inlineStr">
        <is>
          <t>Fandom product page (Making table)</t>
        </is>
      </c>
      <c r="E836" s="28" t="inlineStr">
        <is>
          <t>https://hayday.fandom.com/wiki/Tomato_Sauce</t>
        </is>
      </c>
    </row>
    <row r="837">
      <c r="A837" s="28" t="inlineStr">
        <is>
          <t>Tomato Soup</t>
        </is>
      </c>
      <c r="B837" s="28" t="inlineStr">
        <is>
          <t>Tomato</t>
        </is>
      </c>
      <c r="C837" s="28" t="n">
        <v>2</v>
      </c>
      <c r="D837" s="28" t="inlineStr">
        <is>
          <t>Fandom product page (Making table)</t>
        </is>
      </c>
      <c r="E837" s="28" t="inlineStr">
        <is>
          <t>https://hayday.fandom.com/wiki/Tomato_Soup</t>
        </is>
      </c>
    </row>
    <row r="838">
      <c r="A838" s="28" t="inlineStr">
        <is>
          <t>Tomato Soup</t>
        </is>
      </c>
      <c r="B838" s="28" t="inlineStr">
        <is>
          <t>Tomato Juice</t>
        </is>
      </c>
      <c r="C838" s="28" t="n">
        <v>1</v>
      </c>
      <c r="D838" s="28" t="inlineStr">
        <is>
          <t>Fandom product page (Making table)</t>
        </is>
      </c>
      <c r="E838" s="28" t="inlineStr">
        <is>
          <t>https://hayday.fandom.com/wiki/Tomato_Soup</t>
        </is>
      </c>
    </row>
    <row r="839">
      <c r="A839" s="28" t="inlineStr">
        <is>
          <t>Tomato Soup</t>
        </is>
      </c>
      <c r="B839" s="28" t="inlineStr">
        <is>
          <t>Chili Pepper</t>
        </is>
      </c>
      <c r="C839" s="28" t="n">
        <v>1</v>
      </c>
      <c r="D839" s="28" t="inlineStr">
        <is>
          <t>Fandom product page (Making table)</t>
        </is>
      </c>
      <c r="E839" s="28" t="inlineStr">
        <is>
          <t>https://hayday.fandom.com/wiki/Tomato_Soup</t>
        </is>
      </c>
    </row>
    <row r="840">
      <c r="A840" s="28" t="inlineStr">
        <is>
          <t>Tomato Soup</t>
        </is>
      </c>
      <c r="B840" s="28" t="inlineStr">
        <is>
          <t>Goat Cheese</t>
        </is>
      </c>
      <c r="C840" s="28" t="n">
        <v>1</v>
      </c>
      <c r="D840" s="28" t="inlineStr">
        <is>
          <t>Fandom product page (Making table)</t>
        </is>
      </c>
      <c r="E840" s="28" t="inlineStr">
        <is>
          <t>https://hayday.fandom.com/wiki/Tomato_Soup</t>
        </is>
      </c>
    </row>
    <row r="841">
      <c r="A841" s="28" t="inlineStr">
        <is>
          <t>Top Hat</t>
        </is>
      </c>
      <c r="B841" s="28" t="inlineStr">
        <is>
          <t>Cotton Fabric</t>
        </is>
      </c>
      <c r="C841" s="28" t="n">
        <v>3</v>
      </c>
      <c r="D841" s="28" t="inlineStr">
        <is>
          <t>Fandom product page (Making table)</t>
        </is>
      </c>
      <c r="E841" s="28" t="inlineStr">
        <is>
          <t>https://hayday.fandom.com/wiki/Top_Hat</t>
        </is>
      </c>
    </row>
    <row r="842">
      <c r="A842" s="28" t="inlineStr">
        <is>
          <t>Top Hat</t>
        </is>
      </c>
      <c r="B842" s="28" t="inlineStr">
        <is>
          <t>Refined Coal</t>
        </is>
      </c>
      <c r="C842" s="28" t="n">
        <v>1</v>
      </c>
      <c r="D842" s="28" t="inlineStr">
        <is>
          <t>Fandom product page (Making table)</t>
        </is>
      </c>
      <c r="E842" s="28" t="inlineStr">
        <is>
          <t>https://hayday.fandom.com/wiki/Top_Hat</t>
        </is>
      </c>
    </row>
    <row r="843">
      <c r="A843" s="28" t="inlineStr">
        <is>
          <t>Top Hat</t>
        </is>
      </c>
      <c r="B843" s="28" t="inlineStr">
        <is>
          <t>Duck Feather</t>
        </is>
      </c>
      <c r="C843" s="28" t="n">
        <v>1</v>
      </c>
      <c r="D843" s="28" t="inlineStr">
        <is>
          <t>Fandom product page (Making table)</t>
        </is>
      </c>
      <c r="E843" s="28" t="inlineStr">
        <is>
          <t>https://hayday.fandom.com/wiki/Top_Hat</t>
        </is>
      </c>
    </row>
    <row r="844">
      <c r="A844" s="28" t="inlineStr">
        <is>
          <t>Tropical Cupcake</t>
        </is>
      </c>
      <c r="B844" s="28" t="inlineStr">
        <is>
          <t>Plain Cupcake</t>
        </is>
      </c>
      <c r="C844" s="28" t="n">
        <v>1</v>
      </c>
      <c r="D844" s="28" t="inlineStr">
        <is>
          <t>Fandom product page (Making table)</t>
        </is>
      </c>
      <c r="E844" s="28" t="inlineStr">
        <is>
          <t>https://hayday.fandom.com/wiki/Tropical_Cupcake</t>
        </is>
      </c>
    </row>
    <row r="845">
      <c r="A845" s="28" t="inlineStr">
        <is>
          <t>Tropical Cupcake</t>
        </is>
      </c>
      <c r="B845" s="28" t="inlineStr">
        <is>
          <t>Pineapple</t>
        </is>
      </c>
      <c r="C845" s="28" t="n">
        <v>3</v>
      </c>
      <c r="D845" s="28" t="inlineStr">
        <is>
          <t>Fandom product page (Making table)</t>
        </is>
      </c>
      <c r="E845" s="28" t="inlineStr">
        <is>
          <t>https://hayday.fandom.com/wiki/Tropical_Cupcake</t>
        </is>
      </c>
    </row>
    <row r="846">
      <c r="A846" s="28" t="inlineStr">
        <is>
          <t>Tropical Cupcake</t>
        </is>
      </c>
      <c r="B846" s="28" t="inlineStr">
        <is>
          <t>Coconut</t>
        </is>
      </c>
      <c r="C846" s="28" t="n">
        <v>2</v>
      </c>
      <c r="D846" s="28" t="inlineStr">
        <is>
          <t>Fandom product page (Making table)</t>
        </is>
      </c>
      <c r="E846" s="28" t="inlineStr">
        <is>
          <t>https://hayday.fandom.com/wiki/Tropical_Cupcake</t>
        </is>
      </c>
    </row>
    <row r="847">
      <c r="A847" s="28" t="inlineStr">
        <is>
          <t>Tropical Fondue</t>
        </is>
      </c>
      <c r="B847" s="28" t="inlineStr">
        <is>
          <t>White Sugar</t>
        </is>
      </c>
      <c r="C847" s="28" t="n">
        <v>1</v>
      </c>
      <c r="D847" s="28" t="inlineStr">
        <is>
          <t>Fandom product page (Making table)</t>
        </is>
      </c>
      <c r="E847" s="28" t="inlineStr">
        <is>
          <t>https://hayday.fandom.com/wiki/Tropical_Fondue</t>
        </is>
      </c>
    </row>
    <row r="848">
      <c r="A848" s="28" t="inlineStr">
        <is>
          <t>Tropical Fondue</t>
        </is>
      </c>
      <c r="B848" s="28" t="inlineStr">
        <is>
          <t>Cream</t>
        </is>
      </c>
      <c r="C848" s="28" t="n">
        <v>2</v>
      </c>
      <c r="D848" s="28" t="inlineStr">
        <is>
          <t>Fandom product page (Making table)</t>
        </is>
      </c>
      <c r="E848" s="28" t="inlineStr">
        <is>
          <t>https://hayday.fandom.com/wiki/Tropical_Fondue</t>
        </is>
      </c>
    </row>
    <row r="849">
      <c r="A849" s="28" t="inlineStr">
        <is>
          <t>Tropical Fondue</t>
        </is>
      </c>
      <c r="B849" s="28" t="inlineStr">
        <is>
          <t>Pineapple</t>
        </is>
      </c>
      <c r="C849" s="28" t="n">
        <v>3</v>
      </c>
      <c r="D849" s="28" t="inlineStr">
        <is>
          <t>Fandom product page (Making table)</t>
        </is>
      </c>
      <c r="E849" s="28" t="inlineStr">
        <is>
          <t>https://hayday.fandom.com/wiki/Tropical_Fondue</t>
        </is>
      </c>
    </row>
    <row r="850">
      <c r="A850" s="28" t="inlineStr">
        <is>
          <t>Tropical Fondue</t>
        </is>
      </c>
      <c r="B850" s="28" t="inlineStr">
        <is>
          <t>Mango</t>
        </is>
      </c>
      <c r="C850" s="28" t="n">
        <v>2</v>
      </c>
      <c r="D850" s="28" t="inlineStr">
        <is>
          <t>Fandom product page (Making table)</t>
        </is>
      </c>
      <c r="E850" s="28" t="inlineStr">
        <is>
          <t>https://hayday.fandom.com/wiki/Tropical_Fondue</t>
        </is>
      </c>
    </row>
    <row r="851">
      <c r="A851" s="28" t="inlineStr">
        <is>
          <t>Tropical Smoothie</t>
        </is>
      </c>
      <c r="B851" s="28" t="inlineStr">
        <is>
          <t>Coconut</t>
        </is>
      </c>
      <c r="C851" s="28" t="n">
        <v>1</v>
      </c>
      <c r="D851" s="28" t="inlineStr">
        <is>
          <t>Fandom product page (Making table)</t>
        </is>
      </c>
      <c r="E851" s="28" t="inlineStr">
        <is>
          <t>https://hayday.fandom.com/wiki/Tropical_Smoothie</t>
        </is>
      </c>
    </row>
    <row r="852">
      <c r="A852" s="28" t="inlineStr">
        <is>
          <t>Tropical Smoothie</t>
        </is>
      </c>
      <c r="B852" s="28" t="inlineStr">
        <is>
          <t>Banana</t>
        </is>
      </c>
      <c r="C852" s="28" t="n">
        <v>1</v>
      </c>
      <c r="D852" s="28" t="inlineStr">
        <is>
          <t>Fandom product page (Making table)</t>
        </is>
      </c>
      <c r="E852" s="28" t="inlineStr">
        <is>
          <t>https://hayday.fandom.com/wiki/Tropical_Smoothie</t>
        </is>
      </c>
    </row>
    <row r="853">
      <c r="A853" s="28" t="inlineStr">
        <is>
          <t>Tropical Smoothie</t>
        </is>
      </c>
      <c r="B853" s="28" t="inlineStr">
        <is>
          <t>Passion Fruit</t>
        </is>
      </c>
      <c r="C853" s="28" t="n">
        <v>2</v>
      </c>
      <c r="D853" s="28" t="inlineStr">
        <is>
          <t>Fandom product page (Making table)</t>
        </is>
      </c>
      <c r="E853" s="28" t="inlineStr">
        <is>
          <t>https://hayday.fandom.com/wiki/Tropical_Smoothie</t>
        </is>
      </c>
    </row>
    <row r="854">
      <c r="A854" s="28" t="inlineStr">
        <is>
          <t>Tropical Smoothie</t>
        </is>
      </c>
      <c r="B854" s="28" t="inlineStr">
        <is>
          <t>Mango</t>
        </is>
      </c>
      <c r="C854" s="28" t="n">
        <v>2</v>
      </c>
      <c r="D854" s="28" t="inlineStr">
        <is>
          <t>Fandom product page (Making table)</t>
        </is>
      </c>
      <c r="E854" s="28" t="inlineStr">
        <is>
          <t>https://hayday.fandom.com/wiki/Tropical_Smoothie</t>
        </is>
      </c>
    </row>
    <row r="855">
      <c r="A855" s="28" t="inlineStr">
        <is>
          <t>Tropical Yogurt</t>
        </is>
      </c>
      <c r="B855" s="28" t="inlineStr">
        <is>
          <t>Plain Yogurt</t>
        </is>
      </c>
      <c r="C855" s="28" t="n">
        <v>1</v>
      </c>
      <c r="D855" s="28" t="inlineStr">
        <is>
          <t>Fandom product page (Making table)</t>
        </is>
      </c>
      <c r="E855" s="28" t="inlineStr">
        <is>
          <t>https://hayday.fandom.com/wiki/Tropical_Yogurt</t>
        </is>
      </c>
    </row>
    <row r="856">
      <c r="A856" s="28" t="inlineStr">
        <is>
          <t>Tropical Yogurt</t>
        </is>
      </c>
      <c r="B856" s="28" t="inlineStr">
        <is>
          <t>Raspberry</t>
        </is>
      </c>
      <c r="C856" s="28" t="n">
        <v>4</v>
      </c>
      <c r="D856" s="28" t="inlineStr">
        <is>
          <t>Fandom product page (Making table)</t>
        </is>
      </c>
      <c r="E856" s="28" t="inlineStr">
        <is>
          <t>https://hayday.fandom.com/wiki/Tropical_Yogurt</t>
        </is>
      </c>
    </row>
    <row r="857">
      <c r="A857" s="28" t="inlineStr">
        <is>
          <t>Tropical Yogurt</t>
        </is>
      </c>
      <c r="B857" s="28" t="inlineStr">
        <is>
          <t>Passion Fruit</t>
        </is>
      </c>
      <c r="C857" s="28" t="n">
        <v>1</v>
      </c>
      <c r="D857" s="28" t="inlineStr">
        <is>
          <t>Fandom product page (Making table)</t>
        </is>
      </c>
      <c r="E857" s="28" t="inlineStr">
        <is>
          <t>https://hayday.fandom.com/wiki/Tropical_Yogurt</t>
        </is>
      </c>
    </row>
    <row r="858">
      <c r="A858" s="28" t="inlineStr">
        <is>
          <t>Tropical Yogurt</t>
        </is>
      </c>
      <c r="B858" s="28" t="inlineStr">
        <is>
          <t>Mango</t>
        </is>
      </c>
      <c r="C858" s="28" t="n">
        <v>2</v>
      </c>
      <c r="D858" s="28" t="inlineStr">
        <is>
          <t>Fandom product page (Making table)</t>
        </is>
      </c>
      <c r="E858" s="28" t="inlineStr">
        <is>
          <t>https://hayday.fandom.com/wiki/Tropical_Yogurt</t>
        </is>
      </c>
    </row>
    <row r="859">
      <c r="A859" s="28" t="inlineStr">
        <is>
          <t>Vanilla Ice Cream</t>
        </is>
      </c>
      <c r="B859" s="28" t="inlineStr">
        <is>
          <t>Milk</t>
        </is>
      </c>
      <c r="C859" s="28" t="n">
        <v>1</v>
      </c>
      <c r="D859" s="28" t="inlineStr">
        <is>
          <t>Fandom product page (Making table)</t>
        </is>
      </c>
      <c r="E859" s="28" t="inlineStr">
        <is>
          <t>https://hayday.fandom.com/wiki/Vanilla_Ice_Cream</t>
        </is>
      </c>
    </row>
    <row r="860">
      <c r="A860" s="28" t="inlineStr">
        <is>
          <t>Vanilla Ice Cream</t>
        </is>
      </c>
      <c r="B860" s="28" t="inlineStr">
        <is>
          <t>Cream</t>
        </is>
      </c>
      <c r="C860" s="28" t="n">
        <v>1</v>
      </c>
      <c r="D860" s="28" t="inlineStr">
        <is>
          <t>Fandom product page (Making table)</t>
        </is>
      </c>
      <c r="E860" s="28" t="inlineStr">
        <is>
          <t>https://hayday.fandom.com/wiki/Vanilla_Ice_Cream</t>
        </is>
      </c>
    </row>
    <row r="861">
      <c r="A861" s="28" t="inlineStr">
        <is>
          <t>Vanilla Ice Cream</t>
        </is>
      </c>
      <c r="B861" s="28" t="inlineStr">
        <is>
          <t>White Sugar</t>
        </is>
      </c>
      <c r="C861" s="28" t="n">
        <v>1</v>
      </c>
      <c r="D861" s="28" t="inlineStr">
        <is>
          <t>Fandom product page (Making table)</t>
        </is>
      </c>
      <c r="E861" s="28" t="inlineStr">
        <is>
          <t>https://hayday.fandom.com/wiki/Vanilla_Ice_Cream</t>
        </is>
      </c>
    </row>
    <row r="862">
      <c r="A862" s="28" t="inlineStr">
        <is>
          <t>Veggie Bagel</t>
        </is>
      </c>
      <c r="B862" s="28" t="inlineStr">
        <is>
          <t>Bread</t>
        </is>
      </c>
      <c r="C862" s="28" t="n">
        <v>2</v>
      </c>
      <c r="D862" s="28" t="inlineStr">
        <is>
          <t>Fandom product page (Making table)</t>
        </is>
      </c>
      <c r="E862" s="28" t="inlineStr">
        <is>
          <t>https://hayday.fandom.com/wiki/Veggie_Bagel</t>
        </is>
      </c>
    </row>
    <row r="863">
      <c r="A863" s="28" t="inlineStr">
        <is>
          <t>Veggie Bagel</t>
        </is>
      </c>
      <c r="B863" s="28" t="inlineStr">
        <is>
          <t>Tomato</t>
        </is>
      </c>
      <c r="C863" s="28" t="n">
        <v>2</v>
      </c>
      <c r="D863" s="28" t="inlineStr">
        <is>
          <t>Fandom product page (Making table)</t>
        </is>
      </c>
      <c r="E863" s="28" t="inlineStr">
        <is>
          <t>https://hayday.fandom.com/wiki/Veggie_Bagel</t>
        </is>
      </c>
    </row>
    <row r="864">
      <c r="A864" s="28" t="inlineStr">
        <is>
          <t>Veggie Bagel</t>
        </is>
      </c>
      <c r="B864" s="28" t="inlineStr">
        <is>
          <t>Lettuce</t>
        </is>
      </c>
      <c r="C864" s="28" t="n">
        <v>3</v>
      </c>
      <c r="D864" s="28" t="inlineStr">
        <is>
          <t>Fandom product page (Making table)</t>
        </is>
      </c>
      <c r="E864" s="28" t="inlineStr">
        <is>
          <t>https://hayday.fandom.com/wiki/Veggie_Bagel</t>
        </is>
      </c>
    </row>
    <row r="865">
      <c r="A865" s="28" t="inlineStr">
        <is>
          <t>Veggie Bagel</t>
        </is>
      </c>
      <c r="B865" s="28" t="inlineStr">
        <is>
          <t>Olive Oil</t>
        </is>
      </c>
      <c r="C865" s="28" t="n">
        <v>1</v>
      </c>
      <c r="D865" s="28" t="inlineStr">
        <is>
          <t>Fandom product page (Making table)</t>
        </is>
      </c>
      <c r="E865" s="28" t="inlineStr">
        <is>
          <t>https://hayday.fandom.com/wiki/Veggie_Bagel</t>
        </is>
      </c>
    </row>
    <row r="866">
      <c r="A866" s="28" t="inlineStr">
        <is>
          <t>Veggie Bouquet</t>
        </is>
      </c>
      <c r="B866" s="28" t="inlineStr">
        <is>
          <t>Broccoli</t>
        </is>
      </c>
      <c r="C866" s="28" t="n">
        <v>3</v>
      </c>
      <c r="D866" s="28" t="inlineStr">
        <is>
          <t>Fandom product page (Making table)</t>
        </is>
      </c>
      <c r="E866" s="28" t="inlineStr">
        <is>
          <t>https://hayday.fandom.com/wiki/Veggie_Bouquet</t>
        </is>
      </c>
    </row>
    <row r="867">
      <c r="A867" s="28" t="inlineStr">
        <is>
          <t>Veggie Bouquet</t>
        </is>
      </c>
      <c r="B867" s="28" t="inlineStr">
        <is>
          <t>Tomato</t>
        </is>
      </c>
      <c r="C867" s="28" t="n">
        <v>3</v>
      </c>
      <c r="D867" s="28" t="inlineStr">
        <is>
          <t>Fandom product page (Making table)</t>
        </is>
      </c>
      <c r="E867" s="28" t="inlineStr">
        <is>
          <t>https://hayday.fandom.com/wiki/Veggie_Bouquet</t>
        </is>
      </c>
    </row>
    <row r="868">
      <c r="A868" s="28" t="inlineStr">
        <is>
          <t>Veggie Bouquet</t>
        </is>
      </c>
      <c r="B868" s="28" t="inlineStr">
        <is>
          <t>Mushroom</t>
        </is>
      </c>
      <c r="C868" s="28" t="n">
        <v>3</v>
      </c>
      <c r="D868" s="28" t="inlineStr">
        <is>
          <t>Fandom product page (Making table)</t>
        </is>
      </c>
      <c r="E868" s="28" t="inlineStr">
        <is>
          <t>https://hayday.fandom.com/wiki/Veggie_Bouquet</t>
        </is>
      </c>
    </row>
    <row r="869">
      <c r="A869" s="28" t="inlineStr">
        <is>
          <t>Veggie Bouquet</t>
        </is>
      </c>
      <c r="B869" s="28" t="inlineStr">
        <is>
          <t>Cotton Fabric</t>
        </is>
      </c>
      <c r="C869" s="28" t="n">
        <v>1</v>
      </c>
      <c r="D869" s="28" t="inlineStr">
        <is>
          <t>Fandom product page (Making table)</t>
        </is>
      </c>
      <c r="E869" s="28" t="inlineStr">
        <is>
          <t>https://hayday.fandom.com/wiki/Veggie_Bouquet</t>
        </is>
      </c>
    </row>
    <row r="870">
      <c r="A870" s="28" t="inlineStr">
        <is>
          <t>Veggie Lasagna</t>
        </is>
      </c>
      <c r="B870" s="28" t="inlineStr">
        <is>
          <t>Carrot</t>
        </is>
      </c>
      <c r="C870" s="28" t="n">
        <v>1</v>
      </c>
      <c r="D870" s="28" t="inlineStr">
        <is>
          <t>Fandom product page (Making table)</t>
        </is>
      </c>
      <c r="E870" s="28" t="inlineStr">
        <is>
          <t>https://hayday.fandom.com/wiki/Veggie_Lasagna</t>
        </is>
      </c>
    </row>
    <row r="871">
      <c r="A871" s="28" t="inlineStr">
        <is>
          <t>Veggie Lasagna</t>
        </is>
      </c>
      <c r="B871" s="28" t="inlineStr">
        <is>
          <t>Cheese</t>
        </is>
      </c>
      <c r="C871" s="28" t="n">
        <v>1</v>
      </c>
      <c r="D871" s="28" t="inlineStr">
        <is>
          <t>Fandom product page (Making table)</t>
        </is>
      </c>
      <c r="E871" s="28" t="inlineStr">
        <is>
          <t>https://hayday.fandom.com/wiki/Veggie_Lasagna</t>
        </is>
      </c>
    </row>
    <row r="872">
      <c r="A872" s="28" t="inlineStr">
        <is>
          <t>Veggie Lasagna</t>
        </is>
      </c>
      <c r="B872" s="28" t="inlineStr">
        <is>
          <t>Tomato Sauce</t>
        </is>
      </c>
      <c r="C872" s="28" t="n">
        <v>1</v>
      </c>
      <c r="D872" s="28" t="inlineStr">
        <is>
          <t>Fandom product page (Making table)</t>
        </is>
      </c>
      <c r="E872" s="28" t="inlineStr">
        <is>
          <t>https://hayday.fandom.com/wiki/Veggie_Lasagna</t>
        </is>
      </c>
    </row>
    <row r="873">
      <c r="A873" s="28" t="inlineStr">
        <is>
          <t>Veggie Lasagna</t>
        </is>
      </c>
      <c r="B873" s="28" t="inlineStr">
        <is>
          <t>Fresh Pasta</t>
        </is>
      </c>
      <c r="C873" s="28" t="n">
        <v>3</v>
      </c>
      <c r="D873" s="28" t="inlineStr">
        <is>
          <t>Fandom product page (Making table)</t>
        </is>
      </c>
      <c r="E873" s="28" t="inlineStr">
        <is>
          <t>https://hayday.fandom.com/wiki/Veggie_Lasagna</t>
        </is>
      </c>
    </row>
    <row r="874">
      <c r="A874" s="28" t="inlineStr">
        <is>
          <t>Veggie Platter</t>
        </is>
      </c>
      <c r="B874" s="28" t="inlineStr">
        <is>
          <t>Bell Pepper</t>
        </is>
      </c>
      <c r="C874" s="28" t="n">
        <v>2</v>
      </c>
      <c r="D874" s="28" t="inlineStr">
        <is>
          <t>Fandom product page (Making table)</t>
        </is>
      </c>
      <c r="E874" s="28" t="inlineStr">
        <is>
          <t>https://hayday.fandom.com/wiki/Veggie_Platter</t>
        </is>
      </c>
    </row>
    <row r="875">
      <c r="A875" s="28" t="inlineStr">
        <is>
          <t>Veggie Platter</t>
        </is>
      </c>
      <c r="B875" s="28" t="inlineStr">
        <is>
          <t>Carrot</t>
        </is>
      </c>
      <c r="C875" s="28" t="n">
        <v>2</v>
      </c>
      <c r="D875" s="28" t="inlineStr">
        <is>
          <t>Fandom product page (Making table)</t>
        </is>
      </c>
      <c r="E875" s="28" t="inlineStr">
        <is>
          <t>https://hayday.fandom.com/wiki/Veggie_Platter</t>
        </is>
      </c>
    </row>
    <row r="876">
      <c r="A876" s="28" t="inlineStr">
        <is>
          <t>Veggie Platter</t>
        </is>
      </c>
      <c r="B876" s="28" t="inlineStr">
        <is>
          <t>Tomato</t>
        </is>
      </c>
      <c r="C876" s="28" t="n">
        <v>2</v>
      </c>
      <c r="D876" s="28" t="inlineStr">
        <is>
          <t>Fandom product page (Making table)</t>
        </is>
      </c>
      <c r="E876" s="28" t="inlineStr">
        <is>
          <t>https://hayday.fandom.com/wiki/Veggie_Platter</t>
        </is>
      </c>
    </row>
    <row r="877">
      <c r="A877" s="28" t="inlineStr">
        <is>
          <t>Veggie Platter</t>
        </is>
      </c>
      <c r="B877" s="28" t="inlineStr">
        <is>
          <t>Cream</t>
        </is>
      </c>
      <c r="C877" s="28" t="n">
        <v>1</v>
      </c>
      <c r="D877" s="28" t="inlineStr">
        <is>
          <t>Fandom product page (Making table)</t>
        </is>
      </c>
      <c r="E877" s="28" t="inlineStr">
        <is>
          <t>https://hayday.fandom.com/wiki/Veggie_Platter</t>
        </is>
      </c>
    </row>
    <row r="878">
      <c r="A878" s="28" t="inlineStr">
        <is>
          <t>Violet Dress</t>
        </is>
      </c>
      <c r="B878" s="28" t="inlineStr">
        <is>
          <t>Cotton Fabric</t>
        </is>
      </c>
      <c r="C878" s="28" t="n">
        <v>2</v>
      </c>
      <c r="D878" s="28" t="inlineStr">
        <is>
          <t>Fandom product page (Making table)</t>
        </is>
      </c>
      <c r="E878" s="28" t="inlineStr">
        <is>
          <t>https://hayday.fandom.com/wiki/Violet_Dress</t>
        </is>
      </c>
    </row>
    <row r="879">
      <c r="A879" s="28" t="inlineStr">
        <is>
          <t>Violet Dress</t>
        </is>
      </c>
      <c r="B879" s="28" t="inlineStr">
        <is>
          <t>Raspberry</t>
        </is>
      </c>
      <c r="C879" s="28" t="n">
        <v>1</v>
      </c>
      <c r="D879" s="28" t="inlineStr">
        <is>
          <t>Fandom product page (Making table)</t>
        </is>
      </c>
      <c r="E879" s="28" t="inlineStr">
        <is>
          <t>https://hayday.fandom.com/wiki/Violet_Dress</t>
        </is>
      </c>
    </row>
    <row r="880">
      <c r="A880" s="28" t="inlineStr">
        <is>
          <t>Violet Dress</t>
        </is>
      </c>
      <c r="B880" s="28" t="inlineStr">
        <is>
          <t>Indigo</t>
        </is>
      </c>
      <c r="C880" s="28" t="n">
        <v>1</v>
      </c>
      <c r="D880" s="28" t="inlineStr">
        <is>
          <t>Fandom product page (Making table)</t>
        </is>
      </c>
      <c r="E880" s="28" t="inlineStr">
        <is>
          <t>https://hayday.fandom.com/wiki/Violet_Dress</t>
        </is>
      </c>
    </row>
    <row r="881">
      <c r="A881" s="28" t="inlineStr">
        <is>
          <t>Watermelon Juice</t>
        </is>
      </c>
      <c r="B881" s="28" t="inlineStr">
        <is>
          <t>Watermelon</t>
        </is>
      </c>
      <c r="C881" s="28" t="n">
        <v>2</v>
      </c>
      <c r="D881" s="28" t="inlineStr">
        <is>
          <t>Fandom product page (Making table)</t>
        </is>
      </c>
      <c r="E881" s="28" t="inlineStr">
        <is>
          <t>https://hayday.fandom.com/wiki/Watermelon_Juice</t>
        </is>
      </c>
    </row>
    <row r="882">
      <c r="A882" s="28" t="inlineStr">
        <is>
          <t>Wheat Bundle</t>
        </is>
      </c>
      <c r="B882" s="28" t="inlineStr">
        <is>
          <t>Wheat</t>
        </is>
      </c>
      <c r="C882" s="28" t="n">
        <v>75</v>
      </c>
      <c r="D882" s="28" t="inlineStr">
        <is>
          <t>Fandom product page (Making table)</t>
        </is>
      </c>
      <c r="E882" s="28" t="inlineStr">
        <is>
          <t>https://hayday.fandom.com/wiki/Wheat_Bundle</t>
        </is>
      </c>
    </row>
    <row r="883">
      <c r="A883" s="28" t="inlineStr">
        <is>
          <t>White Sugar</t>
        </is>
      </c>
      <c r="B883" s="28" t="inlineStr">
        <is>
          <t>Sugarcane</t>
        </is>
      </c>
      <c r="C883" s="28" t="n">
        <v>2</v>
      </c>
      <c r="D883" s="28" t="inlineStr">
        <is>
          <t>Fandom product page (Making table)</t>
        </is>
      </c>
      <c r="E883" s="28" t="inlineStr">
        <is>
          <t>https://hayday.fandom.com/wiki/White_Sugar</t>
        </is>
      </c>
    </row>
    <row r="884">
      <c r="A884" s="28" t="inlineStr">
        <is>
          <t>Winter Stew</t>
        </is>
      </c>
      <c r="B884" s="28" t="inlineStr">
        <is>
          <t>Bacon</t>
        </is>
      </c>
      <c r="C884" s="28" t="n">
        <v>1</v>
      </c>
      <c r="D884" s="28" t="inlineStr">
        <is>
          <t>Fandom product page (Making table)</t>
        </is>
      </c>
      <c r="E884" s="28" t="inlineStr">
        <is>
          <t>https://hayday.fandom.com/wiki/Winter_Stew</t>
        </is>
      </c>
    </row>
    <row r="885">
      <c r="A885" s="28" t="inlineStr">
        <is>
          <t>Winter Stew</t>
        </is>
      </c>
      <c r="B885" s="28" t="inlineStr">
        <is>
          <t>Potato</t>
        </is>
      </c>
      <c r="C885" s="28" t="n">
        <v>3</v>
      </c>
      <c r="D885" s="28" t="inlineStr">
        <is>
          <t>Fandom product page (Making table)</t>
        </is>
      </c>
      <c r="E885" s="28" t="inlineStr">
        <is>
          <t>https://hayday.fandom.com/wiki/Winter_Stew</t>
        </is>
      </c>
    </row>
    <row r="886">
      <c r="A886" s="28" t="inlineStr">
        <is>
          <t>Winter Stew</t>
        </is>
      </c>
      <c r="B886" s="28" t="inlineStr">
        <is>
          <t>Onion</t>
        </is>
      </c>
      <c r="C886" s="28" t="n">
        <v>2</v>
      </c>
      <c r="D886" s="28" t="inlineStr">
        <is>
          <t>Fandom product page (Making table)</t>
        </is>
      </c>
      <c r="E886" s="28" t="inlineStr">
        <is>
          <t>https://hayday.fandom.com/wiki/Winter_Stew</t>
        </is>
      </c>
    </row>
    <row r="887">
      <c r="A887" s="28" t="inlineStr">
        <is>
          <t>Winter Stew</t>
        </is>
      </c>
      <c r="B887" s="28" t="inlineStr">
        <is>
          <t>Mushroom</t>
        </is>
      </c>
      <c r="C887" s="28" t="n">
        <v>2</v>
      </c>
      <c r="D887" s="28" t="inlineStr">
        <is>
          <t>Fandom product page (Making table)</t>
        </is>
      </c>
      <c r="E887" s="28" t="inlineStr">
        <is>
          <t>https://hayday.fandom.com/wiki/Winter_Stew</t>
        </is>
      </c>
    </row>
    <row r="888">
      <c r="A888" s="28" t="inlineStr">
        <is>
          <t>Winter Veggies</t>
        </is>
      </c>
      <c r="B888" s="28" t="inlineStr">
        <is>
          <t>Beetroot</t>
        </is>
      </c>
      <c r="C888" s="28" t="n">
        <v>2</v>
      </c>
      <c r="D888" s="28" t="inlineStr">
        <is>
          <t>Fandom product page (Making table)</t>
        </is>
      </c>
      <c r="E888" s="28" t="inlineStr">
        <is>
          <t>https://hayday.fandom.com/wiki/Winter_Veggies</t>
        </is>
      </c>
    </row>
    <row r="889">
      <c r="A889" s="28" t="inlineStr">
        <is>
          <t>Winter Veggies</t>
        </is>
      </c>
      <c r="B889" s="28" t="inlineStr">
        <is>
          <t>Carrot</t>
        </is>
      </c>
      <c r="C889" s="28" t="n">
        <v>2</v>
      </c>
      <c r="D889" s="28" t="inlineStr">
        <is>
          <t>Fandom product page (Making table)</t>
        </is>
      </c>
      <c r="E889" s="28" t="inlineStr">
        <is>
          <t>https://hayday.fandom.com/wiki/Winter_Veggies</t>
        </is>
      </c>
    </row>
    <row r="890">
      <c r="A890" s="28" t="inlineStr">
        <is>
          <t>Winter Veggies</t>
        </is>
      </c>
      <c r="B890" s="28" t="inlineStr">
        <is>
          <t>Potato</t>
        </is>
      </c>
      <c r="C890" s="28" t="n">
        <v>2</v>
      </c>
      <c r="D890" s="28" t="inlineStr">
        <is>
          <t>Fandom product page (Making table)</t>
        </is>
      </c>
      <c r="E890" s="28" t="inlineStr">
        <is>
          <t>https://hayday.fandom.com/wiki/Winter_Veggies</t>
        </is>
      </c>
    </row>
    <row r="891">
      <c r="A891" s="28" t="inlineStr">
        <is>
          <t>Winter Veggies</t>
        </is>
      </c>
      <c r="B891" s="28" t="inlineStr">
        <is>
          <t>Pumpkin</t>
        </is>
      </c>
      <c r="C891" s="28" t="n">
        <v>2</v>
      </c>
      <c r="D891" s="28" t="inlineStr">
        <is>
          <t>Fandom product page (Making table)</t>
        </is>
      </c>
      <c r="E891" s="28" t="inlineStr">
        <is>
          <t>https://hayday.fandom.com/wiki/Winter_Veggies</t>
        </is>
      </c>
    </row>
    <row r="892">
      <c r="A892" s="28" t="inlineStr">
        <is>
          <t>Wooly Chaps</t>
        </is>
      </c>
      <c r="B892" s="28" t="inlineStr">
        <is>
          <t>Cotton Fabric</t>
        </is>
      </c>
      <c r="C892" s="28" t="n">
        <v>1</v>
      </c>
      <c r="D892" s="28" t="inlineStr">
        <is>
          <t>Fandom product page (Making table)</t>
        </is>
      </c>
      <c r="E892" s="28" t="inlineStr">
        <is>
          <t>https://hayday.fandom.com/wiki/Wooly_Chaps</t>
        </is>
      </c>
    </row>
    <row r="893">
      <c r="A893" s="28" t="inlineStr">
        <is>
          <t>Wooly Chaps</t>
        </is>
      </c>
      <c r="B893" s="28" t="inlineStr">
        <is>
          <t>Wool</t>
        </is>
      </c>
      <c r="C893" s="28" t="n">
        <v>3</v>
      </c>
      <c r="D893" s="28" t="inlineStr">
        <is>
          <t>Fandom product page (Making table)</t>
        </is>
      </c>
      <c r="E893" s="28" t="inlineStr">
        <is>
          <t>https://hayday.fandom.com/wiki/Wooly_Chaps</t>
        </is>
      </c>
    </row>
    <row r="894">
      <c r="A894" s="28" t="inlineStr">
        <is>
          <t>Yogurt Smoothie</t>
        </is>
      </c>
      <c r="B894" s="28" t="inlineStr">
        <is>
          <t>Cream</t>
        </is>
      </c>
      <c r="C894" s="28" t="n">
        <v>1</v>
      </c>
      <c r="D894" s="28" t="inlineStr">
        <is>
          <t>Fandom product page (Making table)</t>
        </is>
      </c>
      <c r="E894" s="28" t="inlineStr">
        <is>
          <t>https://hayday.fandom.com/wiki/Yogurt_Smoothie</t>
        </is>
      </c>
    </row>
    <row r="895">
      <c r="A895" s="28" t="inlineStr">
        <is>
          <t>Yogurt Smoothie</t>
        </is>
      </c>
      <c r="B895" s="28" t="inlineStr">
        <is>
          <t>Raspberry</t>
        </is>
      </c>
      <c r="C895" s="28" t="n">
        <v>2</v>
      </c>
      <c r="D895" s="28" t="inlineStr">
        <is>
          <t>Fandom product page (Making table)</t>
        </is>
      </c>
      <c r="E895" s="28" t="inlineStr">
        <is>
          <t>https://hayday.fandom.com/wiki/Yogurt_Smoothie</t>
        </is>
      </c>
    </row>
    <row r="896">
      <c r="A896" s="28" t="inlineStr">
        <is>
          <t>Yogurt Smoothie</t>
        </is>
      </c>
      <c r="B896" s="28" t="inlineStr">
        <is>
          <t>Cherry</t>
        </is>
      </c>
      <c r="C896" s="28" t="n">
        <v>1</v>
      </c>
      <c r="D896" s="28" t="inlineStr">
        <is>
          <t>Fandom product page (Making table)</t>
        </is>
      </c>
      <c r="E896" s="28" t="inlineStr">
        <is>
          <t>https://hayday.fandom.com/wiki/Yogurt_Smoothie</t>
        </is>
      </c>
    </row>
    <row r="897">
      <c r="A897" s="28" t="inlineStr">
        <is>
          <t>Yogurt Smoothie</t>
        </is>
      </c>
      <c r="B897" s="28" t="inlineStr">
        <is>
          <t>White Sugar</t>
        </is>
      </c>
      <c r="C897" s="28" t="n">
        <v>1</v>
      </c>
      <c r="D897" s="28" t="inlineStr">
        <is>
          <t>Fandom product page (Making table)</t>
        </is>
      </c>
      <c r="E897" s="28" t="inlineStr">
        <is>
          <t>https://hayday.fandom.com/wiki/Yogurt_Smoothie</t>
        </is>
      </c>
    </row>
  </sheetData>
  <autoFilter ref="A1:E89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19" customWidth="1" style="29" min="1" max="1"/>
    <col width="21" customWidth="1" style="29" min="2" max="2"/>
    <col width="19" customWidth="1" style="29" min="3" max="3"/>
    <col width="22" customWidth="1" style="29" min="4" max="4"/>
    <col width="28" customWidth="1" style="29" min="5" max="5"/>
    <col width="13" customWidth="1" style="29" min="6" max="6"/>
    <col width="45" customWidth="1" style="29" min="7" max="7"/>
  </cols>
  <sheetData>
    <row r="1">
      <c r="A1" s="48" t="inlineStr">
        <is>
          <t>Product</t>
        </is>
      </c>
      <c r="B1" s="48" t="inlineStr">
        <is>
          <t>Field</t>
        </is>
      </c>
      <c r="C1" s="48" t="inlineStr">
        <is>
          <t>fandom_all (hand)</t>
        </is>
      </c>
      <c r="D1" s="48" t="inlineStr">
        <is>
          <t>Fandom infobox (API)</t>
        </is>
      </c>
      <c r="E1" s="48" t="inlineStr">
        <is>
          <t>Fandom machine table (API)</t>
        </is>
      </c>
      <c r="F1" s="48" t="inlineStr">
        <is>
          <t>hayday.info</t>
        </is>
      </c>
      <c r="G1" s="48" t="inlineStr">
        <is>
          <t>Verdict</t>
        </is>
      </c>
    </row>
    <row r="2">
      <c r="A2" s="28" t="inlineStr">
        <is>
          <t>Bread</t>
        </is>
      </c>
      <c r="B2" s="28" t="inlineStr">
        <is>
          <t>Level</t>
        </is>
      </c>
      <c r="C2" s="28" t="n">
        <v>2</v>
      </c>
      <c r="D2" s="28" t="n">
        <v>4</v>
      </c>
      <c r="E2" s="28" t="n">
        <v>4</v>
      </c>
      <c r="F2" s="28" t="n">
        <v>2</v>
      </c>
      <c r="G2" s="28" t="inlineStr">
        <is>
          <t>hand value = hayday.info, not Fandom (transcription mix-up)</t>
        </is>
      </c>
    </row>
    <row r="3">
      <c r="A3" s="28" t="inlineStr">
        <is>
          <t>Chicken feed</t>
        </is>
      </c>
      <c r="B3" s="28" t="inlineStr">
        <is>
          <t>Level</t>
        </is>
      </c>
      <c r="C3" s="28" t="n">
        <v>3</v>
      </c>
      <c r="D3" s="28" t="n">
        <v>2</v>
      </c>
      <c r="E3" s="28" t="n">
        <v>2</v>
      </c>
      <c r="F3" s="28" t="n">
        <v>3</v>
      </c>
      <c r="G3" s="28" t="inlineStr">
        <is>
          <t>hand value = hayday.info, not Fandom (transcription mix-up)</t>
        </is>
      </c>
    </row>
    <row r="4">
      <c r="A4" s="28" t="inlineStr">
        <is>
          <t>Wheat Bundle</t>
        </is>
      </c>
      <c r="B4" s="28" t="inlineStr">
        <is>
          <t>Time normal (min)</t>
        </is>
      </c>
      <c r="C4" s="28" t="n">
        <v>85</v>
      </c>
      <c r="D4" s="28" t="n">
        <v>90</v>
      </c>
      <c r="F4" s="28" t="n">
        <v>76</v>
      </c>
      <c r="G4" s="28" t="inlineStr">
        <is>
          <t>hand transcription error</t>
        </is>
      </c>
    </row>
    <row r="5">
      <c r="A5" s="28" t="inlineStr">
        <is>
          <t>Apple juice</t>
        </is>
      </c>
      <c r="B5" s="28" t="inlineStr">
        <is>
          <t>Sell price</t>
        </is>
      </c>
      <c r="C5" s="28" t="n">
        <v>129</v>
      </c>
      <c r="D5" s="28" t="n">
        <v>111</v>
      </c>
      <c r="E5" s="28" t="n">
        <v>111</v>
      </c>
      <c r="F5" s="28" t="n">
        <v>129</v>
      </c>
      <c r="G5" s="28" t="inlineStr">
        <is>
          <t>hand value = hayday.info, not Fandom (transcription mix-up)</t>
        </is>
      </c>
    </row>
    <row r="6">
      <c r="A6" s="28" t="inlineStr">
        <is>
          <t>Affogato</t>
        </is>
      </c>
      <c r="B6" s="28" t="inlineStr">
        <is>
          <t>XP</t>
        </is>
      </c>
      <c r="C6" s="28" t="n">
        <v>52</v>
      </c>
      <c r="D6" s="28" t="n">
        <v>56</v>
      </c>
      <c r="E6" s="28" t="n">
        <v>52</v>
      </c>
      <c r="F6" s="28" t="n">
        <v>56</v>
      </c>
      <c r="G6" s="28" t="inlineStr">
        <is>
          <t>Fandom inconsistent (infobox vs machine table)</t>
        </is>
      </c>
    </row>
    <row r="7">
      <c r="A7" s="28" t="inlineStr">
        <is>
          <t>Raspberry jam</t>
        </is>
      </c>
      <c r="B7" s="28" t="inlineStr">
        <is>
          <t>XP</t>
        </is>
      </c>
      <c r="C7" s="28" t="n">
        <v>29</v>
      </c>
      <c r="D7" s="28" t="n">
        <v>30</v>
      </c>
      <c r="F7" s="28" t="n">
        <v>30</v>
      </c>
      <c r="G7" s="28" t="inlineStr">
        <is>
          <t>hand transcription error</t>
        </is>
      </c>
    </row>
    <row r="8">
      <c r="A8" s="28" t="inlineStr">
        <is>
          <t>Grape jam</t>
        </is>
      </c>
      <c r="B8" s="28" t="inlineStr">
        <is>
          <t>Time mastered (min)</t>
        </is>
      </c>
      <c r="C8" s="28" t="n">
        <v>330</v>
      </c>
      <c r="D8" s="28" t="n">
        <v>331</v>
      </c>
      <c r="F8" s="28" t="n">
        <v>331</v>
      </c>
      <c r="G8" s="28" t="inlineStr">
        <is>
          <t>hand transcription error</t>
        </is>
      </c>
    </row>
    <row r="9">
      <c r="A9" s="28" t="inlineStr">
        <is>
          <t>Plum jam</t>
        </is>
      </c>
      <c r="B9" s="28" t="inlineStr">
        <is>
          <t>Sell price</t>
        </is>
      </c>
      <c r="D9" s="28" t="n">
        <v>385</v>
      </c>
      <c r="E9" s="28" t="n">
        <v>385</v>
      </c>
      <c r="F9" s="28" t="n">
        <v>385</v>
      </c>
      <c r="G9" s="28" t="inlineStr">
        <is>
          <t>hand sheet blank; API fills it</t>
        </is>
      </c>
    </row>
    <row r="10">
      <c r="A10" s="28" t="inlineStr">
        <is>
          <t>Plum jam</t>
        </is>
      </c>
      <c r="B10" s="28" t="inlineStr">
        <is>
          <t>XP</t>
        </is>
      </c>
      <c r="D10" s="28" t="n">
        <v>46</v>
      </c>
      <c r="F10" s="28" t="n">
        <v>46</v>
      </c>
      <c r="G10" s="28" t="inlineStr">
        <is>
          <t>hand sheet blank; API fills it</t>
        </is>
      </c>
    </row>
    <row r="11">
      <c r="A11" s="28" t="inlineStr">
        <is>
          <t>Iron Bracelet</t>
        </is>
      </c>
      <c r="B11" s="28" t="inlineStr">
        <is>
          <t>XP</t>
        </is>
      </c>
      <c r="C11" s="28" t="n">
        <v>78</v>
      </c>
      <c r="D11" s="28" t="n">
        <v>79</v>
      </c>
      <c r="E11" s="28" t="n">
        <v>78</v>
      </c>
      <c r="F11" s="28" t="n">
        <v>79</v>
      </c>
      <c r="G11" s="28" t="inlineStr">
        <is>
          <t>Fandom inconsistent (infobox vs machine table)</t>
        </is>
      </c>
    </row>
    <row r="12">
      <c r="A12" s="28" t="inlineStr">
        <is>
          <t>Honey peanuts</t>
        </is>
      </c>
      <c r="B12" s="28" t="inlineStr">
        <is>
          <t>Sell price</t>
        </is>
      </c>
      <c r="C12" s="28" t="n">
        <v>540</v>
      </c>
      <c r="D12" s="28" t="n">
        <v>468</v>
      </c>
      <c r="E12" s="28" t="n">
        <v>468</v>
      </c>
      <c r="F12" s="28" t="n">
        <v>540</v>
      </c>
      <c r="G12" s="28" t="inlineStr">
        <is>
          <t>hand value = hayday.info, not Fandom (transcription mix-up)</t>
        </is>
      </c>
    </row>
    <row r="13">
      <c r="A13" s="28" t="inlineStr">
        <is>
          <t>Sesame brittle</t>
        </is>
      </c>
      <c r="B13" s="28" t="inlineStr">
        <is>
          <t>Sell price</t>
        </is>
      </c>
      <c r="D13" s="28" t="n">
        <v>270</v>
      </c>
      <c r="E13" s="28" t="n">
        <v>270</v>
      </c>
      <c r="F13" s="28" t="n">
        <v>270</v>
      </c>
      <c r="G13" s="28" t="inlineStr">
        <is>
          <t>hand sheet blank; API fills it</t>
        </is>
      </c>
    </row>
    <row r="14">
      <c r="A14" s="28" t="inlineStr">
        <is>
          <t>Sesame brittle</t>
        </is>
      </c>
      <c r="B14" s="28" t="inlineStr">
        <is>
          <t>XP</t>
        </is>
      </c>
      <c r="D14" s="28" t="n">
        <v>32</v>
      </c>
      <c r="F14" s="28" t="n">
        <v>32</v>
      </c>
      <c r="G14" s="28" t="inlineStr">
        <is>
          <t>hand sheet blank; API fills it</t>
        </is>
      </c>
    </row>
    <row r="15">
      <c r="A15" s="28" t="inlineStr">
        <is>
          <t>Onion soup</t>
        </is>
      </c>
      <c r="B15" s="28" t="inlineStr">
        <is>
          <t>XP</t>
        </is>
      </c>
      <c r="C15" s="28" t="n">
        <v>36</v>
      </c>
      <c r="D15" s="28" t="n">
        <v>39</v>
      </c>
      <c r="E15" s="28" t="n">
        <v>39</v>
      </c>
      <c r="F15" s="28" t="n">
        <v>39</v>
      </c>
      <c r="G15" s="28" t="inlineStr">
        <is>
          <t>hand transcription error</t>
        </is>
      </c>
    </row>
    <row r="16">
      <c r="A16" s="28" t="inlineStr">
        <is>
          <t>Mushroom soup</t>
        </is>
      </c>
      <c r="B16" s="28" t="inlineStr">
        <is>
          <t>Sell price</t>
        </is>
      </c>
      <c r="D16" s="28" t="n">
        <v>176</v>
      </c>
      <c r="E16" s="28" t="n">
        <v>176</v>
      </c>
      <c r="F16" s="28" t="n">
        <v>176</v>
      </c>
      <c r="G16" s="28" t="inlineStr">
        <is>
          <t>hand sheet blank; API fills it</t>
        </is>
      </c>
    </row>
    <row r="17">
      <c r="A17" s="28" t="inlineStr">
        <is>
          <t>Mushroom soup</t>
        </is>
      </c>
      <c r="B17" s="28" t="inlineStr">
        <is>
          <t>XP</t>
        </is>
      </c>
      <c r="D17" s="28" t="n">
        <v>21</v>
      </c>
      <c r="F17" s="28" t="n">
        <v>21</v>
      </c>
      <c r="G17" s="28" t="inlineStr">
        <is>
          <t>hand sheet blank; API fills it</t>
        </is>
      </c>
    </row>
    <row r="18">
      <c r="A18" s="28" t="inlineStr">
        <is>
          <t>Hummus Wrap</t>
        </is>
      </c>
      <c r="B18" s="28" t="inlineStr">
        <is>
          <t>Time normal (min)</t>
        </is>
      </c>
      <c r="C18" s="28" t="n">
        <v>25</v>
      </c>
      <c r="D18" s="28" t="n">
        <v>30</v>
      </c>
      <c r="E18" s="28" t="n">
        <v>25</v>
      </c>
      <c r="F18" s="28" t="n">
        <v>25</v>
      </c>
      <c r="G18" s="28" t="inlineStr">
        <is>
          <t>Fandom inconsistent (infobox vs machine table)</t>
        </is>
      </c>
    </row>
    <row r="19">
      <c r="A19" s="28" t="inlineStr">
        <is>
          <t>Hummus Wrap</t>
        </is>
      </c>
      <c r="B19" s="28" t="inlineStr">
        <is>
          <t>Time mastered (min)</t>
        </is>
      </c>
      <c r="C19" s="28" t="n">
        <v>21</v>
      </c>
      <c r="D19" s="28" t="n">
        <v>25</v>
      </c>
      <c r="F19" s="28" t="n">
        <v>25</v>
      </c>
      <c r="G19" s="28" t="inlineStr">
        <is>
          <t>hand transcription error</t>
        </is>
      </c>
    </row>
    <row r="20">
      <c r="A20" s="28" t="inlineStr">
        <is>
          <t>Salsa</t>
        </is>
      </c>
      <c r="B20" s="28" t="inlineStr">
        <is>
          <t>Sell price</t>
        </is>
      </c>
      <c r="D20" s="28" t="n">
        <v>252</v>
      </c>
      <c r="E20" s="28" t="n">
        <v>252</v>
      </c>
      <c r="F20" s="28" t="n">
        <v>252</v>
      </c>
      <c r="G20" s="28" t="inlineStr">
        <is>
          <t>hand sheet blank; API fills it</t>
        </is>
      </c>
    </row>
    <row r="21">
      <c r="A21" s="28" t="inlineStr">
        <is>
          <t>Salsa</t>
        </is>
      </c>
      <c r="B21" s="28" t="inlineStr">
        <is>
          <t>XP</t>
        </is>
      </c>
      <c r="D21" s="28" t="n">
        <v>30</v>
      </c>
      <c r="F21" s="28" t="n">
        <v>30</v>
      </c>
      <c r="G21" s="28" t="inlineStr">
        <is>
          <t>hand sheet blank; API fills it</t>
        </is>
      </c>
    </row>
    <row r="22">
      <c r="A22" s="28" t="inlineStr">
        <is>
          <t>Yogurt Smoothie</t>
        </is>
      </c>
      <c r="B22" s="28" t="inlineStr">
        <is>
          <t>XP</t>
        </is>
      </c>
      <c r="C22" s="28" t="n">
        <v>60</v>
      </c>
      <c r="D22" s="28" t="n">
        <v>42</v>
      </c>
      <c r="F22" s="28" t="n">
        <v>42</v>
      </c>
      <c r="G22" s="28" t="inlineStr">
        <is>
          <t>hand transcription error</t>
        </is>
      </c>
    </row>
    <row r="23">
      <c r="A23" s="28" t="inlineStr">
        <is>
          <t>Fish Taco</t>
        </is>
      </c>
      <c r="B23" s="28" t="inlineStr">
        <is>
          <t>XP</t>
        </is>
      </c>
      <c r="C23" s="28" t="n">
        <v>44</v>
      </c>
      <c r="D23" s="28" t="n">
        <v>47</v>
      </c>
      <c r="F23" s="28" t="n">
        <v>47</v>
      </c>
      <c r="G23" s="28" t="inlineStr">
        <is>
          <t>hand transcription error</t>
        </is>
      </c>
    </row>
    <row r="24">
      <c r="A24" s="28" t="inlineStr">
        <is>
          <t>Nachos</t>
        </is>
      </c>
      <c r="B24" s="28" t="inlineStr">
        <is>
          <t>Sell price</t>
        </is>
      </c>
      <c r="C24" s="28" t="n">
        <v>430</v>
      </c>
      <c r="D24" s="28" t="n">
        <v>432</v>
      </c>
      <c r="E24" s="28" t="n">
        <v>432</v>
      </c>
      <c r="F24" s="28" t="n">
        <v>432</v>
      </c>
      <c r="G24" s="28" t="inlineStr">
        <is>
          <t>hand transcription error</t>
        </is>
      </c>
    </row>
    <row r="25">
      <c r="A25" s="28" t="inlineStr">
        <is>
          <t>Peanut noodles</t>
        </is>
      </c>
      <c r="B25" s="28" t="inlineStr">
        <is>
          <t>Sell price</t>
        </is>
      </c>
      <c r="C25" s="28" t="n">
        <v>669</v>
      </c>
      <c r="D25" s="28" t="n">
        <v>597</v>
      </c>
      <c r="E25" s="28" t="n">
        <v>597</v>
      </c>
      <c r="F25" s="28" t="n">
        <v>669</v>
      </c>
      <c r="G25" s="28" t="inlineStr">
        <is>
          <t>hand value = hayday.info, not Fandom (transcription mix-up)</t>
        </is>
      </c>
    </row>
    <row r="26">
      <c r="A26" s="28" t="inlineStr">
        <is>
          <t>Hot chocolate</t>
        </is>
      </c>
      <c r="B26" s="28" t="inlineStr">
        <is>
          <t>XP</t>
        </is>
      </c>
      <c r="C26" s="28" t="n">
        <v>32</v>
      </c>
      <c r="D26" s="28" t="n">
        <v>38</v>
      </c>
      <c r="F26" s="28" t="n">
        <v>38</v>
      </c>
      <c r="G26" s="28" t="inlineStr">
        <is>
          <t>hand transcription error</t>
        </is>
      </c>
    </row>
    <row r="27">
      <c r="A27" s="28" t="inlineStr">
        <is>
          <t>Big sushi roll</t>
        </is>
      </c>
      <c r="B27" s="28" t="inlineStr">
        <is>
          <t>Sell price</t>
        </is>
      </c>
      <c r="C27" s="28" t="n">
        <v>550</v>
      </c>
      <c r="D27" s="28" t="n">
        <v>648</v>
      </c>
      <c r="E27" s="28" t="n">
        <v>648</v>
      </c>
      <c r="F27" s="28" t="n">
        <v>648</v>
      </c>
      <c r="G27" s="28" t="inlineStr">
        <is>
          <t>hand transcription error</t>
        </is>
      </c>
    </row>
    <row r="28">
      <c r="A28" s="28" t="inlineStr">
        <is>
          <t>Plain Yogurt</t>
        </is>
      </c>
      <c r="B28" s="28" t="inlineStr">
        <is>
          <t>Time normal (min)</t>
        </is>
      </c>
      <c r="D28" s="28" t="n">
        <v>120</v>
      </c>
      <c r="F28" s="28" t="n">
        <v>102</v>
      </c>
      <c r="G28" s="28" t="inlineStr">
        <is>
          <t>hand sheet blank; API fills it</t>
        </is>
      </c>
    </row>
    <row r="29">
      <c r="A29" s="28" t="inlineStr">
        <is>
          <t>Strawberry Yogurt</t>
        </is>
      </c>
      <c r="B29" s="28" t="inlineStr">
        <is>
          <t>Time normal (min)</t>
        </is>
      </c>
      <c r="D29" s="28" t="n">
        <v>40</v>
      </c>
      <c r="F29" s="28" t="n">
        <v>34</v>
      </c>
      <c r="G29" s="28" t="inlineStr">
        <is>
          <t>hand sheet blank; API fills it</t>
        </is>
      </c>
    </row>
    <row r="30">
      <c r="A30" s="28" t="inlineStr">
        <is>
          <t>Tropical Yogurt</t>
        </is>
      </c>
      <c r="B30" s="28" t="inlineStr">
        <is>
          <t>Time normal (min)</t>
        </is>
      </c>
      <c r="D30" s="28" t="n">
        <v>60</v>
      </c>
      <c r="F30" s="28" t="n">
        <v>51</v>
      </c>
      <c r="G30" s="28" t="inlineStr">
        <is>
          <t>hand sheet blank; API fills it</t>
        </is>
      </c>
    </row>
    <row r="31">
      <c r="A31" s="28" t="inlineStr">
        <is>
          <t>Breakfast Bowl</t>
        </is>
      </c>
      <c r="B31" s="28" t="inlineStr">
        <is>
          <t>Time normal (min)</t>
        </is>
      </c>
      <c r="D31" s="28" t="n">
        <v>50</v>
      </c>
      <c r="G31" s="28" t="inlineStr">
        <is>
          <t>hand sheet blank; API fills it</t>
        </is>
      </c>
    </row>
    <row r="32">
      <c r="A32" s="28" t="inlineStr">
        <is>
          <t>Tea Pot</t>
        </is>
      </c>
      <c r="B32" s="28" t="inlineStr">
        <is>
          <t>Time normal (min)</t>
        </is>
      </c>
      <c r="C32" s="28" t="n">
        <v>240</v>
      </c>
      <c r="D32" s="28" t="n">
        <v>220</v>
      </c>
      <c r="E32" s="28" t="n">
        <v>240</v>
      </c>
      <c r="F32" s="28" t="n">
        <v>187</v>
      </c>
      <c r="G32" s="28" t="inlineStr">
        <is>
          <t>Fandom inconsistent (infobox vs machine table)</t>
        </is>
      </c>
    </row>
    <row r="33">
      <c r="A33" s="28" t="inlineStr">
        <is>
          <t>Tea Pot</t>
        </is>
      </c>
      <c r="B33" s="28" t="inlineStr">
        <is>
          <t>Time mastered (min)</t>
        </is>
      </c>
      <c r="C33" s="28" t="n">
        <v>204</v>
      </c>
      <c r="D33" s="28" t="n">
        <v>187</v>
      </c>
      <c r="F33" s="28" t="n">
        <v>187</v>
      </c>
      <c r="G33" s="28" t="inlineStr">
        <is>
          <t>hand transcription error</t>
        </is>
      </c>
    </row>
    <row r="34">
      <c r="A34" s="28" t="inlineStr">
        <is>
          <t>Duck Feather</t>
        </is>
      </c>
      <c r="B34" s="28" t="inlineStr">
        <is>
          <t>Sell price</t>
        </is>
      </c>
      <c r="D34" s="28" t="n">
        <v>140</v>
      </c>
      <c r="F34" s="28" t="n">
        <v>140</v>
      </c>
      <c r="G34" s="28" t="inlineStr">
        <is>
          <t>hand sheet blank; API fills it</t>
        </is>
      </c>
    </row>
    <row r="35">
      <c r="A35" s="28" t="inlineStr">
        <is>
          <t>Duck Feather</t>
        </is>
      </c>
      <c r="B35" s="28" t="inlineStr">
        <is>
          <t>XP</t>
        </is>
      </c>
      <c r="D35" s="28" t="n">
        <v>17</v>
      </c>
      <c r="F35" s="28" t="n">
        <v>17</v>
      </c>
      <c r="G35" s="28" t="inlineStr">
        <is>
          <t>hand sheet blank; API fills it</t>
        </is>
      </c>
    </row>
    <row r="36">
      <c r="A36" s="28" t="inlineStr">
        <is>
          <t>Apple</t>
        </is>
      </c>
      <c r="B36" s="28" t="inlineStr">
        <is>
          <t>Sell price</t>
        </is>
      </c>
      <c r="D36" s="28" t="n">
        <v>39</v>
      </c>
      <c r="F36" s="28" t="n">
        <v>39</v>
      </c>
      <c r="G36" s="28" t="inlineStr">
        <is>
          <t>hand sheet blank; API fills it</t>
        </is>
      </c>
    </row>
    <row r="37">
      <c r="A37" s="28" t="inlineStr">
        <is>
          <t>Apple</t>
        </is>
      </c>
      <c r="B37" s="28" t="inlineStr">
        <is>
          <t>XP</t>
        </is>
      </c>
      <c r="D37" s="28" t="n">
        <v>7</v>
      </c>
      <c r="F37" s="28" t="n">
        <v>7</v>
      </c>
      <c r="G37" s="28" t="inlineStr">
        <is>
          <t>hand sheet blank; API fills it</t>
        </is>
      </c>
    </row>
    <row r="38">
      <c r="A38" s="28" t="inlineStr">
        <is>
          <t>Raspberry</t>
        </is>
      </c>
      <c r="B38" s="28" t="inlineStr">
        <is>
          <t>Sell price</t>
        </is>
      </c>
      <c r="D38" s="28" t="n">
        <v>46</v>
      </c>
      <c r="F38" s="28" t="n">
        <v>46</v>
      </c>
      <c r="G38" s="28" t="inlineStr">
        <is>
          <t>hand sheet blank; API fills it</t>
        </is>
      </c>
    </row>
    <row r="39">
      <c r="A39" s="28" t="inlineStr">
        <is>
          <t>Raspberry</t>
        </is>
      </c>
      <c r="B39" s="28" t="inlineStr">
        <is>
          <t>XP</t>
        </is>
      </c>
      <c r="D39" s="28" t="n">
        <v>9</v>
      </c>
      <c r="F39" s="28" t="n">
        <v>9</v>
      </c>
      <c r="G39" s="28" t="inlineStr">
        <is>
          <t>hand sheet blank; API fills it</t>
        </is>
      </c>
    </row>
    <row r="40">
      <c r="A40" s="28" t="inlineStr">
        <is>
          <t>Cherry</t>
        </is>
      </c>
      <c r="B40" s="28" t="inlineStr">
        <is>
          <t>Time normal (min)</t>
        </is>
      </c>
      <c r="C40" s="28" t="n">
        <v>1620</v>
      </c>
      <c r="D40" s="28" t="n">
        <v>1680</v>
      </c>
      <c r="F40" s="28" t="n">
        <v>1620</v>
      </c>
      <c r="G40" s="28" t="inlineStr">
        <is>
          <t>hand value = hayday.info, not Fandom (transcription mix-up)</t>
        </is>
      </c>
    </row>
    <row r="41">
      <c r="A41" s="28" t="inlineStr">
        <is>
          <t>Cherry</t>
        </is>
      </c>
      <c r="B41" s="28" t="inlineStr">
        <is>
          <t>Sell price</t>
        </is>
      </c>
      <c r="D41" s="28" t="n">
        <v>68</v>
      </c>
      <c r="F41" s="28" t="n">
        <v>68</v>
      </c>
      <c r="G41" s="28" t="inlineStr">
        <is>
          <t>hand sheet blank; API fills it</t>
        </is>
      </c>
    </row>
    <row r="42">
      <c r="A42" s="28" t="inlineStr">
        <is>
          <t>Cherry</t>
        </is>
      </c>
      <c r="B42" s="28" t="inlineStr">
        <is>
          <t>XP</t>
        </is>
      </c>
      <c r="D42" s="28" t="n">
        <v>13</v>
      </c>
      <c r="F42" s="28" t="n">
        <v>13</v>
      </c>
      <c r="G42" s="28" t="inlineStr">
        <is>
          <t>hand sheet blank; API fills it</t>
        </is>
      </c>
    </row>
    <row r="43">
      <c r="A43" s="28" t="inlineStr">
        <is>
          <t>Blackberry</t>
        </is>
      </c>
      <c r="B43" s="28" t="inlineStr">
        <is>
          <t>Sell price</t>
        </is>
      </c>
      <c r="D43" s="28" t="n">
        <v>82</v>
      </c>
      <c r="F43" s="28" t="n">
        <v>82</v>
      </c>
      <c r="G43" s="28" t="inlineStr">
        <is>
          <t>hand sheet blank; API fills it</t>
        </is>
      </c>
    </row>
    <row r="44">
      <c r="A44" s="28" t="inlineStr">
        <is>
          <t>Blackberry</t>
        </is>
      </c>
      <c r="B44" s="28" t="inlineStr">
        <is>
          <t>XP</t>
        </is>
      </c>
      <c r="D44" s="28" t="n">
        <v>16</v>
      </c>
      <c r="F44" s="28" t="n">
        <v>16</v>
      </c>
      <c r="G44" s="28" t="inlineStr">
        <is>
          <t>hand sheet blank; API fills it</t>
        </is>
      </c>
    </row>
    <row r="45">
      <c r="A45" s="28" t="inlineStr">
        <is>
          <t>Cacao</t>
        </is>
      </c>
      <c r="B45" s="28" t="inlineStr">
        <is>
          <t>Sell price</t>
        </is>
      </c>
      <c r="D45" s="28" t="n">
        <v>86</v>
      </c>
      <c r="F45" s="28" t="n">
        <v>86</v>
      </c>
      <c r="G45" s="28" t="inlineStr">
        <is>
          <t>hand sheet blank; API fills it</t>
        </is>
      </c>
    </row>
    <row r="46">
      <c r="A46" s="28" t="inlineStr">
        <is>
          <t>Cacao</t>
        </is>
      </c>
      <c r="B46" s="28" t="inlineStr">
        <is>
          <t>XP</t>
        </is>
      </c>
      <c r="D46" s="28" t="n">
        <v>16</v>
      </c>
      <c r="F46" s="28" t="n">
        <v>16</v>
      </c>
      <c r="G46" s="28" t="inlineStr">
        <is>
          <t>hand sheet blank; API fills it</t>
        </is>
      </c>
    </row>
    <row r="47">
      <c r="A47" s="28" t="inlineStr">
        <is>
          <t>Coffee</t>
        </is>
      </c>
      <c r="B47" s="28" t="inlineStr">
        <is>
          <t>NOT FOUND in API</t>
        </is>
      </c>
      <c r="G47" s="28" t="inlineStr">
        <is>
          <t>not on Fandom under this name</t>
        </is>
      </c>
    </row>
    <row r="48">
      <c r="A48" s="28" t="inlineStr">
        <is>
          <t>Olive</t>
        </is>
      </c>
      <c r="B48" s="28" t="inlineStr">
        <is>
          <t>Sell price</t>
        </is>
      </c>
      <c r="D48" s="28" t="n">
        <v>82</v>
      </c>
      <c r="F48" s="28" t="n">
        <v>82</v>
      </c>
      <c r="G48" s="28" t="inlineStr">
        <is>
          <t>hand sheet blank; API fills it</t>
        </is>
      </c>
    </row>
    <row r="49">
      <c r="A49" s="28" t="inlineStr">
        <is>
          <t>Olive</t>
        </is>
      </c>
      <c r="B49" s="28" t="inlineStr">
        <is>
          <t>XP</t>
        </is>
      </c>
      <c r="D49" s="28" t="n">
        <v>17</v>
      </c>
      <c r="F49" s="28" t="n">
        <v>17</v>
      </c>
      <c r="G49" s="28" t="inlineStr">
        <is>
          <t>hand sheet blank; API fills it</t>
        </is>
      </c>
    </row>
    <row r="50">
      <c r="A50" s="28" t="inlineStr">
        <is>
          <t>Lemon</t>
        </is>
      </c>
      <c r="B50" s="28" t="inlineStr">
        <is>
          <t>Time normal (min)</t>
        </is>
      </c>
      <c r="C50" s="28" t="n">
        <v>1740</v>
      </c>
      <c r="D50" s="28" t="n">
        <v>1800</v>
      </c>
      <c r="F50" s="28" t="n">
        <v>1740</v>
      </c>
      <c r="G50" s="28" t="inlineStr">
        <is>
          <t>hand value = hayday.info, not Fandom (transcription mix-up)</t>
        </is>
      </c>
    </row>
    <row r="51">
      <c r="A51" s="28" t="inlineStr">
        <is>
          <t>Lemon</t>
        </is>
      </c>
      <c r="B51" s="28" t="inlineStr">
        <is>
          <t>Sell price</t>
        </is>
      </c>
      <c r="D51" s="28" t="n">
        <v>93</v>
      </c>
      <c r="F51" s="28" t="n">
        <v>93</v>
      </c>
      <c r="G51" s="28" t="inlineStr">
        <is>
          <t>hand sheet blank; API fills it</t>
        </is>
      </c>
    </row>
    <row r="52">
      <c r="A52" s="28" t="inlineStr">
        <is>
          <t>Lemon</t>
        </is>
      </c>
      <c r="B52" s="28" t="inlineStr">
        <is>
          <t>XP</t>
        </is>
      </c>
      <c r="D52" s="28" t="n">
        <v>18</v>
      </c>
      <c r="F52" s="28" t="n">
        <v>18</v>
      </c>
      <c r="G52" s="28" t="inlineStr">
        <is>
          <t>hand sheet blank; API fills it</t>
        </is>
      </c>
    </row>
    <row r="53">
      <c r="A53" s="28" t="inlineStr">
        <is>
          <t>Orange</t>
        </is>
      </c>
      <c r="B53" s="28" t="inlineStr">
        <is>
          <t>Sell price</t>
        </is>
      </c>
      <c r="D53" s="28" t="n">
        <v>97</v>
      </c>
      <c r="F53" s="28" t="n">
        <v>97</v>
      </c>
      <c r="G53" s="28" t="inlineStr">
        <is>
          <t>hand sheet blank; API fills it</t>
        </is>
      </c>
    </row>
    <row r="54">
      <c r="A54" s="28" t="inlineStr">
        <is>
          <t>Orange</t>
        </is>
      </c>
      <c r="B54" s="28" t="inlineStr">
        <is>
          <t>XP</t>
        </is>
      </c>
      <c r="D54" s="28" t="n">
        <v>19</v>
      </c>
      <c r="F54" s="28" t="n">
        <v>19</v>
      </c>
      <c r="G54" s="28" t="inlineStr">
        <is>
          <t>hand sheet blank; API fills it</t>
        </is>
      </c>
    </row>
    <row r="55">
      <c r="A55" s="28" t="inlineStr">
        <is>
          <t>Peach</t>
        </is>
      </c>
      <c r="B55" s="28" t="inlineStr">
        <is>
          <t>Sell price</t>
        </is>
      </c>
      <c r="D55" s="28" t="n">
        <v>100</v>
      </c>
      <c r="F55" s="28" t="n">
        <v>100</v>
      </c>
      <c r="G55" s="28" t="inlineStr">
        <is>
          <t>hand sheet blank; API fills it</t>
        </is>
      </c>
    </row>
    <row r="56">
      <c r="A56" s="28" t="inlineStr">
        <is>
          <t>Peach</t>
        </is>
      </c>
      <c r="B56" s="28" t="inlineStr">
        <is>
          <t>XP</t>
        </is>
      </c>
      <c r="D56" s="28" t="n">
        <v>20</v>
      </c>
      <c r="F56" s="28" t="n">
        <v>20</v>
      </c>
      <c r="G56" s="28" t="inlineStr">
        <is>
          <t>hand sheet blank; API fills it</t>
        </is>
      </c>
    </row>
    <row r="57">
      <c r="A57" s="28" t="inlineStr">
        <is>
          <t>Banana</t>
        </is>
      </c>
      <c r="B57" s="28" t="inlineStr">
        <is>
          <t>Time normal (min)</t>
        </is>
      </c>
      <c r="C57" s="28" t="n">
        <v>1620</v>
      </c>
      <c r="D57" s="28" t="n">
        <v>1680</v>
      </c>
      <c r="F57" s="28" t="n">
        <v>1620</v>
      </c>
      <c r="G57" s="28" t="inlineStr">
        <is>
          <t>hand value = hayday.info, not Fandom (transcription mix-up)</t>
        </is>
      </c>
    </row>
    <row r="58">
      <c r="A58" s="28" t="inlineStr">
        <is>
          <t>Banana</t>
        </is>
      </c>
      <c r="B58" s="28" t="inlineStr">
        <is>
          <t>Sell price</t>
        </is>
      </c>
      <c r="D58" s="28" t="n">
        <v>104</v>
      </c>
      <c r="F58" s="28" t="n">
        <v>104</v>
      </c>
      <c r="G58" s="28" t="inlineStr">
        <is>
          <t>hand sheet blank; API fills it</t>
        </is>
      </c>
    </row>
    <row r="59">
      <c r="A59" s="28" t="inlineStr">
        <is>
          <t>Banana</t>
        </is>
      </c>
      <c r="B59" s="28" t="inlineStr">
        <is>
          <t>XP</t>
        </is>
      </c>
      <c r="D59" s="28" t="n">
        <v>20</v>
      </c>
      <c r="F59" s="28" t="n">
        <v>20</v>
      </c>
      <c r="G59" s="28" t="inlineStr">
        <is>
          <t>hand sheet blank; API fills it</t>
        </is>
      </c>
    </row>
    <row r="60">
      <c r="A60" s="28" t="inlineStr">
        <is>
          <t>Plum</t>
        </is>
      </c>
      <c r="B60" s="28" t="inlineStr">
        <is>
          <t>Sell price</t>
        </is>
      </c>
      <c r="D60" s="28" t="n">
        <v>82</v>
      </c>
      <c r="F60" s="28" t="n">
        <v>82</v>
      </c>
      <c r="G60" s="28" t="inlineStr">
        <is>
          <t>hand sheet blank; API fills it</t>
        </is>
      </c>
    </row>
    <row r="61">
      <c r="A61" s="28" t="inlineStr">
        <is>
          <t>Plum</t>
        </is>
      </c>
      <c r="B61" s="28" t="inlineStr">
        <is>
          <t>XP</t>
        </is>
      </c>
      <c r="D61" s="28" t="n">
        <v>16</v>
      </c>
      <c r="F61" s="28" t="n">
        <v>16</v>
      </c>
      <c r="G61" s="28" t="inlineStr">
        <is>
          <t>hand sheet blank; API fills it</t>
        </is>
      </c>
    </row>
    <row r="62">
      <c r="A62" s="28" t="inlineStr">
        <is>
          <t>Mango</t>
        </is>
      </c>
      <c r="B62" s="28" t="inlineStr">
        <is>
          <t>Sell price</t>
        </is>
      </c>
      <c r="D62" s="28" t="n">
        <v>100</v>
      </c>
      <c r="F62" s="28" t="n">
        <v>100</v>
      </c>
      <c r="G62" s="28" t="inlineStr">
        <is>
          <t>hand sheet blank; API fills it</t>
        </is>
      </c>
    </row>
    <row r="63">
      <c r="A63" s="28" t="inlineStr">
        <is>
          <t>Mango</t>
        </is>
      </c>
      <c r="B63" s="28" t="inlineStr">
        <is>
          <t>XP</t>
        </is>
      </c>
      <c r="D63" s="28" t="n">
        <v>20</v>
      </c>
      <c r="F63" s="28" t="n">
        <v>20</v>
      </c>
      <c r="G63" s="28" t="inlineStr">
        <is>
          <t>hand sheet blank; API fills it</t>
        </is>
      </c>
    </row>
    <row r="64">
      <c r="A64" s="28" t="inlineStr">
        <is>
          <t>Coconut</t>
        </is>
      </c>
      <c r="B64" s="28" t="inlineStr">
        <is>
          <t>Sell price</t>
        </is>
      </c>
      <c r="D64" s="28" t="n">
        <v>108</v>
      </c>
      <c r="F64" s="28" t="n">
        <v>108</v>
      </c>
      <c r="G64" s="28" t="inlineStr">
        <is>
          <t>hand sheet blank; API fills it</t>
        </is>
      </c>
    </row>
    <row r="65">
      <c r="A65" s="28" t="inlineStr">
        <is>
          <t>Coconut</t>
        </is>
      </c>
      <c r="B65" s="28" t="inlineStr">
        <is>
          <t>XP</t>
        </is>
      </c>
      <c r="D65" s="28" t="n">
        <v>21</v>
      </c>
      <c r="F65" s="28" t="n">
        <v>21</v>
      </c>
      <c r="G65" s="28" t="inlineStr">
        <is>
          <t>hand sheet blank; API fills it</t>
        </is>
      </c>
    </row>
    <row r="66">
      <c r="A66" s="28" t="inlineStr">
        <is>
          <t>Guava</t>
        </is>
      </c>
      <c r="B66" s="28" t="inlineStr">
        <is>
          <t>Sell price</t>
        </is>
      </c>
      <c r="D66" s="28" t="n">
        <v>111</v>
      </c>
      <c r="F66" s="28" t="n">
        <v>111</v>
      </c>
      <c r="G66" s="28" t="inlineStr">
        <is>
          <t>hand sheet blank; API fills it</t>
        </is>
      </c>
    </row>
    <row r="67">
      <c r="A67" s="28" t="inlineStr">
        <is>
          <t>Guava</t>
        </is>
      </c>
      <c r="B67" s="28" t="inlineStr">
        <is>
          <t>XP</t>
        </is>
      </c>
      <c r="D67" s="28" t="n">
        <v>22</v>
      </c>
      <c r="F67" s="28" t="n">
        <v>22</v>
      </c>
      <c r="G67" s="28" t="inlineStr">
        <is>
          <t>hand sheet blank; API fills it</t>
        </is>
      </c>
    </row>
    <row r="68">
      <c r="A68" s="28" t="inlineStr">
        <is>
          <t>Pomegranate</t>
        </is>
      </c>
      <c r="B68" s="28" t="inlineStr">
        <is>
          <t>Sell price</t>
        </is>
      </c>
      <c r="D68" s="28" t="n">
        <v>111</v>
      </c>
      <c r="G68" s="28" t="inlineStr">
        <is>
          <t>hand sheet blank; API fills it</t>
        </is>
      </c>
    </row>
    <row r="69">
      <c r="A69" s="28" t="inlineStr">
        <is>
          <t>Pomegranate</t>
        </is>
      </c>
      <c r="B69" s="28" t="inlineStr">
        <is>
          <t>XP</t>
        </is>
      </c>
      <c r="D69" s="28" t="n">
        <v>22</v>
      </c>
      <c r="G69" s="28" t="inlineStr">
        <is>
          <t>hand sheet blank; API fills it</t>
        </is>
      </c>
    </row>
  </sheetData>
  <autoFilter ref="A1:G6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3" customWidth="1" style="29" min="1" max="1"/>
    <col width="18" customWidth="1" style="29" min="2" max="2"/>
    <col width="20" customWidth="1" style="29" min="3" max="3"/>
    <col width="23" customWidth="1" style="29" min="4" max="4"/>
    <col width="12" customWidth="1" style="29" min="5" max="5"/>
  </cols>
  <sheetData>
    <row r="1">
      <c r="A1" s="48" t="inlineStr">
        <is>
          <t>Product</t>
        </is>
      </c>
      <c r="B1" s="48" t="inlineStr">
        <is>
          <t>Ingredient</t>
        </is>
      </c>
      <c r="C1" s="48" t="inlineStr">
        <is>
          <t>Qty (product page)</t>
        </is>
      </c>
      <c r="D1" s="48" t="inlineStr">
        <is>
          <t>Qty (ingredient page)</t>
        </is>
      </c>
      <c r="E1" s="48" t="inlineStr">
        <is>
          <t>Found on</t>
        </is>
      </c>
    </row>
    <row r="2">
      <c r="A2" s="28" t="inlineStr">
        <is>
          <t>banana bread</t>
        </is>
      </c>
      <c r="B2" s="28" t="inlineStr">
        <is>
          <t>banana</t>
        </is>
      </c>
      <c r="C2" s="28" t="n">
        <v>3</v>
      </c>
      <c r="E2" s="28" t="inlineStr">
        <is>
          <t>left_only</t>
        </is>
      </c>
    </row>
    <row r="3">
      <c r="A3" s="28" t="inlineStr">
        <is>
          <t>banana pancakes</t>
        </is>
      </c>
      <c r="B3" s="28" t="inlineStr">
        <is>
          <t>banana</t>
        </is>
      </c>
      <c r="C3" s="28" t="n">
        <v>1</v>
      </c>
      <c r="E3" s="28" t="inlineStr">
        <is>
          <t>left_only</t>
        </is>
      </c>
    </row>
    <row r="4">
      <c r="A4" s="28" t="inlineStr">
        <is>
          <t>banana split</t>
        </is>
      </c>
      <c r="B4" s="28" t="inlineStr">
        <is>
          <t>banana</t>
        </is>
      </c>
      <c r="C4" s="28" t="n">
        <v>1</v>
      </c>
      <c r="E4" s="28" t="inlineStr">
        <is>
          <t>left_only</t>
        </is>
      </c>
    </row>
    <row r="5">
      <c r="A5" s="28" t="inlineStr">
        <is>
          <t>black sesame smoothie</t>
        </is>
      </c>
      <c r="B5" s="28" t="inlineStr">
        <is>
          <t>banana</t>
        </is>
      </c>
      <c r="C5" s="28" t="n">
        <v>1</v>
      </c>
      <c r="E5" s="28" t="inlineStr">
        <is>
          <t>left_only</t>
        </is>
      </c>
    </row>
    <row r="6">
      <c r="A6" s="28" t="inlineStr">
        <is>
          <t>blt salad</t>
        </is>
      </c>
      <c r="B6" s="28" t="inlineStr">
        <is>
          <t>roasted tomatoes</t>
        </is>
      </c>
      <c r="C6" s="28" t="n">
        <v>1</v>
      </c>
      <c r="E6" s="28" t="inlineStr">
        <is>
          <t>left_only</t>
        </is>
      </c>
    </row>
    <row r="7">
      <c r="A7" s="28" t="inlineStr">
        <is>
          <t>blueberry chutney</t>
        </is>
      </c>
      <c r="B7" s="28" t="inlineStr">
        <is>
          <t>brown sugar</t>
        </is>
      </c>
      <c r="C7" s="28" t="n">
        <v>1</v>
      </c>
      <c r="E7" s="28" t="inlineStr">
        <is>
          <t>left_only</t>
        </is>
      </c>
    </row>
    <row r="8">
      <c r="A8" s="28" t="inlineStr">
        <is>
          <t>carrot cake</t>
        </is>
      </c>
      <c r="B8" s="28" t="inlineStr">
        <is>
          <t>brown sugar</t>
        </is>
      </c>
      <c r="C8" s="28" t="n">
        <v>1</v>
      </c>
      <c r="E8" s="28" t="inlineStr">
        <is>
          <t>left_only</t>
        </is>
      </c>
    </row>
    <row r="9">
      <c r="A9" s="28" t="inlineStr">
        <is>
          <t>chocolate cake</t>
        </is>
      </c>
      <c r="B9" s="28" t="inlineStr">
        <is>
          <t>brown sugar</t>
        </is>
      </c>
      <c r="C9" s="28" t="n">
        <v>1</v>
      </c>
      <c r="E9" s="28" t="inlineStr">
        <is>
          <t>left_only</t>
        </is>
      </c>
    </row>
    <row r="10">
      <c r="A10" s="28" t="inlineStr">
        <is>
          <t>cocoa smoothie</t>
        </is>
      </c>
      <c r="B10" s="28" t="inlineStr">
        <is>
          <t>banana</t>
        </is>
      </c>
      <c r="C10" s="28" t="n">
        <v>2</v>
      </c>
      <c r="E10" s="28" t="inlineStr">
        <is>
          <t>left_only</t>
        </is>
      </c>
    </row>
    <row r="11">
      <c r="A11" s="28" t="inlineStr">
        <is>
          <t>cookie</t>
        </is>
      </c>
      <c r="B11" s="28" t="inlineStr">
        <is>
          <t>brown sugar</t>
        </is>
      </c>
      <c r="C11" s="28" t="n">
        <v>1</v>
      </c>
      <c r="E11" s="28" t="inlineStr">
        <is>
          <t>left_only</t>
        </is>
      </c>
    </row>
    <row r="12">
      <c r="A12" s="28" t="inlineStr">
        <is>
          <t>cream donut</t>
        </is>
      </c>
      <c r="B12" s="28" t="inlineStr">
        <is>
          <t>brown sugar</t>
        </is>
      </c>
      <c r="C12" s="28" t="n">
        <v>1</v>
      </c>
      <c r="E12" s="28" t="inlineStr">
        <is>
          <t>left_only</t>
        </is>
      </c>
    </row>
    <row r="13">
      <c r="A13" s="28" t="inlineStr">
        <is>
          <t>egg sushi</t>
        </is>
      </c>
      <c r="B13" s="28" t="inlineStr">
        <is>
          <t>brown sugar</t>
        </is>
      </c>
      <c r="C13" s="28" t="n">
        <v>1</v>
      </c>
      <c r="E13" s="28" t="inlineStr">
        <is>
          <t>left_only</t>
        </is>
      </c>
    </row>
    <row r="14">
      <c r="A14" s="28" t="inlineStr">
        <is>
          <t>feta salad</t>
        </is>
      </c>
      <c r="B14" s="28" t="inlineStr">
        <is>
          <t>roasted tomatoes</t>
        </is>
      </c>
      <c r="C14" s="28" t="n">
        <v>1</v>
      </c>
      <c r="E14" s="28" t="inlineStr">
        <is>
          <t>left_only</t>
        </is>
      </c>
    </row>
    <row r="15">
      <c r="A15" s="28" t="inlineStr">
        <is>
          <t>iced banana latte</t>
        </is>
      </c>
      <c r="B15" s="28" t="inlineStr">
        <is>
          <t>banana</t>
        </is>
      </c>
      <c r="C15" s="28" t="n">
        <v>1</v>
      </c>
      <c r="E15" s="28" t="inlineStr">
        <is>
          <t>left_only</t>
        </is>
      </c>
    </row>
    <row r="16">
      <c r="A16" s="28" t="inlineStr">
        <is>
          <t>mint fudge</t>
        </is>
      </c>
      <c r="B16" s="28" t="inlineStr">
        <is>
          <t>butter</t>
        </is>
      </c>
      <c r="D16" s="28" t="n">
        <v>2</v>
      </c>
      <c r="E16" s="28" t="inlineStr">
        <is>
          <t>right_only</t>
        </is>
      </c>
    </row>
    <row r="17">
      <c r="A17" s="28" t="inlineStr">
        <is>
          <t>mint fudge</t>
        </is>
      </c>
      <c r="B17" s="28" t="inlineStr">
        <is>
          <t>cabbage</t>
        </is>
      </c>
      <c r="C17" s="28" t="n">
        <v>2</v>
      </c>
      <c r="E17" s="28" t="inlineStr">
        <is>
          <t>left_only</t>
        </is>
      </c>
    </row>
    <row r="18">
      <c r="A18" s="28" t="inlineStr">
        <is>
          <t>pancake</t>
        </is>
      </c>
      <c r="B18" s="28" t="inlineStr">
        <is>
          <t>brown sugar</t>
        </is>
      </c>
      <c r="C18" s="28" t="n">
        <v>1</v>
      </c>
      <c r="E18" s="28" t="inlineStr">
        <is>
          <t>left_only</t>
        </is>
      </c>
    </row>
    <row r="19">
      <c r="A19" s="28" t="inlineStr">
        <is>
          <t>sesame ice cream</t>
        </is>
      </c>
      <c r="B19" s="28" t="inlineStr">
        <is>
          <t>brown sugar</t>
        </is>
      </c>
      <c r="C19" s="28" t="n">
        <v>1</v>
      </c>
      <c r="E19" s="28" t="inlineStr">
        <is>
          <t>left_only</t>
        </is>
      </c>
    </row>
    <row r="20">
      <c r="A20" s="28" t="inlineStr">
        <is>
          <t>tofu dog</t>
        </is>
      </c>
      <c r="B20" s="28" t="inlineStr">
        <is>
          <t>tomato</t>
        </is>
      </c>
      <c r="C20" s="28" t="n">
        <v>4</v>
      </c>
      <c r="D20" s="28" t="n">
        <v>2</v>
      </c>
      <c r="E20" s="28" t="inlineStr">
        <is>
          <t>both</t>
        </is>
      </c>
    </row>
    <row r="21">
      <c r="A21" s="28" t="inlineStr">
        <is>
          <t>tomato sauce</t>
        </is>
      </c>
      <c r="B21" s="28" t="inlineStr">
        <is>
          <t>brown sugar</t>
        </is>
      </c>
      <c r="C21" s="28" t="n">
        <v>1</v>
      </c>
      <c r="E21" s="28" t="inlineStr">
        <is>
          <t>left_only</t>
        </is>
      </c>
    </row>
    <row r="22">
      <c r="A22" s="28" t="inlineStr">
        <is>
          <t>tropical smoothie</t>
        </is>
      </c>
      <c r="B22" s="28" t="inlineStr">
        <is>
          <t>banana</t>
        </is>
      </c>
      <c r="C22" s="28" t="n">
        <v>1</v>
      </c>
      <c r="E22" s="28" t="inlineStr">
        <is>
          <t>left_only</t>
        </is>
      </c>
    </row>
  </sheetData>
  <autoFilter ref="A1:E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2026-10-13T16:36:08Z</dcterms:created>
  <dcterms:modified xmlns:dcterms="http://purl.org/dc/terms/" xmlns:xsi="http://www.w3.org/2001/XMLSchema-instance" xsi:type="dcterms:W3CDTF">2026-10-13T18:04:49Z</dcterms:modified>
  <cp:revision>0</cp:revision>
</cp:coreProperties>
</file>